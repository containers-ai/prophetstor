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"/>
    </mc:Choice>
  </mc:AlternateContent>
  <xr:revisionPtr revIDLastSave="0" documentId="13_ncr:1_{6526F420-E4E6-4391-89E4-94D294AA360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eployment" sheetId="2" r:id="rId1"/>
    <sheet name="deployment-raw" sheetId="8" state="hidden" r:id="rId2"/>
  </sheets>
  <definedNames>
    <definedName name="_xlnm._FilterDatabase" localSheetId="0" hidden="1">deployment!$A$3:$Q$1002</definedName>
    <definedName name="ExternalData_3" localSheetId="1" hidden="1">'deployment-raw'!$A$2:$T$53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7" roundtripDataSignature="AMtx7mgui3ahraFjMZuGL135K9JftOaw/g=="/>
    </ext>
  </extLst>
</workbook>
</file>

<file path=xl/calcChain.xml><?xml version="1.0" encoding="utf-8"?>
<calcChain xmlns="http://schemas.openxmlformats.org/spreadsheetml/2006/main">
  <c r="H6" i="2" l="1"/>
  <c r="P1002" i="2"/>
  <c r="P1001" i="2"/>
  <c r="P1000" i="2"/>
  <c r="P999" i="2"/>
  <c r="P998" i="2"/>
  <c r="P997" i="2"/>
  <c r="P996" i="2"/>
  <c r="P995" i="2"/>
  <c r="P994" i="2"/>
  <c r="P993" i="2"/>
  <c r="P992" i="2"/>
  <c r="P991" i="2"/>
  <c r="P990" i="2"/>
  <c r="P989" i="2"/>
  <c r="P988" i="2"/>
  <c r="P987" i="2"/>
  <c r="P986" i="2"/>
  <c r="P985" i="2"/>
  <c r="P984" i="2"/>
  <c r="P983" i="2"/>
  <c r="P982" i="2"/>
  <c r="P981" i="2"/>
  <c r="P980" i="2"/>
  <c r="P979" i="2"/>
  <c r="P978" i="2"/>
  <c r="P977" i="2"/>
  <c r="P976" i="2"/>
  <c r="P975" i="2"/>
  <c r="P974" i="2"/>
  <c r="P973" i="2"/>
  <c r="P972" i="2"/>
  <c r="P971" i="2"/>
  <c r="P970" i="2"/>
  <c r="P969" i="2"/>
  <c r="P968" i="2"/>
  <c r="P967" i="2"/>
  <c r="P966" i="2"/>
  <c r="P965" i="2"/>
  <c r="P964" i="2"/>
  <c r="P963" i="2"/>
  <c r="P962" i="2"/>
  <c r="P961" i="2"/>
  <c r="P960" i="2"/>
  <c r="P959" i="2"/>
  <c r="P958" i="2"/>
  <c r="P957" i="2"/>
  <c r="P956" i="2"/>
  <c r="P955" i="2"/>
  <c r="P954" i="2"/>
  <c r="P953" i="2"/>
  <c r="P952" i="2"/>
  <c r="P951" i="2"/>
  <c r="P950" i="2"/>
  <c r="P949" i="2"/>
  <c r="P948" i="2"/>
  <c r="P947" i="2"/>
  <c r="P946" i="2"/>
  <c r="P945" i="2"/>
  <c r="P944" i="2"/>
  <c r="P943" i="2"/>
  <c r="P942" i="2"/>
  <c r="P941" i="2"/>
  <c r="P940" i="2"/>
  <c r="P939" i="2"/>
  <c r="P938" i="2"/>
  <c r="P937" i="2"/>
  <c r="P936" i="2"/>
  <c r="P935" i="2"/>
  <c r="P934" i="2"/>
  <c r="P933" i="2"/>
  <c r="P932" i="2"/>
  <c r="P931" i="2"/>
  <c r="P930" i="2"/>
  <c r="P929" i="2"/>
  <c r="P928" i="2"/>
  <c r="P927" i="2"/>
  <c r="P926" i="2"/>
  <c r="P925" i="2"/>
  <c r="P924" i="2"/>
  <c r="P923" i="2"/>
  <c r="P922" i="2"/>
  <c r="P921" i="2"/>
  <c r="P920" i="2"/>
  <c r="P919" i="2"/>
  <c r="P918" i="2"/>
  <c r="P917" i="2"/>
  <c r="P916" i="2"/>
  <c r="P915" i="2"/>
  <c r="P914" i="2"/>
  <c r="P913" i="2"/>
  <c r="P912" i="2"/>
  <c r="P911" i="2"/>
  <c r="P910" i="2"/>
  <c r="P909" i="2"/>
  <c r="P908" i="2"/>
  <c r="P907" i="2"/>
  <c r="P906" i="2"/>
  <c r="P905" i="2"/>
  <c r="P904" i="2"/>
  <c r="P903" i="2"/>
  <c r="P902" i="2"/>
  <c r="P901" i="2"/>
  <c r="P900" i="2"/>
  <c r="P899" i="2"/>
  <c r="P898" i="2"/>
  <c r="P897" i="2"/>
  <c r="P896" i="2"/>
  <c r="P895" i="2"/>
  <c r="P894" i="2"/>
  <c r="P893" i="2"/>
  <c r="P892" i="2"/>
  <c r="P891" i="2"/>
  <c r="P890" i="2"/>
  <c r="P889" i="2"/>
  <c r="P888" i="2"/>
  <c r="P887" i="2"/>
  <c r="P886" i="2"/>
  <c r="P885" i="2"/>
  <c r="P884" i="2"/>
  <c r="P883" i="2"/>
  <c r="P882" i="2"/>
  <c r="P881" i="2"/>
  <c r="P880" i="2"/>
  <c r="P879" i="2"/>
  <c r="P878" i="2"/>
  <c r="P877" i="2"/>
  <c r="P876" i="2"/>
  <c r="P875" i="2"/>
  <c r="P874" i="2"/>
  <c r="P873" i="2"/>
  <c r="P872" i="2"/>
  <c r="P871" i="2"/>
  <c r="P870" i="2"/>
  <c r="P869" i="2"/>
  <c r="P868" i="2"/>
  <c r="P867" i="2"/>
  <c r="P866" i="2"/>
  <c r="P865" i="2"/>
  <c r="P864" i="2"/>
  <c r="P863" i="2"/>
  <c r="P862" i="2"/>
  <c r="P861" i="2"/>
  <c r="P860" i="2"/>
  <c r="P859" i="2"/>
  <c r="P858" i="2"/>
  <c r="P857" i="2"/>
  <c r="P856" i="2"/>
  <c r="P855" i="2"/>
  <c r="P854" i="2"/>
  <c r="P853" i="2"/>
  <c r="P852" i="2"/>
  <c r="P851" i="2"/>
  <c r="P850" i="2"/>
  <c r="P849" i="2"/>
  <c r="P848" i="2"/>
  <c r="P847" i="2"/>
  <c r="P846" i="2"/>
  <c r="P845" i="2"/>
  <c r="P844" i="2"/>
  <c r="P843" i="2"/>
  <c r="P842" i="2"/>
  <c r="P841" i="2"/>
  <c r="P840" i="2"/>
  <c r="P839" i="2"/>
  <c r="P838" i="2"/>
  <c r="P837" i="2"/>
  <c r="P836" i="2"/>
  <c r="P835" i="2"/>
  <c r="P834" i="2"/>
  <c r="P833" i="2"/>
  <c r="P832" i="2"/>
  <c r="P831" i="2"/>
  <c r="P830" i="2"/>
  <c r="P829" i="2"/>
  <c r="P828" i="2"/>
  <c r="P827" i="2"/>
  <c r="P826" i="2"/>
  <c r="P825" i="2"/>
  <c r="P824" i="2"/>
  <c r="P823" i="2"/>
  <c r="P822" i="2"/>
  <c r="P821" i="2"/>
  <c r="P820" i="2"/>
  <c r="P819" i="2"/>
  <c r="P818" i="2"/>
  <c r="P817" i="2"/>
  <c r="P816" i="2"/>
  <c r="P815" i="2"/>
  <c r="P814" i="2"/>
  <c r="P813" i="2"/>
  <c r="P812" i="2"/>
  <c r="P811" i="2"/>
  <c r="P810" i="2"/>
  <c r="P809" i="2"/>
  <c r="P808" i="2"/>
  <c r="P807" i="2"/>
  <c r="P806" i="2"/>
  <c r="P805" i="2"/>
  <c r="P804" i="2"/>
  <c r="P803" i="2"/>
  <c r="P802" i="2"/>
  <c r="P801" i="2"/>
  <c r="P800" i="2"/>
  <c r="P799" i="2"/>
  <c r="P798" i="2"/>
  <c r="P797" i="2"/>
  <c r="P796" i="2"/>
  <c r="P795" i="2"/>
  <c r="P794" i="2"/>
  <c r="P793" i="2"/>
  <c r="P792" i="2"/>
  <c r="P791" i="2"/>
  <c r="P790" i="2"/>
  <c r="P789" i="2"/>
  <c r="P788" i="2"/>
  <c r="P787" i="2"/>
  <c r="P786" i="2"/>
  <c r="P785" i="2"/>
  <c r="P784" i="2"/>
  <c r="P783" i="2"/>
  <c r="P782" i="2"/>
  <c r="P781" i="2"/>
  <c r="P780" i="2"/>
  <c r="P779" i="2"/>
  <c r="P778" i="2"/>
  <c r="P777" i="2"/>
  <c r="P776" i="2"/>
  <c r="P775" i="2"/>
  <c r="P774" i="2"/>
  <c r="P773" i="2"/>
  <c r="P772" i="2"/>
  <c r="P771" i="2"/>
  <c r="P770" i="2"/>
  <c r="P769" i="2"/>
  <c r="P768" i="2"/>
  <c r="P767" i="2"/>
  <c r="P766" i="2"/>
  <c r="P765" i="2"/>
  <c r="P764" i="2"/>
  <c r="P763" i="2"/>
  <c r="P762" i="2"/>
  <c r="P761" i="2"/>
  <c r="P760" i="2"/>
  <c r="P759" i="2"/>
  <c r="P758" i="2"/>
  <c r="P757" i="2"/>
  <c r="P756" i="2"/>
  <c r="P755" i="2"/>
  <c r="P754" i="2"/>
  <c r="P753" i="2"/>
  <c r="P752" i="2"/>
  <c r="P751" i="2"/>
  <c r="P750" i="2"/>
  <c r="P749" i="2"/>
  <c r="P748" i="2"/>
  <c r="P747" i="2"/>
  <c r="P746" i="2"/>
  <c r="P745" i="2"/>
  <c r="P744" i="2"/>
  <c r="P743" i="2"/>
  <c r="P742" i="2"/>
  <c r="P741" i="2"/>
  <c r="P740" i="2"/>
  <c r="P739" i="2"/>
  <c r="P738" i="2"/>
  <c r="P737" i="2"/>
  <c r="P736" i="2"/>
  <c r="P735" i="2"/>
  <c r="P734" i="2"/>
  <c r="P733" i="2"/>
  <c r="P732" i="2"/>
  <c r="P731" i="2"/>
  <c r="P730" i="2"/>
  <c r="P729" i="2"/>
  <c r="P728" i="2"/>
  <c r="P727" i="2"/>
  <c r="P726" i="2"/>
  <c r="P725" i="2"/>
  <c r="P724" i="2"/>
  <c r="P723" i="2"/>
  <c r="P722" i="2"/>
  <c r="P721" i="2"/>
  <c r="P720" i="2"/>
  <c r="P719" i="2"/>
  <c r="P718" i="2"/>
  <c r="P717" i="2"/>
  <c r="P716" i="2"/>
  <c r="P715" i="2"/>
  <c r="P714" i="2"/>
  <c r="P713" i="2"/>
  <c r="P712" i="2"/>
  <c r="P711" i="2"/>
  <c r="P710" i="2"/>
  <c r="P709" i="2"/>
  <c r="P708" i="2"/>
  <c r="P707" i="2"/>
  <c r="P706" i="2"/>
  <c r="P705" i="2"/>
  <c r="P704" i="2"/>
  <c r="P703" i="2"/>
  <c r="P702" i="2"/>
  <c r="P701" i="2"/>
  <c r="P700" i="2"/>
  <c r="P699" i="2"/>
  <c r="P698" i="2"/>
  <c r="P697" i="2"/>
  <c r="P696" i="2"/>
  <c r="P695" i="2"/>
  <c r="P694" i="2"/>
  <c r="P693" i="2"/>
  <c r="P692" i="2"/>
  <c r="P691" i="2"/>
  <c r="P690" i="2"/>
  <c r="P689" i="2"/>
  <c r="P688" i="2"/>
  <c r="P687" i="2"/>
  <c r="P686" i="2"/>
  <c r="P685" i="2"/>
  <c r="P684" i="2"/>
  <c r="P683" i="2"/>
  <c r="P682" i="2"/>
  <c r="P681" i="2"/>
  <c r="P680" i="2"/>
  <c r="P679" i="2"/>
  <c r="P678" i="2"/>
  <c r="P677" i="2"/>
  <c r="P676" i="2"/>
  <c r="P675" i="2"/>
  <c r="P674" i="2"/>
  <c r="P673" i="2"/>
  <c r="P672" i="2"/>
  <c r="P671" i="2"/>
  <c r="P670" i="2"/>
  <c r="P669" i="2"/>
  <c r="P668" i="2"/>
  <c r="P667" i="2"/>
  <c r="P666" i="2"/>
  <c r="P665" i="2"/>
  <c r="P664" i="2"/>
  <c r="P663" i="2"/>
  <c r="P662" i="2"/>
  <c r="P661" i="2"/>
  <c r="P660" i="2"/>
  <c r="P659" i="2"/>
  <c r="P658" i="2"/>
  <c r="P657" i="2"/>
  <c r="P656" i="2"/>
  <c r="P655" i="2"/>
  <c r="P654" i="2"/>
  <c r="P653" i="2"/>
  <c r="P652" i="2"/>
  <c r="P651" i="2"/>
  <c r="P650" i="2"/>
  <c r="P649" i="2"/>
  <c r="P648" i="2"/>
  <c r="P647" i="2"/>
  <c r="P646" i="2"/>
  <c r="P645" i="2"/>
  <c r="P644" i="2"/>
  <c r="P643" i="2"/>
  <c r="P642" i="2"/>
  <c r="P641" i="2"/>
  <c r="P640" i="2"/>
  <c r="P639" i="2"/>
  <c r="P638" i="2"/>
  <c r="P637" i="2"/>
  <c r="P636" i="2"/>
  <c r="P635" i="2"/>
  <c r="P634" i="2"/>
  <c r="P633" i="2"/>
  <c r="P632" i="2"/>
  <c r="P631" i="2"/>
  <c r="P630" i="2"/>
  <c r="P629" i="2"/>
  <c r="P628" i="2"/>
  <c r="P627" i="2"/>
  <c r="P626" i="2"/>
  <c r="P625" i="2"/>
  <c r="P624" i="2"/>
  <c r="P623" i="2"/>
  <c r="P622" i="2"/>
  <c r="P621" i="2"/>
  <c r="P620" i="2"/>
  <c r="P619" i="2"/>
  <c r="P618" i="2"/>
  <c r="P617" i="2"/>
  <c r="P616" i="2"/>
  <c r="P615" i="2"/>
  <c r="P614" i="2"/>
  <c r="P613" i="2"/>
  <c r="P612" i="2"/>
  <c r="P611" i="2"/>
  <c r="P610" i="2"/>
  <c r="P609" i="2"/>
  <c r="P608" i="2"/>
  <c r="P607" i="2"/>
  <c r="P606" i="2"/>
  <c r="P605" i="2"/>
  <c r="P604" i="2"/>
  <c r="P603" i="2"/>
  <c r="P602" i="2"/>
  <c r="P601" i="2"/>
  <c r="P600" i="2"/>
  <c r="P599" i="2"/>
  <c r="P598" i="2"/>
  <c r="P597" i="2"/>
  <c r="P596" i="2"/>
  <c r="P595" i="2"/>
  <c r="P594" i="2"/>
  <c r="P593" i="2"/>
  <c r="P592" i="2"/>
  <c r="P591" i="2"/>
  <c r="P590" i="2"/>
  <c r="P589" i="2"/>
  <c r="P588" i="2"/>
  <c r="P587" i="2"/>
  <c r="P586" i="2"/>
  <c r="P585" i="2"/>
  <c r="P584" i="2"/>
  <c r="P583" i="2"/>
  <c r="P582" i="2"/>
  <c r="P581" i="2"/>
  <c r="P580" i="2"/>
  <c r="P579" i="2"/>
  <c r="P578" i="2"/>
  <c r="P577" i="2"/>
  <c r="P576" i="2"/>
  <c r="P575" i="2"/>
  <c r="P574" i="2"/>
  <c r="P573" i="2"/>
  <c r="P572" i="2"/>
  <c r="P571" i="2"/>
  <c r="P570" i="2"/>
  <c r="P569" i="2"/>
  <c r="P568" i="2"/>
  <c r="P567" i="2"/>
  <c r="P566" i="2"/>
  <c r="P565" i="2"/>
  <c r="P564" i="2"/>
  <c r="P563" i="2"/>
  <c r="P562" i="2"/>
  <c r="P561" i="2"/>
  <c r="P560" i="2"/>
  <c r="P559" i="2"/>
  <c r="P558" i="2"/>
  <c r="P557" i="2"/>
  <c r="P556" i="2"/>
  <c r="P555" i="2"/>
  <c r="P554" i="2"/>
  <c r="P553" i="2"/>
  <c r="P552" i="2"/>
  <c r="P551" i="2"/>
  <c r="P550" i="2"/>
  <c r="P549" i="2"/>
  <c r="P548" i="2"/>
  <c r="P547" i="2"/>
  <c r="P546" i="2"/>
  <c r="P545" i="2"/>
  <c r="P544" i="2"/>
  <c r="P543" i="2"/>
  <c r="P542" i="2"/>
  <c r="P541" i="2"/>
  <c r="P540" i="2"/>
  <c r="P539" i="2"/>
  <c r="P538" i="2"/>
  <c r="P537" i="2"/>
  <c r="P536" i="2"/>
  <c r="P535" i="2"/>
  <c r="P534" i="2"/>
  <c r="P533" i="2"/>
  <c r="P532" i="2"/>
  <c r="P531" i="2"/>
  <c r="P530" i="2"/>
  <c r="P529" i="2"/>
  <c r="P528" i="2"/>
  <c r="P527" i="2"/>
  <c r="P526" i="2"/>
  <c r="P525" i="2"/>
  <c r="P524" i="2"/>
  <c r="P523" i="2"/>
  <c r="P522" i="2"/>
  <c r="P521" i="2"/>
  <c r="P520" i="2"/>
  <c r="P519" i="2"/>
  <c r="P518" i="2"/>
  <c r="P517" i="2"/>
  <c r="P516" i="2"/>
  <c r="P515" i="2"/>
  <c r="P514" i="2"/>
  <c r="P513" i="2"/>
  <c r="P512" i="2"/>
  <c r="P511" i="2"/>
  <c r="P510" i="2"/>
  <c r="P509" i="2"/>
  <c r="P508" i="2"/>
  <c r="P507" i="2"/>
  <c r="P506" i="2"/>
  <c r="P505" i="2"/>
  <c r="P504" i="2"/>
  <c r="P503" i="2"/>
  <c r="P502" i="2"/>
  <c r="P501" i="2"/>
  <c r="P500" i="2"/>
  <c r="P499" i="2"/>
  <c r="P498" i="2"/>
  <c r="P497" i="2"/>
  <c r="P496" i="2"/>
  <c r="P495" i="2"/>
  <c r="P494" i="2"/>
  <c r="P493" i="2"/>
  <c r="P492" i="2"/>
  <c r="P491" i="2"/>
  <c r="P490" i="2"/>
  <c r="P489" i="2"/>
  <c r="P488" i="2"/>
  <c r="P487" i="2"/>
  <c r="P486" i="2"/>
  <c r="P485" i="2"/>
  <c r="P484" i="2"/>
  <c r="P483" i="2"/>
  <c r="P482" i="2"/>
  <c r="P481" i="2"/>
  <c r="P480" i="2"/>
  <c r="P479" i="2"/>
  <c r="P478" i="2"/>
  <c r="P477" i="2"/>
  <c r="P476" i="2"/>
  <c r="P475" i="2"/>
  <c r="P474" i="2"/>
  <c r="P473" i="2"/>
  <c r="P472" i="2"/>
  <c r="P471" i="2"/>
  <c r="P470" i="2"/>
  <c r="P469" i="2"/>
  <c r="P468" i="2"/>
  <c r="P467" i="2"/>
  <c r="P466" i="2"/>
  <c r="P465" i="2"/>
  <c r="P464" i="2"/>
  <c r="P463" i="2"/>
  <c r="P462" i="2"/>
  <c r="P461" i="2"/>
  <c r="P460" i="2"/>
  <c r="P459" i="2"/>
  <c r="P458" i="2"/>
  <c r="P457" i="2"/>
  <c r="P456" i="2"/>
  <c r="P455" i="2"/>
  <c r="P454" i="2"/>
  <c r="P453" i="2"/>
  <c r="P452" i="2"/>
  <c r="P451" i="2"/>
  <c r="P450" i="2"/>
  <c r="P449" i="2"/>
  <c r="P448" i="2"/>
  <c r="P447" i="2"/>
  <c r="P446" i="2"/>
  <c r="P445" i="2"/>
  <c r="P444" i="2"/>
  <c r="P443" i="2"/>
  <c r="P442" i="2"/>
  <c r="P441" i="2"/>
  <c r="P440" i="2"/>
  <c r="P439" i="2"/>
  <c r="P438" i="2"/>
  <c r="P437" i="2"/>
  <c r="P436" i="2"/>
  <c r="P435" i="2"/>
  <c r="P434" i="2"/>
  <c r="P433" i="2"/>
  <c r="P432" i="2"/>
  <c r="P431" i="2"/>
  <c r="P430" i="2"/>
  <c r="P429" i="2"/>
  <c r="P428" i="2"/>
  <c r="P427" i="2"/>
  <c r="P426" i="2"/>
  <c r="P425" i="2"/>
  <c r="P424" i="2"/>
  <c r="P423" i="2"/>
  <c r="P422" i="2"/>
  <c r="P421" i="2"/>
  <c r="P420" i="2"/>
  <c r="P419" i="2"/>
  <c r="P418" i="2"/>
  <c r="P417" i="2"/>
  <c r="P416" i="2"/>
  <c r="P415" i="2"/>
  <c r="P414" i="2"/>
  <c r="P413" i="2"/>
  <c r="P412" i="2"/>
  <c r="P411" i="2"/>
  <c r="P410" i="2"/>
  <c r="P409" i="2"/>
  <c r="P408" i="2"/>
  <c r="P407" i="2"/>
  <c r="P406" i="2"/>
  <c r="P405" i="2"/>
  <c r="P404" i="2"/>
  <c r="P403" i="2"/>
  <c r="P402" i="2"/>
  <c r="P401" i="2"/>
  <c r="P400" i="2"/>
  <c r="P399" i="2"/>
  <c r="P398" i="2"/>
  <c r="P397" i="2"/>
  <c r="P396" i="2"/>
  <c r="P395" i="2"/>
  <c r="P394" i="2"/>
  <c r="P393" i="2"/>
  <c r="P392" i="2"/>
  <c r="P391" i="2"/>
  <c r="P390" i="2"/>
  <c r="P389" i="2"/>
  <c r="P388" i="2"/>
  <c r="P387" i="2"/>
  <c r="P386" i="2"/>
  <c r="P385" i="2"/>
  <c r="P384" i="2"/>
  <c r="P383" i="2"/>
  <c r="P382" i="2"/>
  <c r="P381" i="2"/>
  <c r="P380" i="2"/>
  <c r="P379" i="2"/>
  <c r="P378" i="2"/>
  <c r="P377" i="2"/>
  <c r="P376" i="2"/>
  <c r="P375" i="2"/>
  <c r="P374" i="2"/>
  <c r="P373" i="2"/>
  <c r="P372" i="2"/>
  <c r="P371" i="2"/>
  <c r="P370" i="2"/>
  <c r="P369" i="2"/>
  <c r="P368" i="2"/>
  <c r="P367" i="2"/>
  <c r="P366" i="2"/>
  <c r="P365" i="2"/>
  <c r="P364" i="2"/>
  <c r="P363" i="2"/>
  <c r="P362" i="2"/>
  <c r="P361" i="2"/>
  <c r="P360" i="2"/>
  <c r="P359" i="2"/>
  <c r="P358" i="2"/>
  <c r="P357" i="2"/>
  <c r="P356" i="2"/>
  <c r="P355" i="2"/>
  <c r="P354" i="2"/>
  <c r="P353" i="2"/>
  <c r="P352" i="2"/>
  <c r="P351" i="2"/>
  <c r="P350" i="2"/>
  <c r="P349" i="2"/>
  <c r="P348" i="2"/>
  <c r="P347" i="2"/>
  <c r="P346" i="2"/>
  <c r="P345" i="2"/>
  <c r="P344" i="2"/>
  <c r="P343" i="2"/>
  <c r="P342" i="2"/>
  <c r="P341" i="2"/>
  <c r="P340" i="2"/>
  <c r="P339" i="2"/>
  <c r="P338" i="2"/>
  <c r="P337" i="2"/>
  <c r="P336" i="2"/>
  <c r="P335" i="2"/>
  <c r="P334" i="2"/>
  <c r="P333" i="2"/>
  <c r="P332" i="2"/>
  <c r="P331" i="2"/>
  <c r="P330" i="2"/>
  <c r="P329" i="2"/>
  <c r="P328" i="2"/>
  <c r="P327" i="2"/>
  <c r="P326" i="2"/>
  <c r="P325" i="2"/>
  <c r="P324" i="2"/>
  <c r="P323" i="2"/>
  <c r="P322" i="2"/>
  <c r="P321" i="2"/>
  <c r="P320" i="2"/>
  <c r="P319" i="2"/>
  <c r="P318" i="2"/>
  <c r="P317" i="2"/>
  <c r="P316" i="2"/>
  <c r="P315" i="2"/>
  <c r="P314" i="2"/>
  <c r="P313" i="2"/>
  <c r="P312" i="2"/>
  <c r="P311" i="2"/>
  <c r="P310" i="2"/>
  <c r="P309" i="2"/>
  <c r="P308" i="2"/>
  <c r="P307" i="2"/>
  <c r="P306" i="2"/>
  <c r="P305" i="2"/>
  <c r="P304" i="2"/>
  <c r="P303" i="2"/>
  <c r="P302" i="2"/>
  <c r="P301" i="2"/>
  <c r="P300" i="2"/>
  <c r="P299" i="2"/>
  <c r="P298" i="2"/>
  <c r="P297" i="2"/>
  <c r="P296" i="2"/>
  <c r="P295" i="2"/>
  <c r="P294" i="2"/>
  <c r="P293" i="2"/>
  <c r="P292" i="2"/>
  <c r="P291" i="2"/>
  <c r="P290" i="2"/>
  <c r="P289" i="2"/>
  <c r="P288" i="2"/>
  <c r="P287" i="2"/>
  <c r="P286" i="2"/>
  <c r="P285" i="2"/>
  <c r="P284" i="2"/>
  <c r="P283" i="2"/>
  <c r="P282" i="2"/>
  <c r="P281" i="2"/>
  <c r="P280" i="2"/>
  <c r="P279" i="2"/>
  <c r="P278" i="2"/>
  <c r="P277" i="2"/>
  <c r="P276" i="2"/>
  <c r="P275" i="2"/>
  <c r="P274" i="2"/>
  <c r="P273" i="2"/>
  <c r="P272" i="2"/>
  <c r="P271" i="2"/>
  <c r="P270" i="2"/>
  <c r="P269" i="2"/>
  <c r="P268" i="2"/>
  <c r="P267" i="2"/>
  <c r="P266" i="2"/>
  <c r="P265" i="2"/>
  <c r="P264" i="2"/>
  <c r="P263" i="2"/>
  <c r="P262" i="2"/>
  <c r="P261" i="2"/>
  <c r="P260" i="2"/>
  <c r="P259" i="2"/>
  <c r="P258" i="2"/>
  <c r="P257" i="2"/>
  <c r="P256" i="2"/>
  <c r="P255" i="2"/>
  <c r="P254" i="2"/>
  <c r="P253" i="2"/>
  <c r="P252" i="2"/>
  <c r="P251" i="2"/>
  <c r="P250" i="2"/>
  <c r="P249" i="2"/>
  <c r="P248" i="2"/>
  <c r="P247" i="2"/>
  <c r="P246" i="2"/>
  <c r="P245" i="2"/>
  <c r="P244" i="2"/>
  <c r="P243" i="2"/>
  <c r="P242" i="2"/>
  <c r="P241" i="2"/>
  <c r="P240" i="2"/>
  <c r="P239" i="2"/>
  <c r="P238" i="2"/>
  <c r="P237" i="2"/>
  <c r="P236" i="2"/>
  <c r="P235" i="2"/>
  <c r="P234" i="2"/>
  <c r="P233" i="2"/>
  <c r="P232" i="2"/>
  <c r="P231" i="2"/>
  <c r="P230" i="2"/>
  <c r="P229" i="2"/>
  <c r="P228" i="2"/>
  <c r="P227" i="2"/>
  <c r="P226" i="2"/>
  <c r="P225" i="2"/>
  <c r="P224" i="2"/>
  <c r="P223" i="2"/>
  <c r="P222" i="2"/>
  <c r="P221" i="2"/>
  <c r="P220" i="2"/>
  <c r="P219" i="2"/>
  <c r="P218" i="2"/>
  <c r="P217" i="2"/>
  <c r="P216" i="2"/>
  <c r="P215" i="2"/>
  <c r="P214" i="2"/>
  <c r="P213" i="2"/>
  <c r="P212" i="2"/>
  <c r="P211" i="2"/>
  <c r="P210" i="2"/>
  <c r="P209" i="2"/>
  <c r="P208" i="2"/>
  <c r="P207" i="2"/>
  <c r="P206" i="2"/>
  <c r="P205" i="2"/>
  <c r="P204" i="2"/>
  <c r="P203" i="2"/>
  <c r="P202" i="2"/>
  <c r="P201" i="2"/>
  <c r="P200" i="2"/>
  <c r="P199" i="2"/>
  <c r="P198" i="2"/>
  <c r="P197" i="2"/>
  <c r="P196" i="2"/>
  <c r="P195" i="2"/>
  <c r="P194" i="2"/>
  <c r="P193" i="2"/>
  <c r="P192" i="2"/>
  <c r="P191" i="2"/>
  <c r="P190" i="2"/>
  <c r="P189" i="2"/>
  <c r="P188" i="2"/>
  <c r="P187" i="2"/>
  <c r="P186" i="2"/>
  <c r="P185" i="2"/>
  <c r="P184" i="2"/>
  <c r="P183" i="2"/>
  <c r="P182" i="2"/>
  <c r="P181" i="2"/>
  <c r="P180" i="2"/>
  <c r="P179" i="2"/>
  <c r="P178" i="2"/>
  <c r="P177" i="2"/>
  <c r="P176" i="2"/>
  <c r="P175" i="2"/>
  <c r="P174" i="2"/>
  <c r="P173" i="2"/>
  <c r="P172" i="2"/>
  <c r="P171" i="2"/>
  <c r="P170" i="2"/>
  <c r="P169" i="2"/>
  <c r="P168" i="2"/>
  <c r="P167" i="2"/>
  <c r="P166" i="2"/>
  <c r="P165" i="2"/>
  <c r="P164" i="2"/>
  <c r="P163" i="2"/>
  <c r="P162" i="2"/>
  <c r="P161" i="2"/>
  <c r="P160" i="2"/>
  <c r="P159" i="2"/>
  <c r="P158" i="2"/>
  <c r="P157" i="2"/>
  <c r="P156" i="2"/>
  <c r="P155" i="2"/>
  <c r="P154" i="2"/>
  <c r="P153" i="2"/>
  <c r="P152" i="2"/>
  <c r="P151" i="2"/>
  <c r="P150" i="2"/>
  <c r="P149" i="2"/>
  <c r="P148" i="2"/>
  <c r="P147" i="2"/>
  <c r="P146" i="2"/>
  <c r="P145" i="2"/>
  <c r="P144" i="2"/>
  <c r="P143" i="2"/>
  <c r="P142" i="2"/>
  <c r="P141" i="2"/>
  <c r="P140" i="2"/>
  <c r="P139" i="2"/>
  <c r="P138" i="2"/>
  <c r="P137" i="2"/>
  <c r="P136" i="2"/>
  <c r="P135" i="2"/>
  <c r="P134" i="2"/>
  <c r="P133" i="2"/>
  <c r="P132" i="2"/>
  <c r="P131" i="2"/>
  <c r="P130" i="2"/>
  <c r="P129" i="2"/>
  <c r="P128" i="2"/>
  <c r="P127" i="2"/>
  <c r="P126" i="2"/>
  <c r="P125" i="2"/>
  <c r="P124" i="2"/>
  <c r="P123" i="2"/>
  <c r="P122" i="2"/>
  <c r="P121" i="2"/>
  <c r="P120" i="2"/>
  <c r="P119" i="2"/>
  <c r="P118" i="2"/>
  <c r="P117" i="2"/>
  <c r="P116" i="2"/>
  <c r="P115" i="2"/>
  <c r="P114" i="2"/>
  <c r="P113" i="2"/>
  <c r="P112" i="2"/>
  <c r="P111" i="2"/>
  <c r="P110" i="2"/>
  <c r="P109" i="2"/>
  <c r="P108" i="2"/>
  <c r="P107" i="2"/>
  <c r="P106" i="2"/>
  <c r="P105" i="2"/>
  <c r="P104" i="2"/>
  <c r="P103" i="2"/>
  <c r="P102" i="2"/>
  <c r="P101" i="2"/>
  <c r="P100" i="2"/>
  <c r="P99" i="2"/>
  <c r="P98" i="2"/>
  <c r="P97" i="2"/>
  <c r="P96" i="2"/>
  <c r="P95" i="2"/>
  <c r="P94" i="2"/>
  <c r="P93" i="2"/>
  <c r="P92" i="2"/>
  <c r="P91" i="2"/>
  <c r="P90" i="2"/>
  <c r="P89" i="2"/>
  <c r="P88" i="2"/>
  <c r="P87" i="2"/>
  <c r="P86" i="2"/>
  <c r="P85" i="2"/>
  <c r="P84" i="2"/>
  <c r="P83" i="2"/>
  <c r="P82" i="2"/>
  <c r="P81" i="2"/>
  <c r="P80" i="2"/>
  <c r="P79" i="2"/>
  <c r="P78" i="2"/>
  <c r="P77" i="2"/>
  <c r="P76" i="2"/>
  <c r="P75" i="2"/>
  <c r="P74" i="2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P59" i="2"/>
  <c r="P58" i="2"/>
  <c r="P57" i="2"/>
  <c r="P56" i="2"/>
  <c r="P55" i="2"/>
  <c r="P54" i="2"/>
  <c r="P44" i="2"/>
  <c r="P36" i="2"/>
  <c r="N1002" i="2"/>
  <c r="N1001" i="2"/>
  <c r="N1000" i="2"/>
  <c r="N999" i="2"/>
  <c r="N998" i="2"/>
  <c r="N997" i="2"/>
  <c r="N996" i="2"/>
  <c r="N995" i="2"/>
  <c r="N994" i="2"/>
  <c r="N993" i="2"/>
  <c r="N992" i="2"/>
  <c r="N991" i="2"/>
  <c r="N990" i="2"/>
  <c r="N989" i="2"/>
  <c r="N988" i="2"/>
  <c r="N987" i="2"/>
  <c r="N986" i="2"/>
  <c r="N985" i="2"/>
  <c r="N984" i="2"/>
  <c r="N983" i="2"/>
  <c r="N982" i="2"/>
  <c r="N981" i="2"/>
  <c r="N980" i="2"/>
  <c r="N979" i="2"/>
  <c r="N978" i="2"/>
  <c r="N977" i="2"/>
  <c r="N976" i="2"/>
  <c r="N975" i="2"/>
  <c r="N974" i="2"/>
  <c r="N973" i="2"/>
  <c r="N972" i="2"/>
  <c r="N971" i="2"/>
  <c r="N970" i="2"/>
  <c r="N969" i="2"/>
  <c r="N968" i="2"/>
  <c r="N967" i="2"/>
  <c r="N966" i="2"/>
  <c r="N965" i="2"/>
  <c r="N964" i="2"/>
  <c r="N963" i="2"/>
  <c r="N962" i="2"/>
  <c r="N961" i="2"/>
  <c r="N960" i="2"/>
  <c r="N959" i="2"/>
  <c r="N958" i="2"/>
  <c r="N957" i="2"/>
  <c r="N956" i="2"/>
  <c r="N955" i="2"/>
  <c r="N954" i="2"/>
  <c r="N953" i="2"/>
  <c r="N952" i="2"/>
  <c r="N951" i="2"/>
  <c r="N950" i="2"/>
  <c r="N949" i="2"/>
  <c r="N948" i="2"/>
  <c r="N947" i="2"/>
  <c r="N946" i="2"/>
  <c r="N945" i="2"/>
  <c r="N944" i="2"/>
  <c r="N943" i="2"/>
  <c r="N942" i="2"/>
  <c r="N941" i="2"/>
  <c r="N940" i="2"/>
  <c r="N939" i="2"/>
  <c r="N938" i="2"/>
  <c r="N937" i="2"/>
  <c r="N936" i="2"/>
  <c r="N935" i="2"/>
  <c r="N934" i="2"/>
  <c r="N933" i="2"/>
  <c r="N932" i="2"/>
  <c r="N931" i="2"/>
  <c r="N930" i="2"/>
  <c r="N929" i="2"/>
  <c r="N928" i="2"/>
  <c r="N927" i="2"/>
  <c r="N926" i="2"/>
  <c r="N925" i="2"/>
  <c r="N924" i="2"/>
  <c r="N923" i="2"/>
  <c r="N922" i="2"/>
  <c r="N921" i="2"/>
  <c r="N920" i="2"/>
  <c r="N919" i="2"/>
  <c r="N918" i="2"/>
  <c r="N917" i="2"/>
  <c r="N916" i="2"/>
  <c r="N915" i="2"/>
  <c r="N914" i="2"/>
  <c r="N913" i="2"/>
  <c r="N912" i="2"/>
  <c r="N911" i="2"/>
  <c r="N910" i="2"/>
  <c r="N909" i="2"/>
  <c r="N908" i="2"/>
  <c r="N907" i="2"/>
  <c r="N906" i="2"/>
  <c r="N905" i="2"/>
  <c r="N904" i="2"/>
  <c r="N903" i="2"/>
  <c r="N902" i="2"/>
  <c r="N901" i="2"/>
  <c r="N900" i="2"/>
  <c r="N899" i="2"/>
  <c r="N898" i="2"/>
  <c r="N897" i="2"/>
  <c r="N896" i="2"/>
  <c r="N895" i="2"/>
  <c r="N894" i="2"/>
  <c r="N893" i="2"/>
  <c r="N892" i="2"/>
  <c r="N891" i="2"/>
  <c r="N890" i="2"/>
  <c r="N889" i="2"/>
  <c r="N888" i="2"/>
  <c r="N887" i="2"/>
  <c r="N886" i="2"/>
  <c r="N885" i="2"/>
  <c r="N884" i="2"/>
  <c r="N883" i="2"/>
  <c r="N882" i="2"/>
  <c r="N881" i="2"/>
  <c r="N880" i="2"/>
  <c r="N879" i="2"/>
  <c r="N878" i="2"/>
  <c r="N877" i="2"/>
  <c r="N876" i="2"/>
  <c r="N875" i="2"/>
  <c r="N874" i="2"/>
  <c r="N873" i="2"/>
  <c r="N872" i="2"/>
  <c r="N871" i="2"/>
  <c r="N870" i="2"/>
  <c r="N869" i="2"/>
  <c r="N868" i="2"/>
  <c r="N867" i="2"/>
  <c r="N866" i="2"/>
  <c r="N865" i="2"/>
  <c r="N864" i="2"/>
  <c r="N863" i="2"/>
  <c r="N862" i="2"/>
  <c r="N861" i="2"/>
  <c r="N860" i="2"/>
  <c r="N859" i="2"/>
  <c r="N858" i="2"/>
  <c r="N857" i="2"/>
  <c r="N856" i="2"/>
  <c r="N855" i="2"/>
  <c r="N854" i="2"/>
  <c r="N853" i="2"/>
  <c r="N852" i="2"/>
  <c r="N851" i="2"/>
  <c r="N850" i="2"/>
  <c r="N849" i="2"/>
  <c r="N848" i="2"/>
  <c r="N847" i="2"/>
  <c r="N846" i="2"/>
  <c r="N845" i="2"/>
  <c r="N844" i="2"/>
  <c r="N843" i="2"/>
  <c r="N842" i="2"/>
  <c r="N841" i="2"/>
  <c r="N840" i="2"/>
  <c r="N839" i="2"/>
  <c r="N838" i="2"/>
  <c r="N837" i="2"/>
  <c r="N836" i="2"/>
  <c r="N835" i="2"/>
  <c r="N834" i="2"/>
  <c r="N833" i="2"/>
  <c r="N832" i="2"/>
  <c r="N831" i="2"/>
  <c r="N830" i="2"/>
  <c r="N829" i="2"/>
  <c r="N828" i="2"/>
  <c r="N827" i="2"/>
  <c r="N826" i="2"/>
  <c r="N825" i="2"/>
  <c r="N824" i="2"/>
  <c r="N823" i="2"/>
  <c r="N822" i="2"/>
  <c r="N821" i="2"/>
  <c r="N820" i="2"/>
  <c r="N819" i="2"/>
  <c r="N818" i="2"/>
  <c r="N817" i="2"/>
  <c r="N816" i="2"/>
  <c r="N815" i="2"/>
  <c r="N814" i="2"/>
  <c r="N813" i="2"/>
  <c r="N812" i="2"/>
  <c r="N811" i="2"/>
  <c r="N810" i="2"/>
  <c r="N809" i="2"/>
  <c r="N808" i="2"/>
  <c r="N807" i="2"/>
  <c r="N806" i="2"/>
  <c r="N805" i="2"/>
  <c r="N804" i="2"/>
  <c r="N803" i="2"/>
  <c r="N802" i="2"/>
  <c r="N801" i="2"/>
  <c r="N800" i="2"/>
  <c r="N799" i="2"/>
  <c r="N798" i="2"/>
  <c r="N797" i="2"/>
  <c r="N796" i="2"/>
  <c r="N795" i="2"/>
  <c r="N794" i="2"/>
  <c r="N793" i="2"/>
  <c r="N792" i="2"/>
  <c r="N791" i="2"/>
  <c r="N790" i="2"/>
  <c r="N789" i="2"/>
  <c r="N788" i="2"/>
  <c r="N787" i="2"/>
  <c r="N786" i="2"/>
  <c r="N785" i="2"/>
  <c r="N784" i="2"/>
  <c r="N783" i="2"/>
  <c r="N782" i="2"/>
  <c r="N781" i="2"/>
  <c r="N780" i="2"/>
  <c r="N779" i="2"/>
  <c r="N778" i="2"/>
  <c r="N777" i="2"/>
  <c r="N776" i="2"/>
  <c r="N775" i="2"/>
  <c r="N774" i="2"/>
  <c r="N773" i="2"/>
  <c r="N772" i="2"/>
  <c r="N771" i="2"/>
  <c r="N770" i="2"/>
  <c r="N769" i="2"/>
  <c r="N768" i="2"/>
  <c r="N767" i="2"/>
  <c r="N766" i="2"/>
  <c r="N765" i="2"/>
  <c r="N764" i="2"/>
  <c r="N763" i="2"/>
  <c r="N762" i="2"/>
  <c r="N761" i="2"/>
  <c r="N760" i="2"/>
  <c r="N759" i="2"/>
  <c r="N758" i="2"/>
  <c r="N757" i="2"/>
  <c r="N756" i="2"/>
  <c r="N755" i="2"/>
  <c r="N754" i="2"/>
  <c r="N753" i="2"/>
  <c r="N752" i="2"/>
  <c r="N751" i="2"/>
  <c r="N750" i="2"/>
  <c r="N749" i="2"/>
  <c r="N748" i="2"/>
  <c r="N747" i="2"/>
  <c r="N746" i="2"/>
  <c r="N745" i="2"/>
  <c r="N744" i="2"/>
  <c r="N743" i="2"/>
  <c r="N742" i="2"/>
  <c r="N741" i="2"/>
  <c r="N740" i="2"/>
  <c r="N739" i="2"/>
  <c r="N738" i="2"/>
  <c r="N737" i="2"/>
  <c r="N736" i="2"/>
  <c r="N735" i="2"/>
  <c r="N734" i="2"/>
  <c r="N733" i="2"/>
  <c r="N732" i="2"/>
  <c r="N731" i="2"/>
  <c r="N730" i="2"/>
  <c r="N729" i="2"/>
  <c r="N728" i="2"/>
  <c r="N727" i="2"/>
  <c r="N726" i="2"/>
  <c r="N725" i="2"/>
  <c r="N724" i="2"/>
  <c r="N723" i="2"/>
  <c r="N722" i="2"/>
  <c r="N721" i="2"/>
  <c r="N720" i="2"/>
  <c r="N719" i="2"/>
  <c r="N718" i="2"/>
  <c r="N717" i="2"/>
  <c r="N716" i="2"/>
  <c r="N715" i="2"/>
  <c r="N714" i="2"/>
  <c r="N713" i="2"/>
  <c r="N712" i="2"/>
  <c r="N711" i="2"/>
  <c r="N710" i="2"/>
  <c r="N709" i="2"/>
  <c r="N708" i="2"/>
  <c r="N707" i="2"/>
  <c r="N706" i="2"/>
  <c r="N705" i="2"/>
  <c r="N704" i="2"/>
  <c r="N703" i="2"/>
  <c r="N702" i="2"/>
  <c r="N701" i="2"/>
  <c r="N700" i="2"/>
  <c r="N699" i="2"/>
  <c r="N698" i="2"/>
  <c r="N697" i="2"/>
  <c r="N696" i="2"/>
  <c r="N695" i="2"/>
  <c r="N694" i="2"/>
  <c r="N693" i="2"/>
  <c r="N692" i="2"/>
  <c r="N691" i="2"/>
  <c r="N690" i="2"/>
  <c r="N689" i="2"/>
  <c r="N688" i="2"/>
  <c r="N687" i="2"/>
  <c r="N686" i="2"/>
  <c r="N685" i="2"/>
  <c r="N684" i="2"/>
  <c r="N683" i="2"/>
  <c r="N682" i="2"/>
  <c r="N681" i="2"/>
  <c r="N680" i="2"/>
  <c r="N679" i="2"/>
  <c r="N678" i="2"/>
  <c r="N677" i="2"/>
  <c r="N676" i="2"/>
  <c r="N675" i="2"/>
  <c r="N674" i="2"/>
  <c r="N673" i="2"/>
  <c r="N672" i="2"/>
  <c r="N671" i="2"/>
  <c r="N670" i="2"/>
  <c r="N669" i="2"/>
  <c r="N668" i="2"/>
  <c r="N667" i="2"/>
  <c r="N666" i="2"/>
  <c r="N665" i="2"/>
  <c r="N664" i="2"/>
  <c r="N663" i="2"/>
  <c r="N662" i="2"/>
  <c r="N661" i="2"/>
  <c r="N660" i="2"/>
  <c r="N659" i="2"/>
  <c r="N658" i="2"/>
  <c r="N657" i="2"/>
  <c r="N656" i="2"/>
  <c r="N655" i="2"/>
  <c r="N654" i="2"/>
  <c r="N653" i="2"/>
  <c r="N652" i="2"/>
  <c r="N651" i="2"/>
  <c r="N650" i="2"/>
  <c r="N649" i="2"/>
  <c r="N648" i="2"/>
  <c r="N647" i="2"/>
  <c r="N646" i="2"/>
  <c r="N645" i="2"/>
  <c r="N644" i="2"/>
  <c r="N643" i="2"/>
  <c r="N642" i="2"/>
  <c r="N641" i="2"/>
  <c r="N640" i="2"/>
  <c r="N639" i="2"/>
  <c r="N638" i="2"/>
  <c r="N637" i="2"/>
  <c r="N636" i="2"/>
  <c r="N635" i="2"/>
  <c r="N634" i="2"/>
  <c r="N633" i="2"/>
  <c r="N632" i="2"/>
  <c r="N631" i="2"/>
  <c r="N630" i="2"/>
  <c r="N629" i="2"/>
  <c r="N628" i="2"/>
  <c r="N627" i="2"/>
  <c r="N626" i="2"/>
  <c r="N625" i="2"/>
  <c r="N624" i="2"/>
  <c r="N623" i="2"/>
  <c r="N622" i="2"/>
  <c r="N621" i="2"/>
  <c r="N620" i="2"/>
  <c r="N619" i="2"/>
  <c r="N618" i="2"/>
  <c r="N617" i="2"/>
  <c r="N616" i="2"/>
  <c r="N615" i="2"/>
  <c r="N614" i="2"/>
  <c r="N613" i="2"/>
  <c r="N612" i="2"/>
  <c r="N611" i="2"/>
  <c r="N610" i="2"/>
  <c r="N609" i="2"/>
  <c r="N608" i="2"/>
  <c r="N607" i="2"/>
  <c r="N606" i="2"/>
  <c r="N605" i="2"/>
  <c r="N604" i="2"/>
  <c r="N603" i="2"/>
  <c r="N602" i="2"/>
  <c r="N601" i="2"/>
  <c r="N600" i="2"/>
  <c r="N599" i="2"/>
  <c r="N598" i="2"/>
  <c r="N597" i="2"/>
  <c r="N596" i="2"/>
  <c r="N595" i="2"/>
  <c r="N594" i="2"/>
  <c r="N593" i="2"/>
  <c r="N592" i="2"/>
  <c r="N591" i="2"/>
  <c r="N590" i="2"/>
  <c r="N589" i="2"/>
  <c r="N588" i="2"/>
  <c r="N587" i="2"/>
  <c r="N586" i="2"/>
  <c r="N585" i="2"/>
  <c r="N584" i="2"/>
  <c r="N583" i="2"/>
  <c r="N582" i="2"/>
  <c r="N581" i="2"/>
  <c r="N580" i="2"/>
  <c r="N579" i="2"/>
  <c r="N578" i="2"/>
  <c r="N577" i="2"/>
  <c r="N576" i="2"/>
  <c r="N575" i="2"/>
  <c r="N574" i="2"/>
  <c r="N573" i="2"/>
  <c r="N572" i="2"/>
  <c r="N571" i="2"/>
  <c r="N570" i="2"/>
  <c r="N569" i="2"/>
  <c r="N568" i="2"/>
  <c r="N567" i="2"/>
  <c r="N566" i="2"/>
  <c r="N565" i="2"/>
  <c r="N564" i="2"/>
  <c r="N563" i="2"/>
  <c r="N562" i="2"/>
  <c r="N561" i="2"/>
  <c r="N560" i="2"/>
  <c r="N559" i="2"/>
  <c r="N558" i="2"/>
  <c r="N557" i="2"/>
  <c r="N556" i="2"/>
  <c r="N555" i="2"/>
  <c r="N554" i="2"/>
  <c r="N553" i="2"/>
  <c r="N552" i="2"/>
  <c r="N551" i="2"/>
  <c r="N550" i="2"/>
  <c r="N549" i="2"/>
  <c r="N548" i="2"/>
  <c r="N547" i="2"/>
  <c r="N546" i="2"/>
  <c r="N545" i="2"/>
  <c r="N544" i="2"/>
  <c r="N543" i="2"/>
  <c r="N542" i="2"/>
  <c r="N541" i="2"/>
  <c r="N540" i="2"/>
  <c r="N539" i="2"/>
  <c r="N538" i="2"/>
  <c r="N537" i="2"/>
  <c r="N536" i="2"/>
  <c r="N535" i="2"/>
  <c r="N534" i="2"/>
  <c r="N533" i="2"/>
  <c r="N532" i="2"/>
  <c r="N531" i="2"/>
  <c r="N530" i="2"/>
  <c r="N529" i="2"/>
  <c r="N528" i="2"/>
  <c r="N527" i="2"/>
  <c r="N526" i="2"/>
  <c r="N525" i="2"/>
  <c r="N524" i="2"/>
  <c r="N523" i="2"/>
  <c r="N522" i="2"/>
  <c r="N521" i="2"/>
  <c r="N520" i="2"/>
  <c r="N519" i="2"/>
  <c r="N518" i="2"/>
  <c r="N517" i="2"/>
  <c r="N516" i="2"/>
  <c r="N515" i="2"/>
  <c r="N514" i="2"/>
  <c r="N513" i="2"/>
  <c r="N512" i="2"/>
  <c r="N511" i="2"/>
  <c r="N510" i="2"/>
  <c r="N509" i="2"/>
  <c r="N508" i="2"/>
  <c r="N507" i="2"/>
  <c r="N506" i="2"/>
  <c r="N505" i="2"/>
  <c r="N504" i="2"/>
  <c r="N503" i="2"/>
  <c r="N502" i="2"/>
  <c r="N501" i="2"/>
  <c r="N500" i="2"/>
  <c r="N499" i="2"/>
  <c r="N498" i="2"/>
  <c r="N497" i="2"/>
  <c r="N496" i="2"/>
  <c r="N495" i="2"/>
  <c r="N494" i="2"/>
  <c r="N493" i="2"/>
  <c r="N492" i="2"/>
  <c r="N491" i="2"/>
  <c r="N490" i="2"/>
  <c r="N489" i="2"/>
  <c r="N488" i="2"/>
  <c r="N487" i="2"/>
  <c r="N486" i="2"/>
  <c r="N485" i="2"/>
  <c r="N484" i="2"/>
  <c r="N483" i="2"/>
  <c r="N482" i="2"/>
  <c r="N481" i="2"/>
  <c r="N480" i="2"/>
  <c r="N479" i="2"/>
  <c r="N478" i="2"/>
  <c r="N477" i="2"/>
  <c r="N476" i="2"/>
  <c r="N475" i="2"/>
  <c r="N474" i="2"/>
  <c r="N473" i="2"/>
  <c r="N472" i="2"/>
  <c r="N471" i="2"/>
  <c r="N470" i="2"/>
  <c r="N469" i="2"/>
  <c r="N468" i="2"/>
  <c r="N467" i="2"/>
  <c r="N466" i="2"/>
  <c r="N465" i="2"/>
  <c r="N464" i="2"/>
  <c r="N463" i="2"/>
  <c r="N462" i="2"/>
  <c r="N461" i="2"/>
  <c r="N460" i="2"/>
  <c r="N459" i="2"/>
  <c r="N458" i="2"/>
  <c r="N457" i="2"/>
  <c r="N456" i="2"/>
  <c r="N455" i="2"/>
  <c r="N454" i="2"/>
  <c r="N453" i="2"/>
  <c r="N452" i="2"/>
  <c r="N451" i="2"/>
  <c r="N450" i="2"/>
  <c r="N449" i="2"/>
  <c r="N448" i="2"/>
  <c r="N447" i="2"/>
  <c r="N446" i="2"/>
  <c r="N445" i="2"/>
  <c r="N444" i="2"/>
  <c r="N443" i="2"/>
  <c r="N442" i="2"/>
  <c r="N441" i="2"/>
  <c r="N440" i="2"/>
  <c r="N439" i="2"/>
  <c r="N438" i="2"/>
  <c r="N437" i="2"/>
  <c r="N436" i="2"/>
  <c r="N435" i="2"/>
  <c r="N434" i="2"/>
  <c r="N433" i="2"/>
  <c r="N432" i="2"/>
  <c r="N431" i="2"/>
  <c r="N430" i="2"/>
  <c r="N429" i="2"/>
  <c r="N428" i="2"/>
  <c r="N427" i="2"/>
  <c r="N426" i="2"/>
  <c r="N425" i="2"/>
  <c r="N424" i="2"/>
  <c r="N423" i="2"/>
  <c r="N422" i="2"/>
  <c r="N421" i="2"/>
  <c r="N420" i="2"/>
  <c r="N419" i="2"/>
  <c r="N418" i="2"/>
  <c r="N417" i="2"/>
  <c r="N416" i="2"/>
  <c r="N415" i="2"/>
  <c r="N414" i="2"/>
  <c r="N413" i="2"/>
  <c r="N412" i="2"/>
  <c r="N411" i="2"/>
  <c r="N410" i="2"/>
  <c r="N409" i="2"/>
  <c r="N408" i="2"/>
  <c r="N407" i="2"/>
  <c r="N406" i="2"/>
  <c r="N405" i="2"/>
  <c r="N404" i="2"/>
  <c r="N403" i="2"/>
  <c r="N402" i="2"/>
  <c r="N401" i="2"/>
  <c r="N400" i="2"/>
  <c r="N399" i="2"/>
  <c r="N398" i="2"/>
  <c r="N397" i="2"/>
  <c r="N396" i="2"/>
  <c r="N395" i="2"/>
  <c r="N394" i="2"/>
  <c r="N393" i="2"/>
  <c r="N392" i="2"/>
  <c r="N391" i="2"/>
  <c r="N390" i="2"/>
  <c r="N389" i="2"/>
  <c r="N388" i="2"/>
  <c r="N387" i="2"/>
  <c r="N386" i="2"/>
  <c r="N385" i="2"/>
  <c r="N384" i="2"/>
  <c r="N383" i="2"/>
  <c r="N382" i="2"/>
  <c r="N381" i="2"/>
  <c r="N380" i="2"/>
  <c r="N379" i="2"/>
  <c r="N378" i="2"/>
  <c r="N377" i="2"/>
  <c r="N376" i="2"/>
  <c r="N375" i="2"/>
  <c r="N374" i="2"/>
  <c r="N373" i="2"/>
  <c r="N372" i="2"/>
  <c r="N371" i="2"/>
  <c r="N370" i="2"/>
  <c r="N369" i="2"/>
  <c r="N368" i="2"/>
  <c r="N367" i="2"/>
  <c r="N366" i="2"/>
  <c r="N365" i="2"/>
  <c r="N364" i="2"/>
  <c r="N363" i="2"/>
  <c r="N362" i="2"/>
  <c r="N361" i="2"/>
  <c r="N360" i="2"/>
  <c r="N359" i="2"/>
  <c r="N358" i="2"/>
  <c r="N357" i="2"/>
  <c r="N356" i="2"/>
  <c r="N355" i="2"/>
  <c r="N354" i="2"/>
  <c r="N353" i="2"/>
  <c r="N352" i="2"/>
  <c r="N351" i="2"/>
  <c r="N350" i="2"/>
  <c r="N349" i="2"/>
  <c r="N348" i="2"/>
  <c r="N347" i="2"/>
  <c r="N346" i="2"/>
  <c r="N345" i="2"/>
  <c r="N344" i="2"/>
  <c r="N343" i="2"/>
  <c r="N342" i="2"/>
  <c r="N341" i="2"/>
  <c r="N340" i="2"/>
  <c r="N339" i="2"/>
  <c r="N338" i="2"/>
  <c r="N337" i="2"/>
  <c r="N336" i="2"/>
  <c r="N335" i="2"/>
  <c r="N334" i="2"/>
  <c r="N333" i="2"/>
  <c r="N332" i="2"/>
  <c r="N331" i="2"/>
  <c r="N330" i="2"/>
  <c r="N329" i="2"/>
  <c r="N328" i="2"/>
  <c r="N327" i="2"/>
  <c r="N326" i="2"/>
  <c r="N325" i="2"/>
  <c r="N324" i="2"/>
  <c r="N323" i="2"/>
  <c r="N322" i="2"/>
  <c r="N321" i="2"/>
  <c r="N320" i="2"/>
  <c r="N319" i="2"/>
  <c r="N318" i="2"/>
  <c r="N317" i="2"/>
  <c r="N316" i="2"/>
  <c r="N315" i="2"/>
  <c r="N314" i="2"/>
  <c r="N313" i="2"/>
  <c r="N312" i="2"/>
  <c r="N311" i="2"/>
  <c r="N310" i="2"/>
  <c r="N309" i="2"/>
  <c r="N308" i="2"/>
  <c r="N307" i="2"/>
  <c r="N306" i="2"/>
  <c r="N305" i="2"/>
  <c r="N304" i="2"/>
  <c r="N303" i="2"/>
  <c r="N302" i="2"/>
  <c r="N301" i="2"/>
  <c r="N300" i="2"/>
  <c r="N299" i="2"/>
  <c r="N298" i="2"/>
  <c r="N297" i="2"/>
  <c r="N296" i="2"/>
  <c r="N295" i="2"/>
  <c r="N294" i="2"/>
  <c r="N293" i="2"/>
  <c r="N292" i="2"/>
  <c r="N291" i="2"/>
  <c r="N290" i="2"/>
  <c r="N289" i="2"/>
  <c r="N288" i="2"/>
  <c r="N287" i="2"/>
  <c r="N286" i="2"/>
  <c r="N285" i="2"/>
  <c r="N284" i="2"/>
  <c r="N283" i="2"/>
  <c r="N282" i="2"/>
  <c r="N281" i="2"/>
  <c r="N280" i="2"/>
  <c r="N279" i="2"/>
  <c r="N278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J1002" i="2"/>
  <c r="J1001" i="2"/>
  <c r="J1000" i="2"/>
  <c r="J999" i="2"/>
  <c r="J998" i="2"/>
  <c r="J997" i="2"/>
  <c r="J996" i="2"/>
  <c r="J995" i="2"/>
  <c r="J994" i="2"/>
  <c r="J993" i="2"/>
  <c r="J992" i="2"/>
  <c r="J991" i="2"/>
  <c r="J990" i="2"/>
  <c r="J989" i="2"/>
  <c r="J988" i="2"/>
  <c r="J987" i="2"/>
  <c r="J986" i="2"/>
  <c r="J985" i="2"/>
  <c r="J984" i="2"/>
  <c r="J983" i="2"/>
  <c r="J982" i="2"/>
  <c r="J981" i="2"/>
  <c r="J980" i="2"/>
  <c r="J979" i="2"/>
  <c r="J978" i="2"/>
  <c r="J977" i="2"/>
  <c r="J976" i="2"/>
  <c r="J975" i="2"/>
  <c r="J974" i="2"/>
  <c r="J973" i="2"/>
  <c r="J972" i="2"/>
  <c r="J971" i="2"/>
  <c r="J970" i="2"/>
  <c r="J969" i="2"/>
  <c r="J968" i="2"/>
  <c r="J967" i="2"/>
  <c r="J966" i="2"/>
  <c r="J965" i="2"/>
  <c r="J964" i="2"/>
  <c r="J963" i="2"/>
  <c r="J962" i="2"/>
  <c r="J961" i="2"/>
  <c r="J960" i="2"/>
  <c r="J959" i="2"/>
  <c r="J958" i="2"/>
  <c r="J957" i="2"/>
  <c r="J956" i="2"/>
  <c r="J955" i="2"/>
  <c r="J954" i="2"/>
  <c r="J953" i="2"/>
  <c r="J952" i="2"/>
  <c r="J951" i="2"/>
  <c r="J950" i="2"/>
  <c r="J949" i="2"/>
  <c r="J948" i="2"/>
  <c r="J947" i="2"/>
  <c r="J946" i="2"/>
  <c r="J945" i="2"/>
  <c r="J944" i="2"/>
  <c r="J943" i="2"/>
  <c r="J942" i="2"/>
  <c r="J941" i="2"/>
  <c r="J940" i="2"/>
  <c r="J939" i="2"/>
  <c r="J938" i="2"/>
  <c r="J937" i="2"/>
  <c r="J936" i="2"/>
  <c r="J935" i="2"/>
  <c r="J934" i="2"/>
  <c r="J933" i="2"/>
  <c r="J932" i="2"/>
  <c r="J931" i="2"/>
  <c r="J930" i="2"/>
  <c r="J929" i="2"/>
  <c r="J928" i="2"/>
  <c r="J927" i="2"/>
  <c r="J926" i="2"/>
  <c r="J925" i="2"/>
  <c r="J924" i="2"/>
  <c r="J923" i="2"/>
  <c r="J922" i="2"/>
  <c r="J921" i="2"/>
  <c r="J920" i="2"/>
  <c r="J919" i="2"/>
  <c r="J918" i="2"/>
  <c r="J917" i="2"/>
  <c r="J916" i="2"/>
  <c r="J915" i="2"/>
  <c r="J914" i="2"/>
  <c r="J913" i="2"/>
  <c r="J912" i="2"/>
  <c r="J911" i="2"/>
  <c r="J910" i="2"/>
  <c r="J909" i="2"/>
  <c r="J908" i="2"/>
  <c r="J907" i="2"/>
  <c r="J906" i="2"/>
  <c r="J905" i="2"/>
  <c r="J904" i="2"/>
  <c r="J903" i="2"/>
  <c r="J902" i="2"/>
  <c r="J901" i="2"/>
  <c r="J900" i="2"/>
  <c r="J899" i="2"/>
  <c r="J898" i="2"/>
  <c r="J897" i="2"/>
  <c r="J896" i="2"/>
  <c r="J895" i="2"/>
  <c r="J894" i="2"/>
  <c r="J893" i="2"/>
  <c r="J892" i="2"/>
  <c r="J891" i="2"/>
  <c r="J890" i="2"/>
  <c r="J889" i="2"/>
  <c r="J888" i="2"/>
  <c r="J887" i="2"/>
  <c r="J886" i="2"/>
  <c r="J885" i="2"/>
  <c r="J884" i="2"/>
  <c r="J883" i="2"/>
  <c r="J882" i="2"/>
  <c r="J881" i="2"/>
  <c r="J880" i="2"/>
  <c r="J879" i="2"/>
  <c r="J878" i="2"/>
  <c r="J877" i="2"/>
  <c r="J876" i="2"/>
  <c r="J875" i="2"/>
  <c r="J874" i="2"/>
  <c r="J873" i="2"/>
  <c r="J872" i="2"/>
  <c r="J871" i="2"/>
  <c r="J870" i="2"/>
  <c r="J869" i="2"/>
  <c r="J868" i="2"/>
  <c r="J867" i="2"/>
  <c r="J866" i="2"/>
  <c r="J865" i="2"/>
  <c r="J864" i="2"/>
  <c r="J863" i="2"/>
  <c r="J862" i="2"/>
  <c r="J861" i="2"/>
  <c r="J860" i="2"/>
  <c r="J859" i="2"/>
  <c r="J858" i="2"/>
  <c r="J857" i="2"/>
  <c r="J856" i="2"/>
  <c r="J855" i="2"/>
  <c r="J854" i="2"/>
  <c r="J853" i="2"/>
  <c r="J852" i="2"/>
  <c r="J851" i="2"/>
  <c r="J850" i="2"/>
  <c r="J849" i="2"/>
  <c r="J848" i="2"/>
  <c r="J847" i="2"/>
  <c r="J846" i="2"/>
  <c r="J845" i="2"/>
  <c r="J844" i="2"/>
  <c r="J843" i="2"/>
  <c r="J842" i="2"/>
  <c r="J841" i="2"/>
  <c r="J840" i="2"/>
  <c r="J839" i="2"/>
  <c r="J838" i="2"/>
  <c r="J837" i="2"/>
  <c r="J836" i="2"/>
  <c r="J835" i="2"/>
  <c r="J834" i="2"/>
  <c r="J833" i="2"/>
  <c r="J832" i="2"/>
  <c r="J831" i="2"/>
  <c r="J830" i="2"/>
  <c r="J829" i="2"/>
  <c r="J828" i="2"/>
  <c r="J827" i="2"/>
  <c r="J826" i="2"/>
  <c r="J825" i="2"/>
  <c r="J824" i="2"/>
  <c r="J823" i="2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J808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J794" i="2"/>
  <c r="J793" i="2"/>
  <c r="J792" i="2"/>
  <c r="J791" i="2"/>
  <c r="J790" i="2"/>
  <c r="J789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J761" i="2"/>
  <c r="J760" i="2"/>
  <c r="J759" i="2"/>
  <c r="J758" i="2"/>
  <c r="J757" i="2"/>
  <c r="J756" i="2"/>
  <c r="J755" i="2"/>
  <c r="J754" i="2"/>
  <c r="J753" i="2"/>
  <c r="J752" i="2"/>
  <c r="J751" i="2"/>
  <c r="J750" i="2"/>
  <c r="J749" i="2"/>
  <c r="J748" i="2"/>
  <c r="J747" i="2"/>
  <c r="J746" i="2"/>
  <c r="J745" i="2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683" i="2"/>
  <c r="J682" i="2"/>
  <c r="J681" i="2"/>
  <c r="J680" i="2"/>
  <c r="J679" i="2"/>
  <c r="J678" i="2"/>
  <c r="J677" i="2"/>
  <c r="J676" i="2"/>
  <c r="J675" i="2"/>
  <c r="J674" i="2"/>
  <c r="J673" i="2"/>
  <c r="J672" i="2"/>
  <c r="J671" i="2"/>
  <c r="J670" i="2"/>
  <c r="J669" i="2"/>
  <c r="J668" i="2"/>
  <c r="J667" i="2"/>
  <c r="J666" i="2"/>
  <c r="J665" i="2"/>
  <c r="J664" i="2"/>
  <c r="J663" i="2"/>
  <c r="J662" i="2"/>
  <c r="J661" i="2"/>
  <c r="J660" i="2"/>
  <c r="J659" i="2"/>
  <c r="J658" i="2"/>
  <c r="J657" i="2"/>
  <c r="J656" i="2"/>
  <c r="J655" i="2"/>
  <c r="J654" i="2"/>
  <c r="J653" i="2"/>
  <c r="J652" i="2"/>
  <c r="J651" i="2"/>
  <c r="J650" i="2"/>
  <c r="J649" i="2"/>
  <c r="J648" i="2"/>
  <c r="J647" i="2"/>
  <c r="J646" i="2"/>
  <c r="J645" i="2"/>
  <c r="J644" i="2"/>
  <c r="J643" i="2"/>
  <c r="J642" i="2"/>
  <c r="J641" i="2"/>
  <c r="J640" i="2"/>
  <c r="J639" i="2"/>
  <c r="J638" i="2"/>
  <c r="J637" i="2"/>
  <c r="J636" i="2"/>
  <c r="J635" i="2"/>
  <c r="J634" i="2"/>
  <c r="J633" i="2"/>
  <c r="J632" i="2"/>
  <c r="J631" i="2"/>
  <c r="J630" i="2"/>
  <c r="J629" i="2"/>
  <c r="J628" i="2"/>
  <c r="J627" i="2"/>
  <c r="J626" i="2"/>
  <c r="J625" i="2"/>
  <c r="J624" i="2"/>
  <c r="J623" i="2"/>
  <c r="J622" i="2"/>
  <c r="J621" i="2"/>
  <c r="J620" i="2"/>
  <c r="J619" i="2"/>
  <c r="J618" i="2"/>
  <c r="J617" i="2"/>
  <c r="J616" i="2"/>
  <c r="J615" i="2"/>
  <c r="J614" i="2"/>
  <c r="J613" i="2"/>
  <c r="J612" i="2"/>
  <c r="J611" i="2"/>
  <c r="J610" i="2"/>
  <c r="J609" i="2"/>
  <c r="J608" i="2"/>
  <c r="J607" i="2"/>
  <c r="J606" i="2"/>
  <c r="J605" i="2"/>
  <c r="J604" i="2"/>
  <c r="J603" i="2"/>
  <c r="J602" i="2"/>
  <c r="J601" i="2"/>
  <c r="J600" i="2"/>
  <c r="J599" i="2"/>
  <c r="J598" i="2"/>
  <c r="J597" i="2"/>
  <c r="J596" i="2"/>
  <c r="J595" i="2"/>
  <c r="J594" i="2"/>
  <c r="J593" i="2"/>
  <c r="J592" i="2"/>
  <c r="J591" i="2"/>
  <c r="J590" i="2"/>
  <c r="J589" i="2"/>
  <c r="J588" i="2"/>
  <c r="J587" i="2"/>
  <c r="J586" i="2"/>
  <c r="J585" i="2"/>
  <c r="J584" i="2"/>
  <c r="J583" i="2"/>
  <c r="J582" i="2"/>
  <c r="J581" i="2"/>
  <c r="J580" i="2"/>
  <c r="J579" i="2"/>
  <c r="J578" i="2"/>
  <c r="J577" i="2"/>
  <c r="J576" i="2"/>
  <c r="J575" i="2"/>
  <c r="J574" i="2"/>
  <c r="J573" i="2"/>
  <c r="J572" i="2"/>
  <c r="J571" i="2"/>
  <c r="J570" i="2"/>
  <c r="J569" i="2"/>
  <c r="J568" i="2"/>
  <c r="J567" i="2"/>
  <c r="J566" i="2"/>
  <c r="J565" i="2"/>
  <c r="J564" i="2"/>
  <c r="J563" i="2"/>
  <c r="J562" i="2"/>
  <c r="J561" i="2"/>
  <c r="J560" i="2"/>
  <c r="J559" i="2"/>
  <c r="J558" i="2"/>
  <c r="J557" i="2"/>
  <c r="J556" i="2"/>
  <c r="J555" i="2"/>
  <c r="J554" i="2"/>
  <c r="J553" i="2"/>
  <c r="J552" i="2"/>
  <c r="J551" i="2"/>
  <c r="J550" i="2"/>
  <c r="J549" i="2"/>
  <c r="J548" i="2"/>
  <c r="J547" i="2"/>
  <c r="J546" i="2"/>
  <c r="J545" i="2"/>
  <c r="J544" i="2"/>
  <c r="J543" i="2"/>
  <c r="J542" i="2"/>
  <c r="J541" i="2"/>
  <c r="J540" i="2"/>
  <c r="J539" i="2"/>
  <c r="J538" i="2"/>
  <c r="J537" i="2"/>
  <c r="J536" i="2"/>
  <c r="J535" i="2"/>
  <c r="J534" i="2"/>
  <c r="J533" i="2"/>
  <c r="J532" i="2"/>
  <c r="J531" i="2"/>
  <c r="J530" i="2"/>
  <c r="J529" i="2"/>
  <c r="J528" i="2"/>
  <c r="J527" i="2"/>
  <c r="J526" i="2"/>
  <c r="J525" i="2"/>
  <c r="J524" i="2"/>
  <c r="J523" i="2"/>
  <c r="J522" i="2"/>
  <c r="J521" i="2"/>
  <c r="J520" i="2"/>
  <c r="J519" i="2"/>
  <c r="J518" i="2"/>
  <c r="J517" i="2"/>
  <c r="J516" i="2"/>
  <c r="J515" i="2"/>
  <c r="J514" i="2"/>
  <c r="J513" i="2"/>
  <c r="J512" i="2"/>
  <c r="J511" i="2"/>
  <c r="J510" i="2"/>
  <c r="J509" i="2"/>
  <c r="J508" i="2"/>
  <c r="J507" i="2"/>
  <c r="J506" i="2"/>
  <c r="J505" i="2"/>
  <c r="J504" i="2"/>
  <c r="J503" i="2"/>
  <c r="J502" i="2"/>
  <c r="J501" i="2"/>
  <c r="J500" i="2"/>
  <c r="J499" i="2"/>
  <c r="J498" i="2"/>
  <c r="J497" i="2"/>
  <c r="J496" i="2"/>
  <c r="J495" i="2"/>
  <c r="J494" i="2"/>
  <c r="J493" i="2"/>
  <c r="J492" i="2"/>
  <c r="J491" i="2"/>
  <c r="J490" i="2"/>
  <c r="J489" i="2"/>
  <c r="J488" i="2"/>
  <c r="J487" i="2"/>
  <c r="J486" i="2"/>
  <c r="J485" i="2"/>
  <c r="J484" i="2"/>
  <c r="J483" i="2"/>
  <c r="J482" i="2"/>
  <c r="J481" i="2"/>
  <c r="J480" i="2"/>
  <c r="J479" i="2"/>
  <c r="J478" i="2"/>
  <c r="J477" i="2"/>
  <c r="J476" i="2"/>
  <c r="J475" i="2"/>
  <c r="J474" i="2"/>
  <c r="J473" i="2"/>
  <c r="J472" i="2"/>
  <c r="J471" i="2"/>
  <c r="J470" i="2"/>
  <c r="J469" i="2"/>
  <c r="J468" i="2"/>
  <c r="J467" i="2"/>
  <c r="J466" i="2"/>
  <c r="J465" i="2"/>
  <c r="J464" i="2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50" i="2"/>
  <c r="J449" i="2"/>
  <c r="J448" i="2"/>
  <c r="J447" i="2"/>
  <c r="J446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32" i="2"/>
  <c r="J431" i="2"/>
  <c r="J430" i="2"/>
  <c r="J429" i="2"/>
  <c r="J428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14" i="2"/>
  <c r="J413" i="2"/>
  <c r="J412" i="2"/>
  <c r="J411" i="2"/>
  <c r="J410" i="2"/>
  <c r="J409" i="2"/>
  <c r="J408" i="2"/>
  <c r="J407" i="2"/>
  <c r="J406" i="2"/>
  <c r="J405" i="2"/>
  <c r="J404" i="2"/>
  <c r="J403" i="2"/>
  <c r="J402" i="2"/>
  <c r="J401" i="2"/>
  <c r="J400" i="2"/>
  <c r="J399" i="2"/>
  <c r="J398" i="2"/>
  <c r="J397" i="2"/>
  <c r="J396" i="2"/>
  <c r="J395" i="2"/>
  <c r="J394" i="2"/>
  <c r="J393" i="2"/>
  <c r="J392" i="2"/>
  <c r="J391" i="2"/>
  <c r="J390" i="2"/>
  <c r="J389" i="2"/>
  <c r="J388" i="2"/>
  <c r="J387" i="2"/>
  <c r="J386" i="2"/>
  <c r="J385" i="2"/>
  <c r="J384" i="2"/>
  <c r="J383" i="2"/>
  <c r="J382" i="2"/>
  <c r="J381" i="2"/>
  <c r="J380" i="2"/>
  <c r="J379" i="2"/>
  <c r="J378" i="2"/>
  <c r="J377" i="2"/>
  <c r="J376" i="2"/>
  <c r="J375" i="2"/>
  <c r="J374" i="2"/>
  <c r="J373" i="2"/>
  <c r="J372" i="2"/>
  <c r="J371" i="2"/>
  <c r="J370" i="2"/>
  <c r="J369" i="2"/>
  <c r="J368" i="2"/>
  <c r="J367" i="2"/>
  <c r="J366" i="2"/>
  <c r="J365" i="2"/>
  <c r="J364" i="2"/>
  <c r="J363" i="2"/>
  <c r="J362" i="2"/>
  <c r="J361" i="2"/>
  <c r="J360" i="2"/>
  <c r="J359" i="2"/>
  <c r="J358" i="2"/>
  <c r="J357" i="2"/>
  <c r="J356" i="2"/>
  <c r="J355" i="2"/>
  <c r="J354" i="2"/>
  <c r="J353" i="2"/>
  <c r="J352" i="2"/>
  <c r="J351" i="2"/>
  <c r="J350" i="2"/>
  <c r="J349" i="2"/>
  <c r="J348" i="2"/>
  <c r="J347" i="2"/>
  <c r="J346" i="2"/>
  <c r="J345" i="2"/>
  <c r="J344" i="2"/>
  <c r="J343" i="2"/>
  <c r="J342" i="2"/>
  <c r="J341" i="2"/>
  <c r="J340" i="2"/>
  <c r="J339" i="2"/>
  <c r="J338" i="2"/>
  <c r="J337" i="2"/>
  <c r="J336" i="2"/>
  <c r="J335" i="2"/>
  <c r="J334" i="2"/>
  <c r="J333" i="2"/>
  <c r="J332" i="2"/>
  <c r="J331" i="2"/>
  <c r="J330" i="2"/>
  <c r="J329" i="2"/>
  <c r="J328" i="2"/>
  <c r="J327" i="2"/>
  <c r="J326" i="2"/>
  <c r="J325" i="2"/>
  <c r="J324" i="2"/>
  <c r="J323" i="2"/>
  <c r="J322" i="2"/>
  <c r="J321" i="2"/>
  <c r="J320" i="2"/>
  <c r="J319" i="2"/>
  <c r="J318" i="2"/>
  <c r="J317" i="2"/>
  <c r="J316" i="2"/>
  <c r="J315" i="2"/>
  <c r="J314" i="2"/>
  <c r="J313" i="2"/>
  <c r="J312" i="2"/>
  <c r="J311" i="2"/>
  <c r="J310" i="2"/>
  <c r="J309" i="2"/>
  <c r="J308" i="2"/>
  <c r="J307" i="2"/>
  <c r="J306" i="2"/>
  <c r="J305" i="2"/>
  <c r="J304" i="2"/>
  <c r="J303" i="2"/>
  <c r="J302" i="2"/>
  <c r="J301" i="2"/>
  <c r="J300" i="2"/>
  <c r="J299" i="2"/>
  <c r="J298" i="2"/>
  <c r="J297" i="2"/>
  <c r="J296" i="2"/>
  <c r="J295" i="2"/>
  <c r="J294" i="2"/>
  <c r="J293" i="2"/>
  <c r="J292" i="2"/>
  <c r="J291" i="2"/>
  <c r="J290" i="2"/>
  <c r="J289" i="2"/>
  <c r="J288" i="2"/>
  <c r="J287" i="2"/>
  <c r="J286" i="2"/>
  <c r="J285" i="2"/>
  <c r="J284" i="2"/>
  <c r="J283" i="2"/>
  <c r="J282" i="2"/>
  <c r="J281" i="2"/>
  <c r="J280" i="2"/>
  <c r="J279" i="2"/>
  <c r="J278" i="2"/>
  <c r="J277" i="2"/>
  <c r="J276" i="2"/>
  <c r="J275" i="2"/>
  <c r="J274" i="2"/>
  <c r="J273" i="2"/>
  <c r="J272" i="2"/>
  <c r="J271" i="2"/>
  <c r="J270" i="2"/>
  <c r="J269" i="2"/>
  <c r="J268" i="2"/>
  <c r="J267" i="2"/>
  <c r="J266" i="2"/>
  <c r="J265" i="2"/>
  <c r="J264" i="2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26" i="2"/>
  <c r="J18" i="2"/>
  <c r="H1002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48" i="2"/>
  <c r="H40" i="2"/>
  <c r="A1" i="2"/>
  <c r="F1" i="2"/>
  <c r="A2" i="2"/>
  <c r="W1002" i="2"/>
  <c r="V1002" i="2"/>
  <c r="U1002" i="2"/>
  <c r="T1002" i="2"/>
  <c r="S1002" i="2"/>
  <c r="R1002" i="2"/>
  <c r="Q1002" i="2"/>
  <c r="O1002" i="2"/>
  <c r="M1002" i="2"/>
  <c r="L1002" i="2"/>
  <c r="K1002" i="2"/>
  <c r="I1002" i="2"/>
  <c r="G1002" i="2"/>
  <c r="F1002" i="2"/>
  <c r="W1001" i="2"/>
  <c r="V1001" i="2"/>
  <c r="U1001" i="2"/>
  <c r="T1001" i="2"/>
  <c r="S1001" i="2"/>
  <c r="R1001" i="2"/>
  <c r="Q1001" i="2"/>
  <c r="O1001" i="2"/>
  <c r="M1001" i="2"/>
  <c r="L1001" i="2"/>
  <c r="K1001" i="2"/>
  <c r="I1001" i="2"/>
  <c r="G1001" i="2"/>
  <c r="F1001" i="2"/>
  <c r="W1000" i="2"/>
  <c r="V1000" i="2"/>
  <c r="U1000" i="2"/>
  <c r="T1000" i="2"/>
  <c r="S1000" i="2"/>
  <c r="R1000" i="2"/>
  <c r="Q1000" i="2"/>
  <c r="O1000" i="2"/>
  <c r="M1000" i="2"/>
  <c r="L1000" i="2"/>
  <c r="K1000" i="2"/>
  <c r="I1000" i="2"/>
  <c r="G1000" i="2"/>
  <c r="F1000" i="2"/>
  <c r="W999" i="2"/>
  <c r="V999" i="2"/>
  <c r="U999" i="2"/>
  <c r="T999" i="2"/>
  <c r="S999" i="2"/>
  <c r="R999" i="2"/>
  <c r="Q999" i="2"/>
  <c r="O999" i="2"/>
  <c r="M999" i="2"/>
  <c r="L999" i="2"/>
  <c r="K999" i="2"/>
  <c r="I999" i="2"/>
  <c r="G999" i="2"/>
  <c r="F999" i="2"/>
  <c r="W998" i="2"/>
  <c r="V998" i="2"/>
  <c r="U998" i="2"/>
  <c r="T998" i="2"/>
  <c r="S998" i="2"/>
  <c r="R998" i="2"/>
  <c r="Q998" i="2"/>
  <c r="O998" i="2"/>
  <c r="M998" i="2"/>
  <c r="L998" i="2"/>
  <c r="K998" i="2"/>
  <c r="I998" i="2"/>
  <c r="G998" i="2"/>
  <c r="F998" i="2"/>
  <c r="W997" i="2"/>
  <c r="V997" i="2"/>
  <c r="U997" i="2"/>
  <c r="T997" i="2"/>
  <c r="S997" i="2"/>
  <c r="R997" i="2"/>
  <c r="Q997" i="2"/>
  <c r="O997" i="2"/>
  <c r="M997" i="2"/>
  <c r="L997" i="2"/>
  <c r="K997" i="2"/>
  <c r="I997" i="2"/>
  <c r="G997" i="2"/>
  <c r="F997" i="2"/>
  <c r="W996" i="2"/>
  <c r="V996" i="2"/>
  <c r="U996" i="2"/>
  <c r="T996" i="2"/>
  <c r="S996" i="2"/>
  <c r="R996" i="2"/>
  <c r="Q996" i="2"/>
  <c r="O996" i="2"/>
  <c r="M996" i="2"/>
  <c r="L996" i="2"/>
  <c r="K996" i="2"/>
  <c r="I996" i="2"/>
  <c r="G996" i="2"/>
  <c r="F996" i="2"/>
  <c r="W995" i="2"/>
  <c r="V995" i="2"/>
  <c r="U995" i="2"/>
  <c r="T995" i="2"/>
  <c r="S995" i="2"/>
  <c r="R995" i="2"/>
  <c r="Q995" i="2"/>
  <c r="O995" i="2"/>
  <c r="M995" i="2"/>
  <c r="L995" i="2"/>
  <c r="K995" i="2"/>
  <c r="I995" i="2"/>
  <c r="G995" i="2"/>
  <c r="F995" i="2"/>
  <c r="W994" i="2"/>
  <c r="V994" i="2"/>
  <c r="U994" i="2"/>
  <c r="T994" i="2"/>
  <c r="S994" i="2"/>
  <c r="R994" i="2"/>
  <c r="Q994" i="2"/>
  <c r="O994" i="2"/>
  <c r="M994" i="2"/>
  <c r="L994" i="2"/>
  <c r="K994" i="2"/>
  <c r="I994" i="2"/>
  <c r="G994" i="2"/>
  <c r="F994" i="2"/>
  <c r="W993" i="2"/>
  <c r="V993" i="2"/>
  <c r="U993" i="2"/>
  <c r="T993" i="2"/>
  <c r="S993" i="2"/>
  <c r="R993" i="2"/>
  <c r="Q993" i="2"/>
  <c r="O993" i="2"/>
  <c r="M993" i="2"/>
  <c r="L993" i="2"/>
  <c r="K993" i="2"/>
  <c r="I993" i="2"/>
  <c r="G993" i="2"/>
  <c r="F993" i="2"/>
  <c r="W992" i="2"/>
  <c r="V992" i="2"/>
  <c r="U992" i="2"/>
  <c r="T992" i="2"/>
  <c r="S992" i="2"/>
  <c r="R992" i="2"/>
  <c r="Q992" i="2"/>
  <c r="O992" i="2"/>
  <c r="M992" i="2"/>
  <c r="L992" i="2"/>
  <c r="K992" i="2"/>
  <c r="I992" i="2"/>
  <c r="G992" i="2"/>
  <c r="F992" i="2"/>
  <c r="W991" i="2"/>
  <c r="V991" i="2"/>
  <c r="U991" i="2"/>
  <c r="T991" i="2"/>
  <c r="S991" i="2"/>
  <c r="R991" i="2"/>
  <c r="Q991" i="2"/>
  <c r="O991" i="2"/>
  <c r="M991" i="2"/>
  <c r="L991" i="2"/>
  <c r="K991" i="2"/>
  <c r="I991" i="2"/>
  <c r="G991" i="2"/>
  <c r="F991" i="2"/>
  <c r="W990" i="2"/>
  <c r="V990" i="2"/>
  <c r="U990" i="2"/>
  <c r="T990" i="2"/>
  <c r="S990" i="2"/>
  <c r="R990" i="2"/>
  <c r="Q990" i="2"/>
  <c r="O990" i="2"/>
  <c r="M990" i="2"/>
  <c r="L990" i="2"/>
  <c r="K990" i="2"/>
  <c r="I990" i="2"/>
  <c r="G990" i="2"/>
  <c r="F990" i="2"/>
  <c r="W989" i="2"/>
  <c r="V989" i="2"/>
  <c r="U989" i="2"/>
  <c r="T989" i="2"/>
  <c r="S989" i="2"/>
  <c r="R989" i="2"/>
  <c r="Q989" i="2"/>
  <c r="O989" i="2"/>
  <c r="M989" i="2"/>
  <c r="L989" i="2"/>
  <c r="K989" i="2"/>
  <c r="I989" i="2"/>
  <c r="G989" i="2"/>
  <c r="F989" i="2"/>
  <c r="W988" i="2"/>
  <c r="V988" i="2"/>
  <c r="U988" i="2"/>
  <c r="T988" i="2"/>
  <c r="S988" i="2"/>
  <c r="R988" i="2"/>
  <c r="Q988" i="2"/>
  <c r="O988" i="2"/>
  <c r="M988" i="2"/>
  <c r="L988" i="2"/>
  <c r="K988" i="2"/>
  <c r="I988" i="2"/>
  <c r="G988" i="2"/>
  <c r="F988" i="2"/>
  <c r="W987" i="2"/>
  <c r="V987" i="2"/>
  <c r="U987" i="2"/>
  <c r="T987" i="2"/>
  <c r="S987" i="2"/>
  <c r="R987" i="2"/>
  <c r="Q987" i="2"/>
  <c r="O987" i="2"/>
  <c r="M987" i="2"/>
  <c r="L987" i="2"/>
  <c r="K987" i="2"/>
  <c r="I987" i="2"/>
  <c r="G987" i="2"/>
  <c r="F987" i="2"/>
  <c r="W986" i="2"/>
  <c r="V986" i="2"/>
  <c r="U986" i="2"/>
  <c r="T986" i="2"/>
  <c r="S986" i="2"/>
  <c r="R986" i="2"/>
  <c r="Q986" i="2"/>
  <c r="O986" i="2"/>
  <c r="M986" i="2"/>
  <c r="L986" i="2"/>
  <c r="K986" i="2"/>
  <c r="I986" i="2"/>
  <c r="G986" i="2"/>
  <c r="F986" i="2"/>
  <c r="W985" i="2"/>
  <c r="V985" i="2"/>
  <c r="U985" i="2"/>
  <c r="T985" i="2"/>
  <c r="S985" i="2"/>
  <c r="R985" i="2"/>
  <c r="Q985" i="2"/>
  <c r="O985" i="2"/>
  <c r="M985" i="2"/>
  <c r="L985" i="2"/>
  <c r="K985" i="2"/>
  <c r="I985" i="2"/>
  <c r="G985" i="2"/>
  <c r="F985" i="2"/>
  <c r="W984" i="2"/>
  <c r="V984" i="2"/>
  <c r="U984" i="2"/>
  <c r="T984" i="2"/>
  <c r="S984" i="2"/>
  <c r="R984" i="2"/>
  <c r="Q984" i="2"/>
  <c r="O984" i="2"/>
  <c r="M984" i="2"/>
  <c r="L984" i="2"/>
  <c r="K984" i="2"/>
  <c r="I984" i="2"/>
  <c r="G984" i="2"/>
  <c r="F984" i="2"/>
  <c r="W983" i="2"/>
  <c r="V983" i="2"/>
  <c r="U983" i="2"/>
  <c r="T983" i="2"/>
  <c r="S983" i="2"/>
  <c r="R983" i="2"/>
  <c r="Q983" i="2"/>
  <c r="O983" i="2"/>
  <c r="M983" i="2"/>
  <c r="L983" i="2"/>
  <c r="K983" i="2"/>
  <c r="I983" i="2"/>
  <c r="G983" i="2"/>
  <c r="F983" i="2"/>
  <c r="W982" i="2"/>
  <c r="V982" i="2"/>
  <c r="U982" i="2"/>
  <c r="T982" i="2"/>
  <c r="S982" i="2"/>
  <c r="R982" i="2"/>
  <c r="Q982" i="2"/>
  <c r="O982" i="2"/>
  <c r="M982" i="2"/>
  <c r="L982" i="2"/>
  <c r="K982" i="2"/>
  <c r="I982" i="2"/>
  <c r="G982" i="2"/>
  <c r="F982" i="2"/>
  <c r="W981" i="2"/>
  <c r="V981" i="2"/>
  <c r="U981" i="2"/>
  <c r="T981" i="2"/>
  <c r="S981" i="2"/>
  <c r="R981" i="2"/>
  <c r="Q981" i="2"/>
  <c r="O981" i="2"/>
  <c r="M981" i="2"/>
  <c r="L981" i="2"/>
  <c r="K981" i="2"/>
  <c r="I981" i="2"/>
  <c r="G981" i="2"/>
  <c r="F981" i="2"/>
  <c r="W980" i="2"/>
  <c r="V980" i="2"/>
  <c r="U980" i="2"/>
  <c r="T980" i="2"/>
  <c r="S980" i="2"/>
  <c r="R980" i="2"/>
  <c r="Q980" i="2"/>
  <c r="O980" i="2"/>
  <c r="M980" i="2"/>
  <c r="L980" i="2"/>
  <c r="K980" i="2"/>
  <c r="I980" i="2"/>
  <c r="G980" i="2"/>
  <c r="F980" i="2"/>
  <c r="W979" i="2"/>
  <c r="V979" i="2"/>
  <c r="U979" i="2"/>
  <c r="T979" i="2"/>
  <c r="S979" i="2"/>
  <c r="R979" i="2"/>
  <c r="Q979" i="2"/>
  <c r="O979" i="2"/>
  <c r="M979" i="2"/>
  <c r="L979" i="2"/>
  <c r="K979" i="2"/>
  <c r="I979" i="2"/>
  <c r="G979" i="2"/>
  <c r="F979" i="2"/>
  <c r="W978" i="2"/>
  <c r="V978" i="2"/>
  <c r="U978" i="2"/>
  <c r="T978" i="2"/>
  <c r="S978" i="2"/>
  <c r="R978" i="2"/>
  <c r="Q978" i="2"/>
  <c r="O978" i="2"/>
  <c r="M978" i="2"/>
  <c r="L978" i="2"/>
  <c r="K978" i="2"/>
  <c r="I978" i="2"/>
  <c r="G978" i="2"/>
  <c r="F978" i="2"/>
  <c r="W977" i="2"/>
  <c r="V977" i="2"/>
  <c r="U977" i="2"/>
  <c r="T977" i="2"/>
  <c r="S977" i="2"/>
  <c r="R977" i="2"/>
  <c r="Q977" i="2"/>
  <c r="O977" i="2"/>
  <c r="M977" i="2"/>
  <c r="L977" i="2"/>
  <c r="K977" i="2"/>
  <c r="I977" i="2"/>
  <c r="G977" i="2"/>
  <c r="F977" i="2"/>
  <c r="W976" i="2"/>
  <c r="V976" i="2"/>
  <c r="U976" i="2"/>
  <c r="T976" i="2"/>
  <c r="S976" i="2"/>
  <c r="R976" i="2"/>
  <c r="Q976" i="2"/>
  <c r="O976" i="2"/>
  <c r="M976" i="2"/>
  <c r="L976" i="2"/>
  <c r="K976" i="2"/>
  <c r="I976" i="2"/>
  <c r="G976" i="2"/>
  <c r="F976" i="2"/>
  <c r="W975" i="2"/>
  <c r="V975" i="2"/>
  <c r="U975" i="2"/>
  <c r="T975" i="2"/>
  <c r="S975" i="2"/>
  <c r="R975" i="2"/>
  <c r="Q975" i="2"/>
  <c r="O975" i="2"/>
  <c r="M975" i="2"/>
  <c r="L975" i="2"/>
  <c r="K975" i="2"/>
  <c r="I975" i="2"/>
  <c r="G975" i="2"/>
  <c r="F975" i="2"/>
  <c r="W974" i="2"/>
  <c r="V974" i="2"/>
  <c r="U974" i="2"/>
  <c r="T974" i="2"/>
  <c r="S974" i="2"/>
  <c r="R974" i="2"/>
  <c r="Q974" i="2"/>
  <c r="O974" i="2"/>
  <c r="M974" i="2"/>
  <c r="L974" i="2"/>
  <c r="K974" i="2"/>
  <c r="I974" i="2"/>
  <c r="G974" i="2"/>
  <c r="F974" i="2"/>
  <c r="W973" i="2"/>
  <c r="V973" i="2"/>
  <c r="U973" i="2"/>
  <c r="T973" i="2"/>
  <c r="S973" i="2"/>
  <c r="R973" i="2"/>
  <c r="Q973" i="2"/>
  <c r="O973" i="2"/>
  <c r="M973" i="2"/>
  <c r="L973" i="2"/>
  <c r="K973" i="2"/>
  <c r="I973" i="2"/>
  <c r="G973" i="2"/>
  <c r="F973" i="2"/>
  <c r="W972" i="2"/>
  <c r="V972" i="2"/>
  <c r="U972" i="2"/>
  <c r="T972" i="2"/>
  <c r="S972" i="2"/>
  <c r="R972" i="2"/>
  <c r="Q972" i="2"/>
  <c r="O972" i="2"/>
  <c r="M972" i="2"/>
  <c r="L972" i="2"/>
  <c r="K972" i="2"/>
  <c r="I972" i="2"/>
  <c r="G972" i="2"/>
  <c r="F972" i="2"/>
  <c r="W971" i="2"/>
  <c r="V971" i="2"/>
  <c r="U971" i="2"/>
  <c r="T971" i="2"/>
  <c r="S971" i="2"/>
  <c r="R971" i="2"/>
  <c r="Q971" i="2"/>
  <c r="O971" i="2"/>
  <c r="M971" i="2"/>
  <c r="L971" i="2"/>
  <c r="K971" i="2"/>
  <c r="I971" i="2"/>
  <c r="G971" i="2"/>
  <c r="F971" i="2"/>
  <c r="W970" i="2"/>
  <c r="V970" i="2"/>
  <c r="U970" i="2"/>
  <c r="T970" i="2"/>
  <c r="S970" i="2"/>
  <c r="R970" i="2"/>
  <c r="Q970" i="2"/>
  <c r="O970" i="2"/>
  <c r="M970" i="2"/>
  <c r="L970" i="2"/>
  <c r="K970" i="2"/>
  <c r="I970" i="2"/>
  <c r="G970" i="2"/>
  <c r="F970" i="2"/>
  <c r="W969" i="2"/>
  <c r="V969" i="2"/>
  <c r="U969" i="2"/>
  <c r="T969" i="2"/>
  <c r="S969" i="2"/>
  <c r="R969" i="2"/>
  <c r="Q969" i="2"/>
  <c r="O969" i="2"/>
  <c r="M969" i="2"/>
  <c r="L969" i="2"/>
  <c r="K969" i="2"/>
  <c r="I969" i="2"/>
  <c r="G969" i="2"/>
  <c r="F969" i="2"/>
  <c r="W968" i="2"/>
  <c r="V968" i="2"/>
  <c r="U968" i="2"/>
  <c r="T968" i="2"/>
  <c r="S968" i="2"/>
  <c r="R968" i="2"/>
  <c r="Q968" i="2"/>
  <c r="O968" i="2"/>
  <c r="M968" i="2"/>
  <c r="L968" i="2"/>
  <c r="K968" i="2"/>
  <c r="I968" i="2"/>
  <c r="G968" i="2"/>
  <c r="F968" i="2"/>
  <c r="W967" i="2"/>
  <c r="V967" i="2"/>
  <c r="U967" i="2"/>
  <c r="T967" i="2"/>
  <c r="S967" i="2"/>
  <c r="R967" i="2"/>
  <c r="Q967" i="2"/>
  <c r="O967" i="2"/>
  <c r="M967" i="2"/>
  <c r="L967" i="2"/>
  <c r="K967" i="2"/>
  <c r="I967" i="2"/>
  <c r="G967" i="2"/>
  <c r="F967" i="2"/>
  <c r="W966" i="2"/>
  <c r="V966" i="2"/>
  <c r="U966" i="2"/>
  <c r="T966" i="2"/>
  <c r="S966" i="2"/>
  <c r="R966" i="2"/>
  <c r="Q966" i="2"/>
  <c r="O966" i="2"/>
  <c r="M966" i="2"/>
  <c r="L966" i="2"/>
  <c r="K966" i="2"/>
  <c r="I966" i="2"/>
  <c r="G966" i="2"/>
  <c r="F966" i="2"/>
  <c r="W965" i="2"/>
  <c r="V965" i="2"/>
  <c r="U965" i="2"/>
  <c r="T965" i="2"/>
  <c r="S965" i="2"/>
  <c r="R965" i="2"/>
  <c r="Q965" i="2"/>
  <c r="O965" i="2"/>
  <c r="M965" i="2"/>
  <c r="L965" i="2"/>
  <c r="K965" i="2"/>
  <c r="I965" i="2"/>
  <c r="G965" i="2"/>
  <c r="F965" i="2"/>
  <c r="W964" i="2"/>
  <c r="V964" i="2"/>
  <c r="U964" i="2"/>
  <c r="T964" i="2"/>
  <c r="S964" i="2"/>
  <c r="R964" i="2"/>
  <c r="Q964" i="2"/>
  <c r="O964" i="2"/>
  <c r="M964" i="2"/>
  <c r="L964" i="2"/>
  <c r="K964" i="2"/>
  <c r="I964" i="2"/>
  <c r="G964" i="2"/>
  <c r="F964" i="2"/>
  <c r="W963" i="2"/>
  <c r="V963" i="2"/>
  <c r="U963" i="2"/>
  <c r="T963" i="2"/>
  <c r="S963" i="2"/>
  <c r="R963" i="2"/>
  <c r="Q963" i="2"/>
  <c r="O963" i="2"/>
  <c r="M963" i="2"/>
  <c r="L963" i="2"/>
  <c r="K963" i="2"/>
  <c r="I963" i="2"/>
  <c r="G963" i="2"/>
  <c r="F963" i="2"/>
  <c r="W962" i="2"/>
  <c r="V962" i="2"/>
  <c r="U962" i="2"/>
  <c r="T962" i="2"/>
  <c r="S962" i="2"/>
  <c r="R962" i="2"/>
  <c r="Q962" i="2"/>
  <c r="O962" i="2"/>
  <c r="M962" i="2"/>
  <c r="L962" i="2"/>
  <c r="K962" i="2"/>
  <c r="I962" i="2"/>
  <c r="G962" i="2"/>
  <c r="F962" i="2"/>
  <c r="W961" i="2"/>
  <c r="V961" i="2"/>
  <c r="U961" i="2"/>
  <c r="T961" i="2"/>
  <c r="S961" i="2"/>
  <c r="R961" i="2"/>
  <c r="Q961" i="2"/>
  <c r="O961" i="2"/>
  <c r="M961" i="2"/>
  <c r="L961" i="2"/>
  <c r="K961" i="2"/>
  <c r="I961" i="2"/>
  <c r="G961" i="2"/>
  <c r="F961" i="2"/>
  <c r="W960" i="2"/>
  <c r="V960" i="2"/>
  <c r="U960" i="2"/>
  <c r="T960" i="2"/>
  <c r="S960" i="2"/>
  <c r="R960" i="2"/>
  <c r="Q960" i="2"/>
  <c r="O960" i="2"/>
  <c r="M960" i="2"/>
  <c r="L960" i="2"/>
  <c r="K960" i="2"/>
  <c r="I960" i="2"/>
  <c r="G960" i="2"/>
  <c r="F960" i="2"/>
  <c r="W959" i="2"/>
  <c r="V959" i="2"/>
  <c r="U959" i="2"/>
  <c r="T959" i="2"/>
  <c r="S959" i="2"/>
  <c r="R959" i="2"/>
  <c r="Q959" i="2"/>
  <c r="O959" i="2"/>
  <c r="M959" i="2"/>
  <c r="L959" i="2"/>
  <c r="K959" i="2"/>
  <c r="I959" i="2"/>
  <c r="G959" i="2"/>
  <c r="F959" i="2"/>
  <c r="W958" i="2"/>
  <c r="V958" i="2"/>
  <c r="U958" i="2"/>
  <c r="T958" i="2"/>
  <c r="S958" i="2"/>
  <c r="R958" i="2"/>
  <c r="Q958" i="2"/>
  <c r="O958" i="2"/>
  <c r="M958" i="2"/>
  <c r="L958" i="2"/>
  <c r="K958" i="2"/>
  <c r="I958" i="2"/>
  <c r="G958" i="2"/>
  <c r="F958" i="2"/>
  <c r="W957" i="2"/>
  <c r="V957" i="2"/>
  <c r="U957" i="2"/>
  <c r="T957" i="2"/>
  <c r="S957" i="2"/>
  <c r="R957" i="2"/>
  <c r="Q957" i="2"/>
  <c r="O957" i="2"/>
  <c r="M957" i="2"/>
  <c r="L957" i="2"/>
  <c r="K957" i="2"/>
  <c r="I957" i="2"/>
  <c r="G957" i="2"/>
  <c r="F957" i="2"/>
  <c r="W956" i="2"/>
  <c r="V956" i="2"/>
  <c r="U956" i="2"/>
  <c r="T956" i="2"/>
  <c r="S956" i="2"/>
  <c r="R956" i="2"/>
  <c r="Q956" i="2"/>
  <c r="O956" i="2"/>
  <c r="M956" i="2"/>
  <c r="L956" i="2"/>
  <c r="K956" i="2"/>
  <c r="I956" i="2"/>
  <c r="G956" i="2"/>
  <c r="F956" i="2"/>
  <c r="W955" i="2"/>
  <c r="V955" i="2"/>
  <c r="U955" i="2"/>
  <c r="T955" i="2"/>
  <c r="S955" i="2"/>
  <c r="R955" i="2"/>
  <c r="Q955" i="2"/>
  <c r="O955" i="2"/>
  <c r="M955" i="2"/>
  <c r="L955" i="2"/>
  <c r="K955" i="2"/>
  <c r="I955" i="2"/>
  <c r="G955" i="2"/>
  <c r="F955" i="2"/>
  <c r="W954" i="2"/>
  <c r="V954" i="2"/>
  <c r="U954" i="2"/>
  <c r="T954" i="2"/>
  <c r="S954" i="2"/>
  <c r="R954" i="2"/>
  <c r="Q954" i="2"/>
  <c r="O954" i="2"/>
  <c r="M954" i="2"/>
  <c r="L954" i="2"/>
  <c r="K954" i="2"/>
  <c r="I954" i="2"/>
  <c r="G954" i="2"/>
  <c r="F954" i="2"/>
  <c r="W953" i="2"/>
  <c r="V953" i="2"/>
  <c r="U953" i="2"/>
  <c r="T953" i="2"/>
  <c r="S953" i="2"/>
  <c r="R953" i="2"/>
  <c r="Q953" i="2"/>
  <c r="O953" i="2"/>
  <c r="M953" i="2"/>
  <c r="L953" i="2"/>
  <c r="K953" i="2"/>
  <c r="I953" i="2"/>
  <c r="G953" i="2"/>
  <c r="F953" i="2"/>
  <c r="W952" i="2"/>
  <c r="V952" i="2"/>
  <c r="U952" i="2"/>
  <c r="T952" i="2"/>
  <c r="S952" i="2"/>
  <c r="R952" i="2"/>
  <c r="Q952" i="2"/>
  <c r="O952" i="2"/>
  <c r="M952" i="2"/>
  <c r="L952" i="2"/>
  <c r="K952" i="2"/>
  <c r="I952" i="2"/>
  <c r="G952" i="2"/>
  <c r="F952" i="2"/>
  <c r="W951" i="2"/>
  <c r="V951" i="2"/>
  <c r="U951" i="2"/>
  <c r="T951" i="2"/>
  <c r="S951" i="2"/>
  <c r="R951" i="2"/>
  <c r="Q951" i="2"/>
  <c r="O951" i="2"/>
  <c r="M951" i="2"/>
  <c r="L951" i="2"/>
  <c r="K951" i="2"/>
  <c r="I951" i="2"/>
  <c r="G951" i="2"/>
  <c r="F951" i="2"/>
  <c r="W950" i="2"/>
  <c r="V950" i="2"/>
  <c r="U950" i="2"/>
  <c r="T950" i="2"/>
  <c r="S950" i="2"/>
  <c r="R950" i="2"/>
  <c r="Q950" i="2"/>
  <c r="O950" i="2"/>
  <c r="M950" i="2"/>
  <c r="L950" i="2"/>
  <c r="K950" i="2"/>
  <c r="I950" i="2"/>
  <c r="G950" i="2"/>
  <c r="F950" i="2"/>
  <c r="W949" i="2"/>
  <c r="V949" i="2"/>
  <c r="U949" i="2"/>
  <c r="T949" i="2"/>
  <c r="S949" i="2"/>
  <c r="R949" i="2"/>
  <c r="Q949" i="2"/>
  <c r="O949" i="2"/>
  <c r="M949" i="2"/>
  <c r="L949" i="2"/>
  <c r="K949" i="2"/>
  <c r="I949" i="2"/>
  <c r="G949" i="2"/>
  <c r="F949" i="2"/>
  <c r="W948" i="2"/>
  <c r="V948" i="2"/>
  <c r="U948" i="2"/>
  <c r="T948" i="2"/>
  <c r="S948" i="2"/>
  <c r="R948" i="2"/>
  <c r="Q948" i="2"/>
  <c r="O948" i="2"/>
  <c r="M948" i="2"/>
  <c r="L948" i="2"/>
  <c r="K948" i="2"/>
  <c r="I948" i="2"/>
  <c r="G948" i="2"/>
  <c r="F948" i="2"/>
  <c r="W947" i="2"/>
  <c r="V947" i="2"/>
  <c r="U947" i="2"/>
  <c r="T947" i="2"/>
  <c r="S947" i="2"/>
  <c r="R947" i="2"/>
  <c r="Q947" i="2"/>
  <c r="O947" i="2"/>
  <c r="M947" i="2"/>
  <c r="L947" i="2"/>
  <c r="K947" i="2"/>
  <c r="I947" i="2"/>
  <c r="G947" i="2"/>
  <c r="F947" i="2"/>
  <c r="W946" i="2"/>
  <c r="V946" i="2"/>
  <c r="U946" i="2"/>
  <c r="T946" i="2"/>
  <c r="S946" i="2"/>
  <c r="R946" i="2"/>
  <c r="Q946" i="2"/>
  <c r="O946" i="2"/>
  <c r="M946" i="2"/>
  <c r="L946" i="2"/>
  <c r="K946" i="2"/>
  <c r="I946" i="2"/>
  <c r="G946" i="2"/>
  <c r="F946" i="2"/>
  <c r="W945" i="2"/>
  <c r="V945" i="2"/>
  <c r="U945" i="2"/>
  <c r="T945" i="2"/>
  <c r="S945" i="2"/>
  <c r="R945" i="2"/>
  <c r="Q945" i="2"/>
  <c r="O945" i="2"/>
  <c r="M945" i="2"/>
  <c r="L945" i="2"/>
  <c r="K945" i="2"/>
  <c r="I945" i="2"/>
  <c r="G945" i="2"/>
  <c r="F945" i="2"/>
  <c r="W944" i="2"/>
  <c r="V944" i="2"/>
  <c r="U944" i="2"/>
  <c r="T944" i="2"/>
  <c r="S944" i="2"/>
  <c r="R944" i="2"/>
  <c r="Q944" i="2"/>
  <c r="O944" i="2"/>
  <c r="M944" i="2"/>
  <c r="L944" i="2"/>
  <c r="K944" i="2"/>
  <c r="I944" i="2"/>
  <c r="G944" i="2"/>
  <c r="F944" i="2"/>
  <c r="W943" i="2"/>
  <c r="V943" i="2"/>
  <c r="U943" i="2"/>
  <c r="T943" i="2"/>
  <c r="S943" i="2"/>
  <c r="R943" i="2"/>
  <c r="Q943" i="2"/>
  <c r="O943" i="2"/>
  <c r="M943" i="2"/>
  <c r="L943" i="2"/>
  <c r="K943" i="2"/>
  <c r="I943" i="2"/>
  <c r="G943" i="2"/>
  <c r="F943" i="2"/>
  <c r="W942" i="2"/>
  <c r="V942" i="2"/>
  <c r="U942" i="2"/>
  <c r="T942" i="2"/>
  <c r="S942" i="2"/>
  <c r="R942" i="2"/>
  <c r="Q942" i="2"/>
  <c r="O942" i="2"/>
  <c r="M942" i="2"/>
  <c r="L942" i="2"/>
  <c r="K942" i="2"/>
  <c r="I942" i="2"/>
  <c r="G942" i="2"/>
  <c r="F942" i="2"/>
  <c r="W941" i="2"/>
  <c r="V941" i="2"/>
  <c r="U941" i="2"/>
  <c r="T941" i="2"/>
  <c r="S941" i="2"/>
  <c r="R941" i="2"/>
  <c r="Q941" i="2"/>
  <c r="O941" i="2"/>
  <c r="M941" i="2"/>
  <c r="L941" i="2"/>
  <c r="K941" i="2"/>
  <c r="I941" i="2"/>
  <c r="G941" i="2"/>
  <c r="F941" i="2"/>
  <c r="W940" i="2"/>
  <c r="V940" i="2"/>
  <c r="U940" i="2"/>
  <c r="T940" i="2"/>
  <c r="S940" i="2"/>
  <c r="R940" i="2"/>
  <c r="Q940" i="2"/>
  <c r="O940" i="2"/>
  <c r="M940" i="2"/>
  <c r="L940" i="2"/>
  <c r="K940" i="2"/>
  <c r="I940" i="2"/>
  <c r="G940" i="2"/>
  <c r="F940" i="2"/>
  <c r="W939" i="2"/>
  <c r="V939" i="2"/>
  <c r="U939" i="2"/>
  <c r="T939" i="2"/>
  <c r="S939" i="2"/>
  <c r="R939" i="2"/>
  <c r="Q939" i="2"/>
  <c r="O939" i="2"/>
  <c r="M939" i="2"/>
  <c r="L939" i="2"/>
  <c r="K939" i="2"/>
  <c r="I939" i="2"/>
  <c r="G939" i="2"/>
  <c r="F939" i="2"/>
  <c r="W938" i="2"/>
  <c r="V938" i="2"/>
  <c r="U938" i="2"/>
  <c r="T938" i="2"/>
  <c r="S938" i="2"/>
  <c r="R938" i="2"/>
  <c r="Q938" i="2"/>
  <c r="O938" i="2"/>
  <c r="M938" i="2"/>
  <c r="L938" i="2"/>
  <c r="K938" i="2"/>
  <c r="I938" i="2"/>
  <c r="G938" i="2"/>
  <c r="F938" i="2"/>
  <c r="W937" i="2"/>
  <c r="V937" i="2"/>
  <c r="U937" i="2"/>
  <c r="T937" i="2"/>
  <c r="S937" i="2"/>
  <c r="R937" i="2"/>
  <c r="Q937" i="2"/>
  <c r="O937" i="2"/>
  <c r="M937" i="2"/>
  <c r="L937" i="2"/>
  <c r="K937" i="2"/>
  <c r="I937" i="2"/>
  <c r="G937" i="2"/>
  <c r="F937" i="2"/>
  <c r="W936" i="2"/>
  <c r="V936" i="2"/>
  <c r="U936" i="2"/>
  <c r="T936" i="2"/>
  <c r="S936" i="2"/>
  <c r="R936" i="2"/>
  <c r="Q936" i="2"/>
  <c r="O936" i="2"/>
  <c r="M936" i="2"/>
  <c r="L936" i="2"/>
  <c r="K936" i="2"/>
  <c r="I936" i="2"/>
  <c r="G936" i="2"/>
  <c r="F936" i="2"/>
  <c r="W935" i="2"/>
  <c r="V935" i="2"/>
  <c r="U935" i="2"/>
  <c r="T935" i="2"/>
  <c r="S935" i="2"/>
  <c r="R935" i="2"/>
  <c r="Q935" i="2"/>
  <c r="O935" i="2"/>
  <c r="M935" i="2"/>
  <c r="L935" i="2"/>
  <c r="K935" i="2"/>
  <c r="I935" i="2"/>
  <c r="G935" i="2"/>
  <c r="F935" i="2"/>
  <c r="W934" i="2"/>
  <c r="V934" i="2"/>
  <c r="U934" i="2"/>
  <c r="T934" i="2"/>
  <c r="S934" i="2"/>
  <c r="R934" i="2"/>
  <c r="Q934" i="2"/>
  <c r="O934" i="2"/>
  <c r="M934" i="2"/>
  <c r="L934" i="2"/>
  <c r="K934" i="2"/>
  <c r="I934" i="2"/>
  <c r="G934" i="2"/>
  <c r="F934" i="2"/>
  <c r="W933" i="2"/>
  <c r="V933" i="2"/>
  <c r="U933" i="2"/>
  <c r="T933" i="2"/>
  <c r="S933" i="2"/>
  <c r="R933" i="2"/>
  <c r="Q933" i="2"/>
  <c r="O933" i="2"/>
  <c r="M933" i="2"/>
  <c r="L933" i="2"/>
  <c r="K933" i="2"/>
  <c r="I933" i="2"/>
  <c r="G933" i="2"/>
  <c r="F933" i="2"/>
  <c r="W932" i="2"/>
  <c r="V932" i="2"/>
  <c r="U932" i="2"/>
  <c r="T932" i="2"/>
  <c r="S932" i="2"/>
  <c r="R932" i="2"/>
  <c r="Q932" i="2"/>
  <c r="O932" i="2"/>
  <c r="M932" i="2"/>
  <c r="L932" i="2"/>
  <c r="K932" i="2"/>
  <c r="I932" i="2"/>
  <c r="G932" i="2"/>
  <c r="F932" i="2"/>
  <c r="W931" i="2"/>
  <c r="V931" i="2"/>
  <c r="U931" i="2"/>
  <c r="T931" i="2"/>
  <c r="S931" i="2"/>
  <c r="R931" i="2"/>
  <c r="Q931" i="2"/>
  <c r="O931" i="2"/>
  <c r="M931" i="2"/>
  <c r="L931" i="2"/>
  <c r="K931" i="2"/>
  <c r="I931" i="2"/>
  <c r="G931" i="2"/>
  <c r="F931" i="2"/>
  <c r="W930" i="2"/>
  <c r="V930" i="2"/>
  <c r="U930" i="2"/>
  <c r="T930" i="2"/>
  <c r="S930" i="2"/>
  <c r="R930" i="2"/>
  <c r="Q930" i="2"/>
  <c r="O930" i="2"/>
  <c r="M930" i="2"/>
  <c r="L930" i="2"/>
  <c r="K930" i="2"/>
  <c r="I930" i="2"/>
  <c r="G930" i="2"/>
  <c r="F930" i="2"/>
  <c r="W929" i="2"/>
  <c r="V929" i="2"/>
  <c r="U929" i="2"/>
  <c r="T929" i="2"/>
  <c r="S929" i="2"/>
  <c r="R929" i="2"/>
  <c r="Q929" i="2"/>
  <c r="O929" i="2"/>
  <c r="M929" i="2"/>
  <c r="L929" i="2"/>
  <c r="K929" i="2"/>
  <c r="I929" i="2"/>
  <c r="G929" i="2"/>
  <c r="F929" i="2"/>
  <c r="W928" i="2"/>
  <c r="V928" i="2"/>
  <c r="U928" i="2"/>
  <c r="T928" i="2"/>
  <c r="S928" i="2"/>
  <c r="R928" i="2"/>
  <c r="Q928" i="2"/>
  <c r="O928" i="2"/>
  <c r="M928" i="2"/>
  <c r="L928" i="2"/>
  <c r="K928" i="2"/>
  <c r="I928" i="2"/>
  <c r="G928" i="2"/>
  <c r="F928" i="2"/>
  <c r="W927" i="2"/>
  <c r="V927" i="2"/>
  <c r="U927" i="2"/>
  <c r="T927" i="2"/>
  <c r="S927" i="2"/>
  <c r="R927" i="2"/>
  <c r="Q927" i="2"/>
  <c r="O927" i="2"/>
  <c r="M927" i="2"/>
  <c r="L927" i="2"/>
  <c r="K927" i="2"/>
  <c r="I927" i="2"/>
  <c r="G927" i="2"/>
  <c r="F927" i="2"/>
  <c r="W926" i="2"/>
  <c r="V926" i="2"/>
  <c r="U926" i="2"/>
  <c r="T926" i="2"/>
  <c r="S926" i="2"/>
  <c r="R926" i="2"/>
  <c r="Q926" i="2"/>
  <c r="O926" i="2"/>
  <c r="M926" i="2"/>
  <c r="L926" i="2"/>
  <c r="K926" i="2"/>
  <c r="I926" i="2"/>
  <c r="G926" i="2"/>
  <c r="F926" i="2"/>
  <c r="W925" i="2"/>
  <c r="V925" i="2"/>
  <c r="U925" i="2"/>
  <c r="T925" i="2"/>
  <c r="S925" i="2"/>
  <c r="R925" i="2"/>
  <c r="Q925" i="2"/>
  <c r="O925" i="2"/>
  <c r="M925" i="2"/>
  <c r="L925" i="2"/>
  <c r="K925" i="2"/>
  <c r="I925" i="2"/>
  <c r="G925" i="2"/>
  <c r="F925" i="2"/>
  <c r="W924" i="2"/>
  <c r="V924" i="2"/>
  <c r="U924" i="2"/>
  <c r="T924" i="2"/>
  <c r="S924" i="2"/>
  <c r="R924" i="2"/>
  <c r="Q924" i="2"/>
  <c r="O924" i="2"/>
  <c r="M924" i="2"/>
  <c r="L924" i="2"/>
  <c r="K924" i="2"/>
  <c r="I924" i="2"/>
  <c r="G924" i="2"/>
  <c r="F924" i="2"/>
  <c r="W923" i="2"/>
  <c r="V923" i="2"/>
  <c r="U923" i="2"/>
  <c r="T923" i="2"/>
  <c r="S923" i="2"/>
  <c r="R923" i="2"/>
  <c r="Q923" i="2"/>
  <c r="O923" i="2"/>
  <c r="M923" i="2"/>
  <c r="L923" i="2"/>
  <c r="K923" i="2"/>
  <c r="I923" i="2"/>
  <c r="G923" i="2"/>
  <c r="F923" i="2"/>
  <c r="W922" i="2"/>
  <c r="V922" i="2"/>
  <c r="U922" i="2"/>
  <c r="T922" i="2"/>
  <c r="S922" i="2"/>
  <c r="R922" i="2"/>
  <c r="Q922" i="2"/>
  <c r="O922" i="2"/>
  <c r="M922" i="2"/>
  <c r="L922" i="2"/>
  <c r="K922" i="2"/>
  <c r="I922" i="2"/>
  <c r="G922" i="2"/>
  <c r="F922" i="2"/>
  <c r="W921" i="2"/>
  <c r="V921" i="2"/>
  <c r="U921" i="2"/>
  <c r="T921" i="2"/>
  <c r="S921" i="2"/>
  <c r="R921" i="2"/>
  <c r="Q921" i="2"/>
  <c r="O921" i="2"/>
  <c r="M921" i="2"/>
  <c r="L921" i="2"/>
  <c r="K921" i="2"/>
  <c r="I921" i="2"/>
  <c r="G921" i="2"/>
  <c r="F921" i="2"/>
  <c r="W920" i="2"/>
  <c r="V920" i="2"/>
  <c r="U920" i="2"/>
  <c r="T920" i="2"/>
  <c r="S920" i="2"/>
  <c r="R920" i="2"/>
  <c r="Q920" i="2"/>
  <c r="O920" i="2"/>
  <c r="M920" i="2"/>
  <c r="L920" i="2"/>
  <c r="K920" i="2"/>
  <c r="I920" i="2"/>
  <c r="G920" i="2"/>
  <c r="F920" i="2"/>
  <c r="W919" i="2"/>
  <c r="V919" i="2"/>
  <c r="U919" i="2"/>
  <c r="T919" i="2"/>
  <c r="S919" i="2"/>
  <c r="R919" i="2"/>
  <c r="Q919" i="2"/>
  <c r="O919" i="2"/>
  <c r="M919" i="2"/>
  <c r="L919" i="2"/>
  <c r="K919" i="2"/>
  <c r="I919" i="2"/>
  <c r="G919" i="2"/>
  <c r="F919" i="2"/>
  <c r="W918" i="2"/>
  <c r="V918" i="2"/>
  <c r="U918" i="2"/>
  <c r="T918" i="2"/>
  <c r="S918" i="2"/>
  <c r="R918" i="2"/>
  <c r="Q918" i="2"/>
  <c r="O918" i="2"/>
  <c r="M918" i="2"/>
  <c r="L918" i="2"/>
  <c r="K918" i="2"/>
  <c r="I918" i="2"/>
  <c r="G918" i="2"/>
  <c r="F918" i="2"/>
  <c r="W917" i="2"/>
  <c r="V917" i="2"/>
  <c r="U917" i="2"/>
  <c r="T917" i="2"/>
  <c r="S917" i="2"/>
  <c r="R917" i="2"/>
  <c r="Q917" i="2"/>
  <c r="O917" i="2"/>
  <c r="M917" i="2"/>
  <c r="L917" i="2"/>
  <c r="K917" i="2"/>
  <c r="I917" i="2"/>
  <c r="G917" i="2"/>
  <c r="F917" i="2"/>
  <c r="W916" i="2"/>
  <c r="V916" i="2"/>
  <c r="U916" i="2"/>
  <c r="T916" i="2"/>
  <c r="S916" i="2"/>
  <c r="R916" i="2"/>
  <c r="Q916" i="2"/>
  <c r="O916" i="2"/>
  <c r="M916" i="2"/>
  <c r="L916" i="2"/>
  <c r="K916" i="2"/>
  <c r="I916" i="2"/>
  <c r="G916" i="2"/>
  <c r="F916" i="2"/>
  <c r="W915" i="2"/>
  <c r="V915" i="2"/>
  <c r="U915" i="2"/>
  <c r="T915" i="2"/>
  <c r="S915" i="2"/>
  <c r="R915" i="2"/>
  <c r="Q915" i="2"/>
  <c r="O915" i="2"/>
  <c r="M915" i="2"/>
  <c r="L915" i="2"/>
  <c r="K915" i="2"/>
  <c r="I915" i="2"/>
  <c r="G915" i="2"/>
  <c r="F915" i="2"/>
  <c r="W914" i="2"/>
  <c r="V914" i="2"/>
  <c r="U914" i="2"/>
  <c r="T914" i="2"/>
  <c r="S914" i="2"/>
  <c r="R914" i="2"/>
  <c r="Q914" i="2"/>
  <c r="O914" i="2"/>
  <c r="M914" i="2"/>
  <c r="L914" i="2"/>
  <c r="K914" i="2"/>
  <c r="I914" i="2"/>
  <c r="G914" i="2"/>
  <c r="F914" i="2"/>
  <c r="W913" i="2"/>
  <c r="V913" i="2"/>
  <c r="U913" i="2"/>
  <c r="T913" i="2"/>
  <c r="S913" i="2"/>
  <c r="R913" i="2"/>
  <c r="Q913" i="2"/>
  <c r="O913" i="2"/>
  <c r="M913" i="2"/>
  <c r="L913" i="2"/>
  <c r="K913" i="2"/>
  <c r="I913" i="2"/>
  <c r="G913" i="2"/>
  <c r="F913" i="2"/>
  <c r="W912" i="2"/>
  <c r="V912" i="2"/>
  <c r="U912" i="2"/>
  <c r="T912" i="2"/>
  <c r="S912" i="2"/>
  <c r="R912" i="2"/>
  <c r="Q912" i="2"/>
  <c r="O912" i="2"/>
  <c r="M912" i="2"/>
  <c r="L912" i="2"/>
  <c r="K912" i="2"/>
  <c r="I912" i="2"/>
  <c r="G912" i="2"/>
  <c r="F912" i="2"/>
  <c r="W911" i="2"/>
  <c r="V911" i="2"/>
  <c r="U911" i="2"/>
  <c r="T911" i="2"/>
  <c r="S911" i="2"/>
  <c r="R911" i="2"/>
  <c r="Q911" i="2"/>
  <c r="O911" i="2"/>
  <c r="M911" i="2"/>
  <c r="L911" i="2"/>
  <c r="K911" i="2"/>
  <c r="I911" i="2"/>
  <c r="G911" i="2"/>
  <c r="F911" i="2"/>
  <c r="W910" i="2"/>
  <c r="V910" i="2"/>
  <c r="U910" i="2"/>
  <c r="T910" i="2"/>
  <c r="S910" i="2"/>
  <c r="R910" i="2"/>
  <c r="Q910" i="2"/>
  <c r="O910" i="2"/>
  <c r="M910" i="2"/>
  <c r="L910" i="2"/>
  <c r="K910" i="2"/>
  <c r="I910" i="2"/>
  <c r="G910" i="2"/>
  <c r="F910" i="2"/>
  <c r="W909" i="2"/>
  <c r="V909" i="2"/>
  <c r="U909" i="2"/>
  <c r="T909" i="2"/>
  <c r="S909" i="2"/>
  <c r="R909" i="2"/>
  <c r="Q909" i="2"/>
  <c r="O909" i="2"/>
  <c r="M909" i="2"/>
  <c r="L909" i="2"/>
  <c r="K909" i="2"/>
  <c r="I909" i="2"/>
  <c r="G909" i="2"/>
  <c r="F909" i="2"/>
  <c r="W908" i="2"/>
  <c r="V908" i="2"/>
  <c r="U908" i="2"/>
  <c r="T908" i="2"/>
  <c r="S908" i="2"/>
  <c r="R908" i="2"/>
  <c r="Q908" i="2"/>
  <c r="O908" i="2"/>
  <c r="M908" i="2"/>
  <c r="L908" i="2"/>
  <c r="K908" i="2"/>
  <c r="I908" i="2"/>
  <c r="G908" i="2"/>
  <c r="F908" i="2"/>
  <c r="W907" i="2"/>
  <c r="V907" i="2"/>
  <c r="U907" i="2"/>
  <c r="T907" i="2"/>
  <c r="S907" i="2"/>
  <c r="R907" i="2"/>
  <c r="Q907" i="2"/>
  <c r="O907" i="2"/>
  <c r="M907" i="2"/>
  <c r="L907" i="2"/>
  <c r="K907" i="2"/>
  <c r="I907" i="2"/>
  <c r="G907" i="2"/>
  <c r="F907" i="2"/>
  <c r="W906" i="2"/>
  <c r="V906" i="2"/>
  <c r="U906" i="2"/>
  <c r="T906" i="2"/>
  <c r="S906" i="2"/>
  <c r="R906" i="2"/>
  <c r="Q906" i="2"/>
  <c r="O906" i="2"/>
  <c r="M906" i="2"/>
  <c r="L906" i="2"/>
  <c r="K906" i="2"/>
  <c r="I906" i="2"/>
  <c r="G906" i="2"/>
  <c r="F906" i="2"/>
  <c r="W905" i="2"/>
  <c r="V905" i="2"/>
  <c r="U905" i="2"/>
  <c r="T905" i="2"/>
  <c r="S905" i="2"/>
  <c r="R905" i="2"/>
  <c r="Q905" i="2"/>
  <c r="O905" i="2"/>
  <c r="M905" i="2"/>
  <c r="L905" i="2"/>
  <c r="K905" i="2"/>
  <c r="I905" i="2"/>
  <c r="G905" i="2"/>
  <c r="F905" i="2"/>
  <c r="W904" i="2"/>
  <c r="V904" i="2"/>
  <c r="U904" i="2"/>
  <c r="T904" i="2"/>
  <c r="S904" i="2"/>
  <c r="R904" i="2"/>
  <c r="Q904" i="2"/>
  <c r="O904" i="2"/>
  <c r="M904" i="2"/>
  <c r="L904" i="2"/>
  <c r="K904" i="2"/>
  <c r="I904" i="2"/>
  <c r="G904" i="2"/>
  <c r="F904" i="2"/>
  <c r="W903" i="2"/>
  <c r="V903" i="2"/>
  <c r="U903" i="2"/>
  <c r="T903" i="2"/>
  <c r="S903" i="2"/>
  <c r="R903" i="2"/>
  <c r="Q903" i="2"/>
  <c r="O903" i="2"/>
  <c r="M903" i="2"/>
  <c r="L903" i="2"/>
  <c r="K903" i="2"/>
  <c r="I903" i="2"/>
  <c r="G903" i="2"/>
  <c r="F903" i="2"/>
  <c r="W902" i="2"/>
  <c r="V902" i="2"/>
  <c r="U902" i="2"/>
  <c r="T902" i="2"/>
  <c r="S902" i="2"/>
  <c r="R902" i="2"/>
  <c r="Q902" i="2"/>
  <c r="O902" i="2"/>
  <c r="M902" i="2"/>
  <c r="L902" i="2"/>
  <c r="K902" i="2"/>
  <c r="I902" i="2"/>
  <c r="G902" i="2"/>
  <c r="F902" i="2"/>
  <c r="W901" i="2"/>
  <c r="V901" i="2"/>
  <c r="U901" i="2"/>
  <c r="T901" i="2"/>
  <c r="S901" i="2"/>
  <c r="R901" i="2"/>
  <c r="Q901" i="2"/>
  <c r="O901" i="2"/>
  <c r="M901" i="2"/>
  <c r="L901" i="2"/>
  <c r="K901" i="2"/>
  <c r="I901" i="2"/>
  <c r="G901" i="2"/>
  <c r="F901" i="2"/>
  <c r="W900" i="2"/>
  <c r="V900" i="2"/>
  <c r="U900" i="2"/>
  <c r="T900" i="2"/>
  <c r="S900" i="2"/>
  <c r="R900" i="2"/>
  <c r="Q900" i="2"/>
  <c r="O900" i="2"/>
  <c r="M900" i="2"/>
  <c r="L900" i="2"/>
  <c r="K900" i="2"/>
  <c r="I900" i="2"/>
  <c r="G900" i="2"/>
  <c r="F900" i="2"/>
  <c r="W899" i="2"/>
  <c r="V899" i="2"/>
  <c r="U899" i="2"/>
  <c r="T899" i="2"/>
  <c r="S899" i="2"/>
  <c r="R899" i="2"/>
  <c r="Q899" i="2"/>
  <c r="O899" i="2"/>
  <c r="M899" i="2"/>
  <c r="L899" i="2"/>
  <c r="K899" i="2"/>
  <c r="I899" i="2"/>
  <c r="G899" i="2"/>
  <c r="F899" i="2"/>
  <c r="W898" i="2"/>
  <c r="V898" i="2"/>
  <c r="U898" i="2"/>
  <c r="T898" i="2"/>
  <c r="S898" i="2"/>
  <c r="R898" i="2"/>
  <c r="Q898" i="2"/>
  <c r="O898" i="2"/>
  <c r="M898" i="2"/>
  <c r="L898" i="2"/>
  <c r="K898" i="2"/>
  <c r="I898" i="2"/>
  <c r="G898" i="2"/>
  <c r="F898" i="2"/>
  <c r="W897" i="2"/>
  <c r="V897" i="2"/>
  <c r="U897" i="2"/>
  <c r="T897" i="2"/>
  <c r="S897" i="2"/>
  <c r="R897" i="2"/>
  <c r="Q897" i="2"/>
  <c r="O897" i="2"/>
  <c r="M897" i="2"/>
  <c r="L897" i="2"/>
  <c r="K897" i="2"/>
  <c r="I897" i="2"/>
  <c r="G897" i="2"/>
  <c r="F897" i="2"/>
  <c r="W896" i="2"/>
  <c r="V896" i="2"/>
  <c r="U896" i="2"/>
  <c r="T896" i="2"/>
  <c r="S896" i="2"/>
  <c r="R896" i="2"/>
  <c r="Q896" i="2"/>
  <c r="O896" i="2"/>
  <c r="M896" i="2"/>
  <c r="L896" i="2"/>
  <c r="K896" i="2"/>
  <c r="I896" i="2"/>
  <c r="G896" i="2"/>
  <c r="F896" i="2"/>
  <c r="W895" i="2"/>
  <c r="V895" i="2"/>
  <c r="U895" i="2"/>
  <c r="T895" i="2"/>
  <c r="S895" i="2"/>
  <c r="R895" i="2"/>
  <c r="Q895" i="2"/>
  <c r="O895" i="2"/>
  <c r="M895" i="2"/>
  <c r="L895" i="2"/>
  <c r="K895" i="2"/>
  <c r="I895" i="2"/>
  <c r="G895" i="2"/>
  <c r="F895" i="2"/>
  <c r="W894" i="2"/>
  <c r="V894" i="2"/>
  <c r="U894" i="2"/>
  <c r="T894" i="2"/>
  <c r="S894" i="2"/>
  <c r="R894" i="2"/>
  <c r="Q894" i="2"/>
  <c r="O894" i="2"/>
  <c r="M894" i="2"/>
  <c r="L894" i="2"/>
  <c r="K894" i="2"/>
  <c r="I894" i="2"/>
  <c r="G894" i="2"/>
  <c r="F894" i="2"/>
  <c r="W893" i="2"/>
  <c r="V893" i="2"/>
  <c r="U893" i="2"/>
  <c r="T893" i="2"/>
  <c r="S893" i="2"/>
  <c r="R893" i="2"/>
  <c r="Q893" i="2"/>
  <c r="O893" i="2"/>
  <c r="M893" i="2"/>
  <c r="L893" i="2"/>
  <c r="K893" i="2"/>
  <c r="I893" i="2"/>
  <c r="G893" i="2"/>
  <c r="F893" i="2"/>
  <c r="W892" i="2"/>
  <c r="V892" i="2"/>
  <c r="U892" i="2"/>
  <c r="T892" i="2"/>
  <c r="S892" i="2"/>
  <c r="R892" i="2"/>
  <c r="Q892" i="2"/>
  <c r="O892" i="2"/>
  <c r="M892" i="2"/>
  <c r="L892" i="2"/>
  <c r="K892" i="2"/>
  <c r="I892" i="2"/>
  <c r="G892" i="2"/>
  <c r="F892" i="2"/>
  <c r="W891" i="2"/>
  <c r="V891" i="2"/>
  <c r="U891" i="2"/>
  <c r="T891" i="2"/>
  <c r="S891" i="2"/>
  <c r="R891" i="2"/>
  <c r="Q891" i="2"/>
  <c r="O891" i="2"/>
  <c r="M891" i="2"/>
  <c r="L891" i="2"/>
  <c r="K891" i="2"/>
  <c r="I891" i="2"/>
  <c r="G891" i="2"/>
  <c r="F891" i="2"/>
  <c r="W890" i="2"/>
  <c r="V890" i="2"/>
  <c r="U890" i="2"/>
  <c r="T890" i="2"/>
  <c r="S890" i="2"/>
  <c r="R890" i="2"/>
  <c r="Q890" i="2"/>
  <c r="O890" i="2"/>
  <c r="M890" i="2"/>
  <c r="L890" i="2"/>
  <c r="K890" i="2"/>
  <c r="I890" i="2"/>
  <c r="G890" i="2"/>
  <c r="F890" i="2"/>
  <c r="W889" i="2"/>
  <c r="V889" i="2"/>
  <c r="U889" i="2"/>
  <c r="T889" i="2"/>
  <c r="S889" i="2"/>
  <c r="R889" i="2"/>
  <c r="Q889" i="2"/>
  <c r="O889" i="2"/>
  <c r="M889" i="2"/>
  <c r="L889" i="2"/>
  <c r="K889" i="2"/>
  <c r="I889" i="2"/>
  <c r="G889" i="2"/>
  <c r="F889" i="2"/>
  <c r="W888" i="2"/>
  <c r="V888" i="2"/>
  <c r="U888" i="2"/>
  <c r="T888" i="2"/>
  <c r="S888" i="2"/>
  <c r="R888" i="2"/>
  <c r="Q888" i="2"/>
  <c r="O888" i="2"/>
  <c r="M888" i="2"/>
  <c r="L888" i="2"/>
  <c r="K888" i="2"/>
  <c r="I888" i="2"/>
  <c r="G888" i="2"/>
  <c r="F888" i="2"/>
  <c r="W887" i="2"/>
  <c r="V887" i="2"/>
  <c r="U887" i="2"/>
  <c r="T887" i="2"/>
  <c r="S887" i="2"/>
  <c r="R887" i="2"/>
  <c r="Q887" i="2"/>
  <c r="O887" i="2"/>
  <c r="M887" i="2"/>
  <c r="L887" i="2"/>
  <c r="K887" i="2"/>
  <c r="I887" i="2"/>
  <c r="G887" i="2"/>
  <c r="F887" i="2"/>
  <c r="W886" i="2"/>
  <c r="V886" i="2"/>
  <c r="U886" i="2"/>
  <c r="T886" i="2"/>
  <c r="S886" i="2"/>
  <c r="R886" i="2"/>
  <c r="Q886" i="2"/>
  <c r="O886" i="2"/>
  <c r="M886" i="2"/>
  <c r="L886" i="2"/>
  <c r="K886" i="2"/>
  <c r="I886" i="2"/>
  <c r="G886" i="2"/>
  <c r="F886" i="2"/>
  <c r="W885" i="2"/>
  <c r="V885" i="2"/>
  <c r="U885" i="2"/>
  <c r="T885" i="2"/>
  <c r="S885" i="2"/>
  <c r="R885" i="2"/>
  <c r="Q885" i="2"/>
  <c r="O885" i="2"/>
  <c r="M885" i="2"/>
  <c r="L885" i="2"/>
  <c r="K885" i="2"/>
  <c r="I885" i="2"/>
  <c r="G885" i="2"/>
  <c r="F885" i="2"/>
  <c r="W884" i="2"/>
  <c r="V884" i="2"/>
  <c r="U884" i="2"/>
  <c r="T884" i="2"/>
  <c r="S884" i="2"/>
  <c r="R884" i="2"/>
  <c r="Q884" i="2"/>
  <c r="O884" i="2"/>
  <c r="M884" i="2"/>
  <c r="L884" i="2"/>
  <c r="K884" i="2"/>
  <c r="I884" i="2"/>
  <c r="G884" i="2"/>
  <c r="F884" i="2"/>
  <c r="W883" i="2"/>
  <c r="V883" i="2"/>
  <c r="U883" i="2"/>
  <c r="T883" i="2"/>
  <c r="S883" i="2"/>
  <c r="R883" i="2"/>
  <c r="Q883" i="2"/>
  <c r="O883" i="2"/>
  <c r="M883" i="2"/>
  <c r="L883" i="2"/>
  <c r="K883" i="2"/>
  <c r="I883" i="2"/>
  <c r="G883" i="2"/>
  <c r="F883" i="2"/>
  <c r="W882" i="2"/>
  <c r="V882" i="2"/>
  <c r="U882" i="2"/>
  <c r="T882" i="2"/>
  <c r="S882" i="2"/>
  <c r="R882" i="2"/>
  <c r="Q882" i="2"/>
  <c r="O882" i="2"/>
  <c r="M882" i="2"/>
  <c r="L882" i="2"/>
  <c r="K882" i="2"/>
  <c r="I882" i="2"/>
  <c r="G882" i="2"/>
  <c r="F882" i="2"/>
  <c r="W881" i="2"/>
  <c r="V881" i="2"/>
  <c r="U881" i="2"/>
  <c r="T881" i="2"/>
  <c r="S881" i="2"/>
  <c r="R881" i="2"/>
  <c r="Q881" i="2"/>
  <c r="O881" i="2"/>
  <c r="M881" i="2"/>
  <c r="L881" i="2"/>
  <c r="K881" i="2"/>
  <c r="I881" i="2"/>
  <c r="G881" i="2"/>
  <c r="F881" i="2"/>
  <c r="W880" i="2"/>
  <c r="V880" i="2"/>
  <c r="U880" i="2"/>
  <c r="T880" i="2"/>
  <c r="S880" i="2"/>
  <c r="R880" i="2"/>
  <c r="Q880" i="2"/>
  <c r="O880" i="2"/>
  <c r="M880" i="2"/>
  <c r="L880" i="2"/>
  <c r="K880" i="2"/>
  <c r="I880" i="2"/>
  <c r="G880" i="2"/>
  <c r="F880" i="2"/>
  <c r="W879" i="2"/>
  <c r="V879" i="2"/>
  <c r="U879" i="2"/>
  <c r="T879" i="2"/>
  <c r="S879" i="2"/>
  <c r="R879" i="2"/>
  <c r="Q879" i="2"/>
  <c r="O879" i="2"/>
  <c r="M879" i="2"/>
  <c r="L879" i="2"/>
  <c r="K879" i="2"/>
  <c r="I879" i="2"/>
  <c r="G879" i="2"/>
  <c r="F879" i="2"/>
  <c r="W878" i="2"/>
  <c r="V878" i="2"/>
  <c r="U878" i="2"/>
  <c r="T878" i="2"/>
  <c r="S878" i="2"/>
  <c r="R878" i="2"/>
  <c r="Q878" i="2"/>
  <c r="O878" i="2"/>
  <c r="M878" i="2"/>
  <c r="L878" i="2"/>
  <c r="K878" i="2"/>
  <c r="I878" i="2"/>
  <c r="G878" i="2"/>
  <c r="F878" i="2"/>
  <c r="W877" i="2"/>
  <c r="V877" i="2"/>
  <c r="U877" i="2"/>
  <c r="T877" i="2"/>
  <c r="S877" i="2"/>
  <c r="R877" i="2"/>
  <c r="Q877" i="2"/>
  <c r="O877" i="2"/>
  <c r="M877" i="2"/>
  <c r="L877" i="2"/>
  <c r="K877" i="2"/>
  <c r="I877" i="2"/>
  <c r="G877" i="2"/>
  <c r="F877" i="2"/>
  <c r="W876" i="2"/>
  <c r="V876" i="2"/>
  <c r="U876" i="2"/>
  <c r="T876" i="2"/>
  <c r="S876" i="2"/>
  <c r="R876" i="2"/>
  <c r="Q876" i="2"/>
  <c r="O876" i="2"/>
  <c r="M876" i="2"/>
  <c r="L876" i="2"/>
  <c r="K876" i="2"/>
  <c r="I876" i="2"/>
  <c r="G876" i="2"/>
  <c r="F876" i="2"/>
  <c r="W875" i="2"/>
  <c r="V875" i="2"/>
  <c r="U875" i="2"/>
  <c r="T875" i="2"/>
  <c r="S875" i="2"/>
  <c r="R875" i="2"/>
  <c r="Q875" i="2"/>
  <c r="O875" i="2"/>
  <c r="M875" i="2"/>
  <c r="L875" i="2"/>
  <c r="K875" i="2"/>
  <c r="I875" i="2"/>
  <c r="G875" i="2"/>
  <c r="F875" i="2"/>
  <c r="W874" i="2"/>
  <c r="V874" i="2"/>
  <c r="U874" i="2"/>
  <c r="T874" i="2"/>
  <c r="S874" i="2"/>
  <c r="R874" i="2"/>
  <c r="Q874" i="2"/>
  <c r="O874" i="2"/>
  <c r="M874" i="2"/>
  <c r="L874" i="2"/>
  <c r="K874" i="2"/>
  <c r="I874" i="2"/>
  <c r="G874" i="2"/>
  <c r="F874" i="2"/>
  <c r="W873" i="2"/>
  <c r="V873" i="2"/>
  <c r="U873" i="2"/>
  <c r="T873" i="2"/>
  <c r="S873" i="2"/>
  <c r="R873" i="2"/>
  <c r="Q873" i="2"/>
  <c r="O873" i="2"/>
  <c r="M873" i="2"/>
  <c r="L873" i="2"/>
  <c r="K873" i="2"/>
  <c r="I873" i="2"/>
  <c r="G873" i="2"/>
  <c r="F873" i="2"/>
  <c r="W872" i="2"/>
  <c r="V872" i="2"/>
  <c r="U872" i="2"/>
  <c r="T872" i="2"/>
  <c r="S872" i="2"/>
  <c r="R872" i="2"/>
  <c r="Q872" i="2"/>
  <c r="O872" i="2"/>
  <c r="M872" i="2"/>
  <c r="L872" i="2"/>
  <c r="K872" i="2"/>
  <c r="I872" i="2"/>
  <c r="G872" i="2"/>
  <c r="F872" i="2"/>
  <c r="W871" i="2"/>
  <c r="V871" i="2"/>
  <c r="U871" i="2"/>
  <c r="T871" i="2"/>
  <c r="S871" i="2"/>
  <c r="R871" i="2"/>
  <c r="Q871" i="2"/>
  <c r="O871" i="2"/>
  <c r="M871" i="2"/>
  <c r="L871" i="2"/>
  <c r="K871" i="2"/>
  <c r="I871" i="2"/>
  <c r="G871" i="2"/>
  <c r="F871" i="2"/>
  <c r="W870" i="2"/>
  <c r="V870" i="2"/>
  <c r="U870" i="2"/>
  <c r="T870" i="2"/>
  <c r="S870" i="2"/>
  <c r="R870" i="2"/>
  <c r="Q870" i="2"/>
  <c r="O870" i="2"/>
  <c r="M870" i="2"/>
  <c r="L870" i="2"/>
  <c r="K870" i="2"/>
  <c r="I870" i="2"/>
  <c r="G870" i="2"/>
  <c r="F870" i="2"/>
  <c r="W869" i="2"/>
  <c r="V869" i="2"/>
  <c r="U869" i="2"/>
  <c r="T869" i="2"/>
  <c r="S869" i="2"/>
  <c r="R869" i="2"/>
  <c r="Q869" i="2"/>
  <c r="O869" i="2"/>
  <c r="M869" i="2"/>
  <c r="L869" i="2"/>
  <c r="K869" i="2"/>
  <c r="I869" i="2"/>
  <c r="G869" i="2"/>
  <c r="F869" i="2"/>
  <c r="W868" i="2"/>
  <c r="V868" i="2"/>
  <c r="U868" i="2"/>
  <c r="T868" i="2"/>
  <c r="S868" i="2"/>
  <c r="R868" i="2"/>
  <c r="Q868" i="2"/>
  <c r="O868" i="2"/>
  <c r="M868" i="2"/>
  <c r="L868" i="2"/>
  <c r="K868" i="2"/>
  <c r="I868" i="2"/>
  <c r="G868" i="2"/>
  <c r="F868" i="2"/>
  <c r="W867" i="2"/>
  <c r="V867" i="2"/>
  <c r="U867" i="2"/>
  <c r="T867" i="2"/>
  <c r="S867" i="2"/>
  <c r="R867" i="2"/>
  <c r="Q867" i="2"/>
  <c r="O867" i="2"/>
  <c r="M867" i="2"/>
  <c r="L867" i="2"/>
  <c r="K867" i="2"/>
  <c r="I867" i="2"/>
  <c r="G867" i="2"/>
  <c r="F867" i="2"/>
  <c r="W866" i="2"/>
  <c r="V866" i="2"/>
  <c r="U866" i="2"/>
  <c r="T866" i="2"/>
  <c r="S866" i="2"/>
  <c r="R866" i="2"/>
  <c r="Q866" i="2"/>
  <c r="O866" i="2"/>
  <c r="M866" i="2"/>
  <c r="L866" i="2"/>
  <c r="K866" i="2"/>
  <c r="I866" i="2"/>
  <c r="G866" i="2"/>
  <c r="F866" i="2"/>
  <c r="W865" i="2"/>
  <c r="V865" i="2"/>
  <c r="U865" i="2"/>
  <c r="T865" i="2"/>
  <c r="S865" i="2"/>
  <c r="R865" i="2"/>
  <c r="Q865" i="2"/>
  <c r="O865" i="2"/>
  <c r="M865" i="2"/>
  <c r="L865" i="2"/>
  <c r="K865" i="2"/>
  <c r="I865" i="2"/>
  <c r="G865" i="2"/>
  <c r="F865" i="2"/>
  <c r="W864" i="2"/>
  <c r="V864" i="2"/>
  <c r="U864" i="2"/>
  <c r="T864" i="2"/>
  <c r="S864" i="2"/>
  <c r="R864" i="2"/>
  <c r="Q864" i="2"/>
  <c r="O864" i="2"/>
  <c r="M864" i="2"/>
  <c r="L864" i="2"/>
  <c r="K864" i="2"/>
  <c r="I864" i="2"/>
  <c r="G864" i="2"/>
  <c r="F864" i="2"/>
  <c r="W863" i="2"/>
  <c r="V863" i="2"/>
  <c r="U863" i="2"/>
  <c r="T863" i="2"/>
  <c r="S863" i="2"/>
  <c r="R863" i="2"/>
  <c r="Q863" i="2"/>
  <c r="O863" i="2"/>
  <c r="M863" i="2"/>
  <c r="L863" i="2"/>
  <c r="K863" i="2"/>
  <c r="I863" i="2"/>
  <c r="G863" i="2"/>
  <c r="F863" i="2"/>
  <c r="W862" i="2"/>
  <c r="V862" i="2"/>
  <c r="U862" i="2"/>
  <c r="T862" i="2"/>
  <c r="S862" i="2"/>
  <c r="R862" i="2"/>
  <c r="Q862" i="2"/>
  <c r="O862" i="2"/>
  <c r="M862" i="2"/>
  <c r="L862" i="2"/>
  <c r="K862" i="2"/>
  <c r="I862" i="2"/>
  <c r="G862" i="2"/>
  <c r="F862" i="2"/>
  <c r="W861" i="2"/>
  <c r="V861" i="2"/>
  <c r="U861" i="2"/>
  <c r="T861" i="2"/>
  <c r="S861" i="2"/>
  <c r="R861" i="2"/>
  <c r="Q861" i="2"/>
  <c r="O861" i="2"/>
  <c r="M861" i="2"/>
  <c r="L861" i="2"/>
  <c r="K861" i="2"/>
  <c r="I861" i="2"/>
  <c r="G861" i="2"/>
  <c r="F861" i="2"/>
  <c r="W860" i="2"/>
  <c r="V860" i="2"/>
  <c r="U860" i="2"/>
  <c r="T860" i="2"/>
  <c r="S860" i="2"/>
  <c r="R860" i="2"/>
  <c r="Q860" i="2"/>
  <c r="O860" i="2"/>
  <c r="M860" i="2"/>
  <c r="L860" i="2"/>
  <c r="K860" i="2"/>
  <c r="I860" i="2"/>
  <c r="G860" i="2"/>
  <c r="F860" i="2"/>
  <c r="W859" i="2"/>
  <c r="V859" i="2"/>
  <c r="U859" i="2"/>
  <c r="T859" i="2"/>
  <c r="S859" i="2"/>
  <c r="R859" i="2"/>
  <c r="Q859" i="2"/>
  <c r="O859" i="2"/>
  <c r="M859" i="2"/>
  <c r="L859" i="2"/>
  <c r="K859" i="2"/>
  <c r="I859" i="2"/>
  <c r="G859" i="2"/>
  <c r="F859" i="2"/>
  <c r="W858" i="2"/>
  <c r="V858" i="2"/>
  <c r="U858" i="2"/>
  <c r="T858" i="2"/>
  <c r="S858" i="2"/>
  <c r="R858" i="2"/>
  <c r="Q858" i="2"/>
  <c r="O858" i="2"/>
  <c r="M858" i="2"/>
  <c r="L858" i="2"/>
  <c r="K858" i="2"/>
  <c r="I858" i="2"/>
  <c r="G858" i="2"/>
  <c r="F858" i="2"/>
  <c r="W857" i="2"/>
  <c r="V857" i="2"/>
  <c r="U857" i="2"/>
  <c r="T857" i="2"/>
  <c r="S857" i="2"/>
  <c r="R857" i="2"/>
  <c r="Q857" i="2"/>
  <c r="O857" i="2"/>
  <c r="M857" i="2"/>
  <c r="L857" i="2"/>
  <c r="K857" i="2"/>
  <c r="I857" i="2"/>
  <c r="G857" i="2"/>
  <c r="F857" i="2"/>
  <c r="W856" i="2"/>
  <c r="V856" i="2"/>
  <c r="U856" i="2"/>
  <c r="T856" i="2"/>
  <c r="S856" i="2"/>
  <c r="R856" i="2"/>
  <c r="Q856" i="2"/>
  <c r="O856" i="2"/>
  <c r="M856" i="2"/>
  <c r="L856" i="2"/>
  <c r="K856" i="2"/>
  <c r="I856" i="2"/>
  <c r="G856" i="2"/>
  <c r="F856" i="2"/>
  <c r="W855" i="2"/>
  <c r="V855" i="2"/>
  <c r="U855" i="2"/>
  <c r="T855" i="2"/>
  <c r="S855" i="2"/>
  <c r="R855" i="2"/>
  <c r="Q855" i="2"/>
  <c r="O855" i="2"/>
  <c r="M855" i="2"/>
  <c r="L855" i="2"/>
  <c r="K855" i="2"/>
  <c r="I855" i="2"/>
  <c r="G855" i="2"/>
  <c r="F855" i="2"/>
  <c r="W854" i="2"/>
  <c r="V854" i="2"/>
  <c r="U854" i="2"/>
  <c r="T854" i="2"/>
  <c r="S854" i="2"/>
  <c r="R854" i="2"/>
  <c r="Q854" i="2"/>
  <c r="O854" i="2"/>
  <c r="M854" i="2"/>
  <c r="L854" i="2"/>
  <c r="K854" i="2"/>
  <c r="I854" i="2"/>
  <c r="G854" i="2"/>
  <c r="F854" i="2"/>
  <c r="W853" i="2"/>
  <c r="V853" i="2"/>
  <c r="U853" i="2"/>
  <c r="T853" i="2"/>
  <c r="S853" i="2"/>
  <c r="R853" i="2"/>
  <c r="Q853" i="2"/>
  <c r="O853" i="2"/>
  <c r="M853" i="2"/>
  <c r="L853" i="2"/>
  <c r="K853" i="2"/>
  <c r="I853" i="2"/>
  <c r="G853" i="2"/>
  <c r="F853" i="2"/>
  <c r="W852" i="2"/>
  <c r="V852" i="2"/>
  <c r="U852" i="2"/>
  <c r="T852" i="2"/>
  <c r="S852" i="2"/>
  <c r="R852" i="2"/>
  <c r="Q852" i="2"/>
  <c r="O852" i="2"/>
  <c r="M852" i="2"/>
  <c r="L852" i="2"/>
  <c r="K852" i="2"/>
  <c r="I852" i="2"/>
  <c r="G852" i="2"/>
  <c r="F852" i="2"/>
  <c r="W851" i="2"/>
  <c r="V851" i="2"/>
  <c r="U851" i="2"/>
  <c r="T851" i="2"/>
  <c r="S851" i="2"/>
  <c r="R851" i="2"/>
  <c r="Q851" i="2"/>
  <c r="O851" i="2"/>
  <c r="M851" i="2"/>
  <c r="L851" i="2"/>
  <c r="K851" i="2"/>
  <c r="I851" i="2"/>
  <c r="G851" i="2"/>
  <c r="F851" i="2"/>
  <c r="W850" i="2"/>
  <c r="V850" i="2"/>
  <c r="U850" i="2"/>
  <c r="T850" i="2"/>
  <c r="S850" i="2"/>
  <c r="R850" i="2"/>
  <c r="Q850" i="2"/>
  <c r="O850" i="2"/>
  <c r="M850" i="2"/>
  <c r="L850" i="2"/>
  <c r="K850" i="2"/>
  <c r="I850" i="2"/>
  <c r="G850" i="2"/>
  <c r="F850" i="2"/>
  <c r="W849" i="2"/>
  <c r="V849" i="2"/>
  <c r="U849" i="2"/>
  <c r="T849" i="2"/>
  <c r="S849" i="2"/>
  <c r="R849" i="2"/>
  <c r="Q849" i="2"/>
  <c r="O849" i="2"/>
  <c r="M849" i="2"/>
  <c r="L849" i="2"/>
  <c r="K849" i="2"/>
  <c r="I849" i="2"/>
  <c r="G849" i="2"/>
  <c r="F849" i="2"/>
  <c r="W848" i="2"/>
  <c r="V848" i="2"/>
  <c r="U848" i="2"/>
  <c r="T848" i="2"/>
  <c r="S848" i="2"/>
  <c r="R848" i="2"/>
  <c r="Q848" i="2"/>
  <c r="O848" i="2"/>
  <c r="M848" i="2"/>
  <c r="L848" i="2"/>
  <c r="K848" i="2"/>
  <c r="I848" i="2"/>
  <c r="G848" i="2"/>
  <c r="F848" i="2"/>
  <c r="W847" i="2"/>
  <c r="V847" i="2"/>
  <c r="U847" i="2"/>
  <c r="T847" i="2"/>
  <c r="S847" i="2"/>
  <c r="R847" i="2"/>
  <c r="Q847" i="2"/>
  <c r="O847" i="2"/>
  <c r="M847" i="2"/>
  <c r="L847" i="2"/>
  <c r="K847" i="2"/>
  <c r="I847" i="2"/>
  <c r="G847" i="2"/>
  <c r="F847" i="2"/>
  <c r="W846" i="2"/>
  <c r="V846" i="2"/>
  <c r="U846" i="2"/>
  <c r="T846" i="2"/>
  <c r="S846" i="2"/>
  <c r="R846" i="2"/>
  <c r="Q846" i="2"/>
  <c r="O846" i="2"/>
  <c r="M846" i="2"/>
  <c r="L846" i="2"/>
  <c r="K846" i="2"/>
  <c r="I846" i="2"/>
  <c r="G846" i="2"/>
  <c r="F846" i="2"/>
  <c r="W845" i="2"/>
  <c r="V845" i="2"/>
  <c r="U845" i="2"/>
  <c r="T845" i="2"/>
  <c r="S845" i="2"/>
  <c r="R845" i="2"/>
  <c r="Q845" i="2"/>
  <c r="O845" i="2"/>
  <c r="M845" i="2"/>
  <c r="L845" i="2"/>
  <c r="K845" i="2"/>
  <c r="I845" i="2"/>
  <c r="G845" i="2"/>
  <c r="F845" i="2"/>
  <c r="W844" i="2"/>
  <c r="V844" i="2"/>
  <c r="U844" i="2"/>
  <c r="T844" i="2"/>
  <c r="S844" i="2"/>
  <c r="R844" i="2"/>
  <c r="Q844" i="2"/>
  <c r="O844" i="2"/>
  <c r="M844" i="2"/>
  <c r="L844" i="2"/>
  <c r="K844" i="2"/>
  <c r="I844" i="2"/>
  <c r="G844" i="2"/>
  <c r="F844" i="2"/>
  <c r="W843" i="2"/>
  <c r="V843" i="2"/>
  <c r="U843" i="2"/>
  <c r="T843" i="2"/>
  <c r="S843" i="2"/>
  <c r="R843" i="2"/>
  <c r="Q843" i="2"/>
  <c r="O843" i="2"/>
  <c r="M843" i="2"/>
  <c r="L843" i="2"/>
  <c r="K843" i="2"/>
  <c r="I843" i="2"/>
  <c r="G843" i="2"/>
  <c r="F843" i="2"/>
  <c r="W842" i="2"/>
  <c r="V842" i="2"/>
  <c r="U842" i="2"/>
  <c r="T842" i="2"/>
  <c r="S842" i="2"/>
  <c r="R842" i="2"/>
  <c r="Q842" i="2"/>
  <c r="O842" i="2"/>
  <c r="M842" i="2"/>
  <c r="L842" i="2"/>
  <c r="K842" i="2"/>
  <c r="I842" i="2"/>
  <c r="G842" i="2"/>
  <c r="F842" i="2"/>
  <c r="W841" i="2"/>
  <c r="V841" i="2"/>
  <c r="U841" i="2"/>
  <c r="T841" i="2"/>
  <c r="S841" i="2"/>
  <c r="R841" i="2"/>
  <c r="Q841" i="2"/>
  <c r="O841" i="2"/>
  <c r="M841" i="2"/>
  <c r="L841" i="2"/>
  <c r="K841" i="2"/>
  <c r="I841" i="2"/>
  <c r="G841" i="2"/>
  <c r="F841" i="2"/>
  <c r="W840" i="2"/>
  <c r="V840" i="2"/>
  <c r="U840" i="2"/>
  <c r="T840" i="2"/>
  <c r="S840" i="2"/>
  <c r="R840" i="2"/>
  <c r="Q840" i="2"/>
  <c r="O840" i="2"/>
  <c r="M840" i="2"/>
  <c r="L840" i="2"/>
  <c r="K840" i="2"/>
  <c r="I840" i="2"/>
  <c r="G840" i="2"/>
  <c r="F840" i="2"/>
  <c r="W839" i="2"/>
  <c r="V839" i="2"/>
  <c r="U839" i="2"/>
  <c r="T839" i="2"/>
  <c r="S839" i="2"/>
  <c r="R839" i="2"/>
  <c r="Q839" i="2"/>
  <c r="O839" i="2"/>
  <c r="M839" i="2"/>
  <c r="L839" i="2"/>
  <c r="K839" i="2"/>
  <c r="I839" i="2"/>
  <c r="G839" i="2"/>
  <c r="F839" i="2"/>
  <c r="W838" i="2"/>
  <c r="V838" i="2"/>
  <c r="U838" i="2"/>
  <c r="T838" i="2"/>
  <c r="S838" i="2"/>
  <c r="R838" i="2"/>
  <c r="Q838" i="2"/>
  <c r="O838" i="2"/>
  <c r="M838" i="2"/>
  <c r="L838" i="2"/>
  <c r="K838" i="2"/>
  <c r="I838" i="2"/>
  <c r="G838" i="2"/>
  <c r="F838" i="2"/>
  <c r="W837" i="2"/>
  <c r="V837" i="2"/>
  <c r="U837" i="2"/>
  <c r="T837" i="2"/>
  <c r="S837" i="2"/>
  <c r="R837" i="2"/>
  <c r="Q837" i="2"/>
  <c r="O837" i="2"/>
  <c r="M837" i="2"/>
  <c r="L837" i="2"/>
  <c r="K837" i="2"/>
  <c r="I837" i="2"/>
  <c r="G837" i="2"/>
  <c r="F837" i="2"/>
  <c r="W836" i="2"/>
  <c r="V836" i="2"/>
  <c r="U836" i="2"/>
  <c r="T836" i="2"/>
  <c r="S836" i="2"/>
  <c r="R836" i="2"/>
  <c r="Q836" i="2"/>
  <c r="O836" i="2"/>
  <c r="M836" i="2"/>
  <c r="L836" i="2"/>
  <c r="K836" i="2"/>
  <c r="I836" i="2"/>
  <c r="G836" i="2"/>
  <c r="F836" i="2"/>
  <c r="W835" i="2"/>
  <c r="V835" i="2"/>
  <c r="U835" i="2"/>
  <c r="T835" i="2"/>
  <c r="S835" i="2"/>
  <c r="R835" i="2"/>
  <c r="Q835" i="2"/>
  <c r="O835" i="2"/>
  <c r="M835" i="2"/>
  <c r="L835" i="2"/>
  <c r="K835" i="2"/>
  <c r="I835" i="2"/>
  <c r="G835" i="2"/>
  <c r="F835" i="2"/>
  <c r="W834" i="2"/>
  <c r="V834" i="2"/>
  <c r="U834" i="2"/>
  <c r="T834" i="2"/>
  <c r="S834" i="2"/>
  <c r="R834" i="2"/>
  <c r="Q834" i="2"/>
  <c r="O834" i="2"/>
  <c r="M834" i="2"/>
  <c r="L834" i="2"/>
  <c r="K834" i="2"/>
  <c r="I834" i="2"/>
  <c r="G834" i="2"/>
  <c r="F834" i="2"/>
  <c r="W833" i="2"/>
  <c r="V833" i="2"/>
  <c r="U833" i="2"/>
  <c r="T833" i="2"/>
  <c r="S833" i="2"/>
  <c r="R833" i="2"/>
  <c r="Q833" i="2"/>
  <c r="O833" i="2"/>
  <c r="M833" i="2"/>
  <c r="L833" i="2"/>
  <c r="K833" i="2"/>
  <c r="I833" i="2"/>
  <c r="G833" i="2"/>
  <c r="F833" i="2"/>
  <c r="W832" i="2"/>
  <c r="V832" i="2"/>
  <c r="U832" i="2"/>
  <c r="T832" i="2"/>
  <c r="S832" i="2"/>
  <c r="R832" i="2"/>
  <c r="Q832" i="2"/>
  <c r="O832" i="2"/>
  <c r="M832" i="2"/>
  <c r="L832" i="2"/>
  <c r="K832" i="2"/>
  <c r="I832" i="2"/>
  <c r="G832" i="2"/>
  <c r="F832" i="2"/>
  <c r="W831" i="2"/>
  <c r="V831" i="2"/>
  <c r="U831" i="2"/>
  <c r="T831" i="2"/>
  <c r="S831" i="2"/>
  <c r="R831" i="2"/>
  <c r="Q831" i="2"/>
  <c r="O831" i="2"/>
  <c r="M831" i="2"/>
  <c r="L831" i="2"/>
  <c r="K831" i="2"/>
  <c r="I831" i="2"/>
  <c r="G831" i="2"/>
  <c r="F831" i="2"/>
  <c r="W830" i="2"/>
  <c r="V830" i="2"/>
  <c r="U830" i="2"/>
  <c r="T830" i="2"/>
  <c r="S830" i="2"/>
  <c r="R830" i="2"/>
  <c r="Q830" i="2"/>
  <c r="O830" i="2"/>
  <c r="M830" i="2"/>
  <c r="L830" i="2"/>
  <c r="K830" i="2"/>
  <c r="I830" i="2"/>
  <c r="G830" i="2"/>
  <c r="F830" i="2"/>
  <c r="W829" i="2"/>
  <c r="V829" i="2"/>
  <c r="U829" i="2"/>
  <c r="T829" i="2"/>
  <c r="S829" i="2"/>
  <c r="R829" i="2"/>
  <c r="Q829" i="2"/>
  <c r="O829" i="2"/>
  <c r="M829" i="2"/>
  <c r="L829" i="2"/>
  <c r="K829" i="2"/>
  <c r="I829" i="2"/>
  <c r="G829" i="2"/>
  <c r="F829" i="2"/>
  <c r="W828" i="2"/>
  <c r="V828" i="2"/>
  <c r="U828" i="2"/>
  <c r="T828" i="2"/>
  <c r="S828" i="2"/>
  <c r="R828" i="2"/>
  <c r="Q828" i="2"/>
  <c r="O828" i="2"/>
  <c r="M828" i="2"/>
  <c r="L828" i="2"/>
  <c r="K828" i="2"/>
  <c r="I828" i="2"/>
  <c r="G828" i="2"/>
  <c r="F828" i="2"/>
  <c r="W827" i="2"/>
  <c r="V827" i="2"/>
  <c r="U827" i="2"/>
  <c r="T827" i="2"/>
  <c r="S827" i="2"/>
  <c r="R827" i="2"/>
  <c r="Q827" i="2"/>
  <c r="O827" i="2"/>
  <c r="M827" i="2"/>
  <c r="L827" i="2"/>
  <c r="K827" i="2"/>
  <c r="I827" i="2"/>
  <c r="G827" i="2"/>
  <c r="F827" i="2"/>
  <c r="W826" i="2"/>
  <c r="V826" i="2"/>
  <c r="U826" i="2"/>
  <c r="T826" i="2"/>
  <c r="S826" i="2"/>
  <c r="R826" i="2"/>
  <c r="Q826" i="2"/>
  <c r="O826" i="2"/>
  <c r="M826" i="2"/>
  <c r="L826" i="2"/>
  <c r="K826" i="2"/>
  <c r="I826" i="2"/>
  <c r="G826" i="2"/>
  <c r="F826" i="2"/>
  <c r="W825" i="2"/>
  <c r="V825" i="2"/>
  <c r="U825" i="2"/>
  <c r="T825" i="2"/>
  <c r="S825" i="2"/>
  <c r="R825" i="2"/>
  <c r="Q825" i="2"/>
  <c r="O825" i="2"/>
  <c r="M825" i="2"/>
  <c r="L825" i="2"/>
  <c r="K825" i="2"/>
  <c r="I825" i="2"/>
  <c r="G825" i="2"/>
  <c r="F825" i="2"/>
  <c r="W824" i="2"/>
  <c r="V824" i="2"/>
  <c r="U824" i="2"/>
  <c r="T824" i="2"/>
  <c r="S824" i="2"/>
  <c r="R824" i="2"/>
  <c r="Q824" i="2"/>
  <c r="O824" i="2"/>
  <c r="M824" i="2"/>
  <c r="L824" i="2"/>
  <c r="K824" i="2"/>
  <c r="I824" i="2"/>
  <c r="G824" i="2"/>
  <c r="F824" i="2"/>
  <c r="W823" i="2"/>
  <c r="V823" i="2"/>
  <c r="U823" i="2"/>
  <c r="T823" i="2"/>
  <c r="S823" i="2"/>
  <c r="R823" i="2"/>
  <c r="Q823" i="2"/>
  <c r="O823" i="2"/>
  <c r="M823" i="2"/>
  <c r="L823" i="2"/>
  <c r="K823" i="2"/>
  <c r="I823" i="2"/>
  <c r="G823" i="2"/>
  <c r="F823" i="2"/>
  <c r="W822" i="2"/>
  <c r="V822" i="2"/>
  <c r="U822" i="2"/>
  <c r="T822" i="2"/>
  <c r="S822" i="2"/>
  <c r="R822" i="2"/>
  <c r="Q822" i="2"/>
  <c r="O822" i="2"/>
  <c r="M822" i="2"/>
  <c r="L822" i="2"/>
  <c r="K822" i="2"/>
  <c r="I822" i="2"/>
  <c r="G822" i="2"/>
  <c r="F822" i="2"/>
  <c r="W821" i="2"/>
  <c r="V821" i="2"/>
  <c r="U821" i="2"/>
  <c r="T821" i="2"/>
  <c r="S821" i="2"/>
  <c r="R821" i="2"/>
  <c r="Q821" i="2"/>
  <c r="O821" i="2"/>
  <c r="M821" i="2"/>
  <c r="L821" i="2"/>
  <c r="K821" i="2"/>
  <c r="I821" i="2"/>
  <c r="G821" i="2"/>
  <c r="F821" i="2"/>
  <c r="W820" i="2"/>
  <c r="V820" i="2"/>
  <c r="U820" i="2"/>
  <c r="T820" i="2"/>
  <c r="S820" i="2"/>
  <c r="R820" i="2"/>
  <c r="Q820" i="2"/>
  <c r="O820" i="2"/>
  <c r="M820" i="2"/>
  <c r="L820" i="2"/>
  <c r="K820" i="2"/>
  <c r="I820" i="2"/>
  <c r="G820" i="2"/>
  <c r="F820" i="2"/>
  <c r="W819" i="2"/>
  <c r="V819" i="2"/>
  <c r="U819" i="2"/>
  <c r="T819" i="2"/>
  <c r="S819" i="2"/>
  <c r="R819" i="2"/>
  <c r="Q819" i="2"/>
  <c r="O819" i="2"/>
  <c r="M819" i="2"/>
  <c r="L819" i="2"/>
  <c r="K819" i="2"/>
  <c r="I819" i="2"/>
  <c r="G819" i="2"/>
  <c r="F819" i="2"/>
  <c r="W818" i="2"/>
  <c r="V818" i="2"/>
  <c r="U818" i="2"/>
  <c r="T818" i="2"/>
  <c r="S818" i="2"/>
  <c r="R818" i="2"/>
  <c r="Q818" i="2"/>
  <c r="O818" i="2"/>
  <c r="M818" i="2"/>
  <c r="L818" i="2"/>
  <c r="K818" i="2"/>
  <c r="I818" i="2"/>
  <c r="G818" i="2"/>
  <c r="F818" i="2"/>
  <c r="W817" i="2"/>
  <c r="V817" i="2"/>
  <c r="U817" i="2"/>
  <c r="T817" i="2"/>
  <c r="S817" i="2"/>
  <c r="R817" i="2"/>
  <c r="Q817" i="2"/>
  <c r="O817" i="2"/>
  <c r="M817" i="2"/>
  <c r="L817" i="2"/>
  <c r="K817" i="2"/>
  <c r="I817" i="2"/>
  <c r="G817" i="2"/>
  <c r="F817" i="2"/>
  <c r="W816" i="2"/>
  <c r="V816" i="2"/>
  <c r="U816" i="2"/>
  <c r="T816" i="2"/>
  <c r="S816" i="2"/>
  <c r="R816" i="2"/>
  <c r="Q816" i="2"/>
  <c r="O816" i="2"/>
  <c r="M816" i="2"/>
  <c r="L816" i="2"/>
  <c r="K816" i="2"/>
  <c r="I816" i="2"/>
  <c r="G816" i="2"/>
  <c r="F816" i="2"/>
  <c r="W815" i="2"/>
  <c r="V815" i="2"/>
  <c r="U815" i="2"/>
  <c r="T815" i="2"/>
  <c r="S815" i="2"/>
  <c r="R815" i="2"/>
  <c r="Q815" i="2"/>
  <c r="O815" i="2"/>
  <c r="M815" i="2"/>
  <c r="L815" i="2"/>
  <c r="K815" i="2"/>
  <c r="I815" i="2"/>
  <c r="G815" i="2"/>
  <c r="F815" i="2"/>
  <c r="W814" i="2"/>
  <c r="V814" i="2"/>
  <c r="U814" i="2"/>
  <c r="T814" i="2"/>
  <c r="S814" i="2"/>
  <c r="R814" i="2"/>
  <c r="Q814" i="2"/>
  <c r="O814" i="2"/>
  <c r="M814" i="2"/>
  <c r="L814" i="2"/>
  <c r="K814" i="2"/>
  <c r="I814" i="2"/>
  <c r="G814" i="2"/>
  <c r="F814" i="2"/>
  <c r="W813" i="2"/>
  <c r="V813" i="2"/>
  <c r="U813" i="2"/>
  <c r="T813" i="2"/>
  <c r="S813" i="2"/>
  <c r="R813" i="2"/>
  <c r="Q813" i="2"/>
  <c r="O813" i="2"/>
  <c r="M813" i="2"/>
  <c r="L813" i="2"/>
  <c r="K813" i="2"/>
  <c r="I813" i="2"/>
  <c r="G813" i="2"/>
  <c r="F813" i="2"/>
  <c r="W812" i="2"/>
  <c r="V812" i="2"/>
  <c r="U812" i="2"/>
  <c r="T812" i="2"/>
  <c r="S812" i="2"/>
  <c r="R812" i="2"/>
  <c r="Q812" i="2"/>
  <c r="O812" i="2"/>
  <c r="M812" i="2"/>
  <c r="L812" i="2"/>
  <c r="K812" i="2"/>
  <c r="I812" i="2"/>
  <c r="G812" i="2"/>
  <c r="F812" i="2"/>
  <c r="W811" i="2"/>
  <c r="V811" i="2"/>
  <c r="U811" i="2"/>
  <c r="T811" i="2"/>
  <c r="S811" i="2"/>
  <c r="R811" i="2"/>
  <c r="Q811" i="2"/>
  <c r="O811" i="2"/>
  <c r="M811" i="2"/>
  <c r="L811" i="2"/>
  <c r="K811" i="2"/>
  <c r="I811" i="2"/>
  <c r="G811" i="2"/>
  <c r="F811" i="2"/>
  <c r="W810" i="2"/>
  <c r="V810" i="2"/>
  <c r="U810" i="2"/>
  <c r="T810" i="2"/>
  <c r="S810" i="2"/>
  <c r="R810" i="2"/>
  <c r="Q810" i="2"/>
  <c r="O810" i="2"/>
  <c r="M810" i="2"/>
  <c r="L810" i="2"/>
  <c r="K810" i="2"/>
  <c r="I810" i="2"/>
  <c r="G810" i="2"/>
  <c r="F810" i="2"/>
  <c r="W809" i="2"/>
  <c r="V809" i="2"/>
  <c r="U809" i="2"/>
  <c r="T809" i="2"/>
  <c r="S809" i="2"/>
  <c r="R809" i="2"/>
  <c r="Q809" i="2"/>
  <c r="O809" i="2"/>
  <c r="M809" i="2"/>
  <c r="L809" i="2"/>
  <c r="K809" i="2"/>
  <c r="I809" i="2"/>
  <c r="G809" i="2"/>
  <c r="F809" i="2"/>
  <c r="W808" i="2"/>
  <c r="V808" i="2"/>
  <c r="U808" i="2"/>
  <c r="T808" i="2"/>
  <c r="S808" i="2"/>
  <c r="R808" i="2"/>
  <c r="Q808" i="2"/>
  <c r="O808" i="2"/>
  <c r="M808" i="2"/>
  <c r="L808" i="2"/>
  <c r="K808" i="2"/>
  <c r="I808" i="2"/>
  <c r="G808" i="2"/>
  <c r="F808" i="2"/>
  <c r="W807" i="2"/>
  <c r="V807" i="2"/>
  <c r="U807" i="2"/>
  <c r="T807" i="2"/>
  <c r="S807" i="2"/>
  <c r="R807" i="2"/>
  <c r="Q807" i="2"/>
  <c r="O807" i="2"/>
  <c r="M807" i="2"/>
  <c r="L807" i="2"/>
  <c r="K807" i="2"/>
  <c r="I807" i="2"/>
  <c r="G807" i="2"/>
  <c r="F807" i="2"/>
  <c r="W806" i="2"/>
  <c r="V806" i="2"/>
  <c r="U806" i="2"/>
  <c r="T806" i="2"/>
  <c r="S806" i="2"/>
  <c r="R806" i="2"/>
  <c r="Q806" i="2"/>
  <c r="O806" i="2"/>
  <c r="M806" i="2"/>
  <c r="L806" i="2"/>
  <c r="K806" i="2"/>
  <c r="I806" i="2"/>
  <c r="G806" i="2"/>
  <c r="F806" i="2"/>
  <c r="W805" i="2"/>
  <c r="V805" i="2"/>
  <c r="U805" i="2"/>
  <c r="T805" i="2"/>
  <c r="S805" i="2"/>
  <c r="R805" i="2"/>
  <c r="Q805" i="2"/>
  <c r="O805" i="2"/>
  <c r="M805" i="2"/>
  <c r="L805" i="2"/>
  <c r="K805" i="2"/>
  <c r="I805" i="2"/>
  <c r="G805" i="2"/>
  <c r="F805" i="2"/>
  <c r="W804" i="2"/>
  <c r="V804" i="2"/>
  <c r="U804" i="2"/>
  <c r="T804" i="2"/>
  <c r="S804" i="2"/>
  <c r="R804" i="2"/>
  <c r="Q804" i="2"/>
  <c r="O804" i="2"/>
  <c r="M804" i="2"/>
  <c r="L804" i="2"/>
  <c r="K804" i="2"/>
  <c r="I804" i="2"/>
  <c r="G804" i="2"/>
  <c r="F804" i="2"/>
  <c r="W803" i="2"/>
  <c r="V803" i="2"/>
  <c r="U803" i="2"/>
  <c r="T803" i="2"/>
  <c r="S803" i="2"/>
  <c r="R803" i="2"/>
  <c r="Q803" i="2"/>
  <c r="O803" i="2"/>
  <c r="M803" i="2"/>
  <c r="L803" i="2"/>
  <c r="K803" i="2"/>
  <c r="I803" i="2"/>
  <c r="G803" i="2"/>
  <c r="F803" i="2"/>
  <c r="W802" i="2"/>
  <c r="V802" i="2"/>
  <c r="U802" i="2"/>
  <c r="T802" i="2"/>
  <c r="S802" i="2"/>
  <c r="R802" i="2"/>
  <c r="Q802" i="2"/>
  <c r="O802" i="2"/>
  <c r="M802" i="2"/>
  <c r="L802" i="2"/>
  <c r="K802" i="2"/>
  <c r="I802" i="2"/>
  <c r="G802" i="2"/>
  <c r="F802" i="2"/>
  <c r="W801" i="2"/>
  <c r="V801" i="2"/>
  <c r="U801" i="2"/>
  <c r="T801" i="2"/>
  <c r="S801" i="2"/>
  <c r="R801" i="2"/>
  <c r="Q801" i="2"/>
  <c r="O801" i="2"/>
  <c r="M801" i="2"/>
  <c r="L801" i="2"/>
  <c r="K801" i="2"/>
  <c r="I801" i="2"/>
  <c r="G801" i="2"/>
  <c r="F801" i="2"/>
  <c r="W800" i="2"/>
  <c r="V800" i="2"/>
  <c r="U800" i="2"/>
  <c r="T800" i="2"/>
  <c r="S800" i="2"/>
  <c r="R800" i="2"/>
  <c r="Q800" i="2"/>
  <c r="O800" i="2"/>
  <c r="M800" i="2"/>
  <c r="L800" i="2"/>
  <c r="K800" i="2"/>
  <c r="I800" i="2"/>
  <c r="G800" i="2"/>
  <c r="F800" i="2"/>
  <c r="W799" i="2"/>
  <c r="V799" i="2"/>
  <c r="U799" i="2"/>
  <c r="T799" i="2"/>
  <c r="S799" i="2"/>
  <c r="R799" i="2"/>
  <c r="Q799" i="2"/>
  <c r="O799" i="2"/>
  <c r="M799" i="2"/>
  <c r="L799" i="2"/>
  <c r="K799" i="2"/>
  <c r="I799" i="2"/>
  <c r="G799" i="2"/>
  <c r="F799" i="2"/>
  <c r="W798" i="2"/>
  <c r="V798" i="2"/>
  <c r="U798" i="2"/>
  <c r="T798" i="2"/>
  <c r="S798" i="2"/>
  <c r="R798" i="2"/>
  <c r="Q798" i="2"/>
  <c r="O798" i="2"/>
  <c r="M798" i="2"/>
  <c r="L798" i="2"/>
  <c r="K798" i="2"/>
  <c r="I798" i="2"/>
  <c r="G798" i="2"/>
  <c r="F798" i="2"/>
  <c r="W797" i="2"/>
  <c r="V797" i="2"/>
  <c r="U797" i="2"/>
  <c r="T797" i="2"/>
  <c r="S797" i="2"/>
  <c r="R797" i="2"/>
  <c r="Q797" i="2"/>
  <c r="O797" i="2"/>
  <c r="M797" i="2"/>
  <c r="L797" i="2"/>
  <c r="K797" i="2"/>
  <c r="I797" i="2"/>
  <c r="G797" i="2"/>
  <c r="F797" i="2"/>
  <c r="W796" i="2"/>
  <c r="V796" i="2"/>
  <c r="U796" i="2"/>
  <c r="T796" i="2"/>
  <c r="S796" i="2"/>
  <c r="R796" i="2"/>
  <c r="Q796" i="2"/>
  <c r="O796" i="2"/>
  <c r="M796" i="2"/>
  <c r="L796" i="2"/>
  <c r="K796" i="2"/>
  <c r="I796" i="2"/>
  <c r="G796" i="2"/>
  <c r="F796" i="2"/>
  <c r="W795" i="2"/>
  <c r="V795" i="2"/>
  <c r="U795" i="2"/>
  <c r="T795" i="2"/>
  <c r="S795" i="2"/>
  <c r="R795" i="2"/>
  <c r="Q795" i="2"/>
  <c r="O795" i="2"/>
  <c r="M795" i="2"/>
  <c r="L795" i="2"/>
  <c r="K795" i="2"/>
  <c r="I795" i="2"/>
  <c r="G795" i="2"/>
  <c r="F795" i="2"/>
  <c r="W794" i="2"/>
  <c r="V794" i="2"/>
  <c r="U794" i="2"/>
  <c r="T794" i="2"/>
  <c r="S794" i="2"/>
  <c r="R794" i="2"/>
  <c r="Q794" i="2"/>
  <c r="O794" i="2"/>
  <c r="M794" i="2"/>
  <c r="L794" i="2"/>
  <c r="K794" i="2"/>
  <c r="I794" i="2"/>
  <c r="G794" i="2"/>
  <c r="F794" i="2"/>
  <c r="W793" i="2"/>
  <c r="V793" i="2"/>
  <c r="U793" i="2"/>
  <c r="T793" i="2"/>
  <c r="S793" i="2"/>
  <c r="R793" i="2"/>
  <c r="Q793" i="2"/>
  <c r="O793" i="2"/>
  <c r="M793" i="2"/>
  <c r="L793" i="2"/>
  <c r="K793" i="2"/>
  <c r="I793" i="2"/>
  <c r="G793" i="2"/>
  <c r="F793" i="2"/>
  <c r="W792" i="2"/>
  <c r="V792" i="2"/>
  <c r="U792" i="2"/>
  <c r="T792" i="2"/>
  <c r="S792" i="2"/>
  <c r="R792" i="2"/>
  <c r="Q792" i="2"/>
  <c r="O792" i="2"/>
  <c r="M792" i="2"/>
  <c r="L792" i="2"/>
  <c r="K792" i="2"/>
  <c r="I792" i="2"/>
  <c r="G792" i="2"/>
  <c r="F792" i="2"/>
  <c r="W791" i="2"/>
  <c r="V791" i="2"/>
  <c r="U791" i="2"/>
  <c r="T791" i="2"/>
  <c r="S791" i="2"/>
  <c r="R791" i="2"/>
  <c r="Q791" i="2"/>
  <c r="O791" i="2"/>
  <c r="M791" i="2"/>
  <c r="L791" i="2"/>
  <c r="K791" i="2"/>
  <c r="I791" i="2"/>
  <c r="G791" i="2"/>
  <c r="F791" i="2"/>
  <c r="W790" i="2"/>
  <c r="V790" i="2"/>
  <c r="U790" i="2"/>
  <c r="T790" i="2"/>
  <c r="S790" i="2"/>
  <c r="R790" i="2"/>
  <c r="Q790" i="2"/>
  <c r="O790" i="2"/>
  <c r="M790" i="2"/>
  <c r="L790" i="2"/>
  <c r="K790" i="2"/>
  <c r="I790" i="2"/>
  <c r="G790" i="2"/>
  <c r="F790" i="2"/>
  <c r="W789" i="2"/>
  <c r="V789" i="2"/>
  <c r="U789" i="2"/>
  <c r="T789" i="2"/>
  <c r="S789" i="2"/>
  <c r="R789" i="2"/>
  <c r="Q789" i="2"/>
  <c r="O789" i="2"/>
  <c r="M789" i="2"/>
  <c r="L789" i="2"/>
  <c r="K789" i="2"/>
  <c r="I789" i="2"/>
  <c r="G789" i="2"/>
  <c r="F789" i="2"/>
  <c r="W788" i="2"/>
  <c r="V788" i="2"/>
  <c r="U788" i="2"/>
  <c r="T788" i="2"/>
  <c r="S788" i="2"/>
  <c r="R788" i="2"/>
  <c r="Q788" i="2"/>
  <c r="O788" i="2"/>
  <c r="M788" i="2"/>
  <c r="L788" i="2"/>
  <c r="K788" i="2"/>
  <c r="I788" i="2"/>
  <c r="G788" i="2"/>
  <c r="F788" i="2"/>
  <c r="W787" i="2"/>
  <c r="V787" i="2"/>
  <c r="U787" i="2"/>
  <c r="T787" i="2"/>
  <c r="S787" i="2"/>
  <c r="R787" i="2"/>
  <c r="Q787" i="2"/>
  <c r="O787" i="2"/>
  <c r="M787" i="2"/>
  <c r="L787" i="2"/>
  <c r="K787" i="2"/>
  <c r="I787" i="2"/>
  <c r="G787" i="2"/>
  <c r="F787" i="2"/>
  <c r="W786" i="2"/>
  <c r="V786" i="2"/>
  <c r="U786" i="2"/>
  <c r="T786" i="2"/>
  <c r="S786" i="2"/>
  <c r="R786" i="2"/>
  <c r="Q786" i="2"/>
  <c r="O786" i="2"/>
  <c r="M786" i="2"/>
  <c r="L786" i="2"/>
  <c r="K786" i="2"/>
  <c r="I786" i="2"/>
  <c r="G786" i="2"/>
  <c r="F786" i="2"/>
  <c r="W785" i="2"/>
  <c r="V785" i="2"/>
  <c r="U785" i="2"/>
  <c r="T785" i="2"/>
  <c r="S785" i="2"/>
  <c r="R785" i="2"/>
  <c r="Q785" i="2"/>
  <c r="O785" i="2"/>
  <c r="M785" i="2"/>
  <c r="L785" i="2"/>
  <c r="K785" i="2"/>
  <c r="I785" i="2"/>
  <c r="G785" i="2"/>
  <c r="F785" i="2"/>
  <c r="W784" i="2"/>
  <c r="V784" i="2"/>
  <c r="U784" i="2"/>
  <c r="T784" i="2"/>
  <c r="S784" i="2"/>
  <c r="R784" i="2"/>
  <c r="Q784" i="2"/>
  <c r="O784" i="2"/>
  <c r="M784" i="2"/>
  <c r="L784" i="2"/>
  <c r="K784" i="2"/>
  <c r="I784" i="2"/>
  <c r="G784" i="2"/>
  <c r="F784" i="2"/>
  <c r="W783" i="2"/>
  <c r="V783" i="2"/>
  <c r="U783" i="2"/>
  <c r="T783" i="2"/>
  <c r="S783" i="2"/>
  <c r="R783" i="2"/>
  <c r="Q783" i="2"/>
  <c r="O783" i="2"/>
  <c r="M783" i="2"/>
  <c r="L783" i="2"/>
  <c r="K783" i="2"/>
  <c r="I783" i="2"/>
  <c r="G783" i="2"/>
  <c r="F783" i="2"/>
  <c r="W782" i="2"/>
  <c r="V782" i="2"/>
  <c r="U782" i="2"/>
  <c r="T782" i="2"/>
  <c r="S782" i="2"/>
  <c r="R782" i="2"/>
  <c r="Q782" i="2"/>
  <c r="O782" i="2"/>
  <c r="M782" i="2"/>
  <c r="L782" i="2"/>
  <c r="K782" i="2"/>
  <c r="I782" i="2"/>
  <c r="G782" i="2"/>
  <c r="F782" i="2"/>
  <c r="W781" i="2"/>
  <c r="V781" i="2"/>
  <c r="U781" i="2"/>
  <c r="T781" i="2"/>
  <c r="S781" i="2"/>
  <c r="R781" i="2"/>
  <c r="Q781" i="2"/>
  <c r="O781" i="2"/>
  <c r="M781" i="2"/>
  <c r="L781" i="2"/>
  <c r="K781" i="2"/>
  <c r="I781" i="2"/>
  <c r="G781" i="2"/>
  <c r="F781" i="2"/>
  <c r="W780" i="2"/>
  <c r="V780" i="2"/>
  <c r="U780" i="2"/>
  <c r="T780" i="2"/>
  <c r="S780" i="2"/>
  <c r="R780" i="2"/>
  <c r="Q780" i="2"/>
  <c r="O780" i="2"/>
  <c r="M780" i="2"/>
  <c r="L780" i="2"/>
  <c r="K780" i="2"/>
  <c r="I780" i="2"/>
  <c r="G780" i="2"/>
  <c r="F780" i="2"/>
  <c r="W779" i="2"/>
  <c r="V779" i="2"/>
  <c r="U779" i="2"/>
  <c r="T779" i="2"/>
  <c r="S779" i="2"/>
  <c r="R779" i="2"/>
  <c r="Q779" i="2"/>
  <c r="O779" i="2"/>
  <c r="M779" i="2"/>
  <c r="L779" i="2"/>
  <c r="K779" i="2"/>
  <c r="I779" i="2"/>
  <c r="G779" i="2"/>
  <c r="F779" i="2"/>
  <c r="W778" i="2"/>
  <c r="V778" i="2"/>
  <c r="U778" i="2"/>
  <c r="T778" i="2"/>
  <c r="S778" i="2"/>
  <c r="R778" i="2"/>
  <c r="Q778" i="2"/>
  <c r="O778" i="2"/>
  <c r="M778" i="2"/>
  <c r="L778" i="2"/>
  <c r="K778" i="2"/>
  <c r="I778" i="2"/>
  <c r="G778" i="2"/>
  <c r="F778" i="2"/>
  <c r="W777" i="2"/>
  <c r="V777" i="2"/>
  <c r="U777" i="2"/>
  <c r="T777" i="2"/>
  <c r="S777" i="2"/>
  <c r="R777" i="2"/>
  <c r="Q777" i="2"/>
  <c r="O777" i="2"/>
  <c r="M777" i="2"/>
  <c r="L777" i="2"/>
  <c r="K777" i="2"/>
  <c r="I777" i="2"/>
  <c r="G777" i="2"/>
  <c r="F777" i="2"/>
  <c r="W776" i="2"/>
  <c r="V776" i="2"/>
  <c r="U776" i="2"/>
  <c r="T776" i="2"/>
  <c r="S776" i="2"/>
  <c r="R776" i="2"/>
  <c r="Q776" i="2"/>
  <c r="O776" i="2"/>
  <c r="M776" i="2"/>
  <c r="L776" i="2"/>
  <c r="K776" i="2"/>
  <c r="I776" i="2"/>
  <c r="G776" i="2"/>
  <c r="F776" i="2"/>
  <c r="W775" i="2"/>
  <c r="V775" i="2"/>
  <c r="U775" i="2"/>
  <c r="T775" i="2"/>
  <c r="S775" i="2"/>
  <c r="R775" i="2"/>
  <c r="Q775" i="2"/>
  <c r="O775" i="2"/>
  <c r="M775" i="2"/>
  <c r="L775" i="2"/>
  <c r="K775" i="2"/>
  <c r="I775" i="2"/>
  <c r="G775" i="2"/>
  <c r="F775" i="2"/>
  <c r="W774" i="2"/>
  <c r="V774" i="2"/>
  <c r="U774" i="2"/>
  <c r="T774" i="2"/>
  <c r="S774" i="2"/>
  <c r="R774" i="2"/>
  <c r="Q774" i="2"/>
  <c r="O774" i="2"/>
  <c r="M774" i="2"/>
  <c r="L774" i="2"/>
  <c r="K774" i="2"/>
  <c r="I774" i="2"/>
  <c r="G774" i="2"/>
  <c r="F774" i="2"/>
  <c r="W773" i="2"/>
  <c r="V773" i="2"/>
  <c r="U773" i="2"/>
  <c r="T773" i="2"/>
  <c r="S773" i="2"/>
  <c r="R773" i="2"/>
  <c r="Q773" i="2"/>
  <c r="O773" i="2"/>
  <c r="M773" i="2"/>
  <c r="L773" i="2"/>
  <c r="K773" i="2"/>
  <c r="I773" i="2"/>
  <c r="G773" i="2"/>
  <c r="F773" i="2"/>
  <c r="W772" i="2"/>
  <c r="V772" i="2"/>
  <c r="U772" i="2"/>
  <c r="T772" i="2"/>
  <c r="S772" i="2"/>
  <c r="R772" i="2"/>
  <c r="Q772" i="2"/>
  <c r="O772" i="2"/>
  <c r="M772" i="2"/>
  <c r="L772" i="2"/>
  <c r="K772" i="2"/>
  <c r="I772" i="2"/>
  <c r="G772" i="2"/>
  <c r="F772" i="2"/>
  <c r="W771" i="2"/>
  <c r="V771" i="2"/>
  <c r="U771" i="2"/>
  <c r="T771" i="2"/>
  <c r="S771" i="2"/>
  <c r="R771" i="2"/>
  <c r="Q771" i="2"/>
  <c r="O771" i="2"/>
  <c r="M771" i="2"/>
  <c r="L771" i="2"/>
  <c r="K771" i="2"/>
  <c r="I771" i="2"/>
  <c r="G771" i="2"/>
  <c r="F771" i="2"/>
  <c r="W770" i="2"/>
  <c r="V770" i="2"/>
  <c r="U770" i="2"/>
  <c r="T770" i="2"/>
  <c r="S770" i="2"/>
  <c r="R770" i="2"/>
  <c r="Q770" i="2"/>
  <c r="O770" i="2"/>
  <c r="M770" i="2"/>
  <c r="L770" i="2"/>
  <c r="K770" i="2"/>
  <c r="I770" i="2"/>
  <c r="G770" i="2"/>
  <c r="F770" i="2"/>
  <c r="W769" i="2"/>
  <c r="V769" i="2"/>
  <c r="U769" i="2"/>
  <c r="T769" i="2"/>
  <c r="S769" i="2"/>
  <c r="R769" i="2"/>
  <c r="Q769" i="2"/>
  <c r="O769" i="2"/>
  <c r="M769" i="2"/>
  <c r="L769" i="2"/>
  <c r="K769" i="2"/>
  <c r="I769" i="2"/>
  <c r="G769" i="2"/>
  <c r="F769" i="2"/>
  <c r="W768" i="2"/>
  <c r="V768" i="2"/>
  <c r="U768" i="2"/>
  <c r="T768" i="2"/>
  <c r="S768" i="2"/>
  <c r="R768" i="2"/>
  <c r="Q768" i="2"/>
  <c r="O768" i="2"/>
  <c r="M768" i="2"/>
  <c r="L768" i="2"/>
  <c r="K768" i="2"/>
  <c r="I768" i="2"/>
  <c r="G768" i="2"/>
  <c r="F768" i="2"/>
  <c r="W767" i="2"/>
  <c r="V767" i="2"/>
  <c r="U767" i="2"/>
  <c r="T767" i="2"/>
  <c r="S767" i="2"/>
  <c r="R767" i="2"/>
  <c r="Q767" i="2"/>
  <c r="O767" i="2"/>
  <c r="M767" i="2"/>
  <c r="L767" i="2"/>
  <c r="K767" i="2"/>
  <c r="I767" i="2"/>
  <c r="G767" i="2"/>
  <c r="F767" i="2"/>
  <c r="W766" i="2"/>
  <c r="V766" i="2"/>
  <c r="U766" i="2"/>
  <c r="T766" i="2"/>
  <c r="S766" i="2"/>
  <c r="R766" i="2"/>
  <c r="Q766" i="2"/>
  <c r="O766" i="2"/>
  <c r="M766" i="2"/>
  <c r="L766" i="2"/>
  <c r="K766" i="2"/>
  <c r="I766" i="2"/>
  <c r="G766" i="2"/>
  <c r="F766" i="2"/>
  <c r="W765" i="2"/>
  <c r="V765" i="2"/>
  <c r="U765" i="2"/>
  <c r="T765" i="2"/>
  <c r="S765" i="2"/>
  <c r="R765" i="2"/>
  <c r="Q765" i="2"/>
  <c r="O765" i="2"/>
  <c r="M765" i="2"/>
  <c r="L765" i="2"/>
  <c r="K765" i="2"/>
  <c r="I765" i="2"/>
  <c r="G765" i="2"/>
  <c r="F765" i="2"/>
  <c r="W764" i="2"/>
  <c r="V764" i="2"/>
  <c r="U764" i="2"/>
  <c r="T764" i="2"/>
  <c r="S764" i="2"/>
  <c r="R764" i="2"/>
  <c r="Q764" i="2"/>
  <c r="O764" i="2"/>
  <c r="M764" i="2"/>
  <c r="L764" i="2"/>
  <c r="K764" i="2"/>
  <c r="I764" i="2"/>
  <c r="G764" i="2"/>
  <c r="F764" i="2"/>
  <c r="W763" i="2"/>
  <c r="V763" i="2"/>
  <c r="U763" i="2"/>
  <c r="T763" i="2"/>
  <c r="S763" i="2"/>
  <c r="R763" i="2"/>
  <c r="Q763" i="2"/>
  <c r="O763" i="2"/>
  <c r="M763" i="2"/>
  <c r="L763" i="2"/>
  <c r="K763" i="2"/>
  <c r="I763" i="2"/>
  <c r="G763" i="2"/>
  <c r="F763" i="2"/>
  <c r="W762" i="2"/>
  <c r="V762" i="2"/>
  <c r="U762" i="2"/>
  <c r="T762" i="2"/>
  <c r="S762" i="2"/>
  <c r="R762" i="2"/>
  <c r="Q762" i="2"/>
  <c r="O762" i="2"/>
  <c r="M762" i="2"/>
  <c r="L762" i="2"/>
  <c r="K762" i="2"/>
  <c r="I762" i="2"/>
  <c r="G762" i="2"/>
  <c r="F762" i="2"/>
  <c r="W761" i="2"/>
  <c r="V761" i="2"/>
  <c r="U761" i="2"/>
  <c r="T761" i="2"/>
  <c r="S761" i="2"/>
  <c r="R761" i="2"/>
  <c r="Q761" i="2"/>
  <c r="O761" i="2"/>
  <c r="M761" i="2"/>
  <c r="L761" i="2"/>
  <c r="K761" i="2"/>
  <c r="I761" i="2"/>
  <c r="G761" i="2"/>
  <c r="F761" i="2"/>
  <c r="W760" i="2"/>
  <c r="V760" i="2"/>
  <c r="U760" i="2"/>
  <c r="T760" i="2"/>
  <c r="S760" i="2"/>
  <c r="R760" i="2"/>
  <c r="Q760" i="2"/>
  <c r="O760" i="2"/>
  <c r="M760" i="2"/>
  <c r="L760" i="2"/>
  <c r="K760" i="2"/>
  <c r="I760" i="2"/>
  <c r="G760" i="2"/>
  <c r="F760" i="2"/>
  <c r="W759" i="2"/>
  <c r="V759" i="2"/>
  <c r="U759" i="2"/>
  <c r="T759" i="2"/>
  <c r="S759" i="2"/>
  <c r="R759" i="2"/>
  <c r="Q759" i="2"/>
  <c r="O759" i="2"/>
  <c r="M759" i="2"/>
  <c r="L759" i="2"/>
  <c r="K759" i="2"/>
  <c r="I759" i="2"/>
  <c r="G759" i="2"/>
  <c r="F759" i="2"/>
  <c r="W758" i="2"/>
  <c r="V758" i="2"/>
  <c r="U758" i="2"/>
  <c r="T758" i="2"/>
  <c r="S758" i="2"/>
  <c r="R758" i="2"/>
  <c r="Q758" i="2"/>
  <c r="O758" i="2"/>
  <c r="M758" i="2"/>
  <c r="L758" i="2"/>
  <c r="K758" i="2"/>
  <c r="I758" i="2"/>
  <c r="G758" i="2"/>
  <c r="F758" i="2"/>
  <c r="W757" i="2"/>
  <c r="V757" i="2"/>
  <c r="U757" i="2"/>
  <c r="T757" i="2"/>
  <c r="S757" i="2"/>
  <c r="R757" i="2"/>
  <c r="Q757" i="2"/>
  <c r="O757" i="2"/>
  <c r="M757" i="2"/>
  <c r="L757" i="2"/>
  <c r="K757" i="2"/>
  <c r="I757" i="2"/>
  <c r="G757" i="2"/>
  <c r="F757" i="2"/>
  <c r="W756" i="2"/>
  <c r="V756" i="2"/>
  <c r="U756" i="2"/>
  <c r="T756" i="2"/>
  <c r="S756" i="2"/>
  <c r="R756" i="2"/>
  <c r="Q756" i="2"/>
  <c r="O756" i="2"/>
  <c r="M756" i="2"/>
  <c r="L756" i="2"/>
  <c r="K756" i="2"/>
  <c r="I756" i="2"/>
  <c r="G756" i="2"/>
  <c r="F756" i="2"/>
  <c r="W755" i="2"/>
  <c r="V755" i="2"/>
  <c r="U755" i="2"/>
  <c r="T755" i="2"/>
  <c r="S755" i="2"/>
  <c r="R755" i="2"/>
  <c r="Q755" i="2"/>
  <c r="O755" i="2"/>
  <c r="M755" i="2"/>
  <c r="L755" i="2"/>
  <c r="K755" i="2"/>
  <c r="I755" i="2"/>
  <c r="G755" i="2"/>
  <c r="F755" i="2"/>
  <c r="W754" i="2"/>
  <c r="V754" i="2"/>
  <c r="U754" i="2"/>
  <c r="T754" i="2"/>
  <c r="S754" i="2"/>
  <c r="R754" i="2"/>
  <c r="Q754" i="2"/>
  <c r="O754" i="2"/>
  <c r="M754" i="2"/>
  <c r="L754" i="2"/>
  <c r="K754" i="2"/>
  <c r="I754" i="2"/>
  <c r="G754" i="2"/>
  <c r="F754" i="2"/>
  <c r="W753" i="2"/>
  <c r="V753" i="2"/>
  <c r="U753" i="2"/>
  <c r="T753" i="2"/>
  <c r="S753" i="2"/>
  <c r="R753" i="2"/>
  <c r="Q753" i="2"/>
  <c r="O753" i="2"/>
  <c r="M753" i="2"/>
  <c r="L753" i="2"/>
  <c r="K753" i="2"/>
  <c r="I753" i="2"/>
  <c r="G753" i="2"/>
  <c r="F753" i="2"/>
  <c r="W752" i="2"/>
  <c r="V752" i="2"/>
  <c r="U752" i="2"/>
  <c r="T752" i="2"/>
  <c r="S752" i="2"/>
  <c r="R752" i="2"/>
  <c r="Q752" i="2"/>
  <c r="O752" i="2"/>
  <c r="M752" i="2"/>
  <c r="L752" i="2"/>
  <c r="K752" i="2"/>
  <c r="I752" i="2"/>
  <c r="G752" i="2"/>
  <c r="F752" i="2"/>
  <c r="W751" i="2"/>
  <c r="V751" i="2"/>
  <c r="U751" i="2"/>
  <c r="T751" i="2"/>
  <c r="S751" i="2"/>
  <c r="R751" i="2"/>
  <c r="Q751" i="2"/>
  <c r="O751" i="2"/>
  <c r="M751" i="2"/>
  <c r="L751" i="2"/>
  <c r="K751" i="2"/>
  <c r="I751" i="2"/>
  <c r="G751" i="2"/>
  <c r="F751" i="2"/>
  <c r="W750" i="2"/>
  <c r="V750" i="2"/>
  <c r="U750" i="2"/>
  <c r="T750" i="2"/>
  <c r="S750" i="2"/>
  <c r="R750" i="2"/>
  <c r="Q750" i="2"/>
  <c r="O750" i="2"/>
  <c r="M750" i="2"/>
  <c r="L750" i="2"/>
  <c r="K750" i="2"/>
  <c r="I750" i="2"/>
  <c r="G750" i="2"/>
  <c r="F750" i="2"/>
  <c r="W749" i="2"/>
  <c r="V749" i="2"/>
  <c r="U749" i="2"/>
  <c r="T749" i="2"/>
  <c r="S749" i="2"/>
  <c r="R749" i="2"/>
  <c r="Q749" i="2"/>
  <c r="O749" i="2"/>
  <c r="M749" i="2"/>
  <c r="L749" i="2"/>
  <c r="K749" i="2"/>
  <c r="I749" i="2"/>
  <c r="G749" i="2"/>
  <c r="F749" i="2"/>
  <c r="W748" i="2"/>
  <c r="V748" i="2"/>
  <c r="U748" i="2"/>
  <c r="T748" i="2"/>
  <c r="S748" i="2"/>
  <c r="R748" i="2"/>
  <c r="Q748" i="2"/>
  <c r="O748" i="2"/>
  <c r="M748" i="2"/>
  <c r="L748" i="2"/>
  <c r="K748" i="2"/>
  <c r="I748" i="2"/>
  <c r="G748" i="2"/>
  <c r="F748" i="2"/>
  <c r="W747" i="2"/>
  <c r="V747" i="2"/>
  <c r="U747" i="2"/>
  <c r="T747" i="2"/>
  <c r="S747" i="2"/>
  <c r="R747" i="2"/>
  <c r="Q747" i="2"/>
  <c r="O747" i="2"/>
  <c r="M747" i="2"/>
  <c r="L747" i="2"/>
  <c r="K747" i="2"/>
  <c r="I747" i="2"/>
  <c r="G747" i="2"/>
  <c r="F747" i="2"/>
  <c r="W746" i="2"/>
  <c r="V746" i="2"/>
  <c r="U746" i="2"/>
  <c r="T746" i="2"/>
  <c r="S746" i="2"/>
  <c r="R746" i="2"/>
  <c r="Q746" i="2"/>
  <c r="O746" i="2"/>
  <c r="M746" i="2"/>
  <c r="L746" i="2"/>
  <c r="K746" i="2"/>
  <c r="I746" i="2"/>
  <c r="G746" i="2"/>
  <c r="F746" i="2"/>
  <c r="W745" i="2"/>
  <c r="V745" i="2"/>
  <c r="U745" i="2"/>
  <c r="T745" i="2"/>
  <c r="S745" i="2"/>
  <c r="R745" i="2"/>
  <c r="Q745" i="2"/>
  <c r="O745" i="2"/>
  <c r="M745" i="2"/>
  <c r="L745" i="2"/>
  <c r="K745" i="2"/>
  <c r="I745" i="2"/>
  <c r="G745" i="2"/>
  <c r="F745" i="2"/>
  <c r="W744" i="2"/>
  <c r="V744" i="2"/>
  <c r="U744" i="2"/>
  <c r="T744" i="2"/>
  <c r="S744" i="2"/>
  <c r="R744" i="2"/>
  <c r="Q744" i="2"/>
  <c r="O744" i="2"/>
  <c r="M744" i="2"/>
  <c r="L744" i="2"/>
  <c r="K744" i="2"/>
  <c r="I744" i="2"/>
  <c r="G744" i="2"/>
  <c r="F744" i="2"/>
  <c r="W743" i="2"/>
  <c r="V743" i="2"/>
  <c r="U743" i="2"/>
  <c r="T743" i="2"/>
  <c r="S743" i="2"/>
  <c r="R743" i="2"/>
  <c r="Q743" i="2"/>
  <c r="O743" i="2"/>
  <c r="M743" i="2"/>
  <c r="L743" i="2"/>
  <c r="K743" i="2"/>
  <c r="I743" i="2"/>
  <c r="G743" i="2"/>
  <c r="F743" i="2"/>
  <c r="W742" i="2"/>
  <c r="V742" i="2"/>
  <c r="U742" i="2"/>
  <c r="T742" i="2"/>
  <c r="S742" i="2"/>
  <c r="R742" i="2"/>
  <c r="Q742" i="2"/>
  <c r="O742" i="2"/>
  <c r="M742" i="2"/>
  <c r="L742" i="2"/>
  <c r="K742" i="2"/>
  <c r="I742" i="2"/>
  <c r="G742" i="2"/>
  <c r="F742" i="2"/>
  <c r="W741" i="2"/>
  <c r="V741" i="2"/>
  <c r="U741" i="2"/>
  <c r="T741" i="2"/>
  <c r="S741" i="2"/>
  <c r="R741" i="2"/>
  <c r="Q741" i="2"/>
  <c r="O741" i="2"/>
  <c r="M741" i="2"/>
  <c r="L741" i="2"/>
  <c r="K741" i="2"/>
  <c r="I741" i="2"/>
  <c r="G741" i="2"/>
  <c r="F741" i="2"/>
  <c r="W740" i="2"/>
  <c r="V740" i="2"/>
  <c r="U740" i="2"/>
  <c r="T740" i="2"/>
  <c r="S740" i="2"/>
  <c r="R740" i="2"/>
  <c r="Q740" i="2"/>
  <c r="O740" i="2"/>
  <c r="M740" i="2"/>
  <c r="L740" i="2"/>
  <c r="K740" i="2"/>
  <c r="I740" i="2"/>
  <c r="G740" i="2"/>
  <c r="F740" i="2"/>
  <c r="W739" i="2"/>
  <c r="V739" i="2"/>
  <c r="U739" i="2"/>
  <c r="T739" i="2"/>
  <c r="S739" i="2"/>
  <c r="R739" i="2"/>
  <c r="Q739" i="2"/>
  <c r="O739" i="2"/>
  <c r="M739" i="2"/>
  <c r="L739" i="2"/>
  <c r="K739" i="2"/>
  <c r="I739" i="2"/>
  <c r="G739" i="2"/>
  <c r="F739" i="2"/>
  <c r="W738" i="2"/>
  <c r="V738" i="2"/>
  <c r="U738" i="2"/>
  <c r="T738" i="2"/>
  <c r="S738" i="2"/>
  <c r="R738" i="2"/>
  <c r="Q738" i="2"/>
  <c r="O738" i="2"/>
  <c r="M738" i="2"/>
  <c r="L738" i="2"/>
  <c r="K738" i="2"/>
  <c r="I738" i="2"/>
  <c r="G738" i="2"/>
  <c r="F738" i="2"/>
  <c r="W737" i="2"/>
  <c r="V737" i="2"/>
  <c r="U737" i="2"/>
  <c r="T737" i="2"/>
  <c r="S737" i="2"/>
  <c r="R737" i="2"/>
  <c r="Q737" i="2"/>
  <c r="O737" i="2"/>
  <c r="M737" i="2"/>
  <c r="L737" i="2"/>
  <c r="K737" i="2"/>
  <c r="I737" i="2"/>
  <c r="G737" i="2"/>
  <c r="F737" i="2"/>
  <c r="W736" i="2"/>
  <c r="V736" i="2"/>
  <c r="U736" i="2"/>
  <c r="T736" i="2"/>
  <c r="S736" i="2"/>
  <c r="R736" i="2"/>
  <c r="Q736" i="2"/>
  <c r="O736" i="2"/>
  <c r="M736" i="2"/>
  <c r="L736" i="2"/>
  <c r="K736" i="2"/>
  <c r="I736" i="2"/>
  <c r="G736" i="2"/>
  <c r="F736" i="2"/>
  <c r="W735" i="2"/>
  <c r="V735" i="2"/>
  <c r="U735" i="2"/>
  <c r="T735" i="2"/>
  <c r="S735" i="2"/>
  <c r="R735" i="2"/>
  <c r="Q735" i="2"/>
  <c r="O735" i="2"/>
  <c r="M735" i="2"/>
  <c r="L735" i="2"/>
  <c r="K735" i="2"/>
  <c r="I735" i="2"/>
  <c r="G735" i="2"/>
  <c r="F735" i="2"/>
  <c r="W734" i="2"/>
  <c r="V734" i="2"/>
  <c r="U734" i="2"/>
  <c r="T734" i="2"/>
  <c r="S734" i="2"/>
  <c r="R734" i="2"/>
  <c r="Q734" i="2"/>
  <c r="O734" i="2"/>
  <c r="M734" i="2"/>
  <c r="L734" i="2"/>
  <c r="K734" i="2"/>
  <c r="I734" i="2"/>
  <c r="G734" i="2"/>
  <c r="F734" i="2"/>
  <c r="W733" i="2"/>
  <c r="V733" i="2"/>
  <c r="U733" i="2"/>
  <c r="T733" i="2"/>
  <c r="S733" i="2"/>
  <c r="R733" i="2"/>
  <c r="Q733" i="2"/>
  <c r="O733" i="2"/>
  <c r="M733" i="2"/>
  <c r="L733" i="2"/>
  <c r="K733" i="2"/>
  <c r="I733" i="2"/>
  <c r="G733" i="2"/>
  <c r="F733" i="2"/>
  <c r="W732" i="2"/>
  <c r="V732" i="2"/>
  <c r="U732" i="2"/>
  <c r="T732" i="2"/>
  <c r="S732" i="2"/>
  <c r="R732" i="2"/>
  <c r="Q732" i="2"/>
  <c r="O732" i="2"/>
  <c r="M732" i="2"/>
  <c r="L732" i="2"/>
  <c r="K732" i="2"/>
  <c r="I732" i="2"/>
  <c r="G732" i="2"/>
  <c r="F732" i="2"/>
  <c r="W731" i="2"/>
  <c r="V731" i="2"/>
  <c r="U731" i="2"/>
  <c r="T731" i="2"/>
  <c r="S731" i="2"/>
  <c r="R731" i="2"/>
  <c r="Q731" i="2"/>
  <c r="O731" i="2"/>
  <c r="M731" i="2"/>
  <c r="L731" i="2"/>
  <c r="K731" i="2"/>
  <c r="I731" i="2"/>
  <c r="G731" i="2"/>
  <c r="F731" i="2"/>
  <c r="W730" i="2"/>
  <c r="V730" i="2"/>
  <c r="U730" i="2"/>
  <c r="T730" i="2"/>
  <c r="S730" i="2"/>
  <c r="R730" i="2"/>
  <c r="Q730" i="2"/>
  <c r="O730" i="2"/>
  <c r="M730" i="2"/>
  <c r="L730" i="2"/>
  <c r="K730" i="2"/>
  <c r="I730" i="2"/>
  <c r="G730" i="2"/>
  <c r="F730" i="2"/>
  <c r="W729" i="2"/>
  <c r="V729" i="2"/>
  <c r="U729" i="2"/>
  <c r="T729" i="2"/>
  <c r="S729" i="2"/>
  <c r="R729" i="2"/>
  <c r="Q729" i="2"/>
  <c r="O729" i="2"/>
  <c r="M729" i="2"/>
  <c r="L729" i="2"/>
  <c r="K729" i="2"/>
  <c r="I729" i="2"/>
  <c r="G729" i="2"/>
  <c r="F729" i="2"/>
  <c r="W728" i="2"/>
  <c r="V728" i="2"/>
  <c r="U728" i="2"/>
  <c r="T728" i="2"/>
  <c r="S728" i="2"/>
  <c r="R728" i="2"/>
  <c r="Q728" i="2"/>
  <c r="O728" i="2"/>
  <c r="M728" i="2"/>
  <c r="L728" i="2"/>
  <c r="K728" i="2"/>
  <c r="I728" i="2"/>
  <c r="G728" i="2"/>
  <c r="F728" i="2"/>
  <c r="W727" i="2"/>
  <c r="V727" i="2"/>
  <c r="U727" i="2"/>
  <c r="T727" i="2"/>
  <c r="S727" i="2"/>
  <c r="R727" i="2"/>
  <c r="Q727" i="2"/>
  <c r="O727" i="2"/>
  <c r="M727" i="2"/>
  <c r="L727" i="2"/>
  <c r="K727" i="2"/>
  <c r="I727" i="2"/>
  <c r="G727" i="2"/>
  <c r="F727" i="2"/>
  <c r="W726" i="2"/>
  <c r="V726" i="2"/>
  <c r="U726" i="2"/>
  <c r="T726" i="2"/>
  <c r="S726" i="2"/>
  <c r="R726" i="2"/>
  <c r="Q726" i="2"/>
  <c r="O726" i="2"/>
  <c r="M726" i="2"/>
  <c r="L726" i="2"/>
  <c r="K726" i="2"/>
  <c r="I726" i="2"/>
  <c r="G726" i="2"/>
  <c r="F726" i="2"/>
  <c r="W725" i="2"/>
  <c r="V725" i="2"/>
  <c r="U725" i="2"/>
  <c r="T725" i="2"/>
  <c r="S725" i="2"/>
  <c r="R725" i="2"/>
  <c r="Q725" i="2"/>
  <c r="O725" i="2"/>
  <c r="M725" i="2"/>
  <c r="L725" i="2"/>
  <c r="K725" i="2"/>
  <c r="I725" i="2"/>
  <c r="G725" i="2"/>
  <c r="F725" i="2"/>
  <c r="W724" i="2"/>
  <c r="V724" i="2"/>
  <c r="U724" i="2"/>
  <c r="T724" i="2"/>
  <c r="S724" i="2"/>
  <c r="R724" i="2"/>
  <c r="Q724" i="2"/>
  <c r="O724" i="2"/>
  <c r="M724" i="2"/>
  <c r="L724" i="2"/>
  <c r="K724" i="2"/>
  <c r="I724" i="2"/>
  <c r="G724" i="2"/>
  <c r="F724" i="2"/>
  <c r="W723" i="2"/>
  <c r="V723" i="2"/>
  <c r="U723" i="2"/>
  <c r="T723" i="2"/>
  <c r="S723" i="2"/>
  <c r="R723" i="2"/>
  <c r="Q723" i="2"/>
  <c r="O723" i="2"/>
  <c r="M723" i="2"/>
  <c r="L723" i="2"/>
  <c r="K723" i="2"/>
  <c r="I723" i="2"/>
  <c r="G723" i="2"/>
  <c r="F723" i="2"/>
  <c r="W722" i="2"/>
  <c r="V722" i="2"/>
  <c r="U722" i="2"/>
  <c r="T722" i="2"/>
  <c r="S722" i="2"/>
  <c r="R722" i="2"/>
  <c r="Q722" i="2"/>
  <c r="O722" i="2"/>
  <c r="M722" i="2"/>
  <c r="L722" i="2"/>
  <c r="K722" i="2"/>
  <c r="I722" i="2"/>
  <c r="G722" i="2"/>
  <c r="F722" i="2"/>
  <c r="W721" i="2"/>
  <c r="V721" i="2"/>
  <c r="U721" i="2"/>
  <c r="T721" i="2"/>
  <c r="S721" i="2"/>
  <c r="R721" i="2"/>
  <c r="Q721" i="2"/>
  <c r="O721" i="2"/>
  <c r="M721" i="2"/>
  <c r="L721" i="2"/>
  <c r="K721" i="2"/>
  <c r="I721" i="2"/>
  <c r="G721" i="2"/>
  <c r="F721" i="2"/>
  <c r="W720" i="2"/>
  <c r="V720" i="2"/>
  <c r="U720" i="2"/>
  <c r="T720" i="2"/>
  <c r="S720" i="2"/>
  <c r="R720" i="2"/>
  <c r="Q720" i="2"/>
  <c r="O720" i="2"/>
  <c r="M720" i="2"/>
  <c r="L720" i="2"/>
  <c r="K720" i="2"/>
  <c r="I720" i="2"/>
  <c r="G720" i="2"/>
  <c r="F720" i="2"/>
  <c r="W719" i="2"/>
  <c r="V719" i="2"/>
  <c r="U719" i="2"/>
  <c r="T719" i="2"/>
  <c r="S719" i="2"/>
  <c r="R719" i="2"/>
  <c r="Q719" i="2"/>
  <c r="O719" i="2"/>
  <c r="M719" i="2"/>
  <c r="L719" i="2"/>
  <c r="K719" i="2"/>
  <c r="I719" i="2"/>
  <c r="G719" i="2"/>
  <c r="F719" i="2"/>
  <c r="W718" i="2"/>
  <c r="V718" i="2"/>
  <c r="U718" i="2"/>
  <c r="T718" i="2"/>
  <c r="S718" i="2"/>
  <c r="R718" i="2"/>
  <c r="Q718" i="2"/>
  <c r="O718" i="2"/>
  <c r="M718" i="2"/>
  <c r="L718" i="2"/>
  <c r="K718" i="2"/>
  <c r="I718" i="2"/>
  <c r="G718" i="2"/>
  <c r="F718" i="2"/>
  <c r="W717" i="2"/>
  <c r="V717" i="2"/>
  <c r="U717" i="2"/>
  <c r="T717" i="2"/>
  <c r="S717" i="2"/>
  <c r="R717" i="2"/>
  <c r="Q717" i="2"/>
  <c r="O717" i="2"/>
  <c r="M717" i="2"/>
  <c r="L717" i="2"/>
  <c r="K717" i="2"/>
  <c r="I717" i="2"/>
  <c r="G717" i="2"/>
  <c r="F717" i="2"/>
  <c r="W716" i="2"/>
  <c r="V716" i="2"/>
  <c r="U716" i="2"/>
  <c r="T716" i="2"/>
  <c r="S716" i="2"/>
  <c r="R716" i="2"/>
  <c r="Q716" i="2"/>
  <c r="O716" i="2"/>
  <c r="M716" i="2"/>
  <c r="L716" i="2"/>
  <c r="K716" i="2"/>
  <c r="I716" i="2"/>
  <c r="G716" i="2"/>
  <c r="F716" i="2"/>
  <c r="W715" i="2"/>
  <c r="V715" i="2"/>
  <c r="U715" i="2"/>
  <c r="T715" i="2"/>
  <c r="S715" i="2"/>
  <c r="R715" i="2"/>
  <c r="Q715" i="2"/>
  <c r="O715" i="2"/>
  <c r="M715" i="2"/>
  <c r="L715" i="2"/>
  <c r="K715" i="2"/>
  <c r="I715" i="2"/>
  <c r="G715" i="2"/>
  <c r="F715" i="2"/>
  <c r="W714" i="2"/>
  <c r="V714" i="2"/>
  <c r="U714" i="2"/>
  <c r="T714" i="2"/>
  <c r="S714" i="2"/>
  <c r="R714" i="2"/>
  <c r="Q714" i="2"/>
  <c r="O714" i="2"/>
  <c r="M714" i="2"/>
  <c r="L714" i="2"/>
  <c r="K714" i="2"/>
  <c r="I714" i="2"/>
  <c r="G714" i="2"/>
  <c r="F714" i="2"/>
  <c r="W713" i="2"/>
  <c r="V713" i="2"/>
  <c r="U713" i="2"/>
  <c r="T713" i="2"/>
  <c r="S713" i="2"/>
  <c r="R713" i="2"/>
  <c r="Q713" i="2"/>
  <c r="O713" i="2"/>
  <c r="M713" i="2"/>
  <c r="L713" i="2"/>
  <c r="K713" i="2"/>
  <c r="I713" i="2"/>
  <c r="G713" i="2"/>
  <c r="F713" i="2"/>
  <c r="W712" i="2"/>
  <c r="V712" i="2"/>
  <c r="U712" i="2"/>
  <c r="T712" i="2"/>
  <c r="S712" i="2"/>
  <c r="R712" i="2"/>
  <c r="Q712" i="2"/>
  <c r="O712" i="2"/>
  <c r="M712" i="2"/>
  <c r="L712" i="2"/>
  <c r="K712" i="2"/>
  <c r="I712" i="2"/>
  <c r="G712" i="2"/>
  <c r="F712" i="2"/>
  <c r="W711" i="2"/>
  <c r="V711" i="2"/>
  <c r="U711" i="2"/>
  <c r="T711" i="2"/>
  <c r="S711" i="2"/>
  <c r="R711" i="2"/>
  <c r="Q711" i="2"/>
  <c r="O711" i="2"/>
  <c r="M711" i="2"/>
  <c r="L711" i="2"/>
  <c r="K711" i="2"/>
  <c r="I711" i="2"/>
  <c r="G711" i="2"/>
  <c r="F711" i="2"/>
  <c r="W710" i="2"/>
  <c r="V710" i="2"/>
  <c r="U710" i="2"/>
  <c r="T710" i="2"/>
  <c r="S710" i="2"/>
  <c r="R710" i="2"/>
  <c r="Q710" i="2"/>
  <c r="O710" i="2"/>
  <c r="M710" i="2"/>
  <c r="L710" i="2"/>
  <c r="K710" i="2"/>
  <c r="I710" i="2"/>
  <c r="G710" i="2"/>
  <c r="F710" i="2"/>
  <c r="W709" i="2"/>
  <c r="V709" i="2"/>
  <c r="U709" i="2"/>
  <c r="T709" i="2"/>
  <c r="S709" i="2"/>
  <c r="R709" i="2"/>
  <c r="Q709" i="2"/>
  <c r="O709" i="2"/>
  <c r="M709" i="2"/>
  <c r="L709" i="2"/>
  <c r="K709" i="2"/>
  <c r="I709" i="2"/>
  <c r="G709" i="2"/>
  <c r="F709" i="2"/>
  <c r="W708" i="2"/>
  <c r="V708" i="2"/>
  <c r="U708" i="2"/>
  <c r="T708" i="2"/>
  <c r="S708" i="2"/>
  <c r="R708" i="2"/>
  <c r="Q708" i="2"/>
  <c r="O708" i="2"/>
  <c r="M708" i="2"/>
  <c r="L708" i="2"/>
  <c r="K708" i="2"/>
  <c r="I708" i="2"/>
  <c r="G708" i="2"/>
  <c r="F708" i="2"/>
  <c r="W707" i="2"/>
  <c r="V707" i="2"/>
  <c r="U707" i="2"/>
  <c r="T707" i="2"/>
  <c r="S707" i="2"/>
  <c r="R707" i="2"/>
  <c r="Q707" i="2"/>
  <c r="O707" i="2"/>
  <c r="M707" i="2"/>
  <c r="L707" i="2"/>
  <c r="K707" i="2"/>
  <c r="I707" i="2"/>
  <c r="G707" i="2"/>
  <c r="F707" i="2"/>
  <c r="W706" i="2"/>
  <c r="V706" i="2"/>
  <c r="U706" i="2"/>
  <c r="T706" i="2"/>
  <c r="S706" i="2"/>
  <c r="R706" i="2"/>
  <c r="Q706" i="2"/>
  <c r="O706" i="2"/>
  <c r="M706" i="2"/>
  <c r="L706" i="2"/>
  <c r="K706" i="2"/>
  <c r="I706" i="2"/>
  <c r="G706" i="2"/>
  <c r="F706" i="2"/>
  <c r="W705" i="2"/>
  <c r="V705" i="2"/>
  <c r="U705" i="2"/>
  <c r="T705" i="2"/>
  <c r="S705" i="2"/>
  <c r="R705" i="2"/>
  <c r="Q705" i="2"/>
  <c r="O705" i="2"/>
  <c r="M705" i="2"/>
  <c r="L705" i="2"/>
  <c r="K705" i="2"/>
  <c r="I705" i="2"/>
  <c r="G705" i="2"/>
  <c r="F705" i="2"/>
  <c r="W704" i="2"/>
  <c r="V704" i="2"/>
  <c r="U704" i="2"/>
  <c r="T704" i="2"/>
  <c r="S704" i="2"/>
  <c r="R704" i="2"/>
  <c r="Q704" i="2"/>
  <c r="O704" i="2"/>
  <c r="M704" i="2"/>
  <c r="L704" i="2"/>
  <c r="K704" i="2"/>
  <c r="I704" i="2"/>
  <c r="G704" i="2"/>
  <c r="F704" i="2"/>
  <c r="W703" i="2"/>
  <c r="V703" i="2"/>
  <c r="U703" i="2"/>
  <c r="T703" i="2"/>
  <c r="S703" i="2"/>
  <c r="R703" i="2"/>
  <c r="Q703" i="2"/>
  <c r="O703" i="2"/>
  <c r="M703" i="2"/>
  <c r="L703" i="2"/>
  <c r="K703" i="2"/>
  <c r="I703" i="2"/>
  <c r="G703" i="2"/>
  <c r="F703" i="2"/>
  <c r="W702" i="2"/>
  <c r="V702" i="2"/>
  <c r="U702" i="2"/>
  <c r="T702" i="2"/>
  <c r="S702" i="2"/>
  <c r="R702" i="2"/>
  <c r="Q702" i="2"/>
  <c r="O702" i="2"/>
  <c r="M702" i="2"/>
  <c r="L702" i="2"/>
  <c r="K702" i="2"/>
  <c r="I702" i="2"/>
  <c r="G702" i="2"/>
  <c r="F702" i="2"/>
  <c r="W701" i="2"/>
  <c r="V701" i="2"/>
  <c r="U701" i="2"/>
  <c r="T701" i="2"/>
  <c r="S701" i="2"/>
  <c r="R701" i="2"/>
  <c r="Q701" i="2"/>
  <c r="O701" i="2"/>
  <c r="M701" i="2"/>
  <c r="L701" i="2"/>
  <c r="K701" i="2"/>
  <c r="I701" i="2"/>
  <c r="G701" i="2"/>
  <c r="F701" i="2"/>
  <c r="W700" i="2"/>
  <c r="V700" i="2"/>
  <c r="U700" i="2"/>
  <c r="T700" i="2"/>
  <c r="S700" i="2"/>
  <c r="R700" i="2"/>
  <c r="Q700" i="2"/>
  <c r="O700" i="2"/>
  <c r="M700" i="2"/>
  <c r="L700" i="2"/>
  <c r="K700" i="2"/>
  <c r="I700" i="2"/>
  <c r="G700" i="2"/>
  <c r="F700" i="2"/>
  <c r="W699" i="2"/>
  <c r="V699" i="2"/>
  <c r="U699" i="2"/>
  <c r="T699" i="2"/>
  <c r="S699" i="2"/>
  <c r="R699" i="2"/>
  <c r="Q699" i="2"/>
  <c r="O699" i="2"/>
  <c r="M699" i="2"/>
  <c r="L699" i="2"/>
  <c r="K699" i="2"/>
  <c r="I699" i="2"/>
  <c r="G699" i="2"/>
  <c r="F699" i="2"/>
  <c r="W698" i="2"/>
  <c r="V698" i="2"/>
  <c r="U698" i="2"/>
  <c r="T698" i="2"/>
  <c r="S698" i="2"/>
  <c r="R698" i="2"/>
  <c r="Q698" i="2"/>
  <c r="O698" i="2"/>
  <c r="M698" i="2"/>
  <c r="L698" i="2"/>
  <c r="K698" i="2"/>
  <c r="I698" i="2"/>
  <c r="G698" i="2"/>
  <c r="F698" i="2"/>
  <c r="W697" i="2"/>
  <c r="V697" i="2"/>
  <c r="U697" i="2"/>
  <c r="T697" i="2"/>
  <c r="S697" i="2"/>
  <c r="R697" i="2"/>
  <c r="Q697" i="2"/>
  <c r="O697" i="2"/>
  <c r="M697" i="2"/>
  <c r="L697" i="2"/>
  <c r="K697" i="2"/>
  <c r="I697" i="2"/>
  <c r="G697" i="2"/>
  <c r="F697" i="2"/>
  <c r="W696" i="2"/>
  <c r="V696" i="2"/>
  <c r="U696" i="2"/>
  <c r="T696" i="2"/>
  <c r="S696" i="2"/>
  <c r="R696" i="2"/>
  <c r="Q696" i="2"/>
  <c r="O696" i="2"/>
  <c r="M696" i="2"/>
  <c r="L696" i="2"/>
  <c r="K696" i="2"/>
  <c r="I696" i="2"/>
  <c r="G696" i="2"/>
  <c r="F696" i="2"/>
  <c r="W695" i="2"/>
  <c r="V695" i="2"/>
  <c r="U695" i="2"/>
  <c r="T695" i="2"/>
  <c r="S695" i="2"/>
  <c r="R695" i="2"/>
  <c r="Q695" i="2"/>
  <c r="O695" i="2"/>
  <c r="M695" i="2"/>
  <c r="L695" i="2"/>
  <c r="K695" i="2"/>
  <c r="I695" i="2"/>
  <c r="G695" i="2"/>
  <c r="F695" i="2"/>
  <c r="W694" i="2"/>
  <c r="V694" i="2"/>
  <c r="U694" i="2"/>
  <c r="T694" i="2"/>
  <c r="S694" i="2"/>
  <c r="R694" i="2"/>
  <c r="Q694" i="2"/>
  <c r="O694" i="2"/>
  <c r="M694" i="2"/>
  <c r="L694" i="2"/>
  <c r="K694" i="2"/>
  <c r="I694" i="2"/>
  <c r="G694" i="2"/>
  <c r="F694" i="2"/>
  <c r="W693" i="2"/>
  <c r="V693" i="2"/>
  <c r="U693" i="2"/>
  <c r="T693" i="2"/>
  <c r="S693" i="2"/>
  <c r="R693" i="2"/>
  <c r="Q693" i="2"/>
  <c r="O693" i="2"/>
  <c r="M693" i="2"/>
  <c r="L693" i="2"/>
  <c r="K693" i="2"/>
  <c r="I693" i="2"/>
  <c r="G693" i="2"/>
  <c r="F693" i="2"/>
  <c r="W692" i="2"/>
  <c r="V692" i="2"/>
  <c r="U692" i="2"/>
  <c r="T692" i="2"/>
  <c r="S692" i="2"/>
  <c r="R692" i="2"/>
  <c r="Q692" i="2"/>
  <c r="O692" i="2"/>
  <c r="M692" i="2"/>
  <c r="L692" i="2"/>
  <c r="K692" i="2"/>
  <c r="I692" i="2"/>
  <c r="G692" i="2"/>
  <c r="F692" i="2"/>
  <c r="W691" i="2"/>
  <c r="V691" i="2"/>
  <c r="U691" i="2"/>
  <c r="T691" i="2"/>
  <c r="S691" i="2"/>
  <c r="R691" i="2"/>
  <c r="Q691" i="2"/>
  <c r="O691" i="2"/>
  <c r="M691" i="2"/>
  <c r="L691" i="2"/>
  <c r="K691" i="2"/>
  <c r="I691" i="2"/>
  <c r="G691" i="2"/>
  <c r="F691" i="2"/>
  <c r="W690" i="2"/>
  <c r="V690" i="2"/>
  <c r="U690" i="2"/>
  <c r="T690" i="2"/>
  <c r="S690" i="2"/>
  <c r="R690" i="2"/>
  <c r="Q690" i="2"/>
  <c r="O690" i="2"/>
  <c r="M690" i="2"/>
  <c r="L690" i="2"/>
  <c r="K690" i="2"/>
  <c r="I690" i="2"/>
  <c r="G690" i="2"/>
  <c r="F690" i="2"/>
  <c r="W689" i="2"/>
  <c r="V689" i="2"/>
  <c r="U689" i="2"/>
  <c r="T689" i="2"/>
  <c r="S689" i="2"/>
  <c r="R689" i="2"/>
  <c r="Q689" i="2"/>
  <c r="O689" i="2"/>
  <c r="M689" i="2"/>
  <c r="L689" i="2"/>
  <c r="K689" i="2"/>
  <c r="I689" i="2"/>
  <c r="G689" i="2"/>
  <c r="F689" i="2"/>
  <c r="W688" i="2"/>
  <c r="V688" i="2"/>
  <c r="U688" i="2"/>
  <c r="T688" i="2"/>
  <c r="S688" i="2"/>
  <c r="R688" i="2"/>
  <c r="Q688" i="2"/>
  <c r="O688" i="2"/>
  <c r="M688" i="2"/>
  <c r="L688" i="2"/>
  <c r="K688" i="2"/>
  <c r="I688" i="2"/>
  <c r="G688" i="2"/>
  <c r="F688" i="2"/>
  <c r="W687" i="2"/>
  <c r="V687" i="2"/>
  <c r="U687" i="2"/>
  <c r="T687" i="2"/>
  <c r="S687" i="2"/>
  <c r="R687" i="2"/>
  <c r="Q687" i="2"/>
  <c r="O687" i="2"/>
  <c r="M687" i="2"/>
  <c r="L687" i="2"/>
  <c r="K687" i="2"/>
  <c r="I687" i="2"/>
  <c r="G687" i="2"/>
  <c r="F687" i="2"/>
  <c r="W686" i="2"/>
  <c r="V686" i="2"/>
  <c r="U686" i="2"/>
  <c r="T686" i="2"/>
  <c r="S686" i="2"/>
  <c r="R686" i="2"/>
  <c r="Q686" i="2"/>
  <c r="O686" i="2"/>
  <c r="M686" i="2"/>
  <c r="L686" i="2"/>
  <c r="K686" i="2"/>
  <c r="I686" i="2"/>
  <c r="G686" i="2"/>
  <c r="F686" i="2"/>
  <c r="W685" i="2"/>
  <c r="V685" i="2"/>
  <c r="U685" i="2"/>
  <c r="T685" i="2"/>
  <c r="S685" i="2"/>
  <c r="R685" i="2"/>
  <c r="Q685" i="2"/>
  <c r="O685" i="2"/>
  <c r="M685" i="2"/>
  <c r="L685" i="2"/>
  <c r="K685" i="2"/>
  <c r="I685" i="2"/>
  <c r="G685" i="2"/>
  <c r="F685" i="2"/>
  <c r="W684" i="2"/>
  <c r="V684" i="2"/>
  <c r="U684" i="2"/>
  <c r="T684" i="2"/>
  <c r="S684" i="2"/>
  <c r="R684" i="2"/>
  <c r="Q684" i="2"/>
  <c r="O684" i="2"/>
  <c r="M684" i="2"/>
  <c r="L684" i="2"/>
  <c r="K684" i="2"/>
  <c r="I684" i="2"/>
  <c r="G684" i="2"/>
  <c r="F684" i="2"/>
  <c r="W683" i="2"/>
  <c r="V683" i="2"/>
  <c r="U683" i="2"/>
  <c r="T683" i="2"/>
  <c r="S683" i="2"/>
  <c r="R683" i="2"/>
  <c r="Q683" i="2"/>
  <c r="O683" i="2"/>
  <c r="M683" i="2"/>
  <c r="L683" i="2"/>
  <c r="K683" i="2"/>
  <c r="I683" i="2"/>
  <c r="G683" i="2"/>
  <c r="F683" i="2"/>
  <c r="W682" i="2"/>
  <c r="V682" i="2"/>
  <c r="U682" i="2"/>
  <c r="T682" i="2"/>
  <c r="S682" i="2"/>
  <c r="R682" i="2"/>
  <c r="Q682" i="2"/>
  <c r="O682" i="2"/>
  <c r="M682" i="2"/>
  <c r="L682" i="2"/>
  <c r="K682" i="2"/>
  <c r="I682" i="2"/>
  <c r="G682" i="2"/>
  <c r="F682" i="2"/>
  <c r="W681" i="2"/>
  <c r="V681" i="2"/>
  <c r="U681" i="2"/>
  <c r="T681" i="2"/>
  <c r="S681" i="2"/>
  <c r="R681" i="2"/>
  <c r="Q681" i="2"/>
  <c r="O681" i="2"/>
  <c r="M681" i="2"/>
  <c r="L681" i="2"/>
  <c r="K681" i="2"/>
  <c r="I681" i="2"/>
  <c r="G681" i="2"/>
  <c r="F681" i="2"/>
  <c r="W680" i="2"/>
  <c r="V680" i="2"/>
  <c r="U680" i="2"/>
  <c r="T680" i="2"/>
  <c r="S680" i="2"/>
  <c r="R680" i="2"/>
  <c r="Q680" i="2"/>
  <c r="O680" i="2"/>
  <c r="M680" i="2"/>
  <c r="L680" i="2"/>
  <c r="K680" i="2"/>
  <c r="I680" i="2"/>
  <c r="G680" i="2"/>
  <c r="F680" i="2"/>
  <c r="W679" i="2"/>
  <c r="V679" i="2"/>
  <c r="U679" i="2"/>
  <c r="T679" i="2"/>
  <c r="S679" i="2"/>
  <c r="R679" i="2"/>
  <c r="Q679" i="2"/>
  <c r="O679" i="2"/>
  <c r="M679" i="2"/>
  <c r="L679" i="2"/>
  <c r="K679" i="2"/>
  <c r="I679" i="2"/>
  <c r="G679" i="2"/>
  <c r="F679" i="2"/>
  <c r="W678" i="2"/>
  <c r="V678" i="2"/>
  <c r="U678" i="2"/>
  <c r="T678" i="2"/>
  <c r="S678" i="2"/>
  <c r="R678" i="2"/>
  <c r="Q678" i="2"/>
  <c r="O678" i="2"/>
  <c r="M678" i="2"/>
  <c r="L678" i="2"/>
  <c r="K678" i="2"/>
  <c r="I678" i="2"/>
  <c r="G678" i="2"/>
  <c r="F678" i="2"/>
  <c r="W677" i="2"/>
  <c r="V677" i="2"/>
  <c r="U677" i="2"/>
  <c r="T677" i="2"/>
  <c r="S677" i="2"/>
  <c r="R677" i="2"/>
  <c r="Q677" i="2"/>
  <c r="O677" i="2"/>
  <c r="M677" i="2"/>
  <c r="L677" i="2"/>
  <c r="K677" i="2"/>
  <c r="I677" i="2"/>
  <c r="G677" i="2"/>
  <c r="F677" i="2"/>
  <c r="W676" i="2"/>
  <c r="V676" i="2"/>
  <c r="U676" i="2"/>
  <c r="T676" i="2"/>
  <c r="S676" i="2"/>
  <c r="R676" i="2"/>
  <c r="Q676" i="2"/>
  <c r="O676" i="2"/>
  <c r="M676" i="2"/>
  <c r="L676" i="2"/>
  <c r="K676" i="2"/>
  <c r="I676" i="2"/>
  <c r="G676" i="2"/>
  <c r="F676" i="2"/>
  <c r="W675" i="2"/>
  <c r="V675" i="2"/>
  <c r="U675" i="2"/>
  <c r="T675" i="2"/>
  <c r="S675" i="2"/>
  <c r="R675" i="2"/>
  <c r="Q675" i="2"/>
  <c r="O675" i="2"/>
  <c r="M675" i="2"/>
  <c r="L675" i="2"/>
  <c r="K675" i="2"/>
  <c r="I675" i="2"/>
  <c r="G675" i="2"/>
  <c r="F675" i="2"/>
  <c r="W674" i="2"/>
  <c r="V674" i="2"/>
  <c r="U674" i="2"/>
  <c r="T674" i="2"/>
  <c r="S674" i="2"/>
  <c r="R674" i="2"/>
  <c r="Q674" i="2"/>
  <c r="O674" i="2"/>
  <c r="M674" i="2"/>
  <c r="L674" i="2"/>
  <c r="K674" i="2"/>
  <c r="I674" i="2"/>
  <c r="G674" i="2"/>
  <c r="F674" i="2"/>
  <c r="W673" i="2"/>
  <c r="V673" i="2"/>
  <c r="U673" i="2"/>
  <c r="T673" i="2"/>
  <c r="S673" i="2"/>
  <c r="R673" i="2"/>
  <c r="Q673" i="2"/>
  <c r="O673" i="2"/>
  <c r="M673" i="2"/>
  <c r="L673" i="2"/>
  <c r="K673" i="2"/>
  <c r="I673" i="2"/>
  <c r="G673" i="2"/>
  <c r="F673" i="2"/>
  <c r="W672" i="2"/>
  <c r="V672" i="2"/>
  <c r="U672" i="2"/>
  <c r="T672" i="2"/>
  <c r="S672" i="2"/>
  <c r="R672" i="2"/>
  <c r="Q672" i="2"/>
  <c r="O672" i="2"/>
  <c r="M672" i="2"/>
  <c r="L672" i="2"/>
  <c r="K672" i="2"/>
  <c r="I672" i="2"/>
  <c r="G672" i="2"/>
  <c r="F672" i="2"/>
  <c r="W671" i="2"/>
  <c r="V671" i="2"/>
  <c r="U671" i="2"/>
  <c r="T671" i="2"/>
  <c r="S671" i="2"/>
  <c r="R671" i="2"/>
  <c r="Q671" i="2"/>
  <c r="O671" i="2"/>
  <c r="M671" i="2"/>
  <c r="L671" i="2"/>
  <c r="K671" i="2"/>
  <c r="I671" i="2"/>
  <c r="G671" i="2"/>
  <c r="F671" i="2"/>
  <c r="W670" i="2"/>
  <c r="V670" i="2"/>
  <c r="U670" i="2"/>
  <c r="T670" i="2"/>
  <c r="S670" i="2"/>
  <c r="R670" i="2"/>
  <c r="Q670" i="2"/>
  <c r="O670" i="2"/>
  <c r="M670" i="2"/>
  <c r="L670" i="2"/>
  <c r="K670" i="2"/>
  <c r="I670" i="2"/>
  <c r="G670" i="2"/>
  <c r="F670" i="2"/>
  <c r="W669" i="2"/>
  <c r="V669" i="2"/>
  <c r="U669" i="2"/>
  <c r="T669" i="2"/>
  <c r="S669" i="2"/>
  <c r="R669" i="2"/>
  <c r="Q669" i="2"/>
  <c r="O669" i="2"/>
  <c r="M669" i="2"/>
  <c r="L669" i="2"/>
  <c r="K669" i="2"/>
  <c r="I669" i="2"/>
  <c r="G669" i="2"/>
  <c r="F669" i="2"/>
  <c r="W668" i="2"/>
  <c r="V668" i="2"/>
  <c r="U668" i="2"/>
  <c r="T668" i="2"/>
  <c r="S668" i="2"/>
  <c r="R668" i="2"/>
  <c r="Q668" i="2"/>
  <c r="O668" i="2"/>
  <c r="M668" i="2"/>
  <c r="L668" i="2"/>
  <c r="K668" i="2"/>
  <c r="I668" i="2"/>
  <c r="G668" i="2"/>
  <c r="F668" i="2"/>
  <c r="W667" i="2"/>
  <c r="V667" i="2"/>
  <c r="U667" i="2"/>
  <c r="T667" i="2"/>
  <c r="S667" i="2"/>
  <c r="R667" i="2"/>
  <c r="Q667" i="2"/>
  <c r="O667" i="2"/>
  <c r="M667" i="2"/>
  <c r="L667" i="2"/>
  <c r="K667" i="2"/>
  <c r="I667" i="2"/>
  <c r="G667" i="2"/>
  <c r="F667" i="2"/>
  <c r="W666" i="2"/>
  <c r="V666" i="2"/>
  <c r="U666" i="2"/>
  <c r="T666" i="2"/>
  <c r="S666" i="2"/>
  <c r="R666" i="2"/>
  <c r="Q666" i="2"/>
  <c r="O666" i="2"/>
  <c r="M666" i="2"/>
  <c r="L666" i="2"/>
  <c r="K666" i="2"/>
  <c r="I666" i="2"/>
  <c r="G666" i="2"/>
  <c r="F666" i="2"/>
  <c r="W665" i="2"/>
  <c r="V665" i="2"/>
  <c r="U665" i="2"/>
  <c r="T665" i="2"/>
  <c r="S665" i="2"/>
  <c r="R665" i="2"/>
  <c r="Q665" i="2"/>
  <c r="O665" i="2"/>
  <c r="M665" i="2"/>
  <c r="L665" i="2"/>
  <c r="K665" i="2"/>
  <c r="I665" i="2"/>
  <c r="G665" i="2"/>
  <c r="F665" i="2"/>
  <c r="W664" i="2"/>
  <c r="V664" i="2"/>
  <c r="U664" i="2"/>
  <c r="T664" i="2"/>
  <c r="S664" i="2"/>
  <c r="R664" i="2"/>
  <c r="Q664" i="2"/>
  <c r="O664" i="2"/>
  <c r="M664" i="2"/>
  <c r="L664" i="2"/>
  <c r="K664" i="2"/>
  <c r="I664" i="2"/>
  <c r="G664" i="2"/>
  <c r="F664" i="2"/>
  <c r="W663" i="2"/>
  <c r="V663" i="2"/>
  <c r="U663" i="2"/>
  <c r="T663" i="2"/>
  <c r="S663" i="2"/>
  <c r="R663" i="2"/>
  <c r="Q663" i="2"/>
  <c r="O663" i="2"/>
  <c r="M663" i="2"/>
  <c r="L663" i="2"/>
  <c r="K663" i="2"/>
  <c r="I663" i="2"/>
  <c r="G663" i="2"/>
  <c r="F663" i="2"/>
  <c r="W662" i="2"/>
  <c r="V662" i="2"/>
  <c r="U662" i="2"/>
  <c r="T662" i="2"/>
  <c r="S662" i="2"/>
  <c r="R662" i="2"/>
  <c r="Q662" i="2"/>
  <c r="O662" i="2"/>
  <c r="M662" i="2"/>
  <c r="L662" i="2"/>
  <c r="K662" i="2"/>
  <c r="I662" i="2"/>
  <c r="G662" i="2"/>
  <c r="F662" i="2"/>
  <c r="W661" i="2"/>
  <c r="V661" i="2"/>
  <c r="U661" i="2"/>
  <c r="T661" i="2"/>
  <c r="S661" i="2"/>
  <c r="R661" i="2"/>
  <c r="Q661" i="2"/>
  <c r="O661" i="2"/>
  <c r="M661" i="2"/>
  <c r="L661" i="2"/>
  <c r="K661" i="2"/>
  <c r="I661" i="2"/>
  <c r="G661" i="2"/>
  <c r="F661" i="2"/>
  <c r="W660" i="2"/>
  <c r="V660" i="2"/>
  <c r="U660" i="2"/>
  <c r="T660" i="2"/>
  <c r="S660" i="2"/>
  <c r="R660" i="2"/>
  <c r="Q660" i="2"/>
  <c r="O660" i="2"/>
  <c r="M660" i="2"/>
  <c r="L660" i="2"/>
  <c r="K660" i="2"/>
  <c r="I660" i="2"/>
  <c r="G660" i="2"/>
  <c r="F660" i="2"/>
  <c r="W659" i="2"/>
  <c r="V659" i="2"/>
  <c r="U659" i="2"/>
  <c r="T659" i="2"/>
  <c r="S659" i="2"/>
  <c r="R659" i="2"/>
  <c r="Q659" i="2"/>
  <c r="O659" i="2"/>
  <c r="M659" i="2"/>
  <c r="L659" i="2"/>
  <c r="K659" i="2"/>
  <c r="I659" i="2"/>
  <c r="G659" i="2"/>
  <c r="F659" i="2"/>
  <c r="W658" i="2"/>
  <c r="V658" i="2"/>
  <c r="U658" i="2"/>
  <c r="T658" i="2"/>
  <c r="S658" i="2"/>
  <c r="R658" i="2"/>
  <c r="Q658" i="2"/>
  <c r="O658" i="2"/>
  <c r="M658" i="2"/>
  <c r="L658" i="2"/>
  <c r="K658" i="2"/>
  <c r="I658" i="2"/>
  <c r="G658" i="2"/>
  <c r="F658" i="2"/>
  <c r="W657" i="2"/>
  <c r="V657" i="2"/>
  <c r="U657" i="2"/>
  <c r="T657" i="2"/>
  <c r="S657" i="2"/>
  <c r="R657" i="2"/>
  <c r="Q657" i="2"/>
  <c r="O657" i="2"/>
  <c r="M657" i="2"/>
  <c r="L657" i="2"/>
  <c r="K657" i="2"/>
  <c r="I657" i="2"/>
  <c r="G657" i="2"/>
  <c r="F657" i="2"/>
  <c r="W656" i="2"/>
  <c r="V656" i="2"/>
  <c r="U656" i="2"/>
  <c r="T656" i="2"/>
  <c r="S656" i="2"/>
  <c r="R656" i="2"/>
  <c r="Q656" i="2"/>
  <c r="O656" i="2"/>
  <c r="M656" i="2"/>
  <c r="L656" i="2"/>
  <c r="K656" i="2"/>
  <c r="I656" i="2"/>
  <c r="G656" i="2"/>
  <c r="F656" i="2"/>
  <c r="W655" i="2"/>
  <c r="V655" i="2"/>
  <c r="U655" i="2"/>
  <c r="T655" i="2"/>
  <c r="S655" i="2"/>
  <c r="R655" i="2"/>
  <c r="Q655" i="2"/>
  <c r="O655" i="2"/>
  <c r="M655" i="2"/>
  <c r="L655" i="2"/>
  <c r="K655" i="2"/>
  <c r="I655" i="2"/>
  <c r="G655" i="2"/>
  <c r="F655" i="2"/>
  <c r="W654" i="2"/>
  <c r="V654" i="2"/>
  <c r="U654" i="2"/>
  <c r="T654" i="2"/>
  <c r="S654" i="2"/>
  <c r="R654" i="2"/>
  <c r="Q654" i="2"/>
  <c r="O654" i="2"/>
  <c r="M654" i="2"/>
  <c r="L654" i="2"/>
  <c r="K654" i="2"/>
  <c r="I654" i="2"/>
  <c r="G654" i="2"/>
  <c r="F654" i="2"/>
  <c r="W653" i="2"/>
  <c r="V653" i="2"/>
  <c r="U653" i="2"/>
  <c r="T653" i="2"/>
  <c r="S653" i="2"/>
  <c r="R653" i="2"/>
  <c r="Q653" i="2"/>
  <c r="O653" i="2"/>
  <c r="M653" i="2"/>
  <c r="L653" i="2"/>
  <c r="K653" i="2"/>
  <c r="I653" i="2"/>
  <c r="G653" i="2"/>
  <c r="F653" i="2"/>
  <c r="W652" i="2"/>
  <c r="V652" i="2"/>
  <c r="U652" i="2"/>
  <c r="T652" i="2"/>
  <c r="S652" i="2"/>
  <c r="R652" i="2"/>
  <c r="Q652" i="2"/>
  <c r="O652" i="2"/>
  <c r="M652" i="2"/>
  <c r="L652" i="2"/>
  <c r="K652" i="2"/>
  <c r="I652" i="2"/>
  <c r="G652" i="2"/>
  <c r="F652" i="2"/>
  <c r="W651" i="2"/>
  <c r="V651" i="2"/>
  <c r="U651" i="2"/>
  <c r="T651" i="2"/>
  <c r="S651" i="2"/>
  <c r="R651" i="2"/>
  <c r="Q651" i="2"/>
  <c r="O651" i="2"/>
  <c r="M651" i="2"/>
  <c r="L651" i="2"/>
  <c r="K651" i="2"/>
  <c r="I651" i="2"/>
  <c r="G651" i="2"/>
  <c r="F651" i="2"/>
  <c r="W650" i="2"/>
  <c r="V650" i="2"/>
  <c r="U650" i="2"/>
  <c r="T650" i="2"/>
  <c r="S650" i="2"/>
  <c r="R650" i="2"/>
  <c r="Q650" i="2"/>
  <c r="O650" i="2"/>
  <c r="M650" i="2"/>
  <c r="L650" i="2"/>
  <c r="K650" i="2"/>
  <c r="I650" i="2"/>
  <c r="G650" i="2"/>
  <c r="F650" i="2"/>
  <c r="W649" i="2"/>
  <c r="V649" i="2"/>
  <c r="U649" i="2"/>
  <c r="T649" i="2"/>
  <c r="S649" i="2"/>
  <c r="R649" i="2"/>
  <c r="Q649" i="2"/>
  <c r="O649" i="2"/>
  <c r="M649" i="2"/>
  <c r="L649" i="2"/>
  <c r="K649" i="2"/>
  <c r="I649" i="2"/>
  <c r="G649" i="2"/>
  <c r="F649" i="2"/>
  <c r="W648" i="2"/>
  <c r="V648" i="2"/>
  <c r="U648" i="2"/>
  <c r="T648" i="2"/>
  <c r="S648" i="2"/>
  <c r="R648" i="2"/>
  <c r="Q648" i="2"/>
  <c r="O648" i="2"/>
  <c r="M648" i="2"/>
  <c r="L648" i="2"/>
  <c r="K648" i="2"/>
  <c r="I648" i="2"/>
  <c r="G648" i="2"/>
  <c r="F648" i="2"/>
  <c r="W647" i="2"/>
  <c r="V647" i="2"/>
  <c r="U647" i="2"/>
  <c r="T647" i="2"/>
  <c r="S647" i="2"/>
  <c r="R647" i="2"/>
  <c r="Q647" i="2"/>
  <c r="O647" i="2"/>
  <c r="M647" i="2"/>
  <c r="L647" i="2"/>
  <c r="K647" i="2"/>
  <c r="I647" i="2"/>
  <c r="G647" i="2"/>
  <c r="F647" i="2"/>
  <c r="W646" i="2"/>
  <c r="V646" i="2"/>
  <c r="U646" i="2"/>
  <c r="T646" i="2"/>
  <c r="S646" i="2"/>
  <c r="R646" i="2"/>
  <c r="Q646" i="2"/>
  <c r="O646" i="2"/>
  <c r="M646" i="2"/>
  <c r="L646" i="2"/>
  <c r="K646" i="2"/>
  <c r="I646" i="2"/>
  <c r="G646" i="2"/>
  <c r="F646" i="2"/>
  <c r="W645" i="2"/>
  <c r="V645" i="2"/>
  <c r="U645" i="2"/>
  <c r="T645" i="2"/>
  <c r="S645" i="2"/>
  <c r="R645" i="2"/>
  <c r="Q645" i="2"/>
  <c r="O645" i="2"/>
  <c r="M645" i="2"/>
  <c r="L645" i="2"/>
  <c r="K645" i="2"/>
  <c r="I645" i="2"/>
  <c r="G645" i="2"/>
  <c r="F645" i="2"/>
  <c r="W644" i="2"/>
  <c r="V644" i="2"/>
  <c r="U644" i="2"/>
  <c r="T644" i="2"/>
  <c r="S644" i="2"/>
  <c r="R644" i="2"/>
  <c r="Q644" i="2"/>
  <c r="O644" i="2"/>
  <c r="M644" i="2"/>
  <c r="L644" i="2"/>
  <c r="K644" i="2"/>
  <c r="I644" i="2"/>
  <c r="G644" i="2"/>
  <c r="F644" i="2"/>
  <c r="W643" i="2"/>
  <c r="V643" i="2"/>
  <c r="U643" i="2"/>
  <c r="T643" i="2"/>
  <c r="S643" i="2"/>
  <c r="R643" i="2"/>
  <c r="Q643" i="2"/>
  <c r="O643" i="2"/>
  <c r="M643" i="2"/>
  <c r="L643" i="2"/>
  <c r="K643" i="2"/>
  <c r="I643" i="2"/>
  <c r="G643" i="2"/>
  <c r="F643" i="2"/>
  <c r="W642" i="2"/>
  <c r="V642" i="2"/>
  <c r="U642" i="2"/>
  <c r="T642" i="2"/>
  <c r="S642" i="2"/>
  <c r="R642" i="2"/>
  <c r="Q642" i="2"/>
  <c r="O642" i="2"/>
  <c r="M642" i="2"/>
  <c r="L642" i="2"/>
  <c r="K642" i="2"/>
  <c r="I642" i="2"/>
  <c r="G642" i="2"/>
  <c r="F642" i="2"/>
  <c r="W641" i="2"/>
  <c r="V641" i="2"/>
  <c r="U641" i="2"/>
  <c r="T641" i="2"/>
  <c r="S641" i="2"/>
  <c r="R641" i="2"/>
  <c r="Q641" i="2"/>
  <c r="O641" i="2"/>
  <c r="M641" i="2"/>
  <c r="L641" i="2"/>
  <c r="K641" i="2"/>
  <c r="I641" i="2"/>
  <c r="G641" i="2"/>
  <c r="F641" i="2"/>
  <c r="W640" i="2"/>
  <c r="V640" i="2"/>
  <c r="U640" i="2"/>
  <c r="T640" i="2"/>
  <c r="S640" i="2"/>
  <c r="R640" i="2"/>
  <c r="Q640" i="2"/>
  <c r="O640" i="2"/>
  <c r="M640" i="2"/>
  <c r="L640" i="2"/>
  <c r="K640" i="2"/>
  <c r="I640" i="2"/>
  <c r="G640" i="2"/>
  <c r="F640" i="2"/>
  <c r="W639" i="2"/>
  <c r="V639" i="2"/>
  <c r="U639" i="2"/>
  <c r="T639" i="2"/>
  <c r="S639" i="2"/>
  <c r="R639" i="2"/>
  <c r="Q639" i="2"/>
  <c r="O639" i="2"/>
  <c r="M639" i="2"/>
  <c r="L639" i="2"/>
  <c r="K639" i="2"/>
  <c r="I639" i="2"/>
  <c r="G639" i="2"/>
  <c r="F639" i="2"/>
  <c r="W638" i="2"/>
  <c r="V638" i="2"/>
  <c r="U638" i="2"/>
  <c r="T638" i="2"/>
  <c r="S638" i="2"/>
  <c r="R638" i="2"/>
  <c r="Q638" i="2"/>
  <c r="O638" i="2"/>
  <c r="M638" i="2"/>
  <c r="L638" i="2"/>
  <c r="K638" i="2"/>
  <c r="I638" i="2"/>
  <c r="G638" i="2"/>
  <c r="F638" i="2"/>
  <c r="W637" i="2"/>
  <c r="V637" i="2"/>
  <c r="U637" i="2"/>
  <c r="T637" i="2"/>
  <c r="S637" i="2"/>
  <c r="R637" i="2"/>
  <c r="Q637" i="2"/>
  <c r="O637" i="2"/>
  <c r="M637" i="2"/>
  <c r="L637" i="2"/>
  <c r="K637" i="2"/>
  <c r="I637" i="2"/>
  <c r="G637" i="2"/>
  <c r="F637" i="2"/>
  <c r="W636" i="2"/>
  <c r="V636" i="2"/>
  <c r="U636" i="2"/>
  <c r="T636" i="2"/>
  <c r="S636" i="2"/>
  <c r="R636" i="2"/>
  <c r="Q636" i="2"/>
  <c r="O636" i="2"/>
  <c r="M636" i="2"/>
  <c r="L636" i="2"/>
  <c r="K636" i="2"/>
  <c r="I636" i="2"/>
  <c r="G636" i="2"/>
  <c r="F636" i="2"/>
  <c r="W635" i="2"/>
  <c r="V635" i="2"/>
  <c r="U635" i="2"/>
  <c r="T635" i="2"/>
  <c r="S635" i="2"/>
  <c r="R635" i="2"/>
  <c r="Q635" i="2"/>
  <c r="O635" i="2"/>
  <c r="M635" i="2"/>
  <c r="L635" i="2"/>
  <c r="K635" i="2"/>
  <c r="I635" i="2"/>
  <c r="G635" i="2"/>
  <c r="F635" i="2"/>
  <c r="W634" i="2"/>
  <c r="V634" i="2"/>
  <c r="U634" i="2"/>
  <c r="T634" i="2"/>
  <c r="S634" i="2"/>
  <c r="R634" i="2"/>
  <c r="Q634" i="2"/>
  <c r="O634" i="2"/>
  <c r="M634" i="2"/>
  <c r="L634" i="2"/>
  <c r="K634" i="2"/>
  <c r="I634" i="2"/>
  <c r="G634" i="2"/>
  <c r="F634" i="2"/>
  <c r="W633" i="2"/>
  <c r="V633" i="2"/>
  <c r="U633" i="2"/>
  <c r="T633" i="2"/>
  <c r="S633" i="2"/>
  <c r="R633" i="2"/>
  <c r="Q633" i="2"/>
  <c r="O633" i="2"/>
  <c r="M633" i="2"/>
  <c r="L633" i="2"/>
  <c r="K633" i="2"/>
  <c r="I633" i="2"/>
  <c r="G633" i="2"/>
  <c r="F633" i="2"/>
  <c r="W632" i="2"/>
  <c r="V632" i="2"/>
  <c r="U632" i="2"/>
  <c r="T632" i="2"/>
  <c r="S632" i="2"/>
  <c r="R632" i="2"/>
  <c r="Q632" i="2"/>
  <c r="O632" i="2"/>
  <c r="M632" i="2"/>
  <c r="L632" i="2"/>
  <c r="K632" i="2"/>
  <c r="I632" i="2"/>
  <c r="G632" i="2"/>
  <c r="F632" i="2"/>
  <c r="W631" i="2"/>
  <c r="V631" i="2"/>
  <c r="U631" i="2"/>
  <c r="T631" i="2"/>
  <c r="S631" i="2"/>
  <c r="R631" i="2"/>
  <c r="Q631" i="2"/>
  <c r="O631" i="2"/>
  <c r="M631" i="2"/>
  <c r="L631" i="2"/>
  <c r="K631" i="2"/>
  <c r="I631" i="2"/>
  <c r="G631" i="2"/>
  <c r="F631" i="2"/>
  <c r="W630" i="2"/>
  <c r="V630" i="2"/>
  <c r="U630" i="2"/>
  <c r="T630" i="2"/>
  <c r="S630" i="2"/>
  <c r="R630" i="2"/>
  <c r="Q630" i="2"/>
  <c r="O630" i="2"/>
  <c r="M630" i="2"/>
  <c r="L630" i="2"/>
  <c r="K630" i="2"/>
  <c r="I630" i="2"/>
  <c r="G630" i="2"/>
  <c r="F630" i="2"/>
  <c r="W629" i="2"/>
  <c r="V629" i="2"/>
  <c r="U629" i="2"/>
  <c r="T629" i="2"/>
  <c r="S629" i="2"/>
  <c r="R629" i="2"/>
  <c r="Q629" i="2"/>
  <c r="O629" i="2"/>
  <c r="M629" i="2"/>
  <c r="L629" i="2"/>
  <c r="K629" i="2"/>
  <c r="I629" i="2"/>
  <c r="G629" i="2"/>
  <c r="F629" i="2"/>
  <c r="W628" i="2"/>
  <c r="V628" i="2"/>
  <c r="U628" i="2"/>
  <c r="T628" i="2"/>
  <c r="S628" i="2"/>
  <c r="R628" i="2"/>
  <c r="Q628" i="2"/>
  <c r="O628" i="2"/>
  <c r="M628" i="2"/>
  <c r="L628" i="2"/>
  <c r="K628" i="2"/>
  <c r="I628" i="2"/>
  <c r="G628" i="2"/>
  <c r="F628" i="2"/>
  <c r="W627" i="2"/>
  <c r="V627" i="2"/>
  <c r="U627" i="2"/>
  <c r="T627" i="2"/>
  <c r="S627" i="2"/>
  <c r="R627" i="2"/>
  <c r="Q627" i="2"/>
  <c r="O627" i="2"/>
  <c r="M627" i="2"/>
  <c r="L627" i="2"/>
  <c r="K627" i="2"/>
  <c r="I627" i="2"/>
  <c r="G627" i="2"/>
  <c r="F627" i="2"/>
  <c r="W626" i="2"/>
  <c r="V626" i="2"/>
  <c r="U626" i="2"/>
  <c r="T626" i="2"/>
  <c r="S626" i="2"/>
  <c r="R626" i="2"/>
  <c r="Q626" i="2"/>
  <c r="O626" i="2"/>
  <c r="M626" i="2"/>
  <c r="L626" i="2"/>
  <c r="K626" i="2"/>
  <c r="I626" i="2"/>
  <c r="G626" i="2"/>
  <c r="F626" i="2"/>
  <c r="W625" i="2"/>
  <c r="V625" i="2"/>
  <c r="U625" i="2"/>
  <c r="T625" i="2"/>
  <c r="S625" i="2"/>
  <c r="R625" i="2"/>
  <c r="Q625" i="2"/>
  <c r="O625" i="2"/>
  <c r="M625" i="2"/>
  <c r="L625" i="2"/>
  <c r="K625" i="2"/>
  <c r="I625" i="2"/>
  <c r="G625" i="2"/>
  <c r="F625" i="2"/>
  <c r="W624" i="2"/>
  <c r="V624" i="2"/>
  <c r="U624" i="2"/>
  <c r="T624" i="2"/>
  <c r="S624" i="2"/>
  <c r="R624" i="2"/>
  <c r="Q624" i="2"/>
  <c r="O624" i="2"/>
  <c r="M624" i="2"/>
  <c r="L624" i="2"/>
  <c r="K624" i="2"/>
  <c r="I624" i="2"/>
  <c r="G624" i="2"/>
  <c r="F624" i="2"/>
  <c r="W623" i="2"/>
  <c r="V623" i="2"/>
  <c r="U623" i="2"/>
  <c r="T623" i="2"/>
  <c r="S623" i="2"/>
  <c r="R623" i="2"/>
  <c r="Q623" i="2"/>
  <c r="O623" i="2"/>
  <c r="M623" i="2"/>
  <c r="L623" i="2"/>
  <c r="K623" i="2"/>
  <c r="I623" i="2"/>
  <c r="G623" i="2"/>
  <c r="F623" i="2"/>
  <c r="W622" i="2"/>
  <c r="V622" i="2"/>
  <c r="U622" i="2"/>
  <c r="T622" i="2"/>
  <c r="S622" i="2"/>
  <c r="R622" i="2"/>
  <c r="Q622" i="2"/>
  <c r="O622" i="2"/>
  <c r="M622" i="2"/>
  <c r="L622" i="2"/>
  <c r="K622" i="2"/>
  <c r="I622" i="2"/>
  <c r="G622" i="2"/>
  <c r="F622" i="2"/>
  <c r="W621" i="2"/>
  <c r="V621" i="2"/>
  <c r="U621" i="2"/>
  <c r="T621" i="2"/>
  <c r="S621" i="2"/>
  <c r="R621" i="2"/>
  <c r="Q621" i="2"/>
  <c r="O621" i="2"/>
  <c r="M621" i="2"/>
  <c r="L621" i="2"/>
  <c r="K621" i="2"/>
  <c r="I621" i="2"/>
  <c r="G621" i="2"/>
  <c r="F621" i="2"/>
  <c r="W620" i="2"/>
  <c r="V620" i="2"/>
  <c r="U620" i="2"/>
  <c r="T620" i="2"/>
  <c r="S620" i="2"/>
  <c r="R620" i="2"/>
  <c r="Q620" i="2"/>
  <c r="O620" i="2"/>
  <c r="M620" i="2"/>
  <c r="L620" i="2"/>
  <c r="K620" i="2"/>
  <c r="I620" i="2"/>
  <c r="G620" i="2"/>
  <c r="F620" i="2"/>
  <c r="W619" i="2"/>
  <c r="V619" i="2"/>
  <c r="U619" i="2"/>
  <c r="T619" i="2"/>
  <c r="S619" i="2"/>
  <c r="R619" i="2"/>
  <c r="Q619" i="2"/>
  <c r="O619" i="2"/>
  <c r="M619" i="2"/>
  <c r="L619" i="2"/>
  <c r="K619" i="2"/>
  <c r="I619" i="2"/>
  <c r="G619" i="2"/>
  <c r="F619" i="2"/>
  <c r="W618" i="2"/>
  <c r="V618" i="2"/>
  <c r="U618" i="2"/>
  <c r="T618" i="2"/>
  <c r="S618" i="2"/>
  <c r="R618" i="2"/>
  <c r="Q618" i="2"/>
  <c r="O618" i="2"/>
  <c r="M618" i="2"/>
  <c r="L618" i="2"/>
  <c r="K618" i="2"/>
  <c r="I618" i="2"/>
  <c r="G618" i="2"/>
  <c r="F618" i="2"/>
  <c r="W617" i="2"/>
  <c r="V617" i="2"/>
  <c r="U617" i="2"/>
  <c r="T617" i="2"/>
  <c r="S617" i="2"/>
  <c r="R617" i="2"/>
  <c r="Q617" i="2"/>
  <c r="O617" i="2"/>
  <c r="M617" i="2"/>
  <c r="L617" i="2"/>
  <c r="K617" i="2"/>
  <c r="I617" i="2"/>
  <c r="G617" i="2"/>
  <c r="F617" i="2"/>
  <c r="W616" i="2"/>
  <c r="V616" i="2"/>
  <c r="U616" i="2"/>
  <c r="T616" i="2"/>
  <c r="S616" i="2"/>
  <c r="R616" i="2"/>
  <c r="Q616" i="2"/>
  <c r="O616" i="2"/>
  <c r="M616" i="2"/>
  <c r="L616" i="2"/>
  <c r="K616" i="2"/>
  <c r="I616" i="2"/>
  <c r="G616" i="2"/>
  <c r="F616" i="2"/>
  <c r="W615" i="2"/>
  <c r="V615" i="2"/>
  <c r="U615" i="2"/>
  <c r="T615" i="2"/>
  <c r="S615" i="2"/>
  <c r="R615" i="2"/>
  <c r="Q615" i="2"/>
  <c r="O615" i="2"/>
  <c r="M615" i="2"/>
  <c r="L615" i="2"/>
  <c r="K615" i="2"/>
  <c r="I615" i="2"/>
  <c r="G615" i="2"/>
  <c r="F615" i="2"/>
  <c r="W614" i="2"/>
  <c r="V614" i="2"/>
  <c r="U614" i="2"/>
  <c r="T614" i="2"/>
  <c r="S614" i="2"/>
  <c r="R614" i="2"/>
  <c r="Q614" i="2"/>
  <c r="O614" i="2"/>
  <c r="M614" i="2"/>
  <c r="L614" i="2"/>
  <c r="K614" i="2"/>
  <c r="I614" i="2"/>
  <c r="G614" i="2"/>
  <c r="F614" i="2"/>
  <c r="W613" i="2"/>
  <c r="V613" i="2"/>
  <c r="U613" i="2"/>
  <c r="T613" i="2"/>
  <c r="S613" i="2"/>
  <c r="R613" i="2"/>
  <c r="Q613" i="2"/>
  <c r="O613" i="2"/>
  <c r="M613" i="2"/>
  <c r="L613" i="2"/>
  <c r="K613" i="2"/>
  <c r="I613" i="2"/>
  <c r="G613" i="2"/>
  <c r="F613" i="2"/>
  <c r="W612" i="2"/>
  <c r="V612" i="2"/>
  <c r="U612" i="2"/>
  <c r="T612" i="2"/>
  <c r="S612" i="2"/>
  <c r="R612" i="2"/>
  <c r="Q612" i="2"/>
  <c r="O612" i="2"/>
  <c r="M612" i="2"/>
  <c r="L612" i="2"/>
  <c r="K612" i="2"/>
  <c r="I612" i="2"/>
  <c r="G612" i="2"/>
  <c r="F612" i="2"/>
  <c r="W611" i="2"/>
  <c r="V611" i="2"/>
  <c r="U611" i="2"/>
  <c r="T611" i="2"/>
  <c r="S611" i="2"/>
  <c r="R611" i="2"/>
  <c r="Q611" i="2"/>
  <c r="O611" i="2"/>
  <c r="M611" i="2"/>
  <c r="L611" i="2"/>
  <c r="K611" i="2"/>
  <c r="I611" i="2"/>
  <c r="G611" i="2"/>
  <c r="F611" i="2"/>
  <c r="W610" i="2"/>
  <c r="V610" i="2"/>
  <c r="U610" i="2"/>
  <c r="T610" i="2"/>
  <c r="S610" i="2"/>
  <c r="R610" i="2"/>
  <c r="Q610" i="2"/>
  <c r="O610" i="2"/>
  <c r="M610" i="2"/>
  <c r="L610" i="2"/>
  <c r="K610" i="2"/>
  <c r="I610" i="2"/>
  <c r="G610" i="2"/>
  <c r="F610" i="2"/>
  <c r="W609" i="2"/>
  <c r="V609" i="2"/>
  <c r="U609" i="2"/>
  <c r="T609" i="2"/>
  <c r="S609" i="2"/>
  <c r="R609" i="2"/>
  <c r="Q609" i="2"/>
  <c r="O609" i="2"/>
  <c r="M609" i="2"/>
  <c r="L609" i="2"/>
  <c r="K609" i="2"/>
  <c r="I609" i="2"/>
  <c r="G609" i="2"/>
  <c r="F609" i="2"/>
  <c r="W608" i="2"/>
  <c r="V608" i="2"/>
  <c r="U608" i="2"/>
  <c r="T608" i="2"/>
  <c r="S608" i="2"/>
  <c r="R608" i="2"/>
  <c r="Q608" i="2"/>
  <c r="O608" i="2"/>
  <c r="M608" i="2"/>
  <c r="L608" i="2"/>
  <c r="K608" i="2"/>
  <c r="I608" i="2"/>
  <c r="G608" i="2"/>
  <c r="F608" i="2"/>
  <c r="W607" i="2"/>
  <c r="V607" i="2"/>
  <c r="U607" i="2"/>
  <c r="T607" i="2"/>
  <c r="S607" i="2"/>
  <c r="R607" i="2"/>
  <c r="Q607" i="2"/>
  <c r="O607" i="2"/>
  <c r="M607" i="2"/>
  <c r="L607" i="2"/>
  <c r="K607" i="2"/>
  <c r="I607" i="2"/>
  <c r="G607" i="2"/>
  <c r="F607" i="2"/>
  <c r="W606" i="2"/>
  <c r="V606" i="2"/>
  <c r="U606" i="2"/>
  <c r="T606" i="2"/>
  <c r="S606" i="2"/>
  <c r="R606" i="2"/>
  <c r="Q606" i="2"/>
  <c r="O606" i="2"/>
  <c r="M606" i="2"/>
  <c r="L606" i="2"/>
  <c r="K606" i="2"/>
  <c r="I606" i="2"/>
  <c r="G606" i="2"/>
  <c r="F606" i="2"/>
  <c r="W605" i="2"/>
  <c r="V605" i="2"/>
  <c r="U605" i="2"/>
  <c r="T605" i="2"/>
  <c r="S605" i="2"/>
  <c r="R605" i="2"/>
  <c r="Q605" i="2"/>
  <c r="O605" i="2"/>
  <c r="M605" i="2"/>
  <c r="L605" i="2"/>
  <c r="K605" i="2"/>
  <c r="I605" i="2"/>
  <c r="G605" i="2"/>
  <c r="F605" i="2"/>
  <c r="W604" i="2"/>
  <c r="V604" i="2"/>
  <c r="U604" i="2"/>
  <c r="T604" i="2"/>
  <c r="S604" i="2"/>
  <c r="R604" i="2"/>
  <c r="Q604" i="2"/>
  <c r="O604" i="2"/>
  <c r="M604" i="2"/>
  <c r="L604" i="2"/>
  <c r="K604" i="2"/>
  <c r="I604" i="2"/>
  <c r="G604" i="2"/>
  <c r="F604" i="2"/>
  <c r="W603" i="2"/>
  <c r="V603" i="2"/>
  <c r="U603" i="2"/>
  <c r="T603" i="2"/>
  <c r="S603" i="2"/>
  <c r="R603" i="2"/>
  <c r="Q603" i="2"/>
  <c r="O603" i="2"/>
  <c r="M603" i="2"/>
  <c r="L603" i="2"/>
  <c r="K603" i="2"/>
  <c r="I603" i="2"/>
  <c r="G603" i="2"/>
  <c r="F603" i="2"/>
  <c r="W602" i="2"/>
  <c r="V602" i="2"/>
  <c r="U602" i="2"/>
  <c r="T602" i="2"/>
  <c r="S602" i="2"/>
  <c r="R602" i="2"/>
  <c r="Q602" i="2"/>
  <c r="O602" i="2"/>
  <c r="M602" i="2"/>
  <c r="L602" i="2"/>
  <c r="K602" i="2"/>
  <c r="I602" i="2"/>
  <c r="G602" i="2"/>
  <c r="F602" i="2"/>
  <c r="W601" i="2"/>
  <c r="V601" i="2"/>
  <c r="U601" i="2"/>
  <c r="T601" i="2"/>
  <c r="S601" i="2"/>
  <c r="R601" i="2"/>
  <c r="Q601" i="2"/>
  <c r="O601" i="2"/>
  <c r="M601" i="2"/>
  <c r="L601" i="2"/>
  <c r="K601" i="2"/>
  <c r="I601" i="2"/>
  <c r="G601" i="2"/>
  <c r="F601" i="2"/>
  <c r="W600" i="2"/>
  <c r="V600" i="2"/>
  <c r="U600" i="2"/>
  <c r="T600" i="2"/>
  <c r="S600" i="2"/>
  <c r="R600" i="2"/>
  <c r="Q600" i="2"/>
  <c r="O600" i="2"/>
  <c r="M600" i="2"/>
  <c r="L600" i="2"/>
  <c r="K600" i="2"/>
  <c r="I600" i="2"/>
  <c r="G600" i="2"/>
  <c r="F600" i="2"/>
  <c r="W599" i="2"/>
  <c r="V599" i="2"/>
  <c r="U599" i="2"/>
  <c r="T599" i="2"/>
  <c r="S599" i="2"/>
  <c r="R599" i="2"/>
  <c r="Q599" i="2"/>
  <c r="O599" i="2"/>
  <c r="M599" i="2"/>
  <c r="L599" i="2"/>
  <c r="K599" i="2"/>
  <c r="I599" i="2"/>
  <c r="G599" i="2"/>
  <c r="F599" i="2"/>
  <c r="W598" i="2"/>
  <c r="V598" i="2"/>
  <c r="U598" i="2"/>
  <c r="T598" i="2"/>
  <c r="S598" i="2"/>
  <c r="R598" i="2"/>
  <c r="Q598" i="2"/>
  <c r="O598" i="2"/>
  <c r="M598" i="2"/>
  <c r="L598" i="2"/>
  <c r="K598" i="2"/>
  <c r="I598" i="2"/>
  <c r="G598" i="2"/>
  <c r="F598" i="2"/>
  <c r="W597" i="2"/>
  <c r="V597" i="2"/>
  <c r="U597" i="2"/>
  <c r="T597" i="2"/>
  <c r="S597" i="2"/>
  <c r="R597" i="2"/>
  <c r="Q597" i="2"/>
  <c r="O597" i="2"/>
  <c r="M597" i="2"/>
  <c r="L597" i="2"/>
  <c r="K597" i="2"/>
  <c r="I597" i="2"/>
  <c r="G597" i="2"/>
  <c r="F597" i="2"/>
  <c r="W596" i="2"/>
  <c r="V596" i="2"/>
  <c r="U596" i="2"/>
  <c r="T596" i="2"/>
  <c r="S596" i="2"/>
  <c r="R596" i="2"/>
  <c r="Q596" i="2"/>
  <c r="O596" i="2"/>
  <c r="M596" i="2"/>
  <c r="L596" i="2"/>
  <c r="K596" i="2"/>
  <c r="I596" i="2"/>
  <c r="G596" i="2"/>
  <c r="F596" i="2"/>
  <c r="W595" i="2"/>
  <c r="V595" i="2"/>
  <c r="U595" i="2"/>
  <c r="T595" i="2"/>
  <c r="S595" i="2"/>
  <c r="R595" i="2"/>
  <c r="Q595" i="2"/>
  <c r="O595" i="2"/>
  <c r="M595" i="2"/>
  <c r="L595" i="2"/>
  <c r="K595" i="2"/>
  <c r="I595" i="2"/>
  <c r="G595" i="2"/>
  <c r="F595" i="2"/>
  <c r="W594" i="2"/>
  <c r="V594" i="2"/>
  <c r="U594" i="2"/>
  <c r="T594" i="2"/>
  <c r="S594" i="2"/>
  <c r="R594" i="2"/>
  <c r="Q594" i="2"/>
  <c r="O594" i="2"/>
  <c r="M594" i="2"/>
  <c r="L594" i="2"/>
  <c r="K594" i="2"/>
  <c r="I594" i="2"/>
  <c r="G594" i="2"/>
  <c r="F594" i="2"/>
  <c r="W593" i="2"/>
  <c r="V593" i="2"/>
  <c r="U593" i="2"/>
  <c r="T593" i="2"/>
  <c r="S593" i="2"/>
  <c r="R593" i="2"/>
  <c r="Q593" i="2"/>
  <c r="O593" i="2"/>
  <c r="M593" i="2"/>
  <c r="L593" i="2"/>
  <c r="K593" i="2"/>
  <c r="I593" i="2"/>
  <c r="G593" i="2"/>
  <c r="F593" i="2"/>
  <c r="W592" i="2"/>
  <c r="V592" i="2"/>
  <c r="U592" i="2"/>
  <c r="T592" i="2"/>
  <c r="S592" i="2"/>
  <c r="R592" i="2"/>
  <c r="Q592" i="2"/>
  <c r="O592" i="2"/>
  <c r="M592" i="2"/>
  <c r="L592" i="2"/>
  <c r="K592" i="2"/>
  <c r="I592" i="2"/>
  <c r="G592" i="2"/>
  <c r="F592" i="2"/>
  <c r="W591" i="2"/>
  <c r="V591" i="2"/>
  <c r="U591" i="2"/>
  <c r="T591" i="2"/>
  <c r="S591" i="2"/>
  <c r="R591" i="2"/>
  <c r="Q591" i="2"/>
  <c r="O591" i="2"/>
  <c r="M591" i="2"/>
  <c r="L591" i="2"/>
  <c r="K591" i="2"/>
  <c r="I591" i="2"/>
  <c r="G591" i="2"/>
  <c r="F591" i="2"/>
  <c r="W590" i="2"/>
  <c r="V590" i="2"/>
  <c r="U590" i="2"/>
  <c r="T590" i="2"/>
  <c r="S590" i="2"/>
  <c r="R590" i="2"/>
  <c r="Q590" i="2"/>
  <c r="O590" i="2"/>
  <c r="M590" i="2"/>
  <c r="L590" i="2"/>
  <c r="K590" i="2"/>
  <c r="I590" i="2"/>
  <c r="G590" i="2"/>
  <c r="F590" i="2"/>
  <c r="W589" i="2"/>
  <c r="V589" i="2"/>
  <c r="U589" i="2"/>
  <c r="T589" i="2"/>
  <c r="S589" i="2"/>
  <c r="R589" i="2"/>
  <c r="Q589" i="2"/>
  <c r="O589" i="2"/>
  <c r="M589" i="2"/>
  <c r="L589" i="2"/>
  <c r="K589" i="2"/>
  <c r="I589" i="2"/>
  <c r="G589" i="2"/>
  <c r="F589" i="2"/>
  <c r="W588" i="2"/>
  <c r="V588" i="2"/>
  <c r="U588" i="2"/>
  <c r="T588" i="2"/>
  <c r="S588" i="2"/>
  <c r="R588" i="2"/>
  <c r="Q588" i="2"/>
  <c r="O588" i="2"/>
  <c r="M588" i="2"/>
  <c r="L588" i="2"/>
  <c r="K588" i="2"/>
  <c r="I588" i="2"/>
  <c r="G588" i="2"/>
  <c r="F588" i="2"/>
  <c r="W587" i="2"/>
  <c r="V587" i="2"/>
  <c r="U587" i="2"/>
  <c r="T587" i="2"/>
  <c r="S587" i="2"/>
  <c r="R587" i="2"/>
  <c r="Q587" i="2"/>
  <c r="O587" i="2"/>
  <c r="M587" i="2"/>
  <c r="L587" i="2"/>
  <c r="K587" i="2"/>
  <c r="I587" i="2"/>
  <c r="G587" i="2"/>
  <c r="F587" i="2"/>
  <c r="W586" i="2"/>
  <c r="V586" i="2"/>
  <c r="U586" i="2"/>
  <c r="T586" i="2"/>
  <c r="S586" i="2"/>
  <c r="R586" i="2"/>
  <c r="Q586" i="2"/>
  <c r="O586" i="2"/>
  <c r="M586" i="2"/>
  <c r="L586" i="2"/>
  <c r="K586" i="2"/>
  <c r="I586" i="2"/>
  <c r="G586" i="2"/>
  <c r="F586" i="2"/>
  <c r="W585" i="2"/>
  <c r="V585" i="2"/>
  <c r="U585" i="2"/>
  <c r="T585" i="2"/>
  <c r="S585" i="2"/>
  <c r="R585" i="2"/>
  <c r="Q585" i="2"/>
  <c r="O585" i="2"/>
  <c r="M585" i="2"/>
  <c r="L585" i="2"/>
  <c r="K585" i="2"/>
  <c r="I585" i="2"/>
  <c r="G585" i="2"/>
  <c r="F585" i="2"/>
  <c r="W584" i="2"/>
  <c r="V584" i="2"/>
  <c r="U584" i="2"/>
  <c r="T584" i="2"/>
  <c r="S584" i="2"/>
  <c r="R584" i="2"/>
  <c r="Q584" i="2"/>
  <c r="O584" i="2"/>
  <c r="M584" i="2"/>
  <c r="L584" i="2"/>
  <c r="K584" i="2"/>
  <c r="I584" i="2"/>
  <c r="G584" i="2"/>
  <c r="F584" i="2"/>
  <c r="W583" i="2"/>
  <c r="V583" i="2"/>
  <c r="U583" i="2"/>
  <c r="T583" i="2"/>
  <c r="S583" i="2"/>
  <c r="R583" i="2"/>
  <c r="Q583" i="2"/>
  <c r="O583" i="2"/>
  <c r="M583" i="2"/>
  <c r="L583" i="2"/>
  <c r="K583" i="2"/>
  <c r="I583" i="2"/>
  <c r="G583" i="2"/>
  <c r="F583" i="2"/>
  <c r="W582" i="2"/>
  <c r="V582" i="2"/>
  <c r="U582" i="2"/>
  <c r="T582" i="2"/>
  <c r="S582" i="2"/>
  <c r="R582" i="2"/>
  <c r="Q582" i="2"/>
  <c r="O582" i="2"/>
  <c r="M582" i="2"/>
  <c r="L582" i="2"/>
  <c r="K582" i="2"/>
  <c r="I582" i="2"/>
  <c r="G582" i="2"/>
  <c r="F582" i="2"/>
  <c r="W581" i="2"/>
  <c r="V581" i="2"/>
  <c r="U581" i="2"/>
  <c r="T581" i="2"/>
  <c r="S581" i="2"/>
  <c r="R581" i="2"/>
  <c r="Q581" i="2"/>
  <c r="O581" i="2"/>
  <c r="M581" i="2"/>
  <c r="L581" i="2"/>
  <c r="K581" i="2"/>
  <c r="I581" i="2"/>
  <c r="G581" i="2"/>
  <c r="F581" i="2"/>
  <c r="W580" i="2"/>
  <c r="V580" i="2"/>
  <c r="U580" i="2"/>
  <c r="T580" i="2"/>
  <c r="S580" i="2"/>
  <c r="R580" i="2"/>
  <c r="Q580" i="2"/>
  <c r="O580" i="2"/>
  <c r="M580" i="2"/>
  <c r="L580" i="2"/>
  <c r="K580" i="2"/>
  <c r="I580" i="2"/>
  <c r="G580" i="2"/>
  <c r="F580" i="2"/>
  <c r="W579" i="2"/>
  <c r="V579" i="2"/>
  <c r="U579" i="2"/>
  <c r="T579" i="2"/>
  <c r="S579" i="2"/>
  <c r="R579" i="2"/>
  <c r="Q579" i="2"/>
  <c r="O579" i="2"/>
  <c r="M579" i="2"/>
  <c r="L579" i="2"/>
  <c r="K579" i="2"/>
  <c r="I579" i="2"/>
  <c r="G579" i="2"/>
  <c r="F579" i="2"/>
  <c r="W578" i="2"/>
  <c r="V578" i="2"/>
  <c r="U578" i="2"/>
  <c r="T578" i="2"/>
  <c r="S578" i="2"/>
  <c r="R578" i="2"/>
  <c r="Q578" i="2"/>
  <c r="O578" i="2"/>
  <c r="M578" i="2"/>
  <c r="L578" i="2"/>
  <c r="K578" i="2"/>
  <c r="I578" i="2"/>
  <c r="G578" i="2"/>
  <c r="F578" i="2"/>
  <c r="W577" i="2"/>
  <c r="V577" i="2"/>
  <c r="U577" i="2"/>
  <c r="T577" i="2"/>
  <c r="S577" i="2"/>
  <c r="R577" i="2"/>
  <c r="Q577" i="2"/>
  <c r="O577" i="2"/>
  <c r="M577" i="2"/>
  <c r="L577" i="2"/>
  <c r="K577" i="2"/>
  <c r="I577" i="2"/>
  <c r="G577" i="2"/>
  <c r="F577" i="2"/>
  <c r="W576" i="2"/>
  <c r="V576" i="2"/>
  <c r="U576" i="2"/>
  <c r="T576" i="2"/>
  <c r="S576" i="2"/>
  <c r="R576" i="2"/>
  <c r="Q576" i="2"/>
  <c r="O576" i="2"/>
  <c r="M576" i="2"/>
  <c r="L576" i="2"/>
  <c r="K576" i="2"/>
  <c r="I576" i="2"/>
  <c r="G576" i="2"/>
  <c r="F576" i="2"/>
  <c r="W575" i="2"/>
  <c r="V575" i="2"/>
  <c r="U575" i="2"/>
  <c r="T575" i="2"/>
  <c r="S575" i="2"/>
  <c r="R575" i="2"/>
  <c r="Q575" i="2"/>
  <c r="O575" i="2"/>
  <c r="M575" i="2"/>
  <c r="L575" i="2"/>
  <c r="K575" i="2"/>
  <c r="I575" i="2"/>
  <c r="G575" i="2"/>
  <c r="F575" i="2"/>
  <c r="W574" i="2"/>
  <c r="V574" i="2"/>
  <c r="U574" i="2"/>
  <c r="T574" i="2"/>
  <c r="S574" i="2"/>
  <c r="R574" i="2"/>
  <c r="Q574" i="2"/>
  <c r="O574" i="2"/>
  <c r="M574" i="2"/>
  <c r="L574" i="2"/>
  <c r="K574" i="2"/>
  <c r="I574" i="2"/>
  <c r="G574" i="2"/>
  <c r="F574" i="2"/>
  <c r="W573" i="2"/>
  <c r="V573" i="2"/>
  <c r="U573" i="2"/>
  <c r="T573" i="2"/>
  <c r="S573" i="2"/>
  <c r="R573" i="2"/>
  <c r="Q573" i="2"/>
  <c r="O573" i="2"/>
  <c r="M573" i="2"/>
  <c r="L573" i="2"/>
  <c r="K573" i="2"/>
  <c r="I573" i="2"/>
  <c r="G573" i="2"/>
  <c r="F573" i="2"/>
  <c r="W572" i="2"/>
  <c r="V572" i="2"/>
  <c r="U572" i="2"/>
  <c r="T572" i="2"/>
  <c r="S572" i="2"/>
  <c r="R572" i="2"/>
  <c r="Q572" i="2"/>
  <c r="O572" i="2"/>
  <c r="M572" i="2"/>
  <c r="L572" i="2"/>
  <c r="K572" i="2"/>
  <c r="I572" i="2"/>
  <c r="G572" i="2"/>
  <c r="F572" i="2"/>
  <c r="W571" i="2"/>
  <c r="V571" i="2"/>
  <c r="U571" i="2"/>
  <c r="T571" i="2"/>
  <c r="S571" i="2"/>
  <c r="R571" i="2"/>
  <c r="Q571" i="2"/>
  <c r="O571" i="2"/>
  <c r="M571" i="2"/>
  <c r="L571" i="2"/>
  <c r="K571" i="2"/>
  <c r="I571" i="2"/>
  <c r="G571" i="2"/>
  <c r="F571" i="2"/>
  <c r="W570" i="2"/>
  <c r="V570" i="2"/>
  <c r="U570" i="2"/>
  <c r="T570" i="2"/>
  <c r="S570" i="2"/>
  <c r="R570" i="2"/>
  <c r="Q570" i="2"/>
  <c r="O570" i="2"/>
  <c r="M570" i="2"/>
  <c r="L570" i="2"/>
  <c r="K570" i="2"/>
  <c r="I570" i="2"/>
  <c r="G570" i="2"/>
  <c r="F570" i="2"/>
  <c r="W569" i="2"/>
  <c r="V569" i="2"/>
  <c r="U569" i="2"/>
  <c r="T569" i="2"/>
  <c r="S569" i="2"/>
  <c r="R569" i="2"/>
  <c r="Q569" i="2"/>
  <c r="O569" i="2"/>
  <c r="M569" i="2"/>
  <c r="L569" i="2"/>
  <c r="K569" i="2"/>
  <c r="I569" i="2"/>
  <c r="G569" i="2"/>
  <c r="F569" i="2"/>
  <c r="W568" i="2"/>
  <c r="V568" i="2"/>
  <c r="U568" i="2"/>
  <c r="T568" i="2"/>
  <c r="S568" i="2"/>
  <c r="R568" i="2"/>
  <c r="Q568" i="2"/>
  <c r="O568" i="2"/>
  <c r="M568" i="2"/>
  <c r="L568" i="2"/>
  <c r="K568" i="2"/>
  <c r="I568" i="2"/>
  <c r="G568" i="2"/>
  <c r="F568" i="2"/>
  <c r="W567" i="2"/>
  <c r="V567" i="2"/>
  <c r="U567" i="2"/>
  <c r="T567" i="2"/>
  <c r="S567" i="2"/>
  <c r="R567" i="2"/>
  <c r="Q567" i="2"/>
  <c r="O567" i="2"/>
  <c r="M567" i="2"/>
  <c r="L567" i="2"/>
  <c r="K567" i="2"/>
  <c r="I567" i="2"/>
  <c r="G567" i="2"/>
  <c r="F567" i="2"/>
  <c r="W566" i="2"/>
  <c r="V566" i="2"/>
  <c r="U566" i="2"/>
  <c r="T566" i="2"/>
  <c r="S566" i="2"/>
  <c r="R566" i="2"/>
  <c r="Q566" i="2"/>
  <c r="O566" i="2"/>
  <c r="M566" i="2"/>
  <c r="L566" i="2"/>
  <c r="K566" i="2"/>
  <c r="I566" i="2"/>
  <c r="G566" i="2"/>
  <c r="F566" i="2"/>
  <c r="W565" i="2"/>
  <c r="V565" i="2"/>
  <c r="U565" i="2"/>
  <c r="T565" i="2"/>
  <c r="S565" i="2"/>
  <c r="R565" i="2"/>
  <c r="Q565" i="2"/>
  <c r="O565" i="2"/>
  <c r="M565" i="2"/>
  <c r="L565" i="2"/>
  <c r="K565" i="2"/>
  <c r="I565" i="2"/>
  <c r="G565" i="2"/>
  <c r="F565" i="2"/>
  <c r="W564" i="2"/>
  <c r="V564" i="2"/>
  <c r="U564" i="2"/>
  <c r="T564" i="2"/>
  <c r="S564" i="2"/>
  <c r="R564" i="2"/>
  <c r="Q564" i="2"/>
  <c r="O564" i="2"/>
  <c r="M564" i="2"/>
  <c r="L564" i="2"/>
  <c r="K564" i="2"/>
  <c r="I564" i="2"/>
  <c r="G564" i="2"/>
  <c r="F564" i="2"/>
  <c r="W563" i="2"/>
  <c r="V563" i="2"/>
  <c r="U563" i="2"/>
  <c r="T563" i="2"/>
  <c r="S563" i="2"/>
  <c r="R563" i="2"/>
  <c r="Q563" i="2"/>
  <c r="O563" i="2"/>
  <c r="M563" i="2"/>
  <c r="L563" i="2"/>
  <c r="K563" i="2"/>
  <c r="I563" i="2"/>
  <c r="G563" i="2"/>
  <c r="F563" i="2"/>
  <c r="W562" i="2"/>
  <c r="V562" i="2"/>
  <c r="U562" i="2"/>
  <c r="T562" i="2"/>
  <c r="S562" i="2"/>
  <c r="R562" i="2"/>
  <c r="Q562" i="2"/>
  <c r="O562" i="2"/>
  <c r="M562" i="2"/>
  <c r="L562" i="2"/>
  <c r="K562" i="2"/>
  <c r="I562" i="2"/>
  <c r="G562" i="2"/>
  <c r="F562" i="2"/>
  <c r="W561" i="2"/>
  <c r="V561" i="2"/>
  <c r="U561" i="2"/>
  <c r="T561" i="2"/>
  <c r="S561" i="2"/>
  <c r="R561" i="2"/>
  <c r="Q561" i="2"/>
  <c r="O561" i="2"/>
  <c r="M561" i="2"/>
  <c r="L561" i="2"/>
  <c r="K561" i="2"/>
  <c r="I561" i="2"/>
  <c r="G561" i="2"/>
  <c r="F561" i="2"/>
  <c r="W560" i="2"/>
  <c r="V560" i="2"/>
  <c r="U560" i="2"/>
  <c r="T560" i="2"/>
  <c r="S560" i="2"/>
  <c r="R560" i="2"/>
  <c r="Q560" i="2"/>
  <c r="O560" i="2"/>
  <c r="M560" i="2"/>
  <c r="L560" i="2"/>
  <c r="K560" i="2"/>
  <c r="I560" i="2"/>
  <c r="G560" i="2"/>
  <c r="F560" i="2"/>
  <c r="W559" i="2"/>
  <c r="V559" i="2"/>
  <c r="U559" i="2"/>
  <c r="T559" i="2"/>
  <c r="S559" i="2"/>
  <c r="R559" i="2"/>
  <c r="Q559" i="2"/>
  <c r="O559" i="2"/>
  <c r="M559" i="2"/>
  <c r="L559" i="2"/>
  <c r="K559" i="2"/>
  <c r="I559" i="2"/>
  <c r="G559" i="2"/>
  <c r="F559" i="2"/>
  <c r="W558" i="2"/>
  <c r="V558" i="2"/>
  <c r="U558" i="2"/>
  <c r="T558" i="2"/>
  <c r="S558" i="2"/>
  <c r="R558" i="2"/>
  <c r="Q558" i="2"/>
  <c r="O558" i="2"/>
  <c r="M558" i="2"/>
  <c r="L558" i="2"/>
  <c r="K558" i="2"/>
  <c r="I558" i="2"/>
  <c r="G558" i="2"/>
  <c r="F558" i="2"/>
  <c r="W557" i="2"/>
  <c r="V557" i="2"/>
  <c r="U557" i="2"/>
  <c r="T557" i="2"/>
  <c r="S557" i="2"/>
  <c r="R557" i="2"/>
  <c r="Q557" i="2"/>
  <c r="O557" i="2"/>
  <c r="M557" i="2"/>
  <c r="L557" i="2"/>
  <c r="K557" i="2"/>
  <c r="I557" i="2"/>
  <c r="G557" i="2"/>
  <c r="F557" i="2"/>
  <c r="W556" i="2"/>
  <c r="V556" i="2"/>
  <c r="U556" i="2"/>
  <c r="T556" i="2"/>
  <c r="S556" i="2"/>
  <c r="R556" i="2"/>
  <c r="Q556" i="2"/>
  <c r="O556" i="2"/>
  <c r="M556" i="2"/>
  <c r="L556" i="2"/>
  <c r="K556" i="2"/>
  <c r="I556" i="2"/>
  <c r="G556" i="2"/>
  <c r="F556" i="2"/>
  <c r="W555" i="2"/>
  <c r="V555" i="2"/>
  <c r="U555" i="2"/>
  <c r="T555" i="2"/>
  <c r="S555" i="2"/>
  <c r="R555" i="2"/>
  <c r="Q555" i="2"/>
  <c r="O555" i="2"/>
  <c r="M555" i="2"/>
  <c r="L555" i="2"/>
  <c r="K555" i="2"/>
  <c r="I555" i="2"/>
  <c r="G555" i="2"/>
  <c r="F555" i="2"/>
  <c r="W554" i="2"/>
  <c r="V554" i="2"/>
  <c r="U554" i="2"/>
  <c r="T554" i="2"/>
  <c r="S554" i="2"/>
  <c r="R554" i="2"/>
  <c r="Q554" i="2"/>
  <c r="O554" i="2"/>
  <c r="M554" i="2"/>
  <c r="L554" i="2"/>
  <c r="K554" i="2"/>
  <c r="I554" i="2"/>
  <c r="G554" i="2"/>
  <c r="F554" i="2"/>
  <c r="W553" i="2"/>
  <c r="V553" i="2"/>
  <c r="U553" i="2"/>
  <c r="T553" i="2"/>
  <c r="S553" i="2"/>
  <c r="R553" i="2"/>
  <c r="Q553" i="2"/>
  <c r="O553" i="2"/>
  <c r="M553" i="2"/>
  <c r="L553" i="2"/>
  <c r="K553" i="2"/>
  <c r="I553" i="2"/>
  <c r="G553" i="2"/>
  <c r="F553" i="2"/>
  <c r="W552" i="2"/>
  <c r="V552" i="2"/>
  <c r="U552" i="2"/>
  <c r="T552" i="2"/>
  <c r="S552" i="2"/>
  <c r="R552" i="2"/>
  <c r="Q552" i="2"/>
  <c r="O552" i="2"/>
  <c r="M552" i="2"/>
  <c r="L552" i="2"/>
  <c r="K552" i="2"/>
  <c r="I552" i="2"/>
  <c r="G552" i="2"/>
  <c r="F552" i="2"/>
  <c r="W551" i="2"/>
  <c r="V551" i="2"/>
  <c r="U551" i="2"/>
  <c r="T551" i="2"/>
  <c r="S551" i="2"/>
  <c r="R551" i="2"/>
  <c r="Q551" i="2"/>
  <c r="O551" i="2"/>
  <c r="M551" i="2"/>
  <c r="L551" i="2"/>
  <c r="K551" i="2"/>
  <c r="I551" i="2"/>
  <c r="G551" i="2"/>
  <c r="F551" i="2"/>
  <c r="W550" i="2"/>
  <c r="V550" i="2"/>
  <c r="U550" i="2"/>
  <c r="T550" i="2"/>
  <c r="S550" i="2"/>
  <c r="R550" i="2"/>
  <c r="Q550" i="2"/>
  <c r="O550" i="2"/>
  <c r="M550" i="2"/>
  <c r="L550" i="2"/>
  <c r="K550" i="2"/>
  <c r="I550" i="2"/>
  <c r="G550" i="2"/>
  <c r="F550" i="2"/>
  <c r="W549" i="2"/>
  <c r="V549" i="2"/>
  <c r="U549" i="2"/>
  <c r="T549" i="2"/>
  <c r="S549" i="2"/>
  <c r="R549" i="2"/>
  <c r="Q549" i="2"/>
  <c r="O549" i="2"/>
  <c r="M549" i="2"/>
  <c r="L549" i="2"/>
  <c r="K549" i="2"/>
  <c r="I549" i="2"/>
  <c r="G549" i="2"/>
  <c r="F549" i="2"/>
  <c r="W548" i="2"/>
  <c r="V548" i="2"/>
  <c r="U548" i="2"/>
  <c r="T548" i="2"/>
  <c r="S548" i="2"/>
  <c r="R548" i="2"/>
  <c r="Q548" i="2"/>
  <c r="O548" i="2"/>
  <c r="M548" i="2"/>
  <c r="L548" i="2"/>
  <c r="K548" i="2"/>
  <c r="I548" i="2"/>
  <c r="G548" i="2"/>
  <c r="F548" i="2"/>
  <c r="W547" i="2"/>
  <c r="V547" i="2"/>
  <c r="U547" i="2"/>
  <c r="T547" i="2"/>
  <c r="S547" i="2"/>
  <c r="R547" i="2"/>
  <c r="Q547" i="2"/>
  <c r="O547" i="2"/>
  <c r="M547" i="2"/>
  <c r="L547" i="2"/>
  <c r="K547" i="2"/>
  <c r="I547" i="2"/>
  <c r="G547" i="2"/>
  <c r="F547" i="2"/>
  <c r="W546" i="2"/>
  <c r="V546" i="2"/>
  <c r="U546" i="2"/>
  <c r="T546" i="2"/>
  <c r="S546" i="2"/>
  <c r="R546" i="2"/>
  <c r="Q546" i="2"/>
  <c r="O546" i="2"/>
  <c r="M546" i="2"/>
  <c r="L546" i="2"/>
  <c r="K546" i="2"/>
  <c r="I546" i="2"/>
  <c r="G546" i="2"/>
  <c r="F546" i="2"/>
  <c r="W545" i="2"/>
  <c r="V545" i="2"/>
  <c r="U545" i="2"/>
  <c r="T545" i="2"/>
  <c r="S545" i="2"/>
  <c r="R545" i="2"/>
  <c r="Q545" i="2"/>
  <c r="O545" i="2"/>
  <c r="M545" i="2"/>
  <c r="L545" i="2"/>
  <c r="K545" i="2"/>
  <c r="I545" i="2"/>
  <c r="G545" i="2"/>
  <c r="F545" i="2"/>
  <c r="W544" i="2"/>
  <c r="V544" i="2"/>
  <c r="U544" i="2"/>
  <c r="T544" i="2"/>
  <c r="S544" i="2"/>
  <c r="R544" i="2"/>
  <c r="Q544" i="2"/>
  <c r="O544" i="2"/>
  <c r="M544" i="2"/>
  <c r="L544" i="2"/>
  <c r="K544" i="2"/>
  <c r="I544" i="2"/>
  <c r="G544" i="2"/>
  <c r="F544" i="2"/>
  <c r="W543" i="2"/>
  <c r="V543" i="2"/>
  <c r="U543" i="2"/>
  <c r="T543" i="2"/>
  <c r="S543" i="2"/>
  <c r="R543" i="2"/>
  <c r="Q543" i="2"/>
  <c r="O543" i="2"/>
  <c r="M543" i="2"/>
  <c r="L543" i="2"/>
  <c r="K543" i="2"/>
  <c r="I543" i="2"/>
  <c r="G543" i="2"/>
  <c r="F543" i="2"/>
  <c r="W542" i="2"/>
  <c r="V542" i="2"/>
  <c r="U542" i="2"/>
  <c r="T542" i="2"/>
  <c r="S542" i="2"/>
  <c r="R542" i="2"/>
  <c r="Q542" i="2"/>
  <c r="O542" i="2"/>
  <c r="M542" i="2"/>
  <c r="L542" i="2"/>
  <c r="K542" i="2"/>
  <c r="I542" i="2"/>
  <c r="G542" i="2"/>
  <c r="F542" i="2"/>
  <c r="W541" i="2"/>
  <c r="V541" i="2"/>
  <c r="U541" i="2"/>
  <c r="T541" i="2"/>
  <c r="S541" i="2"/>
  <c r="R541" i="2"/>
  <c r="Q541" i="2"/>
  <c r="O541" i="2"/>
  <c r="M541" i="2"/>
  <c r="L541" i="2"/>
  <c r="K541" i="2"/>
  <c r="I541" i="2"/>
  <c r="G541" i="2"/>
  <c r="F541" i="2"/>
  <c r="W540" i="2"/>
  <c r="V540" i="2"/>
  <c r="U540" i="2"/>
  <c r="T540" i="2"/>
  <c r="S540" i="2"/>
  <c r="R540" i="2"/>
  <c r="Q540" i="2"/>
  <c r="O540" i="2"/>
  <c r="M540" i="2"/>
  <c r="L540" i="2"/>
  <c r="K540" i="2"/>
  <c r="I540" i="2"/>
  <c r="G540" i="2"/>
  <c r="F540" i="2"/>
  <c r="W539" i="2"/>
  <c r="V539" i="2"/>
  <c r="U539" i="2"/>
  <c r="T539" i="2"/>
  <c r="S539" i="2"/>
  <c r="R539" i="2"/>
  <c r="Q539" i="2"/>
  <c r="O539" i="2"/>
  <c r="M539" i="2"/>
  <c r="L539" i="2"/>
  <c r="K539" i="2"/>
  <c r="I539" i="2"/>
  <c r="G539" i="2"/>
  <c r="F539" i="2"/>
  <c r="W538" i="2"/>
  <c r="V538" i="2"/>
  <c r="U538" i="2"/>
  <c r="T538" i="2"/>
  <c r="S538" i="2"/>
  <c r="R538" i="2"/>
  <c r="Q538" i="2"/>
  <c r="O538" i="2"/>
  <c r="M538" i="2"/>
  <c r="L538" i="2"/>
  <c r="K538" i="2"/>
  <c r="I538" i="2"/>
  <c r="G538" i="2"/>
  <c r="F538" i="2"/>
  <c r="W537" i="2"/>
  <c r="V537" i="2"/>
  <c r="U537" i="2"/>
  <c r="T537" i="2"/>
  <c r="S537" i="2"/>
  <c r="R537" i="2"/>
  <c r="Q537" i="2"/>
  <c r="O537" i="2"/>
  <c r="M537" i="2"/>
  <c r="L537" i="2"/>
  <c r="K537" i="2"/>
  <c r="I537" i="2"/>
  <c r="G537" i="2"/>
  <c r="F537" i="2"/>
  <c r="W536" i="2"/>
  <c r="V536" i="2"/>
  <c r="U536" i="2"/>
  <c r="T536" i="2"/>
  <c r="S536" i="2"/>
  <c r="R536" i="2"/>
  <c r="Q536" i="2"/>
  <c r="O536" i="2"/>
  <c r="M536" i="2"/>
  <c r="L536" i="2"/>
  <c r="K536" i="2"/>
  <c r="I536" i="2"/>
  <c r="G536" i="2"/>
  <c r="F536" i="2"/>
  <c r="W535" i="2"/>
  <c r="V535" i="2"/>
  <c r="U535" i="2"/>
  <c r="T535" i="2"/>
  <c r="S535" i="2"/>
  <c r="R535" i="2"/>
  <c r="Q535" i="2"/>
  <c r="O535" i="2"/>
  <c r="M535" i="2"/>
  <c r="L535" i="2"/>
  <c r="K535" i="2"/>
  <c r="I535" i="2"/>
  <c r="G535" i="2"/>
  <c r="F535" i="2"/>
  <c r="W534" i="2"/>
  <c r="V534" i="2"/>
  <c r="U534" i="2"/>
  <c r="T534" i="2"/>
  <c r="S534" i="2"/>
  <c r="R534" i="2"/>
  <c r="Q534" i="2"/>
  <c r="O534" i="2"/>
  <c r="M534" i="2"/>
  <c r="L534" i="2"/>
  <c r="K534" i="2"/>
  <c r="I534" i="2"/>
  <c r="G534" i="2"/>
  <c r="F534" i="2"/>
  <c r="W533" i="2"/>
  <c r="V533" i="2"/>
  <c r="U533" i="2"/>
  <c r="T533" i="2"/>
  <c r="S533" i="2"/>
  <c r="R533" i="2"/>
  <c r="Q533" i="2"/>
  <c r="O533" i="2"/>
  <c r="M533" i="2"/>
  <c r="L533" i="2"/>
  <c r="K533" i="2"/>
  <c r="I533" i="2"/>
  <c r="G533" i="2"/>
  <c r="F533" i="2"/>
  <c r="W532" i="2"/>
  <c r="V532" i="2"/>
  <c r="U532" i="2"/>
  <c r="T532" i="2"/>
  <c r="S532" i="2"/>
  <c r="R532" i="2"/>
  <c r="Q532" i="2"/>
  <c r="O532" i="2"/>
  <c r="M532" i="2"/>
  <c r="L532" i="2"/>
  <c r="K532" i="2"/>
  <c r="I532" i="2"/>
  <c r="G532" i="2"/>
  <c r="F532" i="2"/>
  <c r="W531" i="2"/>
  <c r="V531" i="2"/>
  <c r="U531" i="2"/>
  <c r="T531" i="2"/>
  <c r="S531" i="2"/>
  <c r="R531" i="2"/>
  <c r="Q531" i="2"/>
  <c r="O531" i="2"/>
  <c r="M531" i="2"/>
  <c r="L531" i="2"/>
  <c r="K531" i="2"/>
  <c r="I531" i="2"/>
  <c r="G531" i="2"/>
  <c r="F531" i="2"/>
  <c r="W530" i="2"/>
  <c r="V530" i="2"/>
  <c r="U530" i="2"/>
  <c r="T530" i="2"/>
  <c r="S530" i="2"/>
  <c r="R530" i="2"/>
  <c r="Q530" i="2"/>
  <c r="O530" i="2"/>
  <c r="M530" i="2"/>
  <c r="L530" i="2"/>
  <c r="K530" i="2"/>
  <c r="I530" i="2"/>
  <c r="G530" i="2"/>
  <c r="F530" i="2"/>
  <c r="W529" i="2"/>
  <c r="V529" i="2"/>
  <c r="U529" i="2"/>
  <c r="T529" i="2"/>
  <c r="S529" i="2"/>
  <c r="R529" i="2"/>
  <c r="Q529" i="2"/>
  <c r="O529" i="2"/>
  <c r="M529" i="2"/>
  <c r="L529" i="2"/>
  <c r="K529" i="2"/>
  <c r="I529" i="2"/>
  <c r="G529" i="2"/>
  <c r="F529" i="2"/>
  <c r="W528" i="2"/>
  <c r="V528" i="2"/>
  <c r="U528" i="2"/>
  <c r="T528" i="2"/>
  <c r="S528" i="2"/>
  <c r="R528" i="2"/>
  <c r="Q528" i="2"/>
  <c r="O528" i="2"/>
  <c r="M528" i="2"/>
  <c r="L528" i="2"/>
  <c r="K528" i="2"/>
  <c r="I528" i="2"/>
  <c r="G528" i="2"/>
  <c r="F528" i="2"/>
  <c r="W527" i="2"/>
  <c r="V527" i="2"/>
  <c r="U527" i="2"/>
  <c r="T527" i="2"/>
  <c r="S527" i="2"/>
  <c r="R527" i="2"/>
  <c r="Q527" i="2"/>
  <c r="O527" i="2"/>
  <c r="M527" i="2"/>
  <c r="L527" i="2"/>
  <c r="K527" i="2"/>
  <c r="I527" i="2"/>
  <c r="G527" i="2"/>
  <c r="F527" i="2"/>
  <c r="W526" i="2"/>
  <c r="V526" i="2"/>
  <c r="U526" i="2"/>
  <c r="T526" i="2"/>
  <c r="S526" i="2"/>
  <c r="R526" i="2"/>
  <c r="Q526" i="2"/>
  <c r="O526" i="2"/>
  <c r="M526" i="2"/>
  <c r="L526" i="2"/>
  <c r="K526" i="2"/>
  <c r="I526" i="2"/>
  <c r="G526" i="2"/>
  <c r="F526" i="2"/>
  <c r="W525" i="2"/>
  <c r="V525" i="2"/>
  <c r="U525" i="2"/>
  <c r="T525" i="2"/>
  <c r="S525" i="2"/>
  <c r="R525" i="2"/>
  <c r="Q525" i="2"/>
  <c r="O525" i="2"/>
  <c r="M525" i="2"/>
  <c r="L525" i="2"/>
  <c r="K525" i="2"/>
  <c r="I525" i="2"/>
  <c r="G525" i="2"/>
  <c r="F525" i="2"/>
  <c r="W524" i="2"/>
  <c r="V524" i="2"/>
  <c r="U524" i="2"/>
  <c r="T524" i="2"/>
  <c r="S524" i="2"/>
  <c r="R524" i="2"/>
  <c r="Q524" i="2"/>
  <c r="O524" i="2"/>
  <c r="M524" i="2"/>
  <c r="L524" i="2"/>
  <c r="K524" i="2"/>
  <c r="I524" i="2"/>
  <c r="G524" i="2"/>
  <c r="F524" i="2"/>
  <c r="W523" i="2"/>
  <c r="V523" i="2"/>
  <c r="U523" i="2"/>
  <c r="T523" i="2"/>
  <c r="S523" i="2"/>
  <c r="R523" i="2"/>
  <c r="Q523" i="2"/>
  <c r="O523" i="2"/>
  <c r="M523" i="2"/>
  <c r="L523" i="2"/>
  <c r="K523" i="2"/>
  <c r="I523" i="2"/>
  <c r="G523" i="2"/>
  <c r="F523" i="2"/>
  <c r="W522" i="2"/>
  <c r="V522" i="2"/>
  <c r="U522" i="2"/>
  <c r="T522" i="2"/>
  <c r="S522" i="2"/>
  <c r="R522" i="2"/>
  <c r="Q522" i="2"/>
  <c r="O522" i="2"/>
  <c r="M522" i="2"/>
  <c r="L522" i="2"/>
  <c r="K522" i="2"/>
  <c r="I522" i="2"/>
  <c r="G522" i="2"/>
  <c r="F522" i="2"/>
  <c r="W521" i="2"/>
  <c r="V521" i="2"/>
  <c r="U521" i="2"/>
  <c r="T521" i="2"/>
  <c r="S521" i="2"/>
  <c r="R521" i="2"/>
  <c r="Q521" i="2"/>
  <c r="O521" i="2"/>
  <c r="M521" i="2"/>
  <c r="L521" i="2"/>
  <c r="K521" i="2"/>
  <c r="I521" i="2"/>
  <c r="G521" i="2"/>
  <c r="F521" i="2"/>
  <c r="W520" i="2"/>
  <c r="V520" i="2"/>
  <c r="U520" i="2"/>
  <c r="T520" i="2"/>
  <c r="S520" i="2"/>
  <c r="R520" i="2"/>
  <c r="Q520" i="2"/>
  <c r="O520" i="2"/>
  <c r="M520" i="2"/>
  <c r="L520" i="2"/>
  <c r="K520" i="2"/>
  <c r="I520" i="2"/>
  <c r="G520" i="2"/>
  <c r="F520" i="2"/>
  <c r="W519" i="2"/>
  <c r="V519" i="2"/>
  <c r="U519" i="2"/>
  <c r="T519" i="2"/>
  <c r="S519" i="2"/>
  <c r="R519" i="2"/>
  <c r="Q519" i="2"/>
  <c r="O519" i="2"/>
  <c r="M519" i="2"/>
  <c r="L519" i="2"/>
  <c r="K519" i="2"/>
  <c r="I519" i="2"/>
  <c r="G519" i="2"/>
  <c r="F519" i="2"/>
  <c r="W518" i="2"/>
  <c r="V518" i="2"/>
  <c r="U518" i="2"/>
  <c r="T518" i="2"/>
  <c r="S518" i="2"/>
  <c r="R518" i="2"/>
  <c r="Q518" i="2"/>
  <c r="O518" i="2"/>
  <c r="M518" i="2"/>
  <c r="L518" i="2"/>
  <c r="K518" i="2"/>
  <c r="I518" i="2"/>
  <c r="G518" i="2"/>
  <c r="F518" i="2"/>
  <c r="W517" i="2"/>
  <c r="V517" i="2"/>
  <c r="U517" i="2"/>
  <c r="T517" i="2"/>
  <c r="S517" i="2"/>
  <c r="R517" i="2"/>
  <c r="Q517" i="2"/>
  <c r="O517" i="2"/>
  <c r="M517" i="2"/>
  <c r="L517" i="2"/>
  <c r="K517" i="2"/>
  <c r="I517" i="2"/>
  <c r="G517" i="2"/>
  <c r="F517" i="2"/>
  <c r="W516" i="2"/>
  <c r="V516" i="2"/>
  <c r="U516" i="2"/>
  <c r="T516" i="2"/>
  <c r="S516" i="2"/>
  <c r="R516" i="2"/>
  <c r="Q516" i="2"/>
  <c r="O516" i="2"/>
  <c r="M516" i="2"/>
  <c r="L516" i="2"/>
  <c r="K516" i="2"/>
  <c r="I516" i="2"/>
  <c r="G516" i="2"/>
  <c r="F516" i="2"/>
  <c r="W515" i="2"/>
  <c r="V515" i="2"/>
  <c r="U515" i="2"/>
  <c r="T515" i="2"/>
  <c r="S515" i="2"/>
  <c r="R515" i="2"/>
  <c r="Q515" i="2"/>
  <c r="O515" i="2"/>
  <c r="M515" i="2"/>
  <c r="L515" i="2"/>
  <c r="K515" i="2"/>
  <c r="I515" i="2"/>
  <c r="G515" i="2"/>
  <c r="F515" i="2"/>
  <c r="W514" i="2"/>
  <c r="V514" i="2"/>
  <c r="U514" i="2"/>
  <c r="T514" i="2"/>
  <c r="S514" i="2"/>
  <c r="R514" i="2"/>
  <c r="Q514" i="2"/>
  <c r="O514" i="2"/>
  <c r="M514" i="2"/>
  <c r="L514" i="2"/>
  <c r="K514" i="2"/>
  <c r="I514" i="2"/>
  <c r="G514" i="2"/>
  <c r="F514" i="2"/>
  <c r="W513" i="2"/>
  <c r="V513" i="2"/>
  <c r="U513" i="2"/>
  <c r="T513" i="2"/>
  <c r="S513" i="2"/>
  <c r="R513" i="2"/>
  <c r="Q513" i="2"/>
  <c r="O513" i="2"/>
  <c r="M513" i="2"/>
  <c r="L513" i="2"/>
  <c r="K513" i="2"/>
  <c r="I513" i="2"/>
  <c r="G513" i="2"/>
  <c r="F513" i="2"/>
  <c r="W512" i="2"/>
  <c r="V512" i="2"/>
  <c r="U512" i="2"/>
  <c r="T512" i="2"/>
  <c r="S512" i="2"/>
  <c r="R512" i="2"/>
  <c r="Q512" i="2"/>
  <c r="O512" i="2"/>
  <c r="M512" i="2"/>
  <c r="L512" i="2"/>
  <c r="K512" i="2"/>
  <c r="I512" i="2"/>
  <c r="G512" i="2"/>
  <c r="F512" i="2"/>
  <c r="W511" i="2"/>
  <c r="V511" i="2"/>
  <c r="U511" i="2"/>
  <c r="T511" i="2"/>
  <c r="S511" i="2"/>
  <c r="R511" i="2"/>
  <c r="Q511" i="2"/>
  <c r="O511" i="2"/>
  <c r="M511" i="2"/>
  <c r="L511" i="2"/>
  <c r="K511" i="2"/>
  <c r="I511" i="2"/>
  <c r="G511" i="2"/>
  <c r="F511" i="2"/>
  <c r="W510" i="2"/>
  <c r="V510" i="2"/>
  <c r="U510" i="2"/>
  <c r="T510" i="2"/>
  <c r="S510" i="2"/>
  <c r="R510" i="2"/>
  <c r="Q510" i="2"/>
  <c r="O510" i="2"/>
  <c r="M510" i="2"/>
  <c r="L510" i="2"/>
  <c r="K510" i="2"/>
  <c r="I510" i="2"/>
  <c r="G510" i="2"/>
  <c r="F510" i="2"/>
  <c r="W509" i="2"/>
  <c r="V509" i="2"/>
  <c r="U509" i="2"/>
  <c r="T509" i="2"/>
  <c r="S509" i="2"/>
  <c r="R509" i="2"/>
  <c r="Q509" i="2"/>
  <c r="O509" i="2"/>
  <c r="M509" i="2"/>
  <c r="L509" i="2"/>
  <c r="K509" i="2"/>
  <c r="I509" i="2"/>
  <c r="G509" i="2"/>
  <c r="F509" i="2"/>
  <c r="W508" i="2"/>
  <c r="V508" i="2"/>
  <c r="U508" i="2"/>
  <c r="T508" i="2"/>
  <c r="S508" i="2"/>
  <c r="R508" i="2"/>
  <c r="Q508" i="2"/>
  <c r="O508" i="2"/>
  <c r="M508" i="2"/>
  <c r="L508" i="2"/>
  <c r="K508" i="2"/>
  <c r="I508" i="2"/>
  <c r="G508" i="2"/>
  <c r="F508" i="2"/>
  <c r="W507" i="2"/>
  <c r="V507" i="2"/>
  <c r="U507" i="2"/>
  <c r="T507" i="2"/>
  <c r="S507" i="2"/>
  <c r="R507" i="2"/>
  <c r="Q507" i="2"/>
  <c r="O507" i="2"/>
  <c r="M507" i="2"/>
  <c r="L507" i="2"/>
  <c r="K507" i="2"/>
  <c r="I507" i="2"/>
  <c r="G507" i="2"/>
  <c r="F507" i="2"/>
  <c r="W506" i="2"/>
  <c r="V506" i="2"/>
  <c r="U506" i="2"/>
  <c r="T506" i="2"/>
  <c r="S506" i="2"/>
  <c r="R506" i="2"/>
  <c r="Q506" i="2"/>
  <c r="O506" i="2"/>
  <c r="M506" i="2"/>
  <c r="L506" i="2"/>
  <c r="K506" i="2"/>
  <c r="I506" i="2"/>
  <c r="G506" i="2"/>
  <c r="F506" i="2"/>
  <c r="W505" i="2"/>
  <c r="V505" i="2"/>
  <c r="U505" i="2"/>
  <c r="T505" i="2"/>
  <c r="S505" i="2"/>
  <c r="R505" i="2"/>
  <c r="Q505" i="2"/>
  <c r="O505" i="2"/>
  <c r="M505" i="2"/>
  <c r="L505" i="2"/>
  <c r="K505" i="2"/>
  <c r="I505" i="2"/>
  <c r="G505" i="2"/>
  <c r="F505" i="2"/>
  <c r="W504" i="2"/>
  <c r="V504" i="2"/>
  <c r="U504" i="2"/>
  <c r="T504" i="2"/>
  <c r="S504" i="2"/>
  <c r="R504" i="2"/>
  <c r="Q504" i="2"/>
  <c r="O504" i="2"/>
  <c r="M504" i="2"/>
  <c r="L504" i="2"/>
  <c r="K504" i="2"/>
  <c r="I504" i="2"/>
  <c r="G504" i="2"/>
  <c r="F504" i="2"/>
  <c r="W503" i="2"/>
  <c r="V503" i="2"/>
  <c r="U503" i="2"/>
  <c r="T503" i="2"/>
  <c r="S503" i="2"/>
  <c r="R503" i="2"/>
  <c r="Q503" i="2"/>
  <c r="O503" i="2"/>
  <c r="M503" i="2"/>
  <c r="L503" i="2"/>
  <c r="K503" i="2"/>
  <c r="I503" i="2"/>
  <c r="G503" i="2"/>
  <c r="F503" i="2"/>
  <c r="W502" i="2"/>
  <c r="V502" i="2"/>
  <c r="U502" i="2"/>
  <c r="T502" i="2"/>
  <c r="S502" i="2"/>
  <c r="R502" i="2"/>
  <c r="Q502" i="2"/>
  <c r="O502" i="2"/>
  <c r="M502" i="2"/>
  <c r="L502" i="2"/>
  <c r="K502" i="2"/>
  <c r="I502" i="2"/>
  <c r="G502" i="2"/>
  <c r="F502" i="2"/>
  <c r="W501" i="2"/>
  <c r="V501" i="2"/>
  <c r="U501" i="2"/>
  <c r="T501" i="2"/>
  <c r="S501" i="2"/>
  <c r="R501" i="2"/>
  <c r="Q501" i="2"/>
  <c r="O501" i="2"/>
  <c r="M501" i="2"/>
  <c r="L501" i="2"/>
  <c r="K501" i="2"/>
  <c r="I501" i="2"/>
  <c r="G501" i="2"/>
  <c r="F501" i="2"/>
  <c r="W500" i="2"/>
  <c r="V500" i="2"/>
  <c r="U500" i="2"/>
  <c r="T500" i="2"/>
  <c r="S500" i="2"/>
  <c r="R500" i="2"/>
  <c r="Q500" i="2"/>
  <c r="O500" i="2"/>
  <c r="M500" i="2"/>
  <c r="L500" i="2"/>
  <c r="K500" i="2"/>
  <c r="I500" i="2"/>
  <c r="G500" i="2"/>
  <c r="F500" i="2"/>
  <c r="W499" i="2"/>
  <c r="V499" i="2"/>
  <c r="U499" i="2"/>
  <c r="T499" i="2"/>
  <c r="S499" i="2"/>
  <c r="R499" i="2"/>
  <c r="Q499" i="2"/>
  <c r="O499" i="2"/>
  <c r="M499" i="2"/>
  <c r="L499" i="2"/>
  <c r="K499" i="2"/>
  <c r="I499" i="2"/>
  <c r="G499" i="2"/>
  <c r="F499" i="2"/>
  <c r="W498" i="2"/>
  <c r="V498" i="2"/>
  <c r="U498" i="2"/>
  <c r="T498" i="2"/>
  <c r="S498" i="2"/>
  <c r="R498" i="2"/>
  <c r="Q498" i="2"/>
  <c r="O498" i="2"/>
  <c r="M498" i="2"/>
  <c r="L498" i="2"/>
  <c r="K498" i="2"/>
  <c r="I498" i="2"/>
  <c r="G498" i="2"/>
  <c r="F498" i="2"/>
  <c r="W497" i="2"/>
  <c r="V497" i="2"/>
  <c r="U497" i="2"/>
  <c r="T497" i="2"/>
  <c r="S497" i="2"/>
  <c r="R497" i="2"/>
  <c r="Q497" i="2"/>
  <c r="O497" i="2"/>
  <c r="M497" i="2"/>
  <c r="L497" i="2"/>
  <c r="K497" i="2"/>
  <c r="I497" i="2"/>
  <c r="G497" i="2"/>
  <c r="F497" i="2"/>
  <c r="W496" i="2"/>
  <c r="V496" i="2"/>
  <c r="U496" i="2"/>
  <c r="T496" i="2"/>
  <c r="S496" i="2"/>
  <c r="R496" i="2"/>
  <c r="Q496" i="2"/>
  <c r="O496" i="2"/>
  <c r="M496" i="2"/>
  <c r="L496" i="2"/>
  <c r="K496" i="2"/>
  <c r="I496" i="2"/>
  <c r="G496" i="2"/>
  <c r="F496" i="2"/>
  <c r="W495" i="2"/>
  <c r="V495" i="2"/>
  <c r="U495" i="2"/>
  <c r="T495" i="2"/>
  <c r="S495" i="2"/>
  <c r="R495" i="2"/>
  <c r="Q495" i="2"/>
  <c r="O495" i="2"/>
  <c r="M495" i="2"/>
  <c r="L495" i="2"/>
  <c r="K495" i="2"/>
  <c r="I495" i="2"/>
  <c r="G495" i="2"/>
  <c r="F495" i="2"/>
  <c r="W494" i="2"/>
  <c r="V494" i="2"/>
  <c r="U494" i="2"/>
  <c r="T494" i="2"/>
  <c r="S494" i="2"/>
  <c r="R494" i="2"/>
  <c r="Q494" i="2"/>
  <c r="O494" i="2"/>
  <c r="M494" i="2"/>
  <c r="L494" i="2"/>
  <c r="K494" i="2"/>
  <c r="I494" i="2"/>
  <c r="G494" i="2"/>
  <c r="F494" i="2"/>
  <c r="W493" i="2"/>
  <c r="V493" i="2"/>
  <c r="U493" i="2"/>
  <c r="T493" i="2"/>
  <c r="S493" i="2"/>
  <c r="R493" i="2"/>
  <c r="Q493" i="2"/>
  <c r="O493" i="2"/>
  <c r="M493" i="2"/>
  <c r="L493" i="2"/>
  <c r="K493" i="2"/>
  <c r="I493" i="2"/>
  <c r="G493" i="2"/>
  <c r="F493" i="2"/>
  <c r="W492" i="2"/>
  <c r="V492" i="2"/>
  <c r="U492" i="2"/>
  <c r="T492" i="2"/>
  <c r="S492" i="2"/>
  <c r="R492" i="2"/>
  <c r="Q492" i="2"/>
  <c r="O492" i="2"/>
  <c r="M492" i="2"/>
  <c r="L492" i="2"/>
  <c r="K492" i="2"/>
  <c r="I492" i="2"/>
  <c r="G492" i="2"/>
  <c r="F492" i="2"/>
  <c r="W491" i="2"/>
  <c r="V491" i="2"/>
  <c r="U491" i="2"/>
  <c r="T491" i="2"/>
  <c r="S491" i="2"/>
  <c r="R491" i="2"/>
  <c r="Q491" i="2"/>
  <c r="O491" i="2"/>
  <c r="M491" i="2"/>
  <c r="L491" i="2"/>
  <c r="K491" i="2"/>
  <c r="I491" i="2"/>
  <c r="G491" i="2"/>
  <c r="F491" i="2"/>
  <c r="W490" i="2"/>
  <c r="V490" i="2"/>
  <c r="U490" i="2"/>
  <c r="T490" i="2"/>
  <c r="S490" i="2"/>
  <c r="R490" i="2"/>
  <c r="Q490" i="2"/>
  <c r="O490" i="2"/>
  <c r="M490" i="2"/>
  <c r="L490" i="2"/>
  <c r="K490" i="2"/>
  <c r="I490" i="2"/>
  <c r="G490" i="2"/>
  <c r="F490" i="2"/>
  <c r="W489" i="2"/>
  <c r="V489" i="2"/>
  <c r="U489" i="2"/>
  <c r="T489" i="2"/>
  <c r="S489" i="2"/>
  <c r="R489" i="2"/>
  <c r="Q489" i="2"/>
  <c r="O489" i="2"/>
  <c r="M489" i="2"/>
  <c r="L489" i="2"/>
  <c r="K489" i="2"/>
  <c r="I489" i="2"/>
  <c r="G489" i="2"/>
  <c r="F489" i="2"/>
  <c r="W488" i="2"/>
  <c r="V488" i="2"/>
  <c r="U488" i="2"/>
  <c r="T488" i="2"/>
  <c r="S488" i="2"/>
  <c r="R488" i="2"/>
  <c r="Q488" i="2"/>
  <c r="O488" i="2"/>
  <c r="M488" i="2"/>
  <c r="L488" i="2"/>
  <c r="K488" i="2"/>
  <c r="I488" i="2"/>
  <c r="G488" i="2"/>
  <c r="F488" i="2"/>
  <c r="W487" i="2"/>
  <c r="V487" i="2"/>
  <c r="U487" i="2"/>
  <c r="T487" i="2"/>
  <c r="S487" i="2"/>
  <c r="R487" i="2"/>
  <c r="Q487" i="2"/>
  <c r="O487" i="2"/>
  <c r="M487" i="2"/>
  <c r="L487" i="2"/>
  <c r="K487" i="2"/>
  <c r="I487" i="2"/>
  <c r="G487" i="2"/>
  <c r="F487" i="2"/>
  <c r="W486" i="2"/>
  <c r="V486" i="2"/>
  <c r="U486" i="2"/>
  <c r="T486" i="2"/>
  <c r="S486" i="2"/>
  <c r="R486" i="2"/>
  <c r="Q486" i="2"/>
  <c r="O486" i="2"/>
  <c r="M486" i="2"/>
  <c r="L486" i="2"/>
  <c r="K486" i="2"/>
  <c r="I486" i="2"/>
  <c r="G486" i="2"/>
  <c r="F486" i="2"/>
  <c r="W485" i="2"/>
  <c r="V485" i="2"/>
  <c r="U485" i="2"/>
  <c r="T485" i="2"/>
  <c r="S485" i="2"/>
  <c r="R485" i="2"/>
  <c r="Q485" i="2"/>
  <c r="O485" i="2"/>
  <c r="M485" i="2"/>
  <c r="L485" i="2"/>
  <c r="K485" i="2"/>
  <c r="I485" i="2"/>
  <c r="G485" i="2"/>
  <c r="F485" i="2"/>
  <c r="W484" i="2"/>
  <c r="V484" i="2"/>
  <c r="U484" i="2"/>
  <c r="T484" i="2"/>
  <c r="S484" i="2"/>
  <c r="R484" i="2"/>
  <c r="Q484" i="2"/>
  <c r="O484" i="2"/>
  <c r="M484" i="2"/>
  <c r="L484" i="2"/>
  <c r="K484" i="2"/>
  <c r="I484" i="2"/>
  <c r="G484" i="2"/>
  <c r="F484" i="2"/>
  <c r="W483" i="2"/>
  <c r="V483" i="2"/>
  <c r="U483" i="2"/>
  <c r="T483" i="2"/>
  <c r="S483" i="2"/>
  <c r="R483" i="2"/>
  <c r="Q483" i="2"/>
  <c r="O483" i="2"/>
  <c r="M483" i="2"/>
  <c r="L483" i="2"/>
  <c r="K483" i="2"/>
  <c r="I483" i="2"/>
  <c r="G483" i="2"/>
  <c r="F483" i="2"/>
  <c r="W482" i="2"/>
  <c r="V482" i="2"/>
  <c r="U482" i="2"/>
  <c r="T482" i="2"/>
  <c r="S482" i="2"/>
  <c r="R482" i="2"/>
  <c r="Q482" i="2"/>
  <c r="O482" i="2"/>
  <c r="M482" i="2"/>
  <c r="L482" i="2"/>
  <c r="K482" i="2"/>
  <c r="I482" i="2"/>
  <c r="G482" i="2"/>
  <c r="F482" i="2"/>
  <c r="W481" i="2"/>
  <c r="V481" i="2"/>
  <c r="U481" i="2"/>
  <c r="T481" i="2"/>
  <c r="S481" i="2"/>
  <c r="R481" i="2"/>
  <c r="Q481" i="2"/>
  <c r="O481" i="2"/>
  <c r="M481" i="2"/>
  <c r="L481" i="2"/>
  <c r="K481" i="2"/>
  <c r="I481" i="2"/>
  <c r="G481" i="2"/>
  <c r="F481" i="2"/>
  <c r="W480" i="2"/>
  <c r="V480" i="2"/>
  <c r="U480" i="2"/>
  <c r="T480" i="2"/>
  <c r="S480" i="2"/>
  <c r="R480" i="2"/>
  <c r="Q480" i="2"/>
  <c r="O480" i="2"/>
  <c r="M480" i="2"/>
  <c r="L480" i="2"/>
  <c r="K480" i="2"/>
  <c r="I480" i="2"/>
  <c r="G480" i="2"/>
  <c r="F480" i="2"/>
  <c r="W479" i="2"/>
  <c r="V479" i="2"/>
  <c r="U479" i="2"/>
  <c r="T479" i="2"/>
  <c r="S479" i="2"/>
  <c r="R479" i="2"/>
  <c r="Q479" i="2"/>
  <c r="O479" i="2"/>
  <c r="M479" i="2"/>
  <c r="L479" i="2"/>
  <c r="K479" i="2"/>
  <c r="I479" i="2"/>
  <c r="G479" i="2"/>
  <c r="F479" i="2"/>
  <c r="W478" i="2"/>
  <c r="V478" i="2"/>
  <c r="U478" i="2"/>
  <c r="T478" i="2"/>
  <c r="S478" i="2"/>
  <c r="R478" i="2"/>
  <c r="Q478" i="2"/>
  <c r="O478" i="2"/>
  <c r="M478" i="2"/>
  <c r="L478" i="2"/>
  <c r="K478" i="2"/>
  <c r="I478" i="2"/>
  <c r="G478" i="2"/>
  <c r="F478" i="2"/>
  <c r="W477" i="2"/>
  <c r="V477" i="2"/>
  <c r="U477" i="2"/>
  <c r="T477" i="2"/>
  <c r="S477" i="2"/>
  <c r="R477" i="2"/>
  <c r="Q477" i="2"/>
  <c r="O477" i="2"/>
  <c r="M477" i="2"/>
  <c r="L477" i="2"/>
  <c r="K477" i="2"/>
  <c r="I477" i="2"/>
  <c r="G477" i="2"/>
  <c r="F477" i="2"/>
  <c r="W476" i="2"/>
  <c r="V476" i="2"/>
  <c r="U476" i="2"/>
  <c r="T476" i="2"/>
  <c r="S476" i="2"/>
  <c r="R476" i="2"/>
  <c r="Q476" i="2"/>
  <c r="O476" i="2"/>
  <c r="M476" i="2"/>
  <c r="L476" i="2"/>
  <c r="K476" i="2"/>
  <c r="I476" i="2"/>
  <c r="G476" i="2"/>
  <c r="F476" i="2"/>
  <c r="W475" i="2"/>
  <c r="V475" i="2"/>
  <c r="U475" i="2"/>
  <c r="T475" i="2"/>
  <c r="S475" i="2"/>
  <c r="R475" i="2"/>
  <c r="Q475" i="2"/>
  <c r="O475" i="2"/>
  <c r="M475" i="2"/>
  <c r="L475" i="2"/>
  <c r="K475" i="2"/>
  <c r="I475" i="2"/>
  <c r="G475" i="2"/>
  <c r="F475" i="2"/>
  <c r="W474" i="2"/>
  <c r="V474" i="2"/>
  <c r="U474" i="2"/>
  <c r="T474" i="2"/>
  <c r="S474" i="2"/>
  <c r="R474" i="2"/>
  <c r="Q474" i="2"/>
  <c r="O474" i="2"/>
  <c r="M474" i="2"/>
  <c r="L474" i="2"/>
  <c r="K474" i="2"/>
  <c r="I474" i="2"/>
  <c r="G474" i="2"/>
  <c r="F474" i="2"/>
  <c r="W473" i="2"/>
  <c r="V473" i="2"/>
  <c r="U473" i="2"/>
  <c r="T473" i="2"/>
  <c r="S473" i="2"/>
  <c r="R473" i="2"/>
  <c r="Q473" i="2"/>
  <c r="O473" i="2"/>
  <c r="M473" i="2"/>
  <c r="L473" i="2"/>
  <c r="K473" i="2"/>
  <c r="I473" i="2"/>
  <c r="G473" i="2"/>
  <c r="F473" i="2"/>
  <c r="W472" i="2"/>
  <c r="V472" i="2"/>
  <c r="U472" i="2"/>
  <c r="T472" i="2"/>
  <c r="S472" i="2"/>
  <c r="R472" i="2"/>
  <c r="Q472" i="2"/>
  <c r="O472" i="2"/>
  <c r="M472" i="2"/>
  <c r="L472" i="2"/>
  <c r="K472" i="2"/>
  <c r="I472" i="2"/>
  <c r="G472" i="2"/>
  <c r="F472" i="2"/>
  <c r="W471" i="2"/>
  <c r="V471" i="2"/>
  <c r="U471" i="2"/>
  <c r="T471" i="2"/>
  <c r="S471" i="2"/>
  <c r="R471" i="2"/>
  <c r="Q471" i="2"/>
  <c r="O471" i="2"/>
  <c r="M471" i="2"/>
  <c r="L471" i="2"/>
  <c r="K471" i="2"/>
  <c r="I471" i="2"/>
  <c r="G471" i="2"/>
  <c r="F471" i="2"/>
  <c r="W470" i="2"/>
  <c r="V470" i="2"/>
  <c r="U470" i="2"/>
  <c r="T470" i="2"/>
  <c r="S470" i="2"/>
  <c r="R470" i="2"/>
  <c r="Q470" i="2"/>
  <c r="O470" i="2"/>
  <c r="M470" i="2"/>
  <c r="L470" i="2"/>
  <c r="K470" i="2"/>
  <c r="I470" i="2"/>
  <c r="G470" i="2"/>
  <c r="F470" i="2"/>
  <c r="W469" i="2"/>
  <c r="V469" i="2"/>
  <c r="U469" i="2"/>
  <c r="T469" i="2"/>
  <c r="S469" i="2"/>
  <c r="R469" i="2"/>
  <c r="Q469" i="2"/>
  <c r="O469" i="2"/>
  <c r="M469" i="2"/>
  <c r="L469" i="2"/>
  <c r="K469" i="2"/>
  <c r="I469" i="2"/>
  <c r="G469" i="2"/>
  <c r="F469" i="2"/>
  <c r="W468" i="2"/>
  <c r="V468" i="2"/>
  <c r="U468" i="2"/>
  <c r="T468" i="2"/>
  <c r="S468" i="2"/>
  <c r="R468" i="2"/>
  <c r="Q468" i="2"/>
  <c r="O468" i="2"/>
  <c r="M468" i="2"/>
  <c r="L468" i="2"/>
  <c r="K468" i="2"/>
  <c r="I468" i="2"/>
  <c r="G468" i="2"/>
  <c r="F468" i="2"/>
  <c r="W467" i="2"/>
  <c r="V467" i="2"/>
  <c r="U467" i="2"/>
  <c r="T467" i="2"/>
  <c r="S467" i="2"/>
  <c r="R467" i="2"/>
  <c r="Q467" i="2"/>
  <c r="O467" i="2"/>
  <c r="M467" i="2"/>
  <c r="L467" i="2"/>
  <c r="K467" i="2"/>
  <c r="I467" i="2"/>
  <c r="G467" i="2"/>
  <c r="F467" i="2"/>
  <c r="W466" i="2"/>
  <c r="V466" i="2"/>
  <c r="U466" i="2"/>
  <c r="T466" i="2"/>
  <c r="S466" i="2"/>
  <c r="R466" i="2"/>
  <c r="Q466" i="2"/>
  <c r="O466" i="2"/>
  <c r="M466" i="2"/>
  <c r="L466" i="2"/>
  <c r="K466" i="2"/>
  <c r="I466" i="2"/>
  <c r="G466" i="2"/>
  <c r="F466" i="2"/>
  <c r="W465" i="2"/>
  <c r="V465" i="2"/>
  <c r="U465" i="2"/>
  <c r="T465" i="2"/>
  <c r="S465" i="2"/>
  <c r="R465" i="2"/>
  <c r="Q465" i="2"/>
  <c r="O465" i="2"/>
  <c r="M465" i="2"/>
  <c r="L465" i="2"/>
  <c r="K465" i="2"/>
  <c r="I465" i="2"/>
  <c r="G465" i="2"/>
  <c r="F465" i="2"/>
  <c r="W464" i="2"/>
  <c r="V464" i="2"/>
  <c r="U464" i="2"/>
  <c r="T464" i="2"/>
  <c r="S464" i="2"/>
  <c r="R464" i="2"/>
  <c r="Q464" i="2"/>
  <c r="O464" i="2"/>
  <c r="M464" i="2"/>
  <c r="L464" i="2"/>
  <c r="K464" i="2"/>
  <c r="I464" i="2"/>
  <c r="G464" i="2"/>
  <c r="F464" i="2"/>
  <c r="W463" i="2"/>
  <c r="V463" i="2"/>
  <c r="U463" i="2"/>
  <c r="T463" i="2"/>
  <c r="S463" i="2"/>
  <c r="R463" i="2"/>
  <c r="Q463" i="2"/>
  <c r="O463" i="2"/>
  <c r="M463" i="2"/>
  <c r="L463" i="2"/>
  <c r="K463" i="2"/>
  <c r="I463" i="2"/>
  <c r="G463" i="2"/>
  <c r="F463" i="2"/>
  <c r="W462" i="2"/>
  <c r="V462" i="2"/>
  <c r="U462" i="2"/>
  <c r="T462" i="2"/>
  <c r="S462" i="2"/>
  <c r="R462" i="2"/>
  <c r="Q462" i="2"/>
  <c r="O462" i="2"/>
  <c r="M462" i="2"/>
  <c r="L462" i="2"/>
  <c r="K462" i="2"/>
  <c r="I462" i="2"/>
  <c r="G462" i="2"/>
  <c r="F462" i="2"/>
  <c r="W461" i="2"/>
  <c r="V461" i="2"/>
  <c r="U461" i="2"/>
  <c r="T461" i="2"/>
  <c r="S461" i="2"/>
  <c r="R461" i="2"/>
  <c r="Q461" i="2"/>
  <c r="O461" i="2"/>
  <c r="M461" i="2"/>
  <c r="L461" i="2"/>
  <c r="K461" i="2"/>
  <c r="I461" i="2"/>
  <c r="G461" i="2"/>
  <c r="F461" i="2"/>
  <c r="W460" i="2"/>
  <c r="V460" i="2"/>
  <c r="U460" i="2"/>
  <c r="T460" i="2"/>
  <c r="S460" i="2"/>
  <c r="R460" i="2"/>
  <c r="Q460" i="2"/>
  <c r="O460" i="2"/>
  <c r="M460" i="2"/>
  <c r="L460" i="2"/>
  <c r="K460" i="2"/>
  <c r="I460" i="2"/>
  <c r="G460" i="2"/>
  <c r="F460" i="2"/>
  <c r="W459" i="2"/>
  <c r="V459" i="2"/>
  <c r="U459" i="2"/>
  <c r="T459" i="2"/>
  <c r="S459" i="2"/>
  <c r="R459" i="2"/>
  <c r="Q459" i="2"/>
  <c r="O459" i="2"/>
  <c r="M459" i="2"/>
  <c r="L459" i="2"/>
  <c r="K459" i="2"/>
  <c r="I459" i="2"/>
  <c r="G459" i="2"/>
  <c r="F459" i="2"/>
  <c r="W458" i="2"/>
  <c r="V458" i="2"/>
  <c r="U458" i="2"/>
  <c r="T458" i="2"/>
  <c r="S458" i="2"/>
  <c r="R458" i="2"/>
  <c r="Q458" i="2"/>
  <c r="O458" i="2"/>
  <c r="M458" i="2"/>
  <c r="L458" i="2"/>
  <c r="K458" i="2"/>
  <c r="I458" i="2"/>
  <c r="G458" i="2"/>
  <c r="F458" i="2"/>
  <c r="W457" i="2"/>
  <c r="V457" i="2"/>
  <c r="U457" i="2"/>
  <c r="T457" i="2"/>
  <c r="S457" i="2"/>
  <c r="R457" i="2"/>
  <c r="Q457" i="2"/>
  <c r="O457" i="2"/>
  <c r="M457" i="2"/>
  <c r="L457" i="2"/>
  <c r="K457" i="2"/>
  <c r="I457" i="2"/>
  <c r="G457" i="2"/>
  <c r="F457" i="2"/>
  <c r="W456" i="2"/>
  <c r="V456" i="2"/>
  <c r="U456" i="2"/>
  <c r="T456" i="2"/>
  <c r="S456" i="2"/>
  <c r="R456" i="2"/>
  <c r="Q456" i="2"/>
  <c r="O456" i="2"/>
  <c r="M456" i="2"/>
  <c r="L456" i="2"/>
  <c r="K456" i="2"/>
  <c r="I456" i="2"/>
  <c r="G456" i="2"/>
  <c r="F456" i="2"/>
  <c r="W455" i="2"/>
  <c r="V455" i="2"/>
  <c r="U455" i="2"/>
  <c r="T455" i="2"/>
  <c r="S455" i="2"/>
  <c r="R455" i="2"/>
  <c r="Q455" i="2"/>
  <c r="O455" i="2"/>
  <c r="M455" i="2"/>
  <c r="L455" i="2"/>
  <c r="K455" i="2"/>
  <c r="I455" i="2"/>
  <c r="G455" i="2"/>
  <c r="F455" i="2"/>
  <c r="W454" i="2"/>
  <c r="V454" i="2"/>
  <c r="U454" i="2"/>
  <c r="T454" i="2"/>
  <c r="S454" i="2"/>
  <c r="R454" i="2"/>
  <c r="Q454" i="2"/>
  <c r="O454" i="2"/>
  <c r="M454" i="2"/>
  <c r="L454" i="2"/>
  <c r="K454" i="2"/>
  <c r="I454" i="2"/>
  <c r="G454" i="2"/>
  <c r="F454" i="2"/>
  <c r="W453" i="2"/>
  <c r="V453" i="2"/>
  <c r="U453" i="2"/>
  <c r="T453" i="2"/>
  <c r="S453" i="2"/>
  <c r="R453" i="2"/>
  <c r="Q453" i="2"/>
  <c r="O453" i="2"/>
  <c r="M453" i="2"/>
  <c r="L453" i="2"/>
  <c r="K453" i="2"/>
  <c r="I453" i="2"/>
  <c r="G453" i="2"/>
  <c r="F453" i="2"/>
  <c r="W452" i="2"/>
  <c r="V452" i="2"/>
  <c r="U452" i="2"/>
  <c r="T452" i="2"/>
  <c r="S452" i="2"/>
  <c r="R452" i="2"/>
  <c r="Q452" i="2"/>
  <c r="O452" i="2"/>
  <c r="M452" i="2"/>
  <c r="L452" i="2"/>
  <c r="K452" i="2"/>
  <c r="I452" i="2"/>
  <c r="G452" i="2"/>
  <c r="F452" i="2"/>
  <c r="W451" i="2"/>
  <c r="V451" i="2"/>
  <c r="U451" i="2"/>
  <c r="T451" i="2"/>
  <c r="S451" i="2"/>
  <c r="R451" i="2"/>
  <c r="Q451" i="2"/>
  <c r="O451" i="2"/>
  <c r="M451" i="2"/>
  <c r="L451" i="2"/>
  <c r="K451" i="2"/>
  <c r="I451" i="2"/>
  <c r="G451" i="2"/>
  <c r="F451" i="2"/>
  <c r="W450" i="2"/>
  <c r="V450" i="2"/>
  <c r="U450" i="2"/>
  <c r="T450" i="2"/>
  <c r="S450" i="2"/>
  <c r="R450" i="2"/>
  <c r="Q450" i="2"/>
  <c r="O450" i="2"/>
  <c r="M450" i="2"/>
  <c r="L450" i="2"/>
  <c r="K450" i="2"/>
  <c r="I450" i="2"/>
  <c r="G450" i="2"/>
  <c r="F450" i="2"/>
  <c r="W449" i="2"/>
  <c r="V449" i="2"/>
  <c r="U449" i="2"/>
  <c r="T449" i="2"/>
  <c r="S449" i="2"/>
  <c r="R449" i="2"/>
  <c r="Q449" i="2"/>
  <c r="O449" i="2"/>
  <c r="M449" i="2"/>
  <c r="L449" i="2"/>
  <c r="K449" i="2"/>
  <c r="I449" i="2"/>
  <c r="G449" i="2"/>
  <c r="F449" i="2"/>
  <c r="W448" i="2"/>
  <c r="V448" i="2"/>
  <c r="U448" i="2"/>
  <c r="T448" i="2"/>
  <c r="S448" i="2"/>
  <c r="R448" i="2"/>
  <c r="Q448" i="2"/>
  <c r="O448" i="2"/>
  <c r="M448" i="2"/>
  <c r="L448" i="2"/>
  <c r="K448" i="2"/>
  <c r="I448" i="2"/>
  <c r="G448" i="2"/>
  <c r="F448" i="2"/>
  <c r="W447" i="2"/>
  <c r="V447" i="2"/>
  <c r="U447" i="2"/>
  <c r="T447" i="2"/>
  <c r="S447" i="2"/>
  <c r="R447" i="2"/>
  <c r="Q447" i="2"/>
  <c r="O447" i="2"/>
  <c r="M447" i="2"/>
  <c r="L447" i="2"/>
  <c r="K447" i="2"/>
  <c r="I447" i="2"/>
  <c r="G447" i="2"/>
  <c r="F447" i="2"/>
  <c r="W446" i="2"/>
  <c r="V446" i="2"/>
  <c r="U446" i="2"/>
  <c r="T446" i="2"/>
  <c r="S446" i="2"/>
  <c r="R446" i="2"/>
  <c r="Q446" i="2"/>
  <c r="O446" i="2"/>
  <c r="M446" i="2"/>
  <c r="L446" i="2"/>
  <c r="K446" i="2"/>
  <c r="I446" i="2"/>
  <c r="G446" i="2"/>
  <c r="F446" i="2"/>
  <c r="W445" i="2"/>
  <c r="V445" i="2"/>
  <c r="U445" i="2"/>
  <c r="T445" i="2"/>
  <c r="S445" i="2"/>
  <c r="R445" i="2"/>
  <c r="Q445" i="2"/>
  <c r="O445" i="2"/>
  <c r="M445" i="2"/>
  <c r="L445" i="2"/>
  <c r="K445" i="2"/>
  <c r="I445" i="2"/>
  <c r="G445" i="2"/>
  <c r="F445" i="2"/>
  <c r="W444" i="2"/>
  <c r="V444" i="2"/>
  <c r="U444" i="2"/>
  <c r="T444" i="2"/>
  <c r="S444" i="2"/>
  <c r="R444" i="2"/>
  <c r="Q444" i="2"/>
  <c r="O444" i="2"/>
  <c r="M444" i="2"/>
  <c r="L444" i="2"/>
  <c r="K444" i="2"/>
  <c r="I444" i="2"/>
  <c r="G444" i="2"/>
  <c r="F444" i="2"/>
  <c r="W443" i="2"/>
  <c r="V443" i="2"/>
  <c r="U443" i="2"/>
  <c r="T443" i="2"/>
  <c r="S443" i="2"/>
  <c r="R443" i="2"/>
  <c r="Q443" i="2"/>
  <c r="O443" i="2"/>
  <c r="M443" i="2"/>
  <c r="L443" i="2"/>
  <c r="K443" i="2"/>
  <c r="I443" i="2"/>
  <c r="G443" i="2"/>
  <c r="F443" i="2"/>
  <c r="W442" i="2"/>
  <c r="V442" i="2"/>
  <c r="U442" i="2"/>
  <c r="T442" i="2"/>
  <c r="S442" i="2"/>
  <c r="R442" i="2"/>
  <c r="Q442" i="2"/>
  <c r="O442" i="2"/>
  <c r="M442" i="2"/>
  <c r="L442" i="2"/>
  <c r="K442" i="2"/>
  <c r="I442" i="2"/>
  <c r="G442" i="2"/>
  <c r="F442" i="2"/>
  <c r="W441" i="2"/>
  <c r="V441" i="2"/>
  <c r="U441" i="2"/>
  <c r="T441" i="2"/>
  <c r="S441" i="2"/>
  <c r="R441" i="2"/>
  <c r="Q441" i="2"/>
  <c r="O441" i="2"/>
  <c r="M441" i="2"/>
  <c r="L441" i="2"/>
  <c r="K441" i="2"/>
  <c r="I441" i="2"/>
  <c r="G441" i="2"/>
  <c r="F441" i="2"/>
  <c r="W440" i="2"/>
  <c r="V440" i="2"/>
  <c r="U440" i="2"/>
  <c r="T440" i="2"/>
  <c r="S440" i="2"/>
  <c r="R440" i="2"/>
  <c r="Q440" i="2"/>
  <c r="O440" i="2"/>
  <c r="M440" i="2"/>
  <c r="L440" i="2"/>
  <c r="K440" i="2"/>
  <c r="I440" i="2"/>
  <c r="G440" i="2"/>
  <c r="F440" i="2"/>
  <c r="W439" i="2"/>
  <c r="V439" i="2"/>
  <c r="U439" i="2"/>
  <c r="T439" i="2"/>
  <c r="S439" i="2"/>
  <c r="R439" i="2"/>
  <c r="Q439" i="2"/>
  <c r="O439" i="2"/>
  <c r="M439" i="2"/>
  <c r="L439" i="2"/>
  <c r="K439" i="2"/>
  <c r="I439" i="2"/>
  <c r="G439" i="2"/>
  <c r="F439" i="2"/>
  <c r="W438" i="2"/>
  <c r="V438" i="2"/>
  <c r="U438" i="2"/>
  <c r="T438" i="2"/>
  <c r="S438" i="2"/>
  <c r="R438" i="2"/>
  <c r="Q438" i="2"/>
  <c r="O438" i="2"/>
  <c r="M438" i="2"/>
  <c r="L438" i="2"/>
  <c r="K438" i="2"/>
  <c r="I438" i="2"/>
  <c r="G438" i="2"/>
  <c r="F438" i="2"/>
  <c r="W437" i="2"/>
  <c r="V437" i="2"/>
  <c r="U437" i="2"/>
  <c r="T437" i="2"/>
  <c r="S437" i="2"/>
  <c r="R437" i="2"/>
  <c r="Q437" i="2"/>
  <c r="O437" i="2"/>
  <c r="M437" i="2"/>
  <c r="L437" i="2"/>
  <c r="K437" i="2"/>
  <c r="I437" i="2"/>
  <c r="G437" i="2"/>
  <c r="F437" i="2"/>
  <c r="W436" i="2"/>
  <c r="V436" i="2"/>
  <c r="U436" i="2"/>
  <c r="T436" i="2"/>
  <c r="S436" i="2"/>
  <c r="R436" i="2"/>
  <c r="Q436" i="2"/>
  <c r="O436" i="2"/>
  <c r="M436" i="2"/>
  <c r="L436" i="2"/>
  <c r="K436" i="2"/>
  <c r="I436" i="2"/>
  <c r="G436" i="2"/>
  <c r="F436" i="2"/>
  <c r="W435" i="2"/>
  <c r="V435" i="2"/>
  <c r="U435" i="2"/>
  <c r="T435" i="2"/>
  <c r="S435" i="2"/>
  <c r="R435" i="2"/>
  <c r="Q435" i="2"/>
  <c r="O435" i="2"/>
  <c r="M435" i="2"/>
  <c r="L435" i="2"/>
  <c r="K435" i="2"/>
  <c r="I435" i="2"/>
  <c r="G435" i="2"/>
  <c r="F435" i="2"/>
  <c r="W434" i="2"/>
  <c r="V434" i="2"/>
  <c r="U434" i="2"/>
  <c r="T434" i="2"/>
  <c r="S434" i="2"/>
  <c r="R434" i="2"/>
  <c r="Q434" i="2"/>
  <c r="O434" i="2"/>
  <c r="M434" i="2"/>
  <c r="L434" i="2"/>
  <c r="K434" i="2"/>
  <c r="I434" i="2"/>
  <c r="G434" i="2"/>
  <c r="F434" i="2"/>
  <c r="W433" i="2"/>
  <c r="V433" i="2"/>
  <c r="U433" i="2"/>
  <c r="T433" i="2"/>
  <c r="S433" i="2"/>
  <c r="R433" i="2"/>
  <c r="Q433" i="2"/>
  <c r="O433" i="2"/>
  <c r="M433" i="2"/>
  <c r="L433" i="2"/>
  <c r="K433" i="2"/>
  <c r="I433" i="2"/>
  <c r="G433" i="2"/>
  <c r="F433" i="2"/>
  <c r="W432" i="2"/>
  <c r="V432" i="2"/>
  <c r="U432" i="2"/>
  <c r="T432" i="2"/>
  <c r="S432" i="2"/>
  <c r="R432" i="2"/>
  <c r="Q432" i="2"/>
  <c r="O432" i="2"/>
  <c r="M432" i="2"/>
  <c r="L432" i="2"/>
  <c r="K432" i="2"/>
  <c r="I432" i="2"/>
  <c r="G432" i="2"/>
  <c r="F432" i="2"/>
  <c r="W431" i="2"/>
  <c r="V431" i="2"/>
  <c r="U431" i="2"/>
  <c r="T431" i="2"/>
  <c r="S431" i="2"/>
  <c r="R431" i="2"/>
  <c r="Q431" i="2"/>
  <c r="O431" i="2"/>
  <c r="M431" i="2"/>
  <c r="L431" i="2"/>
  <c r="K431" i="2"/>
  <c r="I431" i="2"/>
  <c r="G431" i="2"/>
  <c r="F431" i="2"/>
  <c r="W430" i="2"/>
  <c r="V430" i="2"/>
  <c r="U430" i="2"/>
  <c r="T430" i="2"/>
  <c r="S430" i="2"/>
  <c r="R430" i="2"/>
  <c r="Q430" i="2"/>
  <c r="O430" i="2"/>
  <c r="M430" i="2"/>
  <c r="L430" i="2"/>
  <c r="K430" i="2"/>
  <c r="I430" i="2"/>
  <c r="G430" i="2"/>
  <c r="F430" i="2"/>
  <c r="W429" i="2"/>
  <c r="V429" i="2"/>
  <c r="U429" i="2"/>
  <c r="T429" i="2"/>
  <c r="S429" i="2"/>
  <c r="R429" i="2"/>
  <c r="Q429" i="2"/>
  <c r="O429" i="2"/>
  <c r="M429" i="2"/>
  <c r="L429" i="2"/>
  <c r="K429" i="2"/>
  <c r="I429" i="2"/>
  <c r="G429" i="2"/>
  <c r="F429" i="2"/>
  <c r="W428" i="2"/>
  <c r="V428" i="2"/>
  <c r="U428" i="2"/>
  <c r="T428" i="2"/>
  <c r="S428" i="2"/>
  <c r="R428" i="2"/>
  <c r="Q428" i="2"/>
  <c r="O428" i="2"/>
  <c r="M428" i="2"/>
  <c r="L428" i="2"/>
  <c r="K428" i="2"/>
  <c r="I428" i="2"/>
  <c r="G428" i="2"/>
  <c r="F428" i="2"/>
  <c r="W427" i="2"/>
  <c r="V427" i="2"/>
  <c r="U427" i="2"/>
  <c r="T427" i="2"/>
  <c r="S427" i="2"/>
  <c r="R427" i="2"/>
  <c r="Q427" i="2"/>
  <c r="O427" i="2"/>
  <c r="M427" i="2"/>
  <c r="L427" i="2"/>
  <c r="K427" i="2"/>
  <c r="I427" i="2"/>
  <c r="G427" i="2"/>
  <c r="F427" i="2"/>
  <c r="W426" i="2"/>
  <c r="V426" i="2"/>
  <c r="U426" i="2"/>
  <c r="T426" i="2"/>
  <c r="S426" i="2"/>
  <c r="R426" i="2"/>
  <c r="Q426" i="2"/>
  <c r="O426" i="2"/>
  <c r="M426" i="2"/>
  <c r="L426" i="2"/>
  <c r="K426" i="2"/>
  <c r="I426" i="2"/>
  <c r="G426" i="2"/>
  <c r="F426" i="2"/>
  <c r="W425" i="2"/>
  <c r="V425" i="2"/>
  <c r="U425" i="2"/>
  <c r="T425" i="2"/>
  <c r="S425" i="2"/>
  <c r="R425" i="2"/>
  <c r="Q425" i="2"/>
  <c r="O425" i="2"/>
  <c r="M425" i="2"/>
  <c r="L425" i="2"/>
  <c r="K425" i="2"/>
  <c r="I425" i="2"/>
  <c r="G425" i="2"/>
  <c r="F425" i="2"/>
  <c r="W424" i="2"/>
  <c r="V424" i="2"/>
  <c r="U424" i="2"/>
  <c r="T424" i="2"/>
  <c r="S424" i="2"/>
  <c r="R424" i="2"/>
  <c r="Q424" i="2"/>
  <c r="O424" i="2"/>
  <c r="M424" i="2"/>
  <c r="L424" i="2"/>
  <c r="K424" i="2"/>
  <c r="I424" i="2"/>
  <c r="G424" i="2"/>
  <c r="F424" i="2"/>
  <c r="W423" i="2"/>
  <c r="V423" i="2"/>
  <c r="U423" i="2"/>
  <c r="T423" i="2"/>
  <c r="S423" i="2"/>
  <c r="R423" i="2"/>
  <c r="Q423" i="2"/>
  <c r="O423" i="2"/>
  <c r="M423" i="2"/>
  <c r="L423" i="2"/>
  <c r="K423" i="2"/>
  <c r="I423" i="2"/>
  <c r="G423" i="2"/>
  <c r="F423" i="2"/>
  <c r="W422" i="2"/>
  <c r="V422" i="2"/>
  <c r="U422" i="2"/>
  <c r="T422" i="2"/>
  <c r="S422" i="2"/>
  <c r="R422" i="2"/>
  <c r="Q422" i="2"/>
  <c r="O422" i="2"/>
  <c r="M422" i="2"/>
  <c r="L422" i="2"/>
  <c r="K422" i="2"/>
  <c r="I422" i="2"/>
  <c r="G422" i="2"/>
  <c r="F422" i="2"/>
  <c r="W421" i="2"/>
  <c r="V421" i="2"/>
  <c r="U421" i="2"/>
  <c r="T421" i="2"/>
  <c r="S421" i="2"/>
  <c r="R421" i="2"/>
  <c r="Q421" i="2"/>
  <c r="O421" i="2"/>
  <c r="M421" i="2"/>
  <c r="L421" i="2"/>
  <c r="K421" i="2"/>
  <c r="I421" i="2"/>
  <c r="G421" i="2"/>
  <c r="F421" i="2"/>
  <c r="W420" i="2"/>
  <c r="V420" i="2"/>
  <c r="U420" i="2"/>
  <c r="T420" i="2"/>
  <c r="S420" i="2"/>
  <c r="R420" i="2"/>
  <c r="Q420" i="2"/>
  <c r="O420" i="2"/>
  <c r="M420" i="2"/>
  <c r="L420" i="2"/>
  <c r="K420" i="2"/>
  <c r="I420" i="2"/>
  <c r="G420" i="2"/>
  <c r="F420" i="2"/>
  <c r="W419" i="2"/>
  <c r="V419" i="2"/>
  <c r="U419" i="2"/>
  <c r="T419" i="2"/>
  <c r="S419" i="2"/>
  <c r="R419" i="2"/>
  <c r="Q419" i="2"/>
  <c r="O419" i="2"/>
  <c r="M419" i="2"/>
  <c r="L419" i="2"/>
  <c r="K419" i="2"/>
  <c r="I419" i="2"/>
  <c r="G419" i="2"/>
  <c r="F419" i="2"/>
  <c r="W418" i="2"/>
  <c r="V418" i="2"/>
  <c r="U418" i="2"/>
  <c r="T418" i="2"/>
  <c r="S418" i="2"/>
  <c r="R418" i="2"/>
  <c r="Q418" i="2"/>
  <c r="O418" i="2"/>
  <c r="M418" i="2"/>
  <c r="L418" i="2"/>
  <c r="K418" i="2"/>
  <c r="I418" i="2"/>
  <c r="G418" i="2"/>
  <c r="F418" i="2"/>
  <c r="W417" i="2"/>
  <c r="V417" i="2"/>
  <c r="U417" i="2"/>
  <c r="T417" i="2"/>
  <c r="S417" i="2"/>
  <c r="R417" i="2"/>
  <c r="Q417" i="2"/>
  <c r="O417" i="2"/>
  <c r="M417" i="2"/>
  <c r="L417" i="2"/>
  <c r="K417" i="2"/>
  <c r="I417" i="2"/>
  <c r="G417" i="2"/>
  <c r="F417" i="2"/>
  <c r="W416" i="2"/>
  <c r="V416" i="2"/>
  <c r="U416" i="2"/>
  <c r="T416" i="2"/>
  <c r="S416" i="2"/>
  <c r="R416" i="2"/>
  <c r="Q416" i="2"/>
  <c r="O416" i="2"/>
  <c r="M416" i="2"/>
  <c r="L416" i="2"/>
  <c r="K416" i="2"/>
  <c r="I416" i="2"/>
  <c r="G416" i="2"/>
  <c r="F416" i="2"/>
  <c r="W415" i="2"/>
  <c r="V415" i="2"/>
  <c r="U415" i="2"/>
  <c r="T415" i="2"/>
  <c r="S415" i="2"/>
  <c r="R415" i="2"/>
  <c r="Q415" i="2"/>
  <c r="O415" i="2"/>
  <c r="M415" i="2"/>
  <c r="L415" i="2"/>
  <c r="K415" i="2"/>
  <c r="I415" i="2"/>
  <c r="G415" i="2"/>
  <c r="F415" i="2"/>
  <c r="W414" i="2"/>
  <c r="V414" i="2"/>
  <c r="U414" i="2"/>
  <c r="T414" i="2"/>
  <c r="S414" i="2"/>
  <c r="R414" i="2"/>
  <c r="Q414" i="2"/>
  <c r="O414" i="2"/>
  <c r="M414" i="2"/>
  <c r="L414" i="2"/>
  <c r="K414" i="2"/>
  <c r="I414" i="2"/>
  <c r="G414" i="2"/>
  <c r="F414" i="2"/>
  <c r="W413" i="2"/>
  <c r="V413" i="2"/>
  <c r="U413" i="2"/>
  <c r="T413" i="2"/>
  <c r="S413" i="2"/>
  <c r="R413" i="2"/>
  <c r="Q413" i="2"/>
  <c r="O413" i="2"/>
  <c r="M413" i="2"/>
  <c r="L413" i="2"/>
  <c r="K413" i="2"/>
  <c r="I413" i="2"/>
  <c r="G413" i="2"/>
  <c r="F413" i="2"/>
  <c r="W412" i="2"/>
  <c r="V412" i="2"/>
  <c r="U412" i="2"/>
  <c r="T412" i="2"/>
  <c r="S412" i="2"/>
  <c r="R412" i="2"/>
  <c r="Q412" i="2"/>
  <c r="O412" i="2"/>
  <c r="M412" i="2"/>
  <c r="L412" i="2"/>
  <c r="K412" i="2"/>
  <c r="I412" i="2"/>
  <c r="G412" i="2"/>
  <c r="F412" i="2"/>
  <c r="W411" i="2"/>
  <c r="V411" i="2"/>
  <c r="U411" i="2"/>
  <c r="T411" i="2"/>
  <c r="S411" i="2"/>
  <c r="R411" i="2"/>
  <c r="Q411" i="2"/>
  <c r="O411" i="2"/>
  <c r="M411" i="2"/>
  <c r="L411" i="2"/>
  <c r="K411" i="2"/>
  <c r="I411" i="2"/>
  <c r="G411" i="2"/>
  <c r="F411" i="2"/>
  <c r="W410" i="2"/>
  <c r="V410" i="2"/>
  <c r="U410" i="2"/>
  <c r="T410" i="2"/>
  <c r="S410" i="2"/>
  <c r="R410" i="2"/>
  <c r="Q410" i="2"/>
  <c r="O410" i="2"/>
  <c r="M410" i="2"/>
  <c r="L410" i="2"/>
  <c r="K410" i="2"/>
  <c r="I410" i="2"/>
  <c r="G410" i="2"/>
  <c r="F410" i="2"/>
  <c r="W409" i="2"/>
  <c r="V409" i="2"/>
  <c r="U409" i="2"/>
  <c r="T409" i="2"/>
  <c r="S409" i="2"/>
  <c r="R409" i="2"/>
  <c r="Q409" i="2"/>
  <c r="O409" i="2"/>
  <c r="M409" i="2"/>
  <c r="L409" i="2"/>
  <c r="K409" i="2"/>
  <c r="I409" i="2"/>
  <c r="G409" i="2"/>
  <c r="F409" i="2"/>
  <c r="W408" i="2"/>
  <c r="V408" i="2"/>
  <c r="U408" i="2"/>
  <c r="T408" i="2"/>
  <c r="S408" i="2"/>
  <c r="R408" i="2"/>
  <c r="Q408" i="2"/>
  <c r="O408" i="2"/>
  <c r="M408" i="2"/>
  <c r="L408" i="2"/>
  <c r="K408" i="2"/>
  <c r="I408" i="2"/>
  <c r="G408" i="2"/>
  <c r="F408" i="2"/>
  <c r="W407" i="2"/>
  <c r="V407" i="2"/>
  <c r="U407" i="2"/>
  <c r="T407" i="2"/>
  <c r="S407" i="2"/>
  <c r="R407" i="2"/>
  <c r="Q407" i="2"/>
  <c r="O407" i="2"/>
  <c r="M407" i="2"/>
  <c r="L407" i="2"/>
  <c r="K407" i="2"/>
  <c r="I407" i="2"/>
  <c r="G407" i="2"/>
  <c r="F407" i="2"/>
  <c r="W406" i="2"/>
  <c r="V406" i="2"/>
  <c r="U406" i="2"/>
  <c r="T406" i="2"/>
  <c r="S406" i="2"/>
  <c r="R406" i="2"/>
  <c r="Q406" i="2"/>
  <c r="O406" i="2"/>
  <c r="M406" i="2"/>
  <c r="L406" i="2"/>
  <c r="K406" i="2"/>
  <c r="I406" i="2"/>
  <c r="G406" i="2"/>
  <c r="F406" i="2"/>
  <c r="W405" i="2"/>
  <c r="V405" i="2"/>
  <c r="U405" i="2"/>
  <c r="T405" i="2"/>
  <c r="S405" i="2"/>
  <c r="R405" i="2"/>
  <c r="Q405" i="2"/>
  <c r="O405" i="2"/>
  <c r="M405" i="2"/>
  <c r="L405" i="2"/>
  <c r="K405" i="2"/>
  <c r="I405" i="2"/>
  <c r="G405" i="2"/>
  <c r="F405" i="2"/>
  <c r="W404" i="2"/>
  <c r="V404" i="2"/>
  <c r="U404" i="2"/>
  <c r="T404" i="2"/>
  <c r="S404" i="2"/>
  <c r="R404" i="2"/>
  <c r="Q404" i="2"/>
  <c r="O404" i="2"/>
  <c r="M404" i="2"/>
  <c r="L404" i="2"/>
  <c r="K404" i="2"/>
  <c r="I404" i="2"/>
  <c r="G404" i="2"/>
  <c r="F404" i="2"/>
  <c r="W403" i="2"/>
  <c r="V403" i="2"/>
  <c r="U403" i="2"/>
  <c r="T403" i="2"/>
  <c r="S403" i="2"/>
  <c r="R403" i="2"/>
  <c r="Q403" i="2"/>
  <c r="O403" i="2"/>
  <c r="M403" i="2"/>
  <c r="L403" i="2"/>
  <c r="K403" i="2"/>
  <c r="I403" i="2"/>
  <c r="G403" i="2"/>
  <c r="F403" i="2"/>
  <c r="W402" i="2"/>
  <c r="V402" i="2"/>
  <c r="U402" i="2"/>
  <c r="T402" i="2"/>
  <c r="S402" i="2"/>
  <c r="R402" i="2"/>
  <c r="Q402" i="2"/>
  <c r="O402" i="2"/>
  <c r="M402" i="2"/>
  <c r="L402" i="2"/>
  <c r="K402" i="2"/>
  <c r="I402" i="2"/>
  <c r="G402" i="2"/>
  <c r="F402" i="2"/>
  <c r="W401" i="2"/>
  <c r="V401" i="2"/>
  <c r="U401" i="2"/>
  <c r="T401" i="2"/>
  <c r="S401" i="2"/>
  <c r="R401" i="2"/>
  <c r="Q401" i="2"/>
  <c r="O401" i="2"/>
  <c r="M401" i="2"/>
  <c r="L401" i="2"/>
  <c r="K401" i="2"/>
  <c r="I401" i="2"/>
  <c r="G401" i="2"/>
  <c r="F401" i="2"/>
  <c r="W400" i="2"/>
  <c r="V400" i="2"/>
  <c r="U400" i="2"/>
  <c r="T400" i="2"/>
  <c r="S400" i="2"/>
  <c r="R400" i="2"/>
  <c r="Q400" i="2"/>
  <c r="O400" i="2"/>
  <c r="M400" i="2"/>
  <c r="L400" i="2"/>
  <c r="K400" i="2"/>
  <c r="I400" i="2"/>
  <c r="G400" i="2"/>
  <c r="F400" i="2"/>
  <c r="W399" i="2"/>
  <c r="V399" i="2"/>
  <c r="U399" i="2"/>
  <c r="T399" i="2"/>
  <c r="S399" i="2"/>
  <c r="R399" i="2"/>
  <c r="Q399" i="2"/>
  <c r="O399" i="2"/>
  <c r="M399" i="2"/>
  <c r="L399" i="2"/>
  <c r="K399" i="2"/>
  <c r="I399" i="2"/>
  <c r="G399" i="2"/>
  <c r="F399" i="2"/>
  <c r="W398" i="2"/>
  <c r="V398" i="2"/>
  <c r="U398" i="2"/>
  <c r="T398" i="2"/>
  <c r="S398" i="2"/>
  <c r="R398" i="2"/>
  <c r="Q398" i="2"/>
  <c r="O398" i="2"/>
  <c r="M398" i="2"/>
  <c r="L398" i="2"/>
  <c r="K398" i="2"/>
  <c r="I398" i="2"/>
  <c r="G398" i="2"/>
  <c r="F398" i="2"/>
  <c r="W397" i="2"/>
  <c r="V397" i="2"/>
  <c r="U397" i="2"/>
  <c r="T397" i="2"/>
  <c r="S397" i="2"/>
  <c r="R397" i="2"/>
  <c r="Q397" i="2"/>
  <c r="O397" i="2"/>
  <c r="M397" i="2"/>
  <c r="L397" i="2"/>
  <c r="K397" i="2"/>
  <c r="I397" i="2"/>
  <c r="G397" i="2"/>
  <c r="F397" i="2"/>
  <c r="W396" i="2"/>
  <c r="V396" i="2"/>
  <c r="U396" i="2"/>
  <c r="T396" i="2"/>
  <c r="S396" i="2"/>
  <c r="R396" i="2"/>
  <c r="Q396" i="2"/>
  <c r="O396" i="2"/>
  <c r="M396" i="2"/>
  <c r="L396" i="2"/>
  <c r="K396" i="2"/>
  <c r="I396" i="2"/>
  <c r="G396" i="2"/>
  <c r="F396" i="2"/>
  <c r="W395" i="2"/>
  <c r="V395" i="2"/>
  <c r="U395" i="2"/>
  <c r="T395" i="2"/>
  <c r="S395" i="2"/>
  <c r="R395" i="2"/>
  <c r="Q395" i="2"/>
  <c r="O395" i="2"/>
  <c r="M395" i="2"/>
  <c r="L395" i="2"/>
  <c r="K395" i="2"/>
  <c r="I395" i="2"/>
  <c r="G395" i="2"/>
  <c r="F395" i="2"/>
  <c r="W394" i="2"/>
  <c r="V394" i="2"/>
  <c r="U394" i="2"/>
  <c r="T394" i="2"/>
  <c r="S394" i="2"/>
  <c r="R394" i="2"/>
  <c r="Q394" i="2"/>
  <c r="O394" i="2"/>
  <c r="M394" i="2"/>
  <c r="L394" i="2"/>
  <c r="K394" i="2"/>
  <c r="I394" i="2"/>
  <c r="G394" i="2"/>
  <c r="F394" i="2"/>
  <c r="W393" i="2"/>
  <c r="V393" i="2"/>
  <c r="U393" i="2"/>
  <c r="T393" i="2"/>
  <c r="S393" i="2"/>
  <c r="R393" i="2"/>
  <c r="Q393" i="2"/>
  <c r="O393" i="2"/>
  <c r="M393" i="2"/>
  <c r="L393" i="2"/>
  <c r="K393" i="2"/>
  <c r="I393" i="2"/>
  <c r="G393" i="2"/>
  <c r="F393" i="2"/>
  <c r="W392" i="2"/>
  <c r="V392" i="2"/>
  <c r="U392" i="2"/>
  <c r="T392" i="2"/>
  <c r="S392" i="2"/>
  <c r="R392" i="2"/>
  <c r="Q392" i="2"/>
  <c r="O392" i="2"/>
  <c r="M392" i="2"/>
  <c r="L392" i="2"/>
  <c r="K392" i="2"/>
  <c r="I392" i="2"/>
  <c r="G392" i="2"/>
  <c r="F392" i="2"/>
  <c r="W391" i="2"/>
  <c r="V391" i="2"/>
  <c r="U391" i="2"/>
  <c r="T391" i="2"/>
  <c r="S391" i="2"/>
  <c r="R391" i="2"/>
  <c r="Q391" i="2"/>
  <c r="O391" i="2"/>
  <c r="M391" i="2"/>
  <c r="L391" i="2"/>
  <c r="K391" i="2"/>
  <c r="I391" i="2"/>
  <c r="G391" i="2"/>
  <c r="F391" i="2"/>
  <c r="W390" i="2"/>
  <c r="V390" i="2"/>
  <c r="U390" i="2"/>
  <c r="T390" i="2"/>
  <c r="S390" i="2"/>
  <c r="R390" i="2"/>
  <c r="Q390" i="2"/>
  <c r="O390" i="2"/>
  <c r="M390" i="2"/>
  <c r="L390" i="2"/>
  <c r="K390" i="2"/>
  <c r="I390" i="2"/>
  <c r="G390" i="2"/>
  <c r="F390" i="2"/>
  <c r="W389" i="2"/>
  <c r="V389" i="2"/>
  <c r="U389" i="2"/>
  <c r="T389" i="2"/>
  <c r="S389" i="2"/>
  <c r="R389" i="2"/>
  <c r="Q389" i="2"/>
  <c r="O389" i="2"/>
  <c r="M389" i="2"/>
  <c r="L389" i="2"/>
  <c r="K389" i="2"/>
  <c r="I389" i="2"/>
  <c r="G389" i="2"/>
  <c r="F389" i="2"/>
  <c r="W388" i="2"/>
  <c r="V388" i="2"/>
  <c r="U388" i="2"/>
  <c r="T388" i="2"/>
  <c r="S388" i="2"/>
  <c r="R388" i="2"/>
  <c r="Q388" i="2"/>
  <c r="O388" i="2"/>
  <c r="M388" i="2"/>
  <c r="L388" i="2"/>
  <c r="K388" i="2"/>
  <c r="I388" i="2"/>
  <c r="G388" i="2"/>
  <c r="F388" i="2"/>
  <c r="W387" i="2"/>
  <c r="V387" i="2"/>
  <c r="U387" i="2"/>
  <c r="T387" i="2"/>
  <c r="S387" i="2"/>
  <c r="R387" i="2"/>
  <c r="Q387" i="2"/>
  <c r="O387" i="2"/>
  <c r="M387" i="2"/>
  <c r="L387" i="2"/>
  <c r="K387" i="2"/>
  <c r="I387" i="2"/>
  <c r="G387" i="2"/>
  <c r="F387" i="2"/>
  <c r="W386" i="2"/>
  <c r="V386" i="2"/>
  <c r="U386" i="2"/>
  <c r="T386" i="2"/>
  <c r="S386" i="2"/>
  <c r="R386" i="2"/>
  <c r="Q386" i="2"/>
  <c r="O386" i="2"/>
  <c r="M386" i="2"/>
  <c r="L386" i="2"/>
  <c r="K386" i="2"/>
  <c r="I386" i="2"/>
  <c r="G386" i="2"/>
  <c r="F386" i="2"/>
  <c r="W385" i="2"/>
  <c r="V385" i="2"/>
  <c r="U385" i="2"/>
  <c r="T385" i="2"/>
  <c r="S385" i="2"/>
  <c r="R385" i="2"/>
  <c r="Q385" i="2"/>
  <c r="O385" i="2"/>
  <c r="M385" i="2"/>
  <c r="L385" i="2"/>
  <c r="K385" i="2"/>
  <c r="I385" i="2"/>
  <c r="G385" i="2"/>
  <c r="F385" i="2"/>
  <c r="W384" i="2"/>
  <c r="V384" i="2"/>
  <c r="U384" i="2"/>
  <c r="T384" i="2"/>
  <c r="S384" i="2"/>
  <c r="R384" i="2"/>
  <c r="Q384" i="2"/>
  <c r="O384" i="2"/>
  <c r="M384" i="2"/>
  <c r="L384" i="2"/>
  <c r="K384" i="2"/>
  <c r="I384" i="2"/>
  <c r="G384" i="2"/>
  <c r="F384" i="2"/>
  <c r="W383" i="2"/>
  <c r="V383" i="2"/>
  <c r="U383" i="2"/>
  <c r="T383" i="2"/>
  <c r="S383" i="2"/>
  <c r="R383" i="2"/>
  <c r="Q383" i="2"/>
  <c r="O383" i="2"/>
  <c r="M383" i="2"/>
  <c r="L383" i="2"/>
  <c r="K383" i="2"/>
  <c r="I383" i="2"/>
  <c r="G383" i="2"/>
  <c r="F383" i="2"/>
  <c r="W382" i="2"/>
  <c r="V382" i="2"/>
  <c r="U382" i="2"/>
  <c r="T382" i="2"/>
  <c r="S382" i="2"/>
  <c r="R382" i="2"/>
  <c r="Q382" i="2"/>
  <c r="O382" i="2"/>
  <c r="M382" i="2"/>
  <c r="L382" i="2"/>
  <c r="K382" i="2"/>
  <c r="I382" i="2"/>
  <c r="G382" i="2"/>
  <c r="F382" i="2"/>
  <c r="W381" i="2"/>
  <c r="V381" i="2"/>
  <c r="U381" i="2"/>
  <c r="T381" i="2"/>
  <c r="S381" i="2"/>
  <c r="R381" i="2"/>
  <c r="Q381" i="2"/>
  <c r="O381" i="2"/>
  <c r="M381" i="2"/>
  <c r="L381" i="2"/>
  <c r="K381" i="2"/>
  <c r="I381" i="2"/>
  <c r="G381" i="2"/>
  <c r="F381" i="2"/>
  <c r="W380" i="2"/>
  <c r="V380" i="2"/>
  <c r="U380" i="2"/>
  <c r="T380" i="2"/>
  <c r="S380" i="2"/>
  <c r="R380" i="2"/>
  <c r="Q380" i="2"/>
  <c r="O380" i="2"/>
  <c r="M380" i="2"/>
  <c r="L380" i="2"/>
  <c r="K380" i="2"/>
  <c r="I380" i="2"/>
  <c r="G380" i="2"/>
  <c r="F380" i="2"/>
  <c r="W379" i="2"/>
  <c r="V379" i="2"/>
  <c r="U379" i="2"/>
  <c r="T379" i="2"/>
  <c r="S379" i="2"/>
  <c r="R379" i="2"/>
  <c r="Q379" i="2"/>
  <c r="O379" i="2"/>
  <c r="M379" i="2"/>
  <c r="L379" i="2"/>
  <c r="K379" i="2"/>
  <c r="I379" i="2"/>
  <c r="G379" i="2"/>
  <c r="F379" i="2"/>
  <c r="W378" i="2"/>
  <c r="V378" i="2"/>
  <c r="U378" i="2"/>
  <c r="T378" i="2"/>
  <c r="S378" i="2"/>
  <c r="R378" i="2"/>
  <c r="Q378" i="2"/>
  <c r="O378" i="2"/>
  <c r="M378" i="2"/>
  <c r="L378" i="2"/>
  <c r="K378" i="2"/>
  <c r="I378" i="2"/>
  <c r="G378" i="2"/>
  <c r="F378" i="2"/>
  <c r="W377" i="2"/>
  <c r="V377" i="2"/>
  <c r="U377" i="2"/>
  <c r="T377" i="2"/>
  <c r="S377" i="2"/>
  <c r="R377" i="2"/>
  <c r="Q377" i="2"/>
  <c r="O377" i="2"/>
  <c r="M377" i="2"/>
  <c r="L377" i="2"/>
  <c r="K377" i="2"/>
  <c r="I377" i="2"/>
  <c r="G377" i="2"/>
  <c r="F377" i="2"/>
  <c r="W376" i="2"/>
  <c r="V376" i="2"/>
  <c r="U376" i="2"/>
  <c r="T376" i="2"/>
  <c r="S376" i="2"/>
  <c r="R376" i="2"/>
  <c r="Q376" i="2"/>
  <c r="O376" i="2"/>
  <c r="M376" i="2"/>
  <c r="L376" i="2"/>
  <c r="K376" i="2"/>
  <c r="I376" i="2"/>
  <c r="G376" i="2"/>
  <c r="F376" i="2"/>
  <c r="W375" i="2"/>
  <c r="V375" i="2"/>
  <c r="U375" i="2"/>
  <c r="T375" i="2"/>
  <c r="S375" i="2"/>
  <c r="R375" i="2"/>
  <c r="Q375" i="2"/>
  <c r="O375" i="2"/>
  <c r="M375" i="2"/>
  <c r="L375" i="2"/>
  <c r="K375" i="2"/>
  <c r="I375" i="2"/>
  <c r="G375" i="2"/>
  <c r="F375" i="2"/>
  <c r="W374" i="2"/>
  <c r="V374" i="2"/>
  <c r="U374" i="2"/>
  <c r="T374" i="2"/>
  <c r="S374" i="2"/>
  <c r="R374" i="2"/>
  <c r="Q374" i="2"/>
  <c r="O374" i="2"/>
  <c r="M374" i="2"/>
  <c r="L374" i="2"/>
  <c r="K374" i="2"/>
  <c r="I374" i="2"/>
  <c r="G374" i="2"/>
  <c r="F374" i="2"/>
  <c r="W373" i="2"/>
  <c r="V373" i="2"/>
  <c r="U373" i="2"/>
  <c r="T373" i="2"/>
  <c r="S373" i="2"/>
  <c r="R373" i="2"/>
  <c r="Q373" i="2"/>
  <c r="O373" i="2"/>
  <c r="M373" i="2"/>
  <c r="L373" i="2"/>
  <c r="K373" i="2"/>
  <c r="I373" i="2"/>
  <c r="G373" i="2"/>
  <c r="F373" i="2"/>
  <c r="W372" i="2"/>
  <c r="V372" i="2"/>
  <c r="U372" i="2"/>
  <c r="T372" i="2"/>
  <c r="S372" i="2"/>
  <c r="R372" i="2"/>
  <c r="Q372" i="2"/>
  <c r="O372" i="2"/>
  <c r="M372" i="2"/>
  <c r="L372" i="2"/>
  <c r="K372" i="2"/>
  <c r="I372" i="2"/>
  <c r="G372" i="2"/>
  <c r="F372" i="2"/>
  <c r="W371" i="2"/>
  <c r="V371" i="2"/>
  <c r="U371" i="2"/>
  <c r="T371" i="2"/>
  <c r="S371" i="2"/>
  <c r="R371" i="2"/>
  <c r="Q371" i="2"/>
  <c r="O371" i="2"/>
  <c r="M371" i="2"/>
  <c r="L371" i="2"/>
  <c r="K371" i="2"/>
  <c r="I371" i="2"/>
  <c r="G371" i="2"/>
  <c r="F371" i="2"/>
  <c r="W370" i="2"/>
  <c r="V370" i="2"/>
  <c r="U370" i="2"/>
  <c r="T370" i="2"/>
  <c r="S370" i="2"/>
  <c r="R370" i="2"/>
  <c r="Q370" i="2"/>
  <c r="O370" i="2"/>
  <c r="M370" i="2"/>
  <c r="L370" i="2"/>
  <c r="K370" i="2"/>
  <c r="I370" i="2"/>
  <c r="G370" i="2"/>
  <c r="F370" i="2"/>
  <c r="W369" i="2"/>
  <c r="V369" i="2"/>
  <c r="U369" i="2"/>
  <c r="T369" i="2"/>
  <c r="S369" i="2"/>
  <c r="R369" i="2"/>
  <c r="Q369" i="2"/>
  <c r="O369" i="2"/>
  <c r="M369" i="2"/>
  <c r="L369" i="2"/>
  <c r="K369" i="2"/>
  <c r="I369" i="2"/>
  <c r="G369" i="2"/>
  <c r="F369" i="2"/>
  <c r="W368" i="2"/>
  <c r="V368" i="2"/>
  <c r="U368" i="2"/>
  <c r="T368" i="2"/>
  <c r="S368" i="2"/>
  <c r="R368" i="2"/>
  <c r="Q368" i="2"/>
  <c r="O368" i="2"/>
  <c r="M368" i="2"/>
  <c r="L368" i="2"/>
  <c r="K368" i="2"/>
  <c r="I368" i="2"/>
  <c r="G368" i="2"/>
  <c r="F368" i="2"/>
  <c r="W367" i="2"/>
  <c r="V367" i="2"/>
  <c r="U367" i="2"/>
  <c r="T367" i="2"/>
  <c r="S367" i="2"/>
  <c r="R367" i="2"/>
  <c r="Q367" i="2"/>
  <c r="O367" i="2"/>
  <c r="M367" i="2"/>
  <c r="L367" i="2"/>
  <c r="K367" i="2"/>
  <c r="I367" i="2"/>
  <c r="G367" i="2"/>
  <c r="F367" i="2"/>
  <c r="W366" i="2"/>
  <c r="V366" i="2"/>
  <c r="U366" i="2"/>
  <c r="T366" i="2"/>
  <c r="S366" i="2"/>
  <c r="R366" i="2"/>
  <c r="Q366" i="2"/>
  <c r="O366" i="2"/>
  <c r="M366" i="2"/>
  <c r="L366" i="2"/>
  <c r="K366" i="2"/>
  <c r="I366" i="2"/>
  <c r="G366" i="2"/>
  <c r="F366" i="2"/>
  <c r="W365" i="2"/>
  <c r="V365" i="2"/>
  <c r="U365" i="2"/>
  <c r="T365" i="2"/>
  <c r="S365" i="2"/>
  <c r="R365" i="2"/>
  <c r="Q365" i="2"/>
  <c r="O365" i="2"/>
  <c r="M365" i="2"/>
  <c r="L365" i="2"/>
  <c r="K365" i="2"/>
  <c r="I365" i="2"/>
  <c r="G365" i="2"/>
  <c r="F365" i="2"/>
  <c r="W364" i="2"/>
  <c r="V364" i="2"/>
  <c r="U364" i="2"/>
  <c r="T364" i="2"/>
  <c r="S364" i="2"/>
  <c r="R364" i="2"/>
  <c r="Q364" i="2"/>
  <c r="O364" i="2"/>
  <c r="M364" i="2"/>
  <c r="L364" i="2"/>
  <c r="K364" i="2"/>
  <c r="I364" i="2"/>
  <c r="G364" i="2"/>
  <c r="F364" i="2"/>
  <c r="W363" i="2"/>
  <c r="V363" i="2"/>
  <c r="U363" i="2"/>
  <c r="T363" i="2"/>
  <c r="S363" i="2"/>
  <c r="R363" i="2"/>
  <c r="Q363" i="2"/>
  <c r="O363" i="2"/>
  <c r="M363" i="2"/>
  <c r="L363" i="2"/>
  <c r="K363" i="2"/>
  <c r="I363" i="2"/>
  <c r="G363" i="2"/>
  <c r="F363" i="2"/>
  <c r="W362" i="2"/>
  <c r="V362" i="2"/>
  <c r="U362" i="2"/>
  <c r="T362" i="2"/>
  <c r="S362" i="2"/>
  <c r="R362" i="2"/>
  <c r="Q362" i="2"/>
  <c r="O362" i="2"/>
  <c r="M362" i="2"/>
  <c r="L362" i="2"/>
  <c r="K362" i="2"/>
  <c r="I362" i="2"/>
  <c r="G362" i="2"/>
  <c r="F362" i="2"/>
  <c r="W361" i="2"/>
  <c r="V361" i="2"/>
  <c r="U361" i="2"/>
  <c r="T361" i="2"/>
  <c r="S361" i="2"/>
  <c r="R361" i="2"/>
  <c r="Q361" i="2"/>
  <c r="O361" i="2"/>
  <c r="M361" i="2"/>
  <c r="L361" i="2"/>
  <c r="K361" i="2"/>
  <c r="I361" i="2"/>
  <c r="G361" i="2"/>
  <c r="F361" i="2"/>
  <c r="W360" i="2"/>
  <c r="V360" i="2"/>
  <c r="U360" i="2"/>
  <c r="T360" i="2"/>
  <c r="S360" i="2"/>
  <c r="R360" i="2"/>
  <c r="Q360" i="2"/>
  <c r="O360" i="2"/>
  <c r="M360" i="2"/>
  <c r="L360" i="2"/>
  <c r="K360" i="2"/>
  <c r="I360" i="2"/>
  <c r="G360" i="2"/>
  <c r="F360" i="2"/>
  <c r="W359" i="2"/>
  <c r="V359" i="2"/>
  <c r="U359" i="2"/>
  <c r="T359" i="2"/>
  <c r="S359" i="2"/>
  <c r="R359" i="2"/>
  <c r="Q359" i="2"/>
  <c r="O359" i="2"/>
  <c r="M359" i="2"/>
  <c r="L359" i="2"/>
  <c r="K359" i="2"/>
  <c r="I359" i="2"/>
  <c r="G359" i="2"/>
  <c r="F359" i="2"/>
  <c r="W358" i="2"/>
  <c r="V358" i="2"/>
  <c r="U358" i="2"/>
  <c r="T358" i="2"/>
  <c r="S358" i="2"/>
  <c r="R358" i="2"/>
  <c r="Q358" i="2"/>
  <c r="O358" i="2"/>
  <c r="M358" i="2"/>
  <c r="L358" i="2"/>
  <c r="K358" i="2"/>
  <c r="I358" i="2"/>
  <c r="G358" i="2"/>
  <c r="F358" i="2"/>
  <c r="W357" i="2"/>
  <c r="V357" i="2"/>
  <c r="U357" i="2"/>
  <c r="T357" i="2"/>
  <c r="S357" i="2"/>
  <c r="R357" i="2"/>
  <c r="Q357" i="2"/>
  <c r="O357" i="2"/>
  <c r="M357" i="2"/>
  <c r="L357" i="2"/>
  <c r="K357" i="2"/>
  <c r="I357" i="2"/>
  <c r="G357" i="2"/>
  <c r="F357" i="2"/>
  <c r="W356" i="2"/>
  <c r="V356" i="2"/>
  <c r="U356" i="2"/>
  <c r="T356" i="2"/>
  <c r="S356" i="2"/>
  <c r="R356" i="2"/>
  <c r="Q356" i="2"/>
  <c r="O356" i="2"/>
  <c r="M356" i="2"/>
  <c r="L356" i="2"/>
  <c r="K356" i="2"/>
  <c r="I356" i="2"/>
  <c r="G356" i="2"/>
  <c r="F356" i="2"/>
  <c r="W355" i="2"/>
  <c r="V355" i="2"/>
  <c r="U355" i="2"/>
  <c r="T355" i="2"/>
  <c r="S355" i="2"/>
  <c r="R355" i="2"/>
  <c r="Q355" i="2"/>
  <c r="O355" i="2"/>
  <c r="M355" i="2"/>
  <c r="L355" i="2"/>
  <c r="K355" i="2"/>
  <c r="I355" i="2"/>
  <c r="G355" i="2"/>
  <c r="F355" i="2"/>
  <c r="W354" i="2"/>
  <c r="V354" i="2"/>
  <c r="U354" i="2"/>
  <c r="T354" i="2"/>
  <c r="S354" i="2"/>
  <c r="R354" i="2"/>
  <c r="Q354" i="2"/>
  <c r="O354" i="2"/>
  <c r="M354" i="2"/>
  <c r="L354" i="2"/>
  <c r="K354" i="2"/>
  <c r="I354" i="2"/>
  <c r="G354" i="2"/>
  <c r="F354" i="2"/>
  <c r="W353" i="2"/>
  <c r="V353" i="2"/>
  <c r="U353" i="2"/>
  <c r="T353" i="2"/>
  <c r="S353" i="2"/>
  <c r="R353" i="2"/>
  <c r="Q353" i="2"/>
  <c r="O353" i="2"/>
  <c r="M353" i="2"/>
  <c r="L353" i="2"/>
  <c r="K353" i="2"/>
  <c r="I353" i="2"/>
  <c r="G353" i="2"/>
  <c r="F353" i="2"/>
  <c r="W352" i="2"/>
  <c r="V352" i="2"/>
  <c r="U352" i="2"/>
  <c r="T352" i="2"/>
  <c r="S352" i="2"/>
  <c r="R352" i="2"/>
  <c r="Q352" i="2"/>
  <c r="O352" i="2"/>
  <c r="M352" i="2"/>
  <c r="L352" i="2"/>
  <c r="K352" i="2"/>
  <c r="I352" i="2"/>
  <c r="G352" i="2"/>
  <c r="F352" i="2"/>
  <c r="W351" i="2"/>
  <c r="V351" i="2"/>
  <c r="U351" i="2"/>
  <c r="T351" i="2"/>
  <c r="S351" i="2"/>
  <c r="R351" i="2"/>
  <c r="Q351" i="2"/>
  <c r="O351" i="2"/>
  <c r="M351" i="2"/>
  <c r="L351" i="2"/>
  <c r="K351" i="2"/>
  <c r="I351" i="2"/>
  <c r="G351" i="2"/>
  <c r="F351" i="2"/>
  <c r="W350" i="2"/>
  <c r="V350" i="2"/>
  <c r="U350" i="2"/>
  <c r="T350" i="2"/>
  <c r="S350" i="2"/>
  <c r="R350" i="2"/>
  <c r="Q350" i="2"/>
  <c r="O350" i="2"/>
  <c r="M350" i="2"/>
  <c r="L350" i="2"/>
  <c r="K350" i="2"/>
  <c r="I350" i="2"/>
  <c r="G350" i="2"/>
  <c r="F350" i="2"/>
  <c r="W349" i="2"/>
  <c r="V349" i="2"/>
  <c r="U349" i="2"/>
  <c r="T349" i="2"/>
  <c r="S349" i="2"/>
  <c r="R349" i="2"/>
  <c r="Q349" i="2"/>
  <c r="O349" i="2"/>
  <c r="M349" i="2"/>
  <c r="L349" i="2"/>
  <c r="K349" i="2"/>
  <c r="I349" i="2"/>
  <c r="G349" i="2"/>
  <c r="F349" i="2"/>
  <c r="W348" i="2"/>
  <c r="V348" i="2"/>
  <c r="U348" i="2"/>
  <c r="T348" i="2"/>
  <c r="S348" i="2"/>
  <c r="R348" i="2"/>
  <c r="Q348" i="2"/>
  <c r="O348" i="2"/>
  <c r="M348" i="2"/>
  <c r="L348" i="2"/>
  <c r="K348" i="2"/>
  <c r="I348" i="2"/>
  <c r="G348" i="2"/>
  <c r="F348" i="2"/>
  <c r="W347" i="2"/>
  <c r="V347" i="2"/>
  <c r="U347" i="2"/>
  <c r="T347" i="2"/>
  <c r="S347" i="2"/>
  <c r="R347" i="2"/>
  <c r="Q347" i="2"/>
  <c r="O347" i="2"/>
  <c r="M347" i="2"/>
  <c r="L347" i="2"/>
  <c r="K347" i="2"/>
  <c r="I347" i="2"/>
  <c r="G347" i="2"/>
  <c r="F347" i="2"/>
  <c r="W346" i="2"/>
  <c r="V346" i="2"/>
  <c r="U346" i="2"/>
  <c r="T346" i="2"/>
  <c r="S346" i="2"/>
  <c r="R346" i="2"/>
  <c r="Q346" i="2"/>
  <c r="O346" i="2"/>
  <c r="M346" i="2"/>
  <c r="L346" i="2"/>
  <c r="K346" i="2"/>
  <c r="I346" i="2"/>
  <c r="G346" i="2"/>
  <c r="F346" i="2"/>
  <c r="W345" i="2"/>
  <c r="V345" i="2"/>
  <c r="U345" i="2"/>
  <c r="T345" i="2"/>
  <c r="S345" i="2"/>
  <c r="R345" i="2"/>
  <c r="Q345" i="2"/>
  <c r="O345" i="2"/>
  <c r="M345" i="2"/>
  <c r="L345" i="2"/>
  <c r="K345" i="2"/>
  <c r="I345" i="2"/>
  <c r="G345" i="2"/>
  <c r="F345" i="2"/>
  <c r="W344" i="2"/>
  <c r="V344" i="2"/>
  <c r="U344" i="2"/>
  <c r="T344" i="2"/>
  <c r="S344" i="2"/>
  <c r="R344" i="2"/>
  <c r="Q344" i="2"/>
  <c r="O344" i="2"/>
  <c r="M344" i="2"/>
  <c r="L344" i="2"/>
  <c r="K344" i="2"/>
  <c r="I344" i="2"/>
  <c r="G344" i="2"/>
  <c r="F344" i="2"/>
  <c r="W343" i="2"/>
  <c r="V343" i="2"/>
  <c r="U343" i="2"/>
  <c r="T343" i="2"/>
  <c r="S343" i="2"/>
  <c r="R343" i="2"/>
  <c r="Q343" i="2"/>
  <c r="O343" i="2"/>
  <c r="M343" i="2"/>
  <c r="L343" i="2"/>
  <c r="K343" i="2"/>
  <c r="I343" i="2"/>
  <c r="G343" i="2"/>
  <c r="F343" i="2"/>
  <c r="W342" i="2"/>
  <c r="V342" i="2"/>
  <c r="U342" i="2"/>
  <c r="T342" i="2"/>
  <c r="S342" i="2"/>
  <c r="R342" i="2"/>
  <c r="Q342" i="2"/>
  <c r="O342" i="2"/>
  <c r="M342" i="2"/>
  <c r="L342" i="2"/>
  <c r="K342" i="2"/>
  <c r="I342" i="2"/>
  <c r="G342" i="2"/>
  <c r="F342" i="2"/>
  <c r="W341" i="2"/>
  <c r="V341" i="2"/>
  <c r="U341" i="2"/>
  <c r="T341" i="2"/>
  <c r="S341" i="2"/>
  <c r="R341" i="2"/>
  <c r="Q341" i="2"/>
  <c r="O341" i="2"/>
  <c r="M341" i="2"/>
  <c r="L341" i="2"/>
  <c r="K341" i="2"/>
  <c r="I341" i="2"/>
  <c r="G341" i="2"/>
  <c r="F341" i="2"/>
  <c r="W340" i="2"/>
  <c r="V340" i="2"/>
  <c r="U340" i="2"/>
  <c r="T340" i="2"/>
  <c r="S340" i="2"/>
  <c r="R340" i="2"/>
  <c r="Q340" i="2"/>
  <c r="O340" i="2"/>
  <c r="M340" i="2"/>
  <c r="L340" i="2"/>
  <c r="K340" i="2"/>
  <c r="I340" i="2"/>
  <c r="G340" i="2"/>
  <c r="F340" i="2"/>
  <c r="W339" i="2"/>
  <c r="V339" i="2"/>
  <c r="U339" i="2"/>
  <c r="T339" i="2"/>
  <c r="S339" i="2"/>
  <c r="R339" i="2"/>
  <c r="Q339" i="2"/>
  <c r="O339" i="2"/>
  <c r="M339" i="2"/>
  <c r="L339" i="2"/>
  <c r="K339" i="2"/>
  <c r="I339" i="2"/>
  <c r="G339" i="2"/>
  <c r="F339" i="2"/>
  <c r="W338" i="2"/>
  <c r="V338" i="2"/>
  <c r="U338" i="2"/>
  <c r="T338" i="2"/>
  <c r="S338" i="2"/>
  <c r="R338" i="2"/>
  <c r="Q338" i="2"/>
  <c r="O338" i="2"/>
  <c r="M338" i="2"/>
  <c r="L338" i="2"/>
  <c r="K338" i="2"/>
  <c r="I338" i="2"/>
  <c r="G338" i="2"/>
  <c r="F338" i="2"/>
  <c r="W337" i="2"/>
  <c r="V337" i="2"/>
  <c r="U337" i="2"/>
  <c r="T337" i="2"/>
  <c r="S337" i="2"/>
  <c r="R337" i="2"/>
  <c r="Q337" i="2"/>
  <c r="O337" i="2"/>
  <c r="M337" i="2"/>
  <c r="L337" i="2"/>
  <c r="K337" i="2"/>
  <c r="I337" i="2"/>
  <c r="G337" i="2"/>
  <c r="F337" i="2"/>
  <c r="W336" i="2"/>
  <c r="V336" i="2"/>
  <c r="U336" i="2"/>
  <c r="T336" i="2"/>
  <c r="S336" i="2"/>
  <c r="R336" i="2"/>
  <c r="Q336" i="2"/>
  <c r="O336" i="2"/>
  <c r="M336" i="2"/>
  <c r="L336" i="2"/>
  <c r="K336" i="2"/>
  <c r="I336" i="2"/>
  <c r="G336" i="2"/>
  <c r="F336" i="2"/>
  <c r="W335" i="2"/>
  <c r="V335" i="2"/>
  <c r="U335" i="2"/>
  <c r="T335" i="2"/>
  <c r="S335" i="2"/>
  <c r="R335" i="2"/>
  <c r="Q335" i="2"/>
  <c r="O335" i="2"/>
  <c r="M335" i="2"/>
  <c r="L335" i="2"/>
  <c r="K335" i="2"/>
  <c r="I335" i="2"/>
  <c r="G335" i="2"/>
  <c r="F335" i="2"/>
  <c r="W334" i="2"/>
  <c r="V334" i="2"/>
  <c r="U334" i="2"/>
  <c r="T334" i="2"/>
  <c r="S334" i="2"/>
  <c r="R334" i="2"/>
  <c r="Q334" i="2"/>
  <c r="O334" i="2"/>
  <c r="M334" i="2"/>
  <c r="L334" i="2"/>
  <c r="K334" i="2"/>
  <c r="I334" i="2"/>
  <c r="G334" i="2"/>
  <c r="F334" i="2"/>
  <c r="W333" i="2"/>
  <c r="V333" i="2"/>
  <c r="U333" i="2"/>
  <c r="T333" i="2"/>
  <c r="S333" i="2"/>
  <c r="R333" i="2"/>
  <c r="Q333" i="2"/>
  <c r="O333" i="2"/>
  <c r="M333" i="2"/>
  <c r="L333" i="2"/>
  <c r="K333" i="2"/>
  <c r="I333" i="2"/>
  <c r="G333" i="2"/>
  <c r="F333" i="2"/>
  <c r="W332" i="2"/>
  <c r="V332" i="2"/>
  <c r="U332" i="2"/>
  <c r="T332" i="2"/>
  <c r="S332" i="2"/>
  <c r="R332" i="2"/>
  <c r="Q332" i="2"/>
  <c r="O332" i="2"/>
  <c r="M332" i="2"/>
  <c r="L332" i="2"/>
  <c r="K332" i="2"/>
  <c r="I332" i="2"/>
  <c r="G332" i="2"/>
  <c r="F332" i="2"/>
  <c r="W331" i="2"/>
  <c r="V331" i="2"/>
  <c r="U331" i="2"/>
  <c r="T331" i="2"/>
  <c r="S331" i="2"/>
  <c r="R331" i="2"/>
  <c r="Q331" i="2"/>
  <c r="O331" i="2"/>
  <c r="M331" i="2"/>
  <c r="L331" i="2"/>
  <c r="K331" i="2"/>
  <c r="I331" i="2"/>
  <c r="G331" i="2"/>
  <c r="F331" i="2"/>
  <c r="W330" i="2"/>
  <c r="V330" i="2"/>
  <c r="U330" i="2"/>
  <c r="T330" i="2"/>
  <c r="S330" i="2"/>
  <c r="R330" i="2"/>
  <c r="Q330" i="2"/>
  <c r="O330" i="2"/>
  <c r="M330" i="2"/>
  <c r="L330" i="2"/>
  <c r="K330" i="2"/>
  <c r="I330" i="2"/>
  <c r="G330" i="2"/>
  <c r="F330" i="2"/>
  <c r="W329" i="2"/>
  <c r="V329" i="2"/>
  <c r="U329" i="2"/>
  <c r="T329" i="2"/>
  <c r="S329" i="2"/>
  <c r="R329" i="2"/>
  <c r="Q329" i="2"/>
  <c r="O329" i="2"/>
  <c r="M329" i="2"/>
  <c r="L329" i="2"/>
  <c r="K329" i="2"/>
  <c r="I329" i="2"/>
  <c r="G329" i="2"/>
  <c r="F329" i="2"/>
  <c r="W328" i="2"/>
  <c r="V328" i="2"/>
  <c r="U328" i="2"/>
  <c r="T328" i="2"/>
  <c r="S328" i="2"/>
  <c r="R328" i="2"/>
  <c r="Q328" i="2"/>
  <c r="O328" i="2"/>
  <c r="M328" i="2"/>
  <c r="L328" i="2"/>
  <c r="K328" i="2"/>
  <c r="I328" i="2"/>
  <c r="G328" i="2"/>
  <c r="F328" i="2"/>
  <c r="W327" i="2"/>
  <c r="V327" i="2"/>
  <c r="U327" i="2"/>
  <c r="T327" i="2"/>
  <c r="S327" i="2"/>
  <c r="R327" i="2"/>
  <c r="Q327" i="2"/>
  <c r="O327" i="2"/>
  <c r="M327" i="2"/>
  <c r="L327" i="2"/>
  <c r="K327" i="2"/>
  <c r="I327" i="2"/>
  <c r="G327" i="2"/>
  <c r="F327" i="2"/>
  <c r="W326" i="2"/>
  <c r="V326" i="2"/>
  <c r="U326" i="2"/>
  <c r="T326" i="2"/>
  <c r="S326" i="2"/>
  <c r="R326" i="2"/>
  <c r="Q326" i="2"/>
  <c r="O326" i="2"/>
  <c r="M326" i="2"/>
  <c r="L326" i="2"/>
  <c r="K326" i="2"/>
  <c r="I326" i="2"/>
  <c r="G326" i="2"/>
  <c r="F326" i="2"/>
  <c r="W325" i="2"/>
  <c r="V325" i="2"/>
  <c r="U325" i="2"/>
  <c r="T325" i="2"/>
  <c r="S325" i="2"/>
  <c r="R325" i="2"/>
  <c r="Q325" i="2"/>
  <c r="O325" i="2"/>
  <c r="M325" i="2"/>
  <c r="L325" i="2"/>
  <c r="K325" i="2"/>
  <c r="I325" i="2"/>
  <c r="G325" i="2"/>
  <c r="F325" i="2"/>
  <c r="W324" i="2"/>
  <c r="V324" i="2"/>
  <c r="U324" i="2"/>
  <c r="T324" i="2"/>
  <c r="S324" i="2"/>
  <c r="R324" i="2"/>
  <c r="Q324" i="2"/>
  <c r="O324" i="2"/>
  <c r="M324" i="2"/>
  <c r="L324" i="2"/>
  <c r="K324" i="2"/>
  <c r="I324" i="2"/>
  <c r="G324" i="2"/>
  <c r="F324" i="2"/>
  <c r="W323" i="2"/>
  <c r="V323" i="2"/>
  <c r="U323" i="2"/>
  <c r="T323" i="2"/>
  <c r="S323" i="2"/>
  <c r="R323" i="2"/>
  <c r="Q323" i="2"/>
  <c r="O323" i="2"/>
  <c r="M323" i="2"/>
  <c r="L323" i="2"/>
  <c r="K323" i="2"/>
  <c r="I323" i="2"/>
  <c r="G323" i="2"/>
  <c r="F323" i="2"/>
  <c r="W322" i="2"/>
  <c r="V322" i="2"/>
  <c r="U322" i="2"/>
  <c r="T322" i="2"/>
  <c r="S322" i="2"/>
  <c r="R322" i="2"/>
  <c r="Q322" i="2"/>
  <c r="O322" i="2"/>
  <c r="M322" i="2"/>
  <c r="L322" i="2"/>
  <c r="K322" i="2"/>
  <c r="I322" i="2"/>
  <c r="G322" i="2"/>
  <c r="F322" i="2"/>
  <c r="W321" i="2"/>
  <c r="V321" i="2"/>
  <c r="U321" i="2"/>
  <c r="T321" i="2"/>
  <c r="S321" i="2"/>
  <c r="R321" i="2"/>
  <c r="Q321" i="2"/>
  <c r="O321" i="2"/>
  <c r="M321" i="2"/>
  <c r="L321" i="2"/>
  <c r="K321" i="2"/>
  <c r="I321" i="2"/>
  <c r="G321" i="2"/>
  <c r="F321" i="2"/>
  <c r="W320" i="2"/>
  <c r="V320" i="2"/>
  <c r="U320" i="2"/>
  <c r="T320" i="2"/>
  <c r="S320" i="2"/>
  <c r="R320" i="2"/>
  <c r="Q320" i="2"/>
  <c r="O320" i="2"/>
  <c r="M320" i="2"/>
  <c r="L320" i="2"/>
  <c r="K320" i="2"/>
  <c r="I320" i="2"/>
  <c r="G320" i="2"/>
  <c r="F320" i="2"/>
  <c r="W319" i="2"/>
  <c r="V319" i="2"/>
  <c r="U319" i="2"/>
  <c r="T319" i="2"/>
  <c r="S319" i="2"/>
  <c r="R319" i="2"/>
  <c r="Q319" i="2"/>
  <c r="O319" i="2"/>
  <c r="M319" i="2"/>
  <c r="L319" i="2"/>
  <c r="K319" i="2"/>
  <c r="I319" i="2"/>
  <c r="G319" i="2"/>
  <c r="F319" i="2"/>
  <c r="W318" i="2"/>
  <c r="V318" i="2"/>
  <c r="U318" i="2"/>
  <c r="T318" i="2"/>
  <c r="S318" i="2"/>
  <c r="R318" i="2"/>
  <c r="Q318" i="2"/>
  <c r="O318" i="2"/>
  <c r="M318" i="2"/>
  <c r="L318" i="2"/>
  <c r="K318" i="2"/>
  <c r="I318" i="2"/>
  <c r="G318" i="2"/>
  <c r="F318" i="2"/>
  <c r="W317" i="2"/>
  <c r="V317" i="2"/>
  <c r="U317" i="2"/>
  <c r="T317" i="2"/>
  <c r="S317" i="2"/>
  <c r="R317" i="2"/>
  <c r="Q317" i="2"/>
  <c r="O317" i="2"/>
  <c r="M317" i="2"/>
  <c r="L317" i="2"/>
  <c r="K317" i="2"/>
  <c r="I317" i="2"/>
  <c r="G317" i="2"/>
  <c r="F317" i="2"/>
  <c r="W316" i="2"/>
  <c r="V316" i="2"/>
  <c r="U316" i="2"/>
  <c r="T316" i="2"/>
  <c r="S316" i="2"/>
  <c r="R316" i="2"/>
  <c r="Q316" i="2"/>
  <c r="O316" i="2"/>
  <c r="M316" i="2"/>
  <c r="L316" i="2"/>
  <c r="K316" i="2"/>
  <c r="I316" i="2"/>
  <c r="G316" i="2"/>
  <c r="F316" i="2"/>
  <c r="W315" i="2"/>
  <c r="V315" i="2"/>
  <c r="U315" i="2"/>
  <c r="T315" i="2"/>
  <c r="S315" i="2"/>
  <c r="R315" i="2"/>
  <c r="Q315" i="2"/>
  <c r="O315" i="2"/>
  <c r="M315" i="2"/>
  <c r="L315" i="2"/>
  <c r="K315" i="2"/>
  <c r="I315" i="2"/>
  <c r="G315" i="2"/>
  <c r="F315" i="2"/>
  <c r="W314" i="2"/>
  <c r="V314" i="2"/>
  <c r="U314" i="2"/>
  <c r="T314" i="2"/>
  <c r="S314" i="2"/>
  <c r="R314" i="2"/>
  <c r="Q314" i="2"/>
  <c r="O314" i="2"/>
  <c r="M314" i="2"/>
  <c r="L314" i="2"/>
  <c r="K314" i="2"/>
  <c r="I314" i="2"/>
  <c r="G314" i="2"/>
  <c r="F314" i="2"/>
  <c r="W313" i="2"/>
  <c r="V313" i="2"/>
  <c r="U313" i="2"/>
  <c r="T313" i="2"/>
  <c r="S313" i="2"/>
  <c r="R313" i="2"/>
  <c r="Q313" i="2"/>
  <c r="O313" i="2"/>
  <c r="M313" i="2"/>
  <c r="L313" i="2"/>
  <c r="K313" i="2"/>
  <c r="I313" i="2"/>
  <c r="G313" i="2"/>
  <c r="F313" i="2"/>
  <c r="W312" i="2"/>
  <c r="V312" i="2"/>
  <c r="U312" i="2"/>
  <c r="T312" i="2"/>
  <c r="S312" i="2"/>
  <c r="R312" i="2"/>
  <c r="Q312" i="2"/>
  <c r="O312" i="2"/>
  <c r="M312" i="2"/>
  <c r="L312" i="2"/>
  <c r="K312" i="2"/>
  <c r="I312" i="2"/>
  <c r="G312" i="2"/>
  <c r="F312" i="2"/>
  <c r="W311" i="2"/>
  <c r="V311" i="2"/>
  <c r="U311" i="2"/>
  <c r="T311" i="2"/>
  <c r="S311" i="2"/>
  <c r="R311" i="2"/>
  <c r="Q311" i="2"/>
  <c r="O311" i="2"/>
  <c r="M311" i="2"/>
  <c r="L311" i="2"/>
  <c r="K311" i="2"/>
  <c r="I311" i="2"/>
  <c r="G311" i="2"/>
  <c r="F311" i="2"/>
  <c r="W310" i="2"/>
  <c r="V310" i="2"/>
  <c r="U310" i="2"/>
  <c r="T310" i="2"/>
  <c r="S310" i="2"/>
  <c r="R310" i="2"/>
  <c r="Q310" i="2"/>
  <c r="O310" i="2"/>
  <c r="M310" i="2"/>
  <c r="L310" i="2"/>
  <c r="K310" i="2"/>
  <c r="I310" i="2"/>
  <c r="G310" i="2"/>
  <c r="F310" i="2"/>
  <c r="W309" i="2"/>
  <c r="V309" i="2"/>
  <c r="U309" i="2"/>
  <c r="T309" i="2"/>
  <c r="S309" i="2"/>
  <c r="R309" i="2"/>
  <c r="Q309" i="2"/>
  <c r="O309" i="2"/>
  <c r="M309" i="2"/>
  <c r="L309" i="2"/>
  <c r="K309" i="2"/>
  <c r="I309" i="2"/>
  <c r="G309" i="2"/>
  <c r="F309" i="2"/>
  <c r="W308" i="2"/>
  <c r="V308" i="2"/>
  <c r="U308" i="2"/>
  <c r="T308" i="2"/>
  <c r="S308" i="2"/>
  <c r="R308" i="2"/>
  <c r="Q308" i="2"/>
  <c r="O308" i="2"/>
  <c r="M308" i="2"/>
  <c r="L308" i="2"/>
  <c r="K308" i="2"/>
  <c r="I308" i="2"/>
  <c r="G308" i="2"/>
  <c r="F308" i="2"/>
  <c r="W307" i="2"/>
  <c r="V307" i="2"/>
  <c r="U307" i="2"/>
  <c r="T307" i="2"/>
  <c r="S307" i="2"/>
  <c r="R307" i="2"/>
  <c r="Q307" i="2"/>
  <c r="O307" i="2"/>
  <c r="M307" i="2"/>
  <c r="L307" i="2"/>
  <c r="K307" i="2"/>
  <c r="I307" i="2"/>
  <c r="G307" i="2"/>
  <c r="F307" i="2"/>
  <c r="W306" i="2"/>
  <c r="V306" i="2"/>
  <c r="U306" i="2"/>
  <c r="T306" i="2"/>
  <c r="S306" i="2"/>
  <c r="R306" i="2"/>
  <c r="Q306" i="2"/>
  <c r="O306" i="2"/>
  <c r="M306" i="2"/>
  <c r="L306" i="2"/>
  <c r="K306" i="2"/>
  <c r="I306" i="2"/>
  <c r="G306" i="2"/>
  <c r="F306" i="2"/>
  <c r="W305" i="2"/>
  <c r="V305" i="2"/>
  <c r="U305" i="2"/>
  <c r="T305" i="2"/>
  <c r="S305" i="2"/>
  <c r="R305" i="2"/>
  <c r="Q305" i="2"/>
  <c r="O305" i="2"/>
  <c r="M305" i="2"/>
  <c r="L305" i="2"/>
  <c r="K305" i="2"/>
  <c r="I305" i="2"/>
  <c r="G305" i="2"/>
  <c r="F305" i="2"/>
  <c r="W304" i="2"/>
  <c r="V304" i="2"/>
  <c r="U304" i="2"/>
  <c r="T304" i="2"/>
  <c r="S304" i="2"/>
  <c r="R304" i="2"/>
  <c r="Q304" i="2"/>
  <c r="O304" i="2"/>
  <c r="M304" i="2"/>
  <c r="L304" i="2"/>
  <c r="K304" i="2"/>
  <c r="I304" i="2"/>
  <c r="G304" i="2"/>
  <c r="F304" i="2"/>
  <c r="W303" i="2"/>
  <c r="V303" i="2"/>
  <c r="U303" i="2"/>
  <c r="T303" i="2"/>
  <c r="S303" i="2"/>
  <c r="R303" i="2"/>
  <c r="Q303" i="2"/>
  <c r="O303" i="2"/>
  <c r="M303" i="2"/>
  <c r="L303" i="2"/>
  <c r="K303" i="2"/>
  <c r="I303" i="2"/>
  <c r="G303" i="2"/>
  <c r="F303" i="2"/>
  <c r="W302" i="2"/>
  <c r="V302" i="2"/>
  <c r="U302" i="2"/>
  <c r="T302" i="2"/>
  <c r="S302" i="2"/>
  <c r="R302" i="2"/>
  <c r="Q302" i="2"/>
  <c r="O302" i="2"/>
  <c r="M302" i="2"/>
  <c r="L302" i="2"/>
  <c r="K302" i="2"/>
  <c r="I302" i="2"/>
  <c r="G302" i="2"/>
  <c r="F302" i="2"/>
  <c r="W301" i="2"/>
  <c r="V301" i="2"/>
  <c r="U301" i="2"/>
  <c r="T301" i="2"/>
  <c r="S301" i="2"/>
  <c r="R301" i="2"/>
  <c r="Q301" i="2"/>
  <c r="O301" i="2"/>
  <c r="M301" i="2"/>
  <c r="L301" i="2"/>
  <c r="K301" i="2"/>
  <c r="I301" i="2"/>
  <c r="G301" i="2"/>
  <c r="F301" i="2"/>
  <c r="W300" i="2"/>
  <c r="V300" i="2"/>
  <c r="U300" i="2"/>
  <c r="T300" i="2"/>
  <c r="S300" i="2"/>
  <c r="R300" i="2"/>
  <c r="Q300" i="2"/>
  <c r="O300" i="2"/>
  <c r="M300" i="2"/>
  <c r="L300" i="2"/>
  <c r="K300" i="2"/>
  <c r="I300" i="2"/>
  <c r="G300" i="2"/>
  <c r="F300" i="2"/>
  <c r="W299" i="2"/>
  <c r="V299" i="2"/>
  <c r="U299" i="2"/>
  <c r="T299" i="2"/>
  <c r="S299" i="2"/>
  <c r="R299" i="2"/>
  <c r="Q299" i="2"/>
  <c r="O299" i="2"/>
  <c r="M299" i="2"/>
  <c r="L299" i="2"/>
  <c r="K299" i="2"/>
  <c r="I299" i="2"/>
  <c r="G299" i="2"/>
  <c r="F299" i="2"/>
  <c r="W298" i="2"/>
  <c r="V298" i="2"/>
  <c r="U298" i="2"/>
  <c r="T298" i="2"/>
  <c r="S298" i="2"/>
  <c r="R298" i="2"/>
  <c r="Q298" i="2"/>
  <c r="O298" i="2"/>
  <c r="M298" i="2"/>
  <c r="L298" i="2"/>
  <c r="K298" i="2"/>
  <c r="I298" i="2"/>
  <c r="G298" i="2"/>
  <c r="F298" i="2"/>
  <c r="W297" i="2"/>
  <c r="V297" i="2"/>
  <c r="U297" i="2"/>
  <c r="T297" i="2"/>
  <c r="S297" i="2"/>
  <c r="R297" i="2"/>
  <c r="Q297" i="2"/>
  <c r="O297" i="2"/>
  <c r="M297" i="2"/>
  <c r="L297" i="2"/>
  <c r="K297" i="2"/>
  <c r="I297" i="2"/>
  <c r="G297" i="2"/>
  <c r="F297" i="2"/>
  <c r="W296" i="2"/>
  <c r="V296" i="2"/>
  <c r="U296" i="2"/>
  <c r="T296" i="2"/>
  <c r="S296" i="2"/>
  <c r="R296" i="2"/>
  <c r="Q296" i="2"/>
  <c r="O296" i="2"/>
  <c r="M296" i="2"/>
  <c r="L296" i="2"/>
  <c r="K296" i="2"/>
  <c r="I296" i="2"/>
  <c r="G296" i="2"/>
  <c r="F296" i="2"/>
  <c r="W295" i="2"/>
  <c r="V295" i="2"/>
  <c r="U295" i="2"/>
  <c r="T295" i="2"/>
  <c r="S295" i="2"/>
  <c r="R295" i="2"/>
  <c r="Q295" i="2"/>
  <c r="O295" i="2"/>
  <c r="M295" i="2"/>
  <c r="L295" i="2"/>
  <c r="K295" i="2"/>
  <c r="I295" i="2"/>
  <c r="G295" i="2"/>
  <c r="F295" i="2"/>
  <c r="W294" i="2"/>
  <c r="V294" i="2"/>
  <c r="U294" i="2"/>
  <c r="T294" i="2"/>
  <c r="S294" i="2"/>
  <c r="R294" i="2"/>
  <c r="Q294" i="2"/>
  <c r="O294" i="2"/>
  <c r="M294" i="2"/>
  <c r="L294" i="2"/>
  <c r="K294" i="2"/>
  <c r="I294" i="2"/>
  <c r="G294" i="2"/>
  <c r="F294" i="2"/>
  <c r="W293" i="2"/>
  <c r="V293" i="2"/>
  <c r="U293" i="2"/>
  <c r="T293" i="2"/>
  <c r="S293" i="2"/>
  <c r="R293" i="2"/>
  <c r="Q293" i="2"/>
  <c r="O293" i="2"/>
  <c r="M293" i="2"/>
  <c r="L293" i="2"/>
  <c r="K293" i="2"/>
  <c r="I293" i="2"/>
  <c r="G293" i="2"/>
  <c r="F293" i="2"/>
  <c r="W292" i="2"/>
  <c r="V292" i="2"/>
  <c r="U292" i="2"/>
  <c r="T292" i="2"/>
  <c r="S292" i="2"/>
  <c r="R292" i="2"/>
  <c r="Q292" i="2"/>
  <c r="O292" i="2"/>
  <c r="M292" i="2"/>
  <c r="L292" i="2"/>
  <c r="K292" i="2"/>
  <c r="I292" i="2"/>
  <c r="G292" i="2"/>
  <c r="F292" i="2"/>
  <c r="W291" i="2"/>
  <c r="V291" i="2"/>
  <c r="U291" i="2"/>
  <c r="T291" i="2"/>
  <c r="S291" i="2"/>
  <c r="R291" i="2"/>
  <c r="Q291" i="2"/>
  <c r="O291" i="2"/>
  <c r="M291" i="2"/>
  <c r="L291" i="2"/>
  <c r="K291" i="2"/>
  <c r="I291" i="2"/>
  <c r="G291" i="2"/>
  <c r="F291" i="2"/>
  <c r="W290" i="2"/>
  <c r="V290" i="2"/>
  <c r="U290" i="2"/>
  <c r="T290" i="2"/>
  <c r="S290" i="2"/>
  <c r="R290" i="2"/>
  <c r="Q290" i="2"/>
  <c r="O290" i="2"/>
  <c r="M290" i="2"/>
  <c r="L290" i="2"/>
  <c r="K290" i="2"/>
  <c r="I290" i="2"/>
  <c r="G290" i="2"/>
  <c r="F290" i="2"/>
  <c r="W289" i="2"/>
  <c r="V289" i="2"/>
  <c r="U289" i="2"/>
  <c r="T289" i="2"/>
  <c r="S289" i="2"/>
  <c r="R289" i="2"/>
  <c r="Q289" i="2"/>
  <c r="O289" i="2"/>
  <c r="M289" i="2"/>
  <c r="L289" i="2"/>
  <c r="K289" i="2"/>
  <c r="I289" i="2"/>
  <c r="G289" i="2"/>
  <c r="F289" i="2"/>
  <c r="W288" i="2"/>
  <c r="V288" i="2"/>
  <c r="U288" i="2"/>
  <c r="T288" i="2"/>
  <c r="S288" i="2"/>
  <c r="R288" i="2"/>
  <c r="Q288" i="2"/>
  <c r="O288" i="2"/>
  <c r="M288" i="2"/>
  <c r="L288" i="2"/>
  <c r="K288" i="2"/>
  <c r="I288" i="2"/>
  <c r="G288" i="2"/>
  <c r="F288" i="2"/>
  <c r="W287" i="2"/>
  <c r="V287" i="2"/>
  <c r="U287" i="2"/>
  <c r="T287" i="2"/>
  <c r="S287" i="2"/>
  <c r="R287" i="2"/>
  <c r="Q287" i="2"/>
  <c r="O287" i="2"/>
  <c r="M287" i="2"/>
  <c r="L287" i="2"/>
  <c r="K287" i="2"/>
  <c r="I287" i="2"/>
  <c r="G287" i="2"/>
  <c r="F287" i="2"/>
  <c r="W286" i="2"/>
  <c r="V286" i="2"/>
  <c r="U286" i="2"/>
  <c r="T286" i="2"/>
  <c r="S286" i="2"/>
  <c r="R286" i="2"/>
  <c r="Q286" i="2"/>
  <c r="O286" i="2"/>
  <c r="M286" i="2"/>
  <c r="L286" i="2"/>
  <c r="K286" i="2"/>
  <c r="I286" i="2"/>
  <c r="G286" i="2"/>
  <c r="F286" i="2"/>
  <c r="W285" i="2"/>
  <c r="V285" i="2"/>
  <c r="U285" i="2"/>
  <c r="T285" i="2"/>
  <c r="S285" i="2"/>
  <c r="R285" i="2"/>
  <c r="Q285" i="2"/>
  <c r="O285" i="2"/>
  <c r="M285" i="2"/>
  <c r="L285" i="2"/>
  <c r="K285" i="2"/>
  <c r="I285" i="2"/>
  <c r="G285" i="2"/>
  <c r="F285" i="2"/>
  <c r="W284" i="2"/>
  <c r="V284" i="2"/>
  <c r="U284" i="2"/>
  <c r="T284" i="2"/>
  <c r="S284" i="2"/>
  <c r="R284" i="2"/>
  <c r="Q284" i="2"/>
  <c r="O284" i="2"/>
  <c r="M284" i="2"/>
  <c r="L284" i="2"/>
  <c r="K284" i="2"/>
  <c r="I284" i="2"/>
  <c r="G284" i="2"/>
  <c r="F284" i="2"/>
  <c r="W283" i="2"/>
  <c r="V283" i="2"/>
  <c r="U283" i="2"/>
  <c r="T283" i="2"/>
  <c r="S283" i="2"/>
  <c r="R283" i="2"/>
  <c r="Q283" i="2"/>
  <c r="O283" i="2"/>
  <c r="M283" i="2"/>
  <c r="L283" i="2"/>
  <c r="K283" i="2"/>
  <c r="I283" i="2"/>
  <c r="G283" i="2"/>
  <c r="F283" i="2"/>
  <c r="W282" i="2"/>
  <c r="V282" i="2"/>
  <c r="U282" i="2"/>
  <c r="T282" i="2"/>
  <c r="S282" i="2"/>
  <c r="R282" i="2"/>
  <c r="Q282" i="2"/>
  <c r="O282" i="2"/>
  <c r="M282" i="2"/>
  <c r="L282" i="2"/>
  <c r="K282" i="2"/>
  <c r="I282" i="2"/>
  <c r="G282" i="2"/>
  <c r="F282" i="2"/>
  <c r="W281" i="2"/>
  <c r="V281" i="2"/>
  <c r="U281" i="2"/>
  <c r="T281" i="2"/>
  <c r="S281" i="2"/>
  <c r="R281" i="2"/>
  <c r="Q281" i="2"/>
  <c r="O281" i="2"/>
  <c r="M281" i="2"/>
  <c r="L281" i="2"/>
  <c r="K281" i="2"/>
  <c r="I281" i="2"/>
  <c r="G281" i="2"/>
  <c r="F281" i="2"/>
  <c r="W280" i="2"/>
  <c r="V280" i="2"/>
  <c r="U280" i="2"/>
  <c r="T280" i="2"/>
  <c r="S280" i="2"/>
  <c r="R280" i="2"/>
  <c r="Q280" i="2"/>
  <c r="O280" i="2"/>
  <c r="M280" i="2"/>
  <c r="L280" i="2"/>
  <c r="K280" i="2"/>
  <c r="I280" i="2"/>
  <c r="G280" i="2"/>
  <c r="F280" i="2"/>
  <c r="W279" i="2"/>
  <c r="V279" i="2"/>
  <c r="U279" i="2"/>
  <c r="T279" i="2"/>
  <c r="S279" i="2"/>
  <c r="R279" i="2"/>
  <c r="Q279" i="2"/>
  <c r="O279" i="2"/>
  <c r="M279" i="2"/>
  <c r="L279" i="2"/>
  <c r="K279" i="2"/>
  <c r="I279" i="2"/>
  <c r="G279" i="2"/>
  <c r="F279" i="2"/>
  <c r="W278" i="2"/>
  <c r="V278" i="2"/>
  <c r="U278" i="2"/>
  <c r="T278" i="2"/>
  <c r="S278" i="2"/>
  <c r="R278" i="2"/>
  <c r="Q278" i="2"/>
  <c r="O278" i="2"/>
  <c r="M278" i="2"/>
  <c r="L278" i="2"/>
  <c r="K278" i="2"/>
  <c r="I278" i="2"/>
  <c r="G278" i="2"/>
  <c r="F278" i="2"/>
  <c r="W277" i="2"/>
  <c r="V277" i="2"/>
  <c r="U277" i="2"/>
  <c r="T277" i="2"/>
  <c r="S277" i="2"/>
  <c r="R277" i="2"/>
  <c r="Q277" i="2"/>
  <c r="O277" i="2"/>
  <c r="M277" i="2"/>
  <c r="L277" i="2"/>
  <c r="K277" i="2"/>
  <c r="I277" i="2"/>
  <c r="G277" i="2"/>
  <c r="F277" i="2"/>
  <c r="W276" i="2"/>
  <c r="V276" i="2"/>
  <c r="U276" i="2"/>
  <c r="T276" i="2"/>
  <c r="S276" i="2"/>
  <c r="R276" i="2"/>
  <c r="Q276" i="2"/>
  <c r="O276" i="2"/>
  <c r="M276" i="2"/>
  <c r="L276" i="2"/>
  <c r="K276" i="2"/>
  <c r="I276" i="2"/>
  <c r="G276" i="2"/>
  <c r="F276" i="2"/>
  <c r="W275" i="2"/>
  <c r="V275" i="2"/>
  <c r="U275" i="2"/>
  <c r="T275" i="2"/>
  <c r="S275" i="2"/>
  <c r="R275" i="2"/>
  <c r="Q275" i="2"/>
  <c r="O275" i="2"/>
  <c r="M275" i="2"/>
  <c r="L275" i="2"/>
  <c r="K275" i="2"/>
  <c r="I275" i="2"/>
  <c r="G275" i="2"/>
  <c r="F275" i="2"/>
  <c r="W274" i="2"/>
  <c r="V274" i="2"/>
  <c r="U274" i="2"/>
  <c r="T274" i="2"/>
  <c r="S274" i="2"/>
  <c r="R274" i="2"/>
  <c r="Q274" i="2"/>
  <c r="O274" i="2"/>
  <c r="M274" i="2"/>
  <c r="L274" i="2"/>
  <c r="K274" i="2"/>
  <c r="I274" i="2"/>
  <c r="G274" i="2"/>
  <c r="F274" i="2"/>
  <c r="W273" i="2"/>
  <c r="V273" i="2"/>
  <c r="U273" i="2"/>
  <c r="T273" i="2"/>
  <c r="S273" i="2"/>
  <c r="R273" i="2"/>
  <c r="Q273" i="2"/>
  <c r="O273" i="2"/>
  <c r="M273" i="2"/>
  <c r="L273" i="2"/>
  <c r="K273" i="2"/>
  <c r="I273" i="2"/>
  <c r="G273" i="2"/>
  <c r="F273" i="2"/>
  <c r="W272" i="2"/>
  <c r="V272" i="2"/>
  <c r="U272" i="2"/>
  <c r="T272" i="2"/>
  <c r="S272" i="2"/>
  <c r="R272" i="2"/>
  <c r="Q272" i="2"/>
  <c r="O272" i="2"/>
  <c r="M272" i="2"/>
  <c r="L272" i="2"/>
  <c r="K272" i="2"/>
  <c r="I272" i="2"/>
  <c r="G272" i="2"/>
  <c r="F272" i="2"/>
  <c r="W271" i="2"/>
  <c r="V271" i="2"/>
  <c r="U271" i="2"/>
  <c r="T271" i="2"/>
  <c r="S271" i="2"/>
  <c r="R271" i="2"/>
  <c r="Q271" i="2"/>
  <c r="O271" i="2"/>
  <c r="M271" i="2"/>
  <c r="L271" i="2"/>
  <c r="K271" i="2"/>
  <c r="I271" i="2"/>
  <c r="G271" i="2"/>
  <c r="F271" i="2"/>
  <c r="W270" i="2"/>
  <c r="V270" i="2"/>
  <c r="U270" i="2"/>
  <c r="T270" i="2"/>
  <c r="S270" i="2"/>
  <c r="R270" i="2"/>
  <c r="Q270" i="2"/>
  <c r="O270" i="2"/>
  <c r="M270" i="2"/>
  <c r="L270" i="2"/>
  <c r="K270" i="2"/>
  <c r="I270" i="2"/>
  <c r="G270" i="2"/>
  <c r="F270" i="2"/>
  <c r="W269" i="2"/>
  <c r="V269" i="2"/>
  <c r="U269" i="2"/>
  <c r="T269" i="2"/>
  <c r="S269" i="2"/>
  <c r="R269" i="2"/>
  <c r="Q269" i="2"/>
  <c r="O269" i="2"/>
  <c r="M269" i="2"/>
  <c r="L269" i="2"/>
  <c r="K269" i="2"/>
  <c r="I269" i="2"/>
  <c r="G269" i="2"/>
  <c r="F269" i="2"/>
  <c r="W268" i="2"/>
  <c r="V268" i="2"/>
  <c r="U268" i="2"/>
  <c r="T268" i="2"/>
  <c r="S268" i="2"/>
  <c r="R268" i="2"/>
  <c r="Q268" i="2"/>
  <c r="O268" i="2"/>
  <c r="M268" i="2"/>
  <c r="L268" i="2"/>
  <c r="K268" i="2"/>
  <c r="I268" i="2"/>
  <c r="G268" i="2"/>
  <c r="F268" i="2"/>
  <c r="W267" i="2"/>
  <c r="V267" i="2"/>
  <c r="U267" i="2"/>
  <c r="T267" i="2"/>
  <c r="S267" i="2"/>
  <c r="R267" i="2"/>
  <c r="Q267" i="2"/>
  <c r="O267" i="2"/>
  <c r="M267" i="2"/>
  <c r="L267" i="2"/>
  <c r="K267" i="2"/>
  <c r="I267" i="2"/>
  <c r="G267" i="2"/>
  <c r="F267" i="2"/>
  <c r="W266" i="2"/>
  <c r="V266" i="2"/>
  <c r="U266" i="2"/>
  <c r="T266" i="2"/>
  <c r="S266" i="2"/>
  <c r="R266" i="2"/>
  <c r="Q266" i="2"/>
  <c r="O266" i="2"/>
  <c r="M266" i="2"/>
  <c r="L266" i="2"/>
  <c r="K266" i="2"/>
  <c r="I266" i="2"/>
  <c r="G266" i="2"/>
  <c r="F266" i="2"/>
  <c r="W265" i="2"/>
  <c r="V265" i="2"/>
  <c r="U265" i="2"/>
  <c r="T265" i="2"/>
  <c r="S265" i="2"/>
  <c r="R265" i="2"/>
  <c r="Q265" i="2"/>
  <c r="O265" i="2"/>
  <c r="M265" i="2"/>
  <c r="L265" i="2"/>
  <c r="K265" i="2"/>
  <c r="I265" i="2"/>
  <c r="G265" i="2"/>
  <c r="F265" i="2"/>
  <c r="W264" i="2"/>
  <c r="V264" i="2"/>
  <c r="U264" i="2"/>
  <c r="T264" i="2"/>
  <c r="S264" i="2"/>
  <c r="R264" i="2"/>
  <c r="Q264" i="2"/>
  <c r="O264" i="2"/>
  <c r="M264" i="2"/>
  <c r="L264" i="2"/>
  <c r="K264" i="2"/>
  <c r="I264" i="2"/>
  <c r="G264" i="2"/>
  <c r="F264" i="2"/>
  <c r="W263" i="2"/>
  <c r="V263" i="2"/>
  <c r="U263" i="2"/>
  <c r="T263" i="2"/>
  <c r="S263" i="2"/>
  <c r="R263" i="2"/>
  <c r="Q263" i="2"/>
  <c r="O263" i="2"/>
  <c r="M263" i="2"/>
  <c r="L263" i="2"/>
  <c r="K263" i="2"/>
  <c r="I263" i="2"/>
  <c r="G263" i="2"/>
  <c r="F263" i="2"/>
  <c r="W262" i="2"/>
  <c r="V262" i="2"/>
  <c r="U262" i="2"/>
  <c r="T262" i="2"/>
  <c r="S262" i="2"/>
  <c r="R262" i="2"/>
  <c r="Q262" i="2"/>
  <c r="O262" i="2"/>
  <c r="M262" i="2"/>
  <c r="L262" i="2"/>
  <c r="K262" i="2"/>
  <c r="I262" i="2"/>
  <c r="G262" i="2"/>
  <c r="F262" i="2"/>
  <c r="W261" i="2"/>
  <c r="V261" i="2"/>
  <c r="U261" i="2"/>
  <c r="T261" i="2"/>
  <c r="S261" i="2"/>
  <c r="R261" i="2"/>
  <c r="Q261" i="2"/>
  <c r="O261" i="2"/>
  <c r="M261" i="2"/>
  <c r="L261" i="2"/>
  <c r="K261" i="2"/>
  <c r="I261" i="2"/>
  <c r="G261" i="2"/>
  <c r="F261" i="2"/>
  <c r="W260" i="2"/>
  <c r="V260" i="2"/>
  <c r="U260" i="2"/>
  <c r="T260" i="2"/>
  <c r="S260" i="2"/>
  <c r="R260" i="2"/>
  <c r="Q260" i="2"/>
  <c r="O260" i="2"/>
  <c r="M260" i="2"/>
  <c r="L260" i="2"/>
  <c r="K260" i="2"/>
  <c r="I260" i="2"/>
  <c r="G260" i="2"/>
  <c r="F260" i="2"/>
  <c r="W259" i="2"/>
  <c r="V259" i="2"/>
  <c r="U259" i="2"/>
  <c r="T259" i="2"/>
  <c r="S259" i="2"/>
  <c r="R259" i="2"/>
  <c r="Q259" i="2"/>
  <c r="O259" i="2"/>
  <c r="M259" i="2"/>
  <c r="L259" i="2"/>
  <c r="K259" i="2"/>
  <c r="I259" i="2"/>
  <c r="G259" i="2"/>
  <c r="F259" i="2"/>
  <c r="W258" i="2"/>
  <c r="V258" i="2"/>
  <c r="U258" i="2"/>
  <c r="T258" i="2"/>
  <c r="S258" i="2"/>
  <c r="R258" i="2"/>
  <c r="Q258" i="2"/>
  <c r="O258" i="2"/>
  <c r="M258" i="2"/>
  <c r="L258" i="2"/>
  <c r="K258" i="2"/>
  <c r="I258" i="2"/>
  <c r="G258" i="2"/>
  <c r="F258" i="2"/>
  <c r="W257" i="2"/>
  <c r="V257" i="2"/>
  <c r="U257" i="2"/>
  <c r="T257" i="2"/>
  <c r="S257" i="2"/>
  <c r="R257" i="2"/>
  <c r="Q257" i="2"/>
  <c r="O257" i="2"/>
  <c r="M257" i="2"/>
  <c r="L257" i="2"/>
  <c r="K257" i="2"/>
  <c r="I257" i="2"/>
  <c r="G257" i="2"/>
  <c r="F257" i="2"/>
  <c r="W256" i="2"/>
  <c r="V256" i="2"/>
  <c r="U256" i="2"/>
  <c r="T256" i="2"/>
  <c r="S256" i="2"/>
  <c r="R256" i="2"/>
  <c r="Q256" i="2"/>
  <c r="O256" i="2"/>
  <c r="M256" i="2"/>
  <c r="L256" i="2"/>
  <c r="K256" i="2"/>
  <c r="I256" i="2"/>
  <c r="G256" i="2"/>
  <c r="F256" i="2"/>
  <c r="W255" i="2"/>
  <c r="V255" i="2"/>
  <c r="U255" i="2"/>
  <c r="T255" i="2"/>
  <c r="S255" i="2"/>
  <c r="R255" i="2"/>
  <c r="Q255" i="2"/>
  <c r="O255" i="2"/>
  <c r="M255" i="2"/>
  <c r="L255" i="2"/>
  <c r="K255" i="2"/>
  <c r="I255" i="2"/>
  <c r="G255" i="2"/>
  <c r="F255" i="2"/>
  <c r="W254" i="2"/>
  <c r="V254" i="2"/>
  <c r="U254" i="2"/>
  <c r="T254" i="2"/>
  <c r="S254" i="2"/>
  <c r="R254" i="2"/>
  <c r="Q254" i="2"/>
  <c r="O254" i="2"/>
  <c r="M254" i="2"/>
  <c r="L254" i="2"/>
  <c r="K254" i="2"/>
  <c r="I254" i="2"/>
  <c r="G254" i="2"/>
  <c r="F254" i="2"/>
  <c r="W253" i="2"/>
  <c r="V253" i="2"/>
  <c r="U253" i="2"/>
  <c r="T253" i="2"/>
  <c r="S253" i="2"/>
  <c r="R253" i="2"/>
  <c r="Q253" i="2"/>
  <c r="O253" i="2"/>
  <c r="M253" i="2"/>
  <c r="L253" i="2"/>
  <c r="K253" i="2"/>
  <c r="I253" i="2"/>
  <c r="G253" i="2"/>
  <c r="F253" i="2"/>
  <c r="W252" i="2"/>
  <c r="V252" i="2"/>
  <c r="U252" i="2"/>
  <c r="T252" i="2"/>
  <c r="S252" i="2"/>
  <c r="R252" i="2"/>
  <c r="Q252" i="2"/>
  <c r="O252" i="2"/>
  <c r="M252" i="2"/>
  <c r="L252" i="2"/>
  <c r="K252" i="2"/>
  <c r="I252" i="2"/>
  <c r="G252" i="2"/>
  <c r="F252" i="2"/>
  <c r="W251" i="2"/>
  <c r="V251" i="2"/>
  <c r="U251" i="2"/>
  <c r="T251" i="2"/>
  <c r="S251" i="2"/>
  <c r="R251" i="2"/>
  <c r="Q251" i="2"/>
  <c r="O251" i="2"/>
  <c r="M251" i="2"/>
  <c r="L251" i="2"/>
  <c r="K251" i="2"/>
  <c r="I251" i="2"/>
  <c r="G251" i="2"/>
  <c r="F251" i="2"/>
  <c r="W250" i="2"/>
  <c r="V250" i="2"/>
  <c r="U250" i="2"/>
  <c r="T250" i="2"/>
  <c r="S250" i="2"/>
  <c r="R250" i="2"/>
  <c r="Q250" i="2"/>
  <c r="O250" i="2"/>
  <c r="M250" i="2"/>
  <c r="L250" i="2"/>
  <c r="K250" i="2"/>
  <c r="I250" i="2"/>
  <c r="G250" i="2"/>
  <c r="F250" i="2"/>
  <c r="W249" i="2"/>
  <c r="V249" i="2"/>
  <c r="U249" i="2"/>
  <c r="T249" i="2"/>
  <c r="S249" i="2"/>
  <c r="R249" i="2"/>
  <c r="Q249" i="2"/>
  <c r="O249" i="2"/>
  <c r="M249" i="2"/>
  <c r="L249" i="2"/>
  <c r="K249" i="2"/>
  <c r="I249" i="2"/>
  <c r="G249" i="2"/>
  <c r="F249" i="2"/>
  <c r="W248" i="2"/>
  <c r="V248" i="2"/>
  <c r="U248" i="2"/>
  <c r="T248" i="2"/>
  <c r="S248" i="2"/>
  <c r="R248" i="2"/>
  <c r="Q248" i="2"/>
  <c r="O248" i="2"/>
  <c r="M248" i="2"/>
  <c r="L248" i="2"/>
  <c r="K248" i="2"/>
  <c r="I248" i="2"/>
  <c r="G248" i="2"/>
  <c r="F248" i="2"/>
  <c r="W247" i="2"/>
  <c r="V247" i="2"/>
  <c r="U247" i="2"/>
  <c r="T247" i="2"/>
  <c r="S247" i="2"/>
  <c r="R247" i="2"/>
  <c r="Q247" i="2"/>
  <c r="O247" i="2"/>
  <c r="M247" i="2"/>
  <c r="L247" i="2"/>
  <c r="K247" i="2"/>
  <c r="I247" i="2"/>
  <c r="G247" i="2"/>
  <c r="F247" i="2"/>
  <c r="W246" i="2"/>
  <c r="V246" i="2"/>
  <c r="U246" i="2"/>
  <c r="T246" i="2"/>
  <c r="S246" i="2"/>
  <c r="R246" i="2"/>
  <c r="Q246" i="2"/>
  <c r="O246" i="2"/>
  <c r="M246" i="2"/>
  <c r="L246" i="2"/>
  <c r="K246" i="2"/>
  <c r="I246" i="2"/>
  <c r="G246" i="2"/>
  <c r="F246" i="2"/>
  <c r="W245" i="2"/>
  <c r="V245" i="2"/>
  <c r="U245" i="2"/>
  <c r="T245" i="2"/>
  <c r="S245" i="2"/>
  <c r="R245" i="2"/>
  <c r="Q245" i="2"/>
  <c r="O245" i="2"/>
  <c r="M245" i="2"/>
  <c r="L245" i="2"/>
  <c r="K245" i="2"/>
  <c r="I245" i="2"/>
  <c r="G245" i="2"/>
  <c r="F245" i="2"/>
  <c r="W244" i="2"/>
  <c r="V244" i="2"/>
  <c r="U244" i="2"/>
  <c r="T244" i="2"/>
  <c r="S244" i="2"/>
  <c r="R244" i="2"/>
  <c r="Q244" i="2"/>
  <c r="O244" i="2"/>
  <c r="M244" i="2"/>
  <c r="L244" i="2"/>
  <c r="K244" i="2"/>
  <c r="I244" i="2"/>
  <c r="G244" i="2"/>
  <c r="F244" i="2"/>
  <c r="W243" i="2"/>
  <c r="V243" i="2"/>
  <c r="U243" i="2"/>
  <c r="T243" i="2"/>
  <c r="S243" i="2"/>
  <c r="R243" i="2"/>
  <c r="Q243" i="2"/>
  <c r="O243" i="2"/>
  <c r="M243" i="2"/>
  <c r="L243" i="2"/>
  <c r="K243" i="2"/>
  <c r="I243" i="2"/>
  <c r="G243" i="2"/>
  <c r="F243" i="2"/>
  <c r="W242" i="2"/>
  <c r="V242" i="2"/>
  <c r="U242" i="2"/>
  <c r="T242" i="2"/>
  <c r="S242" i="2"/>
  <c r="R242" i="2"/>
  <c r="Q242" i="2"/>
  <c r="O242" i="2"/>
  <c r="M242" i="2"/>
  <c r="L242" i="2"/>
  <c r="K242" i="2"/>
  <c r="I242" i="2"/>
  <c r="G242" i="2"/>
  <c r="F242" i="2"/>
  <c r="W241" i="2"/>
  <c r="V241" i="2"/>
  <c r="U241" i="2"/>
  <c r="T241" i="2"/>
  <c r="S241" i="2"/>
  <c r="R241" i="2"/>
  <c r="Q241" i="2"/>
  <c r="O241" i="2"/>
  <c r="M241" i="2"/>
  <c r="L241" i="2"/>
  <c r="K241" i="2"/>
  <c r="I241" i="2"/>
  <c r="G241" i="2"/>
  <c r="F241" i="2"/>
  <c r="W240" i="2"/>
  <c r="V240" i="2"/>
  <c r="U240" i="2"/>
  <c r="T240" i="2"/>
  <c r="S240" i="2"/>
  <c r="R240" i="2"/>
  <c r="Q240" i="2"/>
  <c r="O240" i="2"/>
  <c r="M240" i="2"/>
  <c r="L240" i="2"/>
  <c r="K240" i="2"/>
  <c r="I240" i="2"/>
  <c r="G240" i="2"/>
  <c r="F240" i="2"/>
  <c r="W239" i="2"/>
  <c r="V239" i="2"/>
  <c r="U239" i="2"/>
  <c r="T239" i="2"/>
  <c r="S239" i="2"/>
  <c r="R239" i="2"/>
  <c r="Q239" i="2"/>
  <c r="O239" i="2"/>
  <c r="M239" i="2"/>
  <c r="L239" i="2"/>
  <c r="K239" i="2"/>
  <c r="I239" i="2"/>
  <c r="G239" i="2"/>
  <c r="F239" i="2"/>
  <c r="W238" i="2"/>
  <c r="V238" i="2"/>
  <c r="U238" i="2"/>
  <c r="T238" i="2"/>
  <c r="S238" i="2"/>
  <c r="R238" i="2"/>
  <c r="Q238" i="2"/>
  <c r="O238" i="2"/>
  <c r="M238" i="2"/>
  <c r="L238" i="2"/>
  <c r="K238" i="2"/>
  <c r="I238" i="2"/>
  <c r="G238" i="2"/>
  <c r="F238" i="2"/>
  <c r="W237" i="2"/>
  <c r="V237" i="2"/>
  <c r="U237" i="2"/>
  <c r="T237" i="2"/>
  <c r="S237" i="2"/>
  <c r="R237" i="2"/>
  <c r="Q237" i="2"/>
  <c r="O237" i="2"/>
  <c r="M237" i="2"/>
  <c r="L237" i="2"/>
  <c r="K237" i="2"/>
  <c r="I237" i="2"/>
  <c r="G237" i="2"/>
  <c r="F237" i="2"/>
  <c r="W236" i="2"/>
  <c r="V236" i="2"/>
  <c r="U236" i="2"/>
  <c r="T236" i="2"/>
  <c r="S236" i="2"/>
  <c r="R236" i="2"/>
  <c r="Q236" i="2"/>
  <c r="O236" i="2"/>
  <c r="M236" i="2"/>
  <c r="L236" i="2"/>
  <c r="K236" i="2"/>
  <c r="I236" i="2"/>
  <c r="G236" i="2"/>
  <c r="F236" i="2"/>
  <c r="W235" i="2"/>
  <c r="V235" i="2"/>
  <c r="U235" i="2"/>
  <c r="T235" i="2"/>
  <c r="S235" i="2"/>
  <c r="R235" i="2"/>
  <c r="Q235" i="2"/>
  <c r="O235" i="2"/>
  <c r="M235" i="2"/>
  <c r="L235" i="2"/>
  <c r="K235" i="2"/>
  <c r="I235" i="2"/>
  <c r="G235" i="2"/>
  <c r="F235" i="2"/>
  <c r="W234" i="2"/>
  <c r="V234" i="2"/>
  <c r="U234" i="2"/>
  <c r="T234" i="2"/>
  <c r="S234" i="2"/>
  <c r="R234" i="2"/>
  <c r="Q234" i="2"/>
  <c r="O234" i="2"/>
  <c r="M234" i="2"/>
  <c r="L234" i="2"/>
  <c r="K234" i="2"/>
  <c r="I234" i="2"/>
  <c r="G234" i="2"/>
  <c r="F234" i="2"/>
  <c r="W233" i="2"/>
  <c r="V233" i="2"/>
  <c r="U233" i="2"/>
  <c r="T233" i="2"/>
  <c r="S233" i="2"/>
  <c r="R233" i="2"/>
  <c r="Q233" i="2"/>
  <c r="O233" i="2"/>
  <c r="M233" i="2"/>
  <c r="L233" i="2"/>
  <c r="K233" i="2"/>
  <c r="I233" i="2"/>
  <c r="G233" i="2"/>
  <c r="F233" i="2"/>
  <c r="W232" i="2"/>
  <c r="V232" i="2"/>
  <c r="U232" i="2"/>
  <c r="T232" i="2"/>
  <c r="S232" i="2"/>
  <c r="R232" i="2"/>
  <c r="Q232" i="2"/>
  <c r="O232" i="2"/>
  <c r="M232" i="2"/>
  <c r="L232" i="2"/>
  <c r="K232" i="2"/>
  <c r="I232" i="2"/>
  <c r="G232" i="2"/>
  <c r="F232" i="2"/>
  <c r="W231" i="2"/>
  <c r="V231" i="2"/>
  <c r="U231" i="2"/>
  <c r="T231" i="2"/>
  <c r="S231" i="2"/>
  <c r="R231" i="2"/>
  <c r="Q231" i="2"/>
  <c r="O231" i="2"/>
  <c r="M231" i="2"/>
  <c r="L231" i="2"/>
  <c r="K231" i="2"/>
  <c r="I231" i="2"/>
  <c r="G231" i="2"/>
  <c r="F231" i="2"/>
  <c r="W230" i="2"/>
  <c r="V230" i="2"/>
  <c r="U230" i="2"/>
  <c r="T230" i="2"/>
  <c r="S230" i="2"/>
  <c r="R230" i="2"/>
  <c r="Q230" i="2"/>
  <c r="O230" i="2"/>
  <c r="M230" i="2"/>
  <c r="L230" i="2"/>
  <c r="K230" i="2"/>
  <c r="I230" i="2"/>
  <c r="G230" i="2"/>
  <c r="F230" i="2"/>
  <c r="W229" i="2"/>
  <c r="V229" i="2"/>
  <c r="U229" i="2"/>
  <c r="T229" i="2"/>
  <c r="S229" i="2"/>
  <c r="R229" i="2"/>
  <c r="Q229" i="2"/>
  <c r="O229" i="2"/>
  <c r="M229" i="2"/>
  <c r="L229" i="2"/>
  <c r="K229" i="2"/>
  <c r="I229" i="2"/>
  <c r="G229" i="2"/>
  <c r="F229" i="2"/>
  <c r="W228" i="2"/>
  <c r="V228" i="2"/>
  <c r="U228" i="2"/>
  <c r="T228" i="2"/>
  <c r="S228" i="2"/>
  <c r="R228" i="2"/>
  <c r="Q228" i="2"/>
  <c r="O228" i="2"/>
  <c r="M228" i="2"/>
  <c r="L228" i="2"/>
  <c r="K228" i="2"/>
  <c r="I228" i="2"/>
  <c r="G228" i="2"/>
  <c r="F228" i="2"/>
  <c r="W227" i="2"/>
  <c r="V227" i="2"/>
  <c r="U227" i="2"/>
  <c r="T227" i="2"/>
  <c r="S227" i="2"/>
  <c r="R227" i="2"/>
  <c r="Q227" i="2"/>
  <c r="O227" i="2"/>
  <c r="M227" i="2"/>
  <c r="L227" i="2"/>
  <c r="K227" i="2"/>
  <c r="I227" i="2"/>
  <c r="G227" i="2"/>
  <c r="F227" i="2"/>
  <c r="W226" i="2"/>
  <c r="V226" i="2"/>
  <c r="U226" i="2"/>
  <c r="T226" i="2"/>
  <c r="S226" i="2"/>
  <c r="R226" i="2"/>
  <c r="Q226" i="2"/>
  <c r="O226" i="2"/>
  <c r="M226" i="2"/>
  <c r="L226" i="2"/>
  <c r="K226" i="2"/>
  <c r="I226" i="2"/>
  <c r="G226" i="2"/>
  <c r="F226" i="2"/>
  <c r="W225" i="2"/>
  <c r="V225" i="2"/>
  <c r="U225" i="2"/>
  <c r="T225" i="2"/>
  <c r="S225" i="2"/>
  <c r="R225" i="2"/>
  <c r="Q225" i="2"/>
  <c r="O225" i="2"/>
  <c r="M225" i="2"/>
  <c r="L225" i="2"/>
  <c r="K225" i="2"/>
  <c r="I225" i="2"/>
  <c r="G225" i="2"/>
  <c r="F225" i="2"/>
  <c r="W224" i="2"/>
  <c r="V224" i="2"/>
  <c r="U224" i="2"/>
  <c r="T224" i="2"/>
  <c r="S224" i="2"/>
  <c r="R224" i="2"/>
  <c r="Q224" i="2"/>
  <c r="O224" i="2"/>
  <c r="M224" i="2"/>
  <c r="L224" i="2"/>
  <c r="K224" i="2"/>
  <c r="I224" i="2"/>
  <c r="G224" i="2"/>
  <c r="F224" i="2"/>
  <c r="W223" i="2"/>
  <c r="V223" i="2"/>
  <c r="U223" i="2"/>
  <c r="T223" i="2"/>
  <c r="S223" i="2"/>
  <c r="R223" i="2"/>
  <c r="Q223" i="2"/>
  <c r="O223" i="2"/>
  <c r="M223" i="2"/>
  <c r="L223" i="2"/>
  <c r="K223" i="2"/>
  <c r="I223" i="2"/>
  <c r="G223" i="2"/>
  <c r="F223" i="2"/>
  <c r="W222" i="2"/>
  <c r="V222" i="2"/>
  <c r="U222" i="2"/>
  <c r="T222" i="2"/>
  <c r="S222" i="2"/>
  <c r="R222" i="2"/>
  <c r="Q222" i="2"/>
  <c r="O222" i="2"/>
  <c r="M222" i="2"/>
  <c r="L222" i="2"/>
  <c r="K222" i="2"/>
  <c r="I222" i="2"/>
  <c r="G222" i="2"/>
  <c r="F222" i="2"/>
  <c r="W221" i="2"/>
  <c r="V221" i="2"/>
  <c r="U221" i="2"/>
  <c r="T221" i="2"/>
  <c r="S221" i="2"/>
  <c r="R221" i="2"/>
  <c r="Q221" i="2"/>
  <c r="O221" i="2"/>
  <c r="M221" i="2"/>
  <c r="L221" i="2"/>
  <c r="K221" i="2"/>
  <c r="I221" i="2"/>
  <c r="G221" i="2"/>
  <c r="F221" i="2"/>
  <c r="W220" i="2"/>
  <c r="V220" i="2"/>
  <c r="U220" i="2"/>
  <c r="T220" i="2"/>
  <c r="S220" i="2"/>
  <c r="R220" i="2"/>
  <c r="Q220" i="2"/>
  <c r="O220" i="2"/>
  <c r="M220" i="2"/>
  <c r="L220" i="2"/>
  <c r="K220" i="2"/>
  <c r="I220" i="2"/>
  <c r="G220" i="2"/>
  <c r="F220" i="2"/>
  <c r="W219" i="2"/>
  <c r="V219" i="2"/>
  <c r="U219" i="2"/>
  <c r="T219" i="2"/>
  <c r="S219" i="2"/>
  <c r="R219" i="2"/>
  <c r="Q219" i="2"/>
  <c r="O219" i="2"/>
  <c r="M219" i="2"/>
  <c r="L219" i="2"/>
  <c r="K219" i="2"/>
  <c r="I219" i="2"/>
  <c r="G219" i="2"/>
  <c r="F219" i="2"/>
  <c r="W218" i="2"/>
  <c r="V218" i="2"/>
  <c r="U218" i="2"/>
  <c r="T218" i="2"/>
  <c r="S218" i="2"/>
  <c r="R218" i="2"/>
  <c r="Q218" i="2"/>
  <c r="O218" i="2"/>
  <c r="M218" i="2"/>
  <c r="L218" i="2"/>
  <c r="K218" i="2"/>
  <c r="I218" i="2"/>
  <c r="G218" i="2"/>
  <c r="F218" i="2"/>
  <c r="W217" i="2"/>
  <c r="V217" i="2"/>
  <c r="U217" i="2"/>
  <c r="T217" i="2"/>
  <c r="S217" i="2"/>
  <c r="R217" i="2"/>
  <c r="Q217" i="2"/>
  <c r="O217" i="2"/>
  <c r="M217" i="2"/>
  <c r="L217" i="2"/>
  <c r="K217" i="2"/>
  <c r="I217" i="2"/>
  <c r="G217" i="2"/>
  <c r="F217" i="2"/>
  <c r="W216" i="2"/>
  <c r="V216" i="2"/>
  <c r="U216" i="2"/>
  <c r="T216" i="2"/>
  <c r="S216" i="2"/>
  <c r="R216" i="2"/>
  <c r="Q216" i="2"/>
  <c r="O216" i="2"/>
  <c r="M216" i="2"/>
  <c r="L216" i="2"/>
  <c r="K216" i="2"/>
  <c r="I216" i="2"/>
  <c r="G216" i="2"/>
  <c r="F216" i="2"/>
  <c r="W215" i="2"/>
  <c r="V215" i="2"/>
  <c r="U215" i="2"/>
  <c r="T215" i="2"/>
  <c r="S215" i="2"/>
  <c r="R215" i="2"/>
  <c r="Q215" i="2"/>
  <c r="O215" i="2"/>
  <c r="M215" i="2"/>
  <c r="L215" i="2"/>
  <c r="K215" i="2"/>
  <c r="I215" i="2"/>
  <c r="G215" i="2"/>
  <c r="F215" i="2"/>
  <c r="W214" i="2"/>
  <c r="V214" i="2"/>
  <c r="U214" i="2"/>
  <c r="T214" i="2"/>
  <c r="S214" i="2"/>
  <c r="R214" i="2"/>
  <c r="Q214" i="2"/>
  <c r="O214" i="2"/>
  <c r="M214" i="2"/>
  <c r="L214" i="2"/>
  <c r="K214" i="2"/>
  <c r="I214" i="2"/>
  <c r="G214" i="2"/>
  <c r="F214" i="2"/>
  <c r="W213" i="2"/>
  <c r="V213" i="2"/>
  <c r="U213" i="2"/>
  <c r="T213" i="2"/>
  <c r="S213" i="2"/>
  <c r="R213" i="2"/>
  <c r="Q213" i="2"/>
  <c r="O213" i="2"/>
  <c r="M213" i="2"/>
  <c r="L213" i="2"/>
  <c r="K213" i="2"/>
  <c r="I213" i="2"/>
  <c r="G213" i="2"/>
  <c r="F213" i="2"/>
  <c r="W212" i="2"/>
  <c r="V212" i="2"/>
  <c r="U212" i="2"/>
  <c r="T212" i="2"/>
  <c r="S212" i="2"/>
  <c r="R212" i="2"/>
  <c r="Q212" i="2"/>
  <c r="O212" i="2"/>
  <c r="M212" i="2"/>
  <c r="L212" i="2"/>
  <c r="K212" i="2"/>
  <c r="I212" i="2"/>
  <c r="G212" i="2"/>
  <c r="F212" i="2"/>
  <c r="W211" i="2"/>
  <c r="V211" i="2"/>
  <c r="U211" i="2"/>
  <c r="T211" i="2"/>
  <c r="S211" i="2"/>
  <c r="R211" i="2"/>
  <c r="Q211" i="2"/>
  <c r="O211" i="2"/>
  <c r="M211" i="2"/>
  <c r="L211" i="2"/>
  <c r="K211" i="2"/>
  <c r="I211" i="2"/>
  <c r="G211" i="2"/>
  <c r="F211" i="2"/>
  <c r="W210" i="2"/>
  <c r="V210" i="2"/>
  <c r="U210" i="2"/>
  <c r="T210" i="2"/>
  <c r="S210" i="2"/>
  <c r="R210" i="2"/>
  <c r="Q210" i="2"/>
  <c r="O210" i="2"/>
  <c r="M210" i="2"/>
  <c r="L210" i="2"/>
  <c r="K210" i="2"/>
  <c r="I210" i="2"/>
  <c r="G210" i="2"/>
  <c r="F210" i="2"/>
  <c r="W209" i="2"/>
  <c r="V209" i="2"/>
  <c r="U209" i="2"/>
  <c r="T209" i="2"/>
  <c r="S209" i="2"/>
  <c r="R209" i="2"/>
  <c r="Q209" i="2"/>
  <c r="O209" i="2"/>
  <c r="M209" i="2"/>
  <c r="L209" i="2"/>
  <c r="K209" i="2"/>
  <c r="I209" i="2"/>
  <c r="G209" i="2"/>
  <c r="F209" i="2"/>
  <c r="W208" i="2"/>
  <c r="V208" i="2"/>
  <c r="U208" i="2"/>
  <c r="T208" i="2"/>
  <c r="S208" i="2"/>
  <c r="R208" i="2"/>
  <c r="Q208" i="2"/>
  <c r="O208" i="2"/>
  <c r="M208" i="2"/>
  <c r="L208" i="2"/>
  <c r="K208" i="2"/>
  <c r="I208" i="2"/>
  <c r="G208" i="2"/>
  <c r="F208" i="2"/>
  <c r="W207" i="2"/>
  <c r="V207" i="2"/>
  <c r="U207" i="2"/>
  <c r="T207" i="2"/>
  <c r="S207" i="2"/>
  <c r="R207" i="2"/>
  <c r="Q207" i="2"/>
  <c r="O207" i="2"/>
  <c r="M207" i="2"/>
  <c r="L207" i="2"/>
  <c r="K207" i="2"/>
  <c r="I207" i="2"/>
  <c r="G207" i="2"/>
  <c r="F207" i="2"/>
  <c r="W206" i="2"/>
  <c r="V206" i="2"/>
  <c r="U206" i="2"/>
  <c r="T206" i="2"/>
  <c r="S206" i="2"/>
  <c r="R206" i="2"/>
  <c r="Q206" i="2"/>
  <c r="O206" i="2"/>
  <c r="M206" i="2"/>
  <c r="L206" i="2"/>
  <c r="K206" i="2"/>
  <c r="I206" i="2"/>
  <c r="G206" i="2"/>
  <c r="F206" i="2"/>
  <c r="W205" i="2"/>
  <c r="V205" i="2"/>
  <c r="U205" i="2"/>
  <c r="T205" i="2"/>
  <c r="S205" i="2"/>
  <c r="R205" i="2"/>
  <c r="Q205" i="2"/>
  <c r="O205" i="2"/>
  <c r="M205" i="2"/>
  <c r="L205" i="2"/>
  <c r="K205" i="2"/>
  <c r="I205" i="2"/>
  <c r="G205" i="2"/>
  <c r="F205" i="2"/>
  <c r="W204" i="2"/>
  <c r="V204" i="2"/>
  <c r="U204" i="2"/>
  <c r="T204" i="2"/>
  <c r="S204" i="2"/>
  <c r="R204" i="2"/>
  <c r="Q204" i="2"/>
  <c r="O204" i="2"/>
  <c r="M204" i="2"/>
  <c r="L204" i="2"/>
  <c r="K204" i="2"/>
  <c r="I204" i="2"/>
  <c r="G204" i="2"/>
  <c r="F204" i="2"/>
  <c r="W203" i="2"/>
  <c r="V203" i="2"/>
  <c r="U203" i="2"/>
  <c r="T203" i="2"/>
  <c r="S203" i="2"/>
  <c r="R203" i="2"/>
  <c r="Q203" i="2"/>
  <c r="O203" i="2"/>
  <c r="M203" i="2"/>
  <c r="L203" i="2"/>
  <c r="K203" i="2"/>
  <c r="I203" i="2"/>
  <c r="G203" i="2"/>
  <c r="F203" i="2"/>
  <c r="W202" i="2"/>
  <c r="V202" i="2"/>
  <c r="U202" i="2"/>
  <c r="T202" i="2"/>
  <c r="S202" i="2"/>
  <c r="R202" i="2"/>
  <c r="Q202" i="2"/>
  <c r="O202" i="2"/>
  <c r="M202" i="2"/>
  <c r="L202" i="2"/>
  <c r="K202" i="2"/>
  <c r="I202" i="2"/>
  <c r="G202" i="2"/>
  <c r="F202" i="2"/>
  <c r="W201" i="2"/>
  <c r="V201" i="2"/>
  <c r="U201" i="2"/>
  <c r="T201" i="2"/>
  <c r="S201" i="2"/>
  <c r="R201" i="2"/>
  <c r="Q201" i="2"/>
  <c r="O201" i="2"/>
  <c r="M201" i="2"/>
  <c r="L201" i="2"/>
  <c r="K201" i="2"/>
  <c r="I201" i="2"/>
  <c r="G201" i="2"/>
  <c r="F201" i="2"/>
  <c r="W200" i="2"/>
  <c r="V200" i="2"/>
  <c r="U200" i="2"/>
  <c r="T200" i="2"/>
  <c r="S200" i="2"/>
  <c r="R200" i="2"/>
  <c r="Q200" i="2"/>
  <c r="O200" i="2"/>
  <c r="M200" i="2"/>
  <c r="L200" i="2"/>
  <c r="K200" i="2"/>
  <c r="I200" i="2"/>
  <c r="G200" i="2"/>
  <c r="F200" i="2"/>
  <c r="W199" i="2"/>
  <c r="V199" i="2"/>
  <c r="U199" i="2"/>
  <c r="T199" i="2"/>
  <c r="S199" i="2"/>
  <c r="R199" i="2"/>
  <c r="Q199" i="2"/>
  <c r="O199" i="2"/>
  <c r="M199" i="2"/>
  <c r="L199" i="2"/>
  <c r="K199" i="2"/>
  <c r="I199" i="2"/>
  <c r="G199" i="2"/>
  <c r="F199" i="2"/>
  <c r="W198" i="2"/>
  <c r="V198" i="2"/>
  <c r="U198" i="2"/>
  <c r="T198" i="2"/>
  <c r="S198" i="2"/>
  <c r="R198" i="2"/>
  <c r="Q198" i="2"/>
  <c r="O198" i="2"/>
  <c r="M198" i="2"/>
  <c r="L198" i="2"/>
  <c r="K198" i="2"/>
  <c r="I198" i="2"/>
  <c r="G198" i="2"/>
  <c r="F198" i="2"/>
  <c r="W197" i="2"/>
  <c r="V197" i="2"/>
  <c r="U197" i="2"/>
  <c r="T197" i="2"/>
  <c r="S197" i="2"/>
  <c r="R197" i="2"/>
  <c r="Q197" i="2"/>
  <c r="O197" i="2"/>
  <c r="M197" i="2"/>
  <c r="L197" i="2"/>
  <c r="K197" i="2"/>
  <c r="I197" i="2"/>
  <c r="G197" i="2"/>
  <c r="F197" i="2"/>
  <c r="W196" i="2"/>
  <c r="V196" i="2"/>
  <c r="U196" i="2"/>
  <c r="T196" i="2"/>
  <c r="S196" i="2"/>
  <c r="R196" i="2"/>
  <c r="Q196" i="2"/>
  <c r="O196" i="2"/>
  <c r="M196" i="2"/>
  <c r="L196" i="2"/>
  <c r="K196" i="2"/>
  <c r="I196" i="2"/>
  <c r="G196" i="2"/>
  <c r="F196" i="2"/>
  <c r="W195" i="2"/>
  <c r="V195" i="2"/>
  <c r="U195" i="2"/>
  <c r="T195" i="2"/>
  <c r="S195" i="2"/>
  <c r="R195" i="2"/>
  <c r="Q195" i="2"/>
  <c r="O195" i="2"/>
  <c r="M195" i="2"/>
  <c r="L195" i="2"/>
  <c r="K195" i="2"/>
  <c r="I195" i="2"/>
  <c r="G195" i="2"/>
  <c r="F195" i="2"/>
  <c r="W194" i="2"/>
  <c r="V194" i="2"/>
  <c r="U194" i="2"/>
  <c r="T194" i="2"/>
  <c r="S194" i="2"/>
  <c r="R194" i="2"/>
  <c r="Q194" i="2"/>
  <c r="O194" i="2"/>
  <c r="M194" i="2"/>
  <c r="L194" i="2"/>
  <c r="K194" i="2"/>
  <c r="I194" i="2"/>
  <c r="G194" i="2"/>
  <c r="F194" i="2"/>
  <c r="W193" i="2"/>
  <c r="V193" i="2"/>
  <c r="U193" i="2"/>
  <c r="T193" i="2"/>
  <c r="S193" i="2"/>
  <c r="R193" i="2"/>
  <c r="Q193" i="2"/>
  <c r="O193" i="2"/>
  <c r="M193" i="2"/>
  <c r="L193" i="2"/>
  <c r="K193" i="2"/>
  <c r="I193" i="2"/>
  <c r="G193" i="2"/>
  <c r="F193" i="2"/>
  <c r="W192" i="2"/>
  <c r="V192" i="2"/>
  <c r="U192" i="2"/>
  <c r="T192" i="2"/>
  <c r="S192" i="2"/>
  <c r="R192" i="2"/>
  <c r="Q192" i="2"/>
  <c r="O192" i="2"/>
  <c r="M192" i="2"/>
  <c r="L192" i="2"/>
  <c r="K192" i="2"/>
  <c r="I192" i="2"/>
  <c r="G192" i="2"/>
  <c r="F192" i="2"/>
  <c r="W191" i="2"/>
  <c r="V191" i="2"/>
  <c r="U191" i="2"/>
  <c r="T191" i="2"/>
  <c r="S191" i="2"/>
  <c r="R191" i="2"/>
  <c r="Q191" i="2"/>
  <c r="O191" i="2"/>
  <c r="M191" i="2"/>
  <c r="L191" i="2"/>
  <c r="K191" i="2"/>
  <c r="I191" i="2"/>
  <c r="G191" i="2"/>
  <c r="F191" i="2"/>
  <c r="W190" i="2"/>
  <c r="V190" i="2"/>
  <c r="U190" i="2"/>
  <c r="T190" i="2"/>
  <c r="S190" i="2"/>
  <c r="R190" i="2"/>
  <c r="Q190" i="2"/>
  <c r="O190" i="2"/>
  <c r="M190" i="2"/>
  <c r="L190" i="2"/>
  <c r="K190" i="2"/>
  <c r="I190" i="2"/>
  <c r="G190" i="2"/>
  <c r="F190" i="2"/>
  <c r="W189" i="2"/>
  <c r="V189" i="2"/>
  <c r="U189" i="2"/>
  <c r="T189" i="2"/>
  <c r="S189" i="2"/>
  <c r="R189" i="2"/>
  <c r="Q189" i="2"/>
  <c r="O189" i="2"/>
  <c r="M189" i="2"/>
  <c r="L189" i="2"/>
  <c r="K189" i="2"/>
  <c r="I189" i="2"/>
  <c r="G189" i="2"/>
  <c r="F189" i="2"/>
  <c r="W188" i="2"/>
  <c r="V188" i="2"/>
  <c r="U188" i="2"/>
  <c r="T188" i="2"/>
  <c r="S188" i="2"/>
  <c r="R188" i="2"/>
  <c r="Q188" i="2"/>
  <c r="O188" i="2"/>
  <c r="M188" i="2"/>
  <c r="L188" i="2"/>
  <c r="K188" i="2"/>
  <c r="I188" i="2"/>
  <c r="G188" i="2"/>
  <c r="F188" i="2"/>
  <c r="W187" i="2"/>
  <c r="V187" i="2"/>
  <c r="U187" i="2"/>
  <c r="T187" i="2"/>
  <c r="S187" i="2"/>
  <c r="R187" i="2"/>
  <c r="Q187" i="2"/>
  <c r="O187" i="2"/>
  <c r="M187" i="2"/>
  <c r="L187" i="2"/>
  <c r="K187" i="2"/>
  <c r="I187" i="2"/>
  <c r="G187" i="2"/>
  <c r="F187" i="2"/>
  <c r="W186" i="2"/>
  <c r="V186" i="2"/>
  <c r="U186" i="2"/>
  <c r="T186" i="2"/>
  <c r="S186" i="2"/>
  <c r="R186" i="2"/>
  <c r="Q186" i="2"/>
  <c r="O186" i="2"/>
  <c r="M186" i="2"/>
  <c r="L186" i="2"/>
  <c r="K186" i="2"/>
  <c r="I186" i="2"/>
  <c r="G186" i="2"/>
  <c r="F186" i="2"/>
  <c r="W185" i="2"/>
  <c r="V185" i="2"/>
  <c r="U185" i="2"/>
  <c r="T185" i="2"/>
  <c r="S185" i="2"/>
  <c r="R185" i="2"/>
  <c r="Q185" i="2"/>
  <c r="O185" i="2"/>
  <c r="M185" i="2"/>
  <c r="L185" i="2"/>
  <c r="K185" i="2"/>
  <c r="I185" i="2"/>
  <c r="G185" i="2"/>
  <c r="F185" i="2"/>
  <c r="W184" i="2"/>
  <c r="V184" i="2"/>
  <c r="U184" i="2"/>
  <c r="T184" i="2"/>
  <c r="S184" i="2"/>
  <c r="R184" i="2"/>
  <c r="Q184" i="2"/>
  <c r="O184" i="2"/>
  <c r="M184" i="2"/>
  <c r="L184" i="2"/>
  <c r="K184" i="2"/>
  <c r="I184" i="2"/>
  <c r="G184" i="2"/>
  <c r="F184" i="2"/>
  <c r="W183" i="2"/>
  <c r="V183" i="2"/>
  <c r="U183" i="2"/>
  <c r="T183" i="2"/>
  <c r="S183" i="2"/>
  <c r="R183" i="2"/>
  <c r="Q183" i="2"/>
  <c r="O183" i="2"/>
  <c r="M183" i="2"/>
  <c r="L183" i="2"/>
  <c r="K183" i="2"/>
  <c r="I183" i="2"/>
  <c r="G183" i="2"/>
  <c r="F183" i="2"/>
  <c r="W182" i="2"/>
  <c r="V182" i="2"/>
  <c r="U182" i="2"/>
  <c r="T182" i="2"/>
  <c r="S182" i="2"/>
  <c r="R182" i="2"/>
  <c r="Q182" i="2"/>
  <c r="O182" i="2"/>
  <c r="M182" i="2"/>
  <c r="L182" i="2"/>
  <c r="K182" i="2"/>
  <c r="I182" i="2"/>
  <c r="G182" i="2"/>
  <c r="F182" i="2"/>
  <c r="W181" i="2"/>
  <c r="V181" i="2"/>
  <c r="U181" i="2"/>
  <c r="T181" i="2"/>
  <c r="S181" i="2"/>
  <c r="R181" i="2"/>
  <c r="Q181" i="2"/>
  <c r="O181" i="2"/>
  <c r="M181" i="2"/>
  <c r="L181" i="2"/>
  <c r="K181" i="2"/>
  <c r="I181" i="2"/>
  <c r="G181" i="2"/>
  <c r="F181" i="2"/>
  <c r="W180" i="2"/>
  <c r="V180" i="2"/>
  <c r="U180" i="2"/>
  <c r="T180" i="2"/>
  <c r="S180" i="2"/>
  <c r="R180" i="2"/>
  <c r="Q180" i="2"/>
  <c r="O180" i="2"/>
  <c r="M180" i="2"/>
  <c r="L180" i="2"/>
  <c r="K180" i="2"/>
  <c r="I180" i="2"/>
  <c r="G180" i="2"/>
  <c r="F180" i="2"/>
  <c r="W179" i="2"/>
  <c r="V179" i="2"/>
  <c r="U179" i="2"/>
  <c r="T179" i="2"/>
  <c r="S179" i="2"/>
  <c r="R179" i="2"/>
  <c r="Q179" i="2"/>
  <c r="O179" i="2"/>
  <c r="M179" i="2"/>
  <c r="L179" i="2"/>
  <c r="K179" i="2"/>
  <c r="I179" i="2"/>
  <c r="G179" i="2"/>
  <c r="F179" i="2"/>
  <c r="W178" i="2"/>
  <c r="V178" i="2"/>
  <c r="U178" i="2"/>
  <c r="T178" i="2"/>
  <c r="S178" i="2"/>
  <c r="R178" i="2"/>
  <c r="Q178" i="2"/>
  <c r="O178" i="2"/>
  <c r="M178" i="2"/>
  <c r="L178" i="2"/>
  <c r="K178" i="2"/>
  <c r="I178" i="2"/>
  <c r="G178" i="2"/>
  <c r="F178" i="2"/>
  <c r="W177" i="2"/>
  <c r="V177" i="2"/>
  <c r="U177" i="2"/>
  <c r="T177" i="2"/>
  <c r="S177" i="2"/>
  <c r="R177" i="2"/>
  <c r="Q177" i="2"/>
  <c r="O177" i="2"/>
  <c r="M177" i="2"/>
  <c r="L177" i="2"/>
  <c r="K177" i="2"/>
  <c r="I177" i="2"/>
  <c r="G177" i="2"/>
  <c r="F177" i="2"/>
  <c r="W176" i="2"/>
  <c r="V176" i="2"/>
  <c r="U176" i="2"/>
  <c r="T176" i="2"/>
  <c r="S176" i="2"/>
  <c r="R176" i="2"/>
  <c r="Q176" i="2"/>
  <c r="O176" i="2"/>
  <c r="M176" i="2"/>
  <c r="L176" i="2"/>
  <c r="K176" i="2"/>
  <c r="I176" i="2"/>
  <c r="G176" i="2"/>
  <c r="F176" i="2"/>
  <c r="W175" i="2"/>
  <c r="V175" i="2"/>
  <c r="U175" i="2"/>
  <c r="T175" i="2"/>
  <c r="S175" i="2"/>
  <c r="R175" i="2"/>
  <c r="Q175" i="2"/>
  <c r="O175" i="2"/>
  <c r="M175" i="2"/>
  <c r="L175" i="2"/>
  <c r="K175" i="2"/>
  <c r="I175" i="2"/>
  <c r="G175" i="2"/>
  <c r="F175" i="2"/>
  <c r="W174" i="2"/>
  <c r="V174" i="2"/>
  <c r="U174" i="2"/>
  <c r="T174" i="2"/>
  <c r="S174" i="2"/>
  <c r="R174" i="2"/>
  <c r="Q174" i="2"/>
  <c r="O174" i="2"/>
  <c r="M174" i="2"/>
  <c r="L174" i="2"/>
  <c r="K174" i="2"/>
  <c r="I174" i="2"/>
  <c r="G174" i="2"/>
  <c r="F174" i="2"/>
  <c r="W173" i="2"/>
  <c r="V173" i="2"/>
  <c r="U173" i="2"/>
  <c r="T173" i="2"/>
  <c r="S173" i="2"/>
  <c r="R173" i="2"/>
  <c r="Q173" i="2"/>
  <c r="O173" i="2"/>
  <c r="M173" i="2"/>
  <c r="L173" i="2"/>
  <c r="K173" i="2"/>
  <c r="I173" i="2"/>
  <c r="G173" i="2"/>
  <c r="F173" i="2"/>
  <c r="W172" i="2"/>
  <c r="V172" i="2"/>
  <c r="U172" i="2"/>
  <c r="T172" i="2"/>
  <c r="S172" i="2"/>
  <c r="R172" i="2"/>
  <c r="Q172" i="2"/>
  <c r="O172" i="2"/>
  <c r="M172" i="2"/>
  <c r="L172" i="2"/>
  <c r="K172" i="2"/>
  <c r="I172" i="2"/>
  <c r="G172" i="2"/>
  <c r="F172" i="2"/>
  <c r="W171" i="2"/>
  <c r="V171" i="2"/>
  <c r="U171" i="2"/>
  <c r="T171" i="2"/>
  <c r="S171" i="2"/>
  <c r="R171" i="2"/>
  <c r="Q171" i="2"/>
  <c r="O171" i="2"/>
  <c r="M171" i="2"/>
  <c r="L171" i="2"/>
  <c r="K171" i="2"/>
  <c r="I171" i="2"/>
  <c r="G171" i="2"/>
  <c r="F171" i="2"/>
  <c r="W170" i="2"/>
  <c r="V170" i="2"/>
  <c r="U170" i="2"/>
  <c r="T170" i="2"/>
  <c r="S170" i="2"/>
  <c r="R170" i="2"/>
  <c r="Q170" i="2"/>
  <c r="O170" i="2"/>
  <c r="M170" i="2"/>
  <c r="L170" i="2"/>
  <c r="K170" i="2"/>
  <c r="I170" i="2"/>
  <c r="G170" i="2"/>
  <c r="F170" i="2"/>
  <c r="W169" i="2"/>
  <c r="V169" i="2"/>
  <c r="U169" i="2"/>
  <c r="T169" i="2"/>
  <c r="S169" i="2"/>
  <c r="R169" i="2"/>
  <c r="Q169" i="2"/>
  <c r="O169" i="2"/>
  <c r="M169" i="2"/>
  <c r="L169" i="2"/>
  <c r="K169" i="2"/>
  <c r="I169" i="2"/>
  <c r="G169" i="2"/>
  <c r="F169" i="2"/>
  <c r="W168" i="2"/>
  <c r="V168" i="2"/>
  <c r="U168" i="2"/>
  <c r="T168" i="2"/>
  <c r="S168" i="2"/>
  <c r="R168" i="2"/>
  <c r="Q168" i="2"/>
  <c r="O168" i="2"/>
  <c r="M168" i="2"/>
  <c r="L168" i="2"/>
  <c r="K168" i="2"/>
  <c r="I168" i="2"/>
  <c r="G168" i="2"/>
  <c r="F168" i="2"/>
  <c r="W167" i="2"/>
  <c r="V167" i="2"/>
  <c r="U167" i="2"/>
  <c r="T167" i="2"/>
  <c r="S167" i="2"/>
  <c r="R167" i="2"/>
  <c r="Q167" i="2"/>
  <c r="O167" i="2"/>
  <c r="M167" i="2"/>
  <c r="L167" i="2"/>
  <c r="K167" i="2"/>
  <c r="I167" i="2"/>
  <c r="G167" i="2"/>
  <c r="F167" i="2"/>
  <c r="W166" i="2"/>
  <c r="V166" i="2"/>
  <c r="U166" i="2"/>
  <c r="T166" i="2"/>
  <c r="S166" i="2"/>
  <c r="R166" i="2"/>
  <c r="Q166" i="2"/>
  <c r="O166" i="2"/>
  <c r="M166" i="2"/>
  <c r="L166" i="2"/>
  <c r="K166" i="2"/>
  <c r="I166" i="2"/>
  <c r="G166" i="2"/>
  <c r="F166" i="2"/>
  <c r="W165" i="2"/>
  <c r="V165" i="2"/>
  <c r="U165" i="2"/>
  <c r="T165" i="2"/>
  <c r="S165" i="2"/>
  <c r="R165" i="2"/>
  <c r="Q165" i="2"/>
  <c r="O165" i="2"/>
  <c r="M165" i="2"/>
  <c r="L165" i="2"/>
  <c r="K165" i="2"/>
  <c r="I165" i="2"/>
  <c r="G165" i="2"/>
  <c r="F165" i="2"/>
  <c r="W164" i="2"/>
  <c r="V164" i="2"/>
  <c r="U164" i="2"/>
  <c r="T164" i="2"/>
  <c r="S164" i="2"/>
  <c r="R164" i="2"/>
  <c r="Q164" i="2"/>
  <c r="O164" i="2"/>
  <c r="M164" i="2"/>
  <c r="L164" i="2"/>
  <c r="K164" i="2"/>
  <c r="I164" i="2"/>
  <c r="G164" i="2"/>
  <c r="F164" i="2"/>
  <c r="W163" i="2"/>
  <c r="V163" i="2"/>
  <c r="U163" i="2"/>
  <c r="T163" i="2"/>
  <c r="S163" i="2"/>
  <c r="R163" i="2"/>
  <c r="Q163" i="2"/>
  <c r="O163" i="2"/>
  <c r="M163" i="2"/>
  <c r="L163" i="2"/>
  <c r="K163" i="2"/>
  <c r="I163" i="2"/>
  <c r="G163" i="2"/>
  <c r="F163" i="2"/>
  <c r="W162" i="2"/>
  <c r="V162" i="2"/>
  <c r="U162" i="2"/>
  <c r="T162" i="2"/>
  <c r="S162" i="2"/>
  <c r="R162" i="2"/>
  <c r="Q162" i="2"/>
  <c r="O162" i="2"/>
  <c r="M162" i="2"/>
  <c r="L162" i="2"/>
  <c r="K162" i="2"/>
  <c r="I162" i="2"/>
  <c r="G162" i="2"/>
  <c r="F162" i="2"/>
  <c r="W161" i="2"/>
  <c r="V161" i="2"/>
  <c r="U161" i="2"/>
  <c r="T161" i="2"/>
  <c r="S161" i="2"/>
  <c r="R161" i="2"/>
  <c r="Q161" i="2"/>
  <c r="O161" i="2"/>
  <c r="M161" i="2"/>
  <c r="L161" i="2"/>
  <c r="K161" i="2"/>
  <c r="I161" i="2"/>
  <c r="G161" i="2"/>
  <c r="F161" i="2"/>
  <c r="W160" i="2"/>
  <c r="V160" i="2"/>
  <c r="U160" i="2"/>
  <c r="T160" i="2"/>
  <c r="S160" i="2"/>
  <c r="R160" i="2"/>
  <c r="Q160" i="2"/>
  <c r="O160" i="2"/>
  <c r="M160" i="2"/>
  <c r="L160" i="2"/>
  <c r="K160" i="2"/>
  <c r="I160" i="2"/>
  <c r="G160" i="2"/>
  <c r="F160" i="2"/>
  <c r="W159" i="2"/>
  <c r="V159" i="2"/>
  <c r="U159" i="2"/>
  <c r="T159" i="2"/>
  <c r="S159" i="2"/>
  <c r="R159" i="2"/>
  <c r="Q159" i="2"/>
  <c r="O159" i="2"/>
  <c r="M159" i="2"/>
  <c r="L159" i="2"/>
  <c r="K159" i="2"/>
  <c r="I159" i="2"/>
  <c r="G159" i="2"/>
  <c r="F159" i="2"/>
  <c r="W158" i="2"/>
  <c r="V158" i="2"/>
  <c r="U158" i="2"/>
  <c r="T158" i="2"/>
  <c r="S158" i="2"/>
  <c r="R158" i="2"/>
  <c r="Q158" i="2"/>
  <c r="O158" i="2"/>
  <c r="M158" i="2"/>
  <c r="L158" i="2"/>
  <c r="K158" i="2"/>
  <c r="I158" i="2"/>
  <c r="G158" i="2"/>
  <c r="F158" i="2"/>
  <c r="W157" i="2"/>
  <c r="V157" i="2"/>
  <c r="U157" i="2"/>
  <c r="T157" i="2"/>
  <c r="S157" i="2"/>
  <c r="R157" i="2"/>
  <c r="Q157" i="2"/>
  <c r="O157" i="2"/>
  <c r="M157" i="2"/>
  <c r="L157" i="2"/>
  <c r="K157" i="2"/>
  <c r="I157" i="2"/>
  <c r="G157" i="2"/>
  <c r="F157" i="2"/>
  <c r="W156" i="2"/>
  <c r="V156" i="2"/>
  <c r="U156" i="2"/>
  <c r="T156" i="2"/>
  <c r="S156" i="2"/>
  <c r="R156" i="2"/>
  <c r="Q156" i="2"/>
  <c r="O156" i="2"/>
  <c r="M156" i="2"/>
  <c r="L156" i="2"/>
  <c r="K156" i="2"/>
  <c r="I156" i="2"/>
  <c r="G156" i="2"/>
  <c r="F156" i="2"/>
  <c r="W155" i="2"/>
  <c r="V155" i="2"/>
  <c r="U155" i="2"/>
  <c r="T155" i="2"/>
  <c r="S155" i="2"/>
  <c r="R155" i="2"/>
  <c r="Q155" i="2"/>
  <c r="O155" i="2"/>
  <c r="M155" i="2"/>
  <c r="L155" i="2"/>
  <c r="K155" i="2"/>
  <c r="I155" i="2"/>
  <c r="G155" i="2"/>
  <c r="F155" i="2"/>
  <c r="W154" i="2"/>
  <c r="V154" i="2"/>
  <c r="U154" i="2"/>
  <c r="T154" i="2"/>
  <c r="S154" i="2"/>
  <c r="R154" i="2"/>
  <c r="Q154" i="2"/>
  <c r="O154" i="2"/>
  <c r="M154" i="2"/>
  <c r="L154" i="2"/>
  <c r="K154" i="2"/>
  <c r="I154" i="2"/>
  <c r="G154" i="2"/>
  <c r="F154" i="2"/>
  <c r="W153" i="2"/>
  <c r="V153" i="2"/>
  <c r="U153" i="2"/>
  <c r="T153" i="2"/>
  <c r="S153" i="2"/>
  <c r="R153" i="2"/>
  <c r="Q153" i="2"/>
  <c r="O153" i="2"/>
  <c r="M153" i="2"/>
  <c r="L153" i="2"/>
  <c r="K153" i="2"/>
  <c r="I153" i="2"/>
  <c r="G153" i="2"/>
  <c r="F153" i="2"/>
  <c r="W152" i="2"/>
  <c r="V152" i="2"/>
  <c r="U152" i="2"/>
  <c r="T152" i="2"/>
  <c r="S152" i="2"/>
  <c r="R152" i="2"/>
  <c r="Q152" i="2"/>
  <c r="O152" i="2"/>
  <c r="M152" i="2"/>
  <c r="L152" i="2"/>
  <c r="K152" i="2"/>
  <c r="I152" i="2"/>
  <c r="G152" i="2"/>
  <c r="F152" i="2"/>
  <c r="W151" i="2"/>
  <c r="V151" i="2"/>
  <c r="U151" i="2"/>
  <c r="T151" i="2"/>
  <c r="S151" i="2"/>
  <c r="R151" i="2"/>
  <c r="Q151" i="2"/>
  <c r="O151" i="2"/>
  <c r="M151" i="2"/>
  <c r="L151" i="2"/>
  <c r="K151" i="2"/>
  <c r="I151" i="2"/>
  <c r="G151" i="2"/>
  <c r="F151" i="2"/>
  <c r="W150" i="2"/>
  <c r="V150" i="2"/>
  <c r="U150" i="2"/>
  <c r="T150" i="2"/>
  <c r="S150" i="2"/>
  <c r="R150" i="2"/>
  <c r="Q150" i="2"/>
  <c r="O150" i="2"/>
  <c r="M150" i="2"/>
  <c r="L150" i="2"/>
  <c r="K150" i="2"/>
  <c r="I150" i="2"/>
  <c r="G150" i="2"/>
  <c r="F150" i="2"/>
  <c r="W149" i="2"/>
  <c r="V149" i="2"/>
  <c r="U149" i="2"/>
  <c r="T149" i="2"/>
  <c r="S149" i="2"/>
  <c r="R149" i="2"/>
  <c r="Q149" i="2"/>
  <c r="O149" i="2"/>
  <c r="M149" i="2"/>
  <c r="L149" i="2"/>
  <c r="K149" i="2"/>
  <c r="I149" i="2"/>
  <c r="G149" i="2"/>
  <c r="F149" i="2"/>
  <c r="W148" i="2"/>
  <c r="V148" i="2"/>
  <c r="U148" i="2"/>
  <c r="T148" i="2"/>
  <c r="S148" i="2"/>
  <c r="R148" i="2"/>
  <c r="Q148" i="2"/>
  <c r="O148" i="2"/>
  <c r="M148" i="2"/>
  <c r="L148" i="2"/>
  <c r="K148" i="2"/>
  <c r="I148" i="2"/>
  <c r="G148" i="2"/>
  <c r="F148" i="2"/>
  <c r="W147" i="2"/>
  <c r="V147" i="2"/>
  <c r="U147" i="2"/>
  <c r="T147" i="2"/>
  <c r="S147" i="2"/>
  <c r="R147" i="2"/>
  <c r="Q147" i="2"/>
  <c r="O147" i="2"/>
  <c r="M147" i="2"/>
  <c r="L147" i="2"/>
  <c r="K147" i="2"/>
  <c r="I147" i="2"/>
  <c r="G147" i="2"/>
  <c r="F147" i="2"/>
  <c r="W146" i="2"/>
  <c r="V146" i="2"/>
  <c r="U146" i="2"/>
  <c r="T146" i="2"/>
  <c r="S146" i="2"/>
  <c r="R146" i="2"/>
  <c r="Q146" i="2"/>
  <c r="O146" i="2"/>
  <c r="M146" i="2"/>
  <c r="L146" i="2"/>
  <c r="K146" i="2"/>
  <c r="I146" i="2"/>
  <c r="G146" i="2"/>
  <c r="F146" i="2"/>
  <c r="W145" i="2"/>
  <c r="V145" i="2"/>
  <c r="U145" i="2"/>
  <c r="T145" i="2"/>
  <c r="S145" i="2"/>
  <c r="R145" i="2"/>
  <c r="Q145" i="2"/>
  <c r="O145" i="2"/>
  <c r="M145" i="2"/>
  <c r="L145" i="2"/>
  <c r="K145" i="2"/>
  <c r="I145" i="2"/>
  <c r="G145" i="2"/>
  <c r="F145" i="2"/>
  <c r="W144" i="2"/>
  <c r="V144" i="2"/>
  <c r="U144" i="2"/>
  <c r="T144" i="2"/>
  <c r="S144" i="2"/>
  <c r="R144" i="2"/>
  <c r="Q144" i="2"/>
  <c r="O144" i="2"/>
  <c r="M144" i="2"/>
  <c r="L144" i="2"/>
  <c r="K144" i="2"/>
  <c r="I144" i="2"/>
  <c r="G144" i="2"/>
  <c r="F144" i="2"/>
  <c r="W143" i="2"/>
  <c r="V143" i="2"/>
  <c r="U143" i="2"/>
  <c r="T143" i="2"/>
  <c r="S143" i="2"/>
  <c r="R143" i="2"/>
  <c r="Q143" i="2"/>
  <c r="O143" i="2"/>
  <c r="M143" i="2"/>
  <c r="L143" i="2"/>
  <c r="K143" i="2"/>
  <c r="I143" i="2"/>
  <c r="G143" i="2"/>
  <c r="F143" i="2"/>
  <c r="W142" i="2"/>
  <c r="V142" i="2"/>
  <c r="U142" i="2"/>
  <c r="T142" i="2"/>
  <c r="S142" i="2"/>
  <c r="R142" i="2"/>
  <c r="Q142" i="2"/>
  <c r="O142" i="2"/>
  <c r="M142" i="2"/>
  <c r="L142" i="2"/>
  <c r="K142" i="2"/>
  <c r="I142" i="2"/>
  <c r="G142" i="2"/>
  <c r="F142" i="2"/>
  <c r="W141" i="2"/>
  <c r="V141" i="2"/>
  <c r="U141" i="2"/>
  <c r="T141" i="2"/>
  <c r="S141" i="2"/>
  <c r="R141" i="2"/>
  <c r="Q141" i="2"/>
  <c r="O141" i="2"/>
  <c r="M141" i="2"/>
  <c r="L141" i="2"/>
  <c r="K141" i="2"/>
  <c r="I141" i="2"/>
  <c r="G141" i="2"/>
  <c r="F141" i="2"/>
  <c r="W140" i="2"/>
  <c r="V140" i="2"/>
  <c r="U140" i="2"/>
  <c r="T140" i="2"/>
  <c r="S140" i="2"/>
  <c r="R140" i="2"/>
  <c r="Q140" i="2"/>
  <c r="O140" i="2"/>
  <c r="M140" i="2"/>
  <c r="L140" i="2"/>
  <c r="K140" i="2"/>
  <c r="I140" i="2"/>
  <c r="G140" i="2"/>
  <c r="F140" i="2"/>
  <c r="W139" i="2"/>
  <c r="V139" i="2"/>
  <c r="U139" i="2"/>
  <c r="T139" i="2"/>
  <c r="S139" i="2"/>
  <c r="R139" i="2"/>
  <c r="Q139" i="2"/>
  <c r="O139" i="2"/>
  <c r="M139" i="2"/>
  <c r="L139" i="2"/>
  <c r="K139" i="2"/>
  <c r="I139" i="2"/>
  <c r="G139" i="2"/>
  <c r="F139" i="2"/>
  <c r="W138" i="2"/>
  <c r="V138" i="2"/>
  <c r="U138" i="2"/>
  <c r="T138" i="2"/>
  <c r="S138" i="2"/>
  <c r="R138" i="2"/>
  <c r="Q138" i="2"/>
  <c r="O138" i="2"/>
  <c r="M138" i="2"/>
  <c r="L138" i="2"/>
  <c r="K138" i="2"/>
  <c r="I138" i="2"/>
  <c r="G138" i="2"/>
  <c r="F138" i="2"/>
  <c r="W137" i="2"/>
  <c r="V137" i="2"/>
  <c r="U137" i="2"/>
  <c r="T137" i="2"/>
  <c r="S137" i="2"/>
  <c r="R137" i="2"/>
  <c r="Q137" i="2"/>
  <c r="O137" i="2"/>
  <c r="M137" i="2"/>
  <c r="L137" i="2"/>
  <c r="K137" i="2"/>
  <c r="I137" i="2"/>
  <c r="G137" i="2"/>
  <c r="F137" i="2"/>
  <c r="W136" i="2"/>
  <c r="V136" i="2"/>
  <c r="U136" i="2"/>
  <c r="T136" i="2"/>
  <c r="S136" i="2"/>
  <c r="R136" i="2"/>
  <c r="Q136" i="2"/>
  <c r="O136" i="2"/>
  <c r="M136" i="2"/>
  <c r="L136" i="2"/>
  <c r="K136" i="2"/>
  <c r="I136" i="2"/>
  <c r="G136" i="2"/>
  <c r="F136" i="2"/>
  <c r="W135" i="2"/>
  <c r="V135" i="2"/>
  <c r="U135" i="2"/>
  <c r="T135" i="2"/>
  <c r="S135" i="2"/>
  <c r="R135" i="2"/>
  <c r="Q135" i="2"/>
  <c r="O135" i="2"/>
  <c r="M135" i="2"/>
  <c r="L135" i="2"/>
  <c r="K135" i="2"/>
  <c r="I135" i="2"/>
  <c r="G135" i="2"/>
  <c r="F135" i="2"/>
  <c r="W134" i="2"/>
  <c r="V134" i="2"/>
  <c r="U134" i="2"/>
  <c r="T134" i="2"/>
  <c r="S134" i="2"/>
  <c r="R134" i="2"/>
  <c r="Q134" i="2"/>
  <c r="O134" i="2"/>
  <c r="M134" i="2"/>
  <c r="L134" i="2"/>
  <c r="K134" i="2"/>
  <c r="I134" i="2"/>
  <c r="G134" i="2"/>
  <c r="F134" i="2"/>
  <c r="W133" i="2"/>
  <c r="V133" i="2"/>
  <c r="U133" i="2"/>
  <c r="T133" i="2"/>
  <c r="S133" i="2"/>
  <c r="R133" i="2"/>
  <c r="Q133" i="2"/>
  <c r="O133" i="2"/>
  <c r="M133" i="2"/>
  <c r="L133" i="2"/>
  <c r="K133" i="2"/>
  <c r="I133" i="2"/>
  <c r="G133" i="2"/>
  <c r="F133" i="2"/>
  <c r="W132" i="2"/>
  <c r="V132" i="2"/>
  <c r="U132" i="2"/>
  <c r="T132" i="2"/>
  <c r="S132" i="2"/>
  <c r="R132" i="2"/>
  <c r="Q132" i="2"/>
  <c r="O132" i="2"/>
  <c r="M132" i="2"/>
  <c r="L132" i="2"/>
  <c r="K132" i="2"/>
  <c r="I132" i="2"/>
  <c r="G132" i="2"/>
  <c r="F132" i="2"/>
  <c r="W131" i="2"/>
  <c r="V131" i="2"/>
  <c r="U131" i="2"/>
  <c r="T131" i="2"/>
  <c r="S131" i="2"/>
  <c r="R131" i="2"/>
  <c r="Q131" i="2"/>
  <c r="O131" i="2"/>
  <c r="M131" i="2"/>
  <c r="L131" i="2"/>
  <c r="K131" i="2"/>
  <c r="I131" i="2"/>
  <c r="G131" i="2"/>
  <c r="F131" i="2"/>
  <c r="W130" i="2"/>
  <c r="V130" i="2"/>
  <c r="U130" i="2"/>
  <c r="T130" i="2"/>
  <c r="S130" i="2"/>
  <c r="R130" i="2"/>
  <c r="Q130" i="2"/>
  <c r="O130" i="2"/>
  <c r="M130" i="2"/>
  <c r="L130" i="2"/>
  <c r="K130" i="2"/>
  <c r="I130" i="2"/>
  <c r="G130" i="2"/>
  <c r="F130" i="2"/>
  <c r="W129" i="2"/>
  <c r="V129" i="2"/>
  <c r="U129" i="2"/>
  <c r="T129" i="2"/>
  <c r="S129" i="2"/>
  <c r="R129" i="2"/>
  <c r="Q129" i="2"/>
  <c r="O129" i="2"/>
  <c r="M129" i="2"/>
  <c r="L129" i="2"/>
  <c r="K129" i="2"/>
  <c r="I129" i="2"/>
  <c r="G129" i="2"/>
  <c r="F129" i="2"/>
  <c r="W128" i="2"/>
  <c r="V128" i="2"/>
  <c r="U128" i="2"/>
  <c r="T128" i="2"/>
  <c r="S128" i="2"/>
  <c r="R128" i="2"/>
  <c r="Q128" i="2"/>
  <c r="O128" i="2"/>
  <c r="M128" i="2"/>
  <c r="L128" i="2"/>
  <c r="K128" i="2"/>
  <c r="I128" i="2"/>
  <c r="G128" i="2"/>
  <c r="F128" i="2"/>
  <c r="W127" i="2"/>
  <c r="V127" i="2"/>
  <c r="U127" i="2"/>
  <c r="T127" i="2"/>
  <c r="S127" i="2"/>
  <c r="R127" i="2"/>
  <c r="Q127" i="2"/>
  <c r="O127" i="2"/>
  <c r="M127" i="2"/>
  <c r="L127" i="2"/>
  <c r="K127" i="2"/>
  <c r="I127" i="2"/>
  <c r="G127" i="2"/>
  <c r="F127" i="2"/>
  <c r="W126" i="2"/>
  <c r="V126" i="2"/>
  <c r="U126" i="2"/>
  <c r="T126" i="2"/>
  <c r="S126" i="2"/>
  <c r="R126" i="2"/>
  <c r="Q126" i="2"/>
  <c r="O126" i="2"/>
  <c r="M126" i="2"/>
  <c r="L126" i="2"/>
  <c r="K126" i="2"/>
  <c r="I126" i="2"/>
  <c r="G126" i="2"/>
  <c r="F126" i="2"/>
  <c r="W125" i="2"/>
  <c r="V125" i="2"/>
  <c r="U125" i="2"/>
  <c r="T125" i="2"/>
  <c r="S125" i="2"/>
  <c r="R125" i="2"/>
  <c r="Q125" i="2"/>
  <c r="O125" i="2"/>
  <c r="M125" i="2"/>
  <c r="L125" i="2"/>
  <c r="K125" i="2"/>
  <c r="I125" i="2"/>
  <c r="G125" i="2"/>
  <c r="F125" i="2"/>
  <c r="W124" i="2"/>
  <c r="V124" i="2"/>
  <c r="U124" i="2"/>
  <c r="T124" i="2"/>
  <c r="S124" i="2"/>
  <c r="R124" i="2"/>
  <c r="Q124" i="2"/>
  <c r="O124" i="2"/>
  <c r="M124" i="2"/>
  <c r="L124" i="2"/>
  <c r="K124" i="2"/>
  <c r="I124" i="2"/>
  <c r="G124" i="2"/>
  <c r="F124" i="2"/>
  <c r="W123" i="2"/>
  <c r="V123" i="2"/>
  <c r="U123" i="2"/>
  <c r="T123" i="2"/>
  <c r="S123" i="2"/>
  <c r="R123" i="2"/>
  <c r="Q123" i="2"/>
  <c r="O123" i="2"/>
  <c r="M123" i="2"/>
  <c r="L123" i="2"/>
  <c r="K123" i="2"/>
  <c r="I123" i="2"/>
  <c r="G123" i="2"/>
  <c r="F123" i="2"/>
  <c r="W122" i="2"/>
  <c r="V122" i="2"/>
  <c r="U122" i="2"/>
  <c r="T122" i="2"/>
  <c r="S122" i="2"/>
  <c r="R122" i="2"/>
  <c r="Q122" i="2"/>
  <c r="O122" i="2"/>
  <c r="M122" i="2"/>
  <c r="L122" i="2"/>
  <c r="K122" i="2"/>
  <c r="I122" i="2"/>
  <c r="G122" i="2"/>
  <c r="F122" i="2"/>
  <c r="W121" i="2"/>
  <c r="V121" i="2"/>
  <c r="U121" i="2"/>
  <c r="T121" i="2"/>
  <c r="S121" i="2"/>
  <c r="R121" i="2"/>
  <c r="Q121" i="2"/>
  <c r="O121" i="2"/>
  <c r="M121" i="2"/>
  <c r="L121" i="2"/>
  <c r="K121" i="2"/>
  <c r="I121" i="2"/>
  <c r="G121" i="2"/>
  <c r="F121" i="2"/>
  <c r="W120" i="2"/>
  <c r="V120" i="2"/>
  <c r="U120" i="2"/>
  <c r="T120" i="2"/>
  <c r="S120" i="2"/>
  <c r="R120" i="2"/>
  <c r="Q120" i="2"/>
  <c r="O120" i="2"/>
  <c r="M120" i="2"/>
  <c r="L120" i="2"/>
  <c r="K120" i="2"/>
  <c r="I120" i="2"/>
  <c r="G120" i="2"/>
  <c r="F120" i="2"/>
  <c r="W119" i="2"/>
  <c r="V119" i="2"/>
  <c r="U119" i="2"/>
  <c r="T119" i="2"/>
  <c r="S119" i="2"/>
  <c r="R119" i="2"/>
  <c r="Q119" i="2"/>
  <c r="O119" i="2"/>
  <c r="M119" i="2"/>
  <c r="L119" i="2"/>
  <c r="K119" i="2"/>
  <c r="I119" i="2"/>
  <c r="G119" i="2"/>
  <c r="F119" i="2"/>
  <c r="W118" i="2"/>
  <c r="V118" i="2"/>
  <c r="U118" i="2"/>
  <c r="T118" i="2"/>
  <c r="S118" i="2"/>
  <c r="R118" i="2"/>
  <c r="Q118" i="2"/>
  <c r="O118" i="2"/>
  <c r="M118" i="2"/>
  <c r="L118" i="2"/>
  <c r="K118" i="2"/>
  <c r="I118" i="2"/>
  <c r="G118" i="2"/>
  <c r="F118" i="2"/>
  <c r="W117" i="2"/>
  <c r="V117" i="2"/>
  <c r="U117" i="2"/>
  <c r="T117" i="2"/>
  <c r="S117" i="2"/>
  <c r="R117" i="2"/>
  <c r="Q117" i="2"/>
  <c r="O117" i="2"/>
  <c r="M117" i="2"/>
  <c r="L117" i="2"/>
  <c r="K117" i="2"/>
  <c r="I117" i="2"/>
  <c r="G117" i="2"/>
  <c r="F117" i="2"/>
  <c r="W116" i="2"/>
  <c r="V116" i="2"/>
  <c r="U116" i="2"/>
  <c r="T116" i="2"/>
  <c r="S116" i="2"/>
  <c r="R116" i="2"/>
  <c r="Q116" i="2"/>
  <c r="O116" i="2"/>
  <c r="M116" i="2"/>
  <c r="L116" i="2"/>
  <c r="K116" i="2"/>
  <c r="I116" i="2"/>
  <c r="G116" i="2"/>
  <c r="F116" i="2"/>
  <c r="W115" i="2"/>
  <c r="V115" i="2"/>
  <c r="U115" i="2"/>
  <c r="T115" i="2"/>
  <c r="S115" i="2"/>
  <c r="R115" i="2"/>
  <c r="Q115" i="2"/>
  <c r="O115" i="2"/>
  <c r="M115" i="2"/>
  <c r="L115" i="2"/>
  <c r="K115" i="2"/>
  <c r="I115" i="2"/>
  <c r="G115" i="2"/>
  <c r="F115" i="2"/>
  <c r="W114" i="2"/>
  <c r="V114" i="2"/>
  <c r="U114" i="2"/>
  <c r="T114" i="2"/>
  <c r="S114" i="2"/>
  <c r="R114" i="2"/>
  <c r="Q114" i="2"/>
  <c r="O114" i="2"/>
  <c r="M114" i="2"/>
  <c r="L114" i="2"/>
  <c r="K114" i="2"/>
  <c r="I114" i="2"/>
  <c r="G114" i="2"/>
  <c r="F114" i="2"/>
  <c r="W113" i="2"/>
  <c r="V113" i="2"/>
  <c r="U113" i="2"/>
  <c r="T113" i="2"/>
  <c r="S113" i="2"/>
  <c r="R113" i="2"/>
  <c r="Q113" i="2"/>
  <c r="O113" i="2"/>
  <c r="M113" i="2"/>
  <c r="L113" i="2"/>
  <c r="K113" i="2"/>
  <c r="I113" i="2"/>
  <c r="G113" i="2"/>
  <c r="F113" i="2"/>
  <c r="W112" i="2"/>
  <c r="V112" i="2"/>
  <c r="U112" i="2"/>
  <c r="T112" i="2"/>
  <c r="S112" i="2"/>
  <c r="R112" i="2"/>
  <c r="Q112" i="2"/>
  <c r="O112" i="2"/>
  <c r="M112" i="2"/>
  <c r="L112" i="2"/>
  <c r="K112" i="2"/>
  <c r="I112" i="2"/>
  <c r="G112" i="2"/>
  <c r="F112" i="2"/>
  <c r="W111" i="2"/>
  <c r="V111" i="2"/>
  <c r="U111" i="2"/>
  <c r="T111" i="2"/>
  <c r="S111" i="2"/>
  <c r="R111" i="2"/>
  <c r="Q111" i="2"/>
  <c r="O111" i="2"/>
  <c r="M111" i="2"/>
  <c r="L111" i="2"/>
  <c r="K111" i="2"/>
  <c r="I111" i="2"/>
  <c r="G111" i="2"/>
  <c r="F111" i="2"/>
  <c r="W110" i="2"/>
  <c r="V110" i="2"/>
  <c r="U110" i="2"/>
  <c r="T110" i="2"/>
  <c r="S110" i="2"/>
  <c r="R110" i="2"/>
  <c r="Q110" i="2"/>
  <c r="O110" i="2"/>
  <c r="M110" i="2"/>
  <c r="L110" i="2"/>
  <c r="K110" i="2"/>
  <c r="I110" i="2"/>
  <c r="G110" i="2"/>
  <c r="F110" i="2"/>
  <c r="W109" i="2"/>
  <c r="V109" i="2"/>
  <c r="U109" i="2"/>
  <c r="T109" i="2"/>
  <c r="S109" i="2"/>
  <c r="R109" i="2"/>
  <c r="Q109" i="2"/>
  <c r="O109" i="2"/>
  <c r="M109" i="2"/>
  <c r="L109" i="2"/>
  <c r="K109" i="2"/>
  <c r="I109" i="2"/>
  <c r="G109" i="2"/>
  <c r="F109" i="2"/>
  <c r="W108" i="2"/>
  <c r="V108" i="2"/>
  <c r="U108" i="2"/>
  <c r="T108" i="2"/>
  <c r="S108" i="2"/>
  <c r="R108" i="2"/>
  <c r="Q108" i="2"/>
  <c r="O108" i="2"/>
  <c r="M108" i="2"/>
  <c r="L108" i="2"/>
  <c r="K108" i="2"/>
  <c r="I108" i="2"/>
  <c r="G108" i="2"/>
  <c r="F108" i="2"/>
  <c r="W107" i="2"/>
  <c r="V107" i="2"/>
  <c r="U107" i="2"/>
  <c r="T107" i="2"/>
  <c r="S107" i="2"/>
  <c r="R107" i="2"/>
  <c r="Q107" i="2"/>
  <c r="O107" i="2"/>
  <c r="M107" i="2"/>
  <c r="L107" i="2"/>
  <c r="K107" i="2"/>
  <c r="I107" i="2"/>
  <c r="G107" i="2"/>
  <c r="F107" i="2"/>
  <c r="W106" i="2"/>
  <c r="V106" i="2"/>
  <c r="U106" i="2"/>
  <c r="T106" i="2"/>
  <c r="S106" i="2"/>
  <c r="R106" i="2"/>
  <c r="Q106" i="2"/>
  <c r="O106" i="2"/>
  <c r="M106" i="2"/>
  <c r="L106" i="2"/>
  <c r="K106" i="2"/>
  <c r="I106" i="2"/>
  <c r="G106" i="2"/>
  <c r="F106" i="2"/>
  <c r="W105" i="2"/>
  <c r="V105" i="2"/>
  <c r="U105" i="2"/>
  <c r="T105" i="2"/>
  <c r="S105" i="2"/>
  <c r="R105" i="2"/>
  <c r="Q105" i="2"/>
  <c r="O105" i="2"/>
  <c r="M105" i="2"/>
  <c r="L105" i="2"/>
  <c r="K105" i="2"/>
  <c r="I105" i="2"/>
  <c r="G105" i="2"/>
  <c r="F105" i="2"/>
  <c r="W104" i="2"/>
  <c r="V104" i="2"/>
  <c r="U104" i="2"/>
  <c r="T104" i="2"/>
  <c r="S104" i="2"/>
  <c r="R104" i="2"/>
  <c r="Q104" i="2"/>
  <c r="O104" i="2"/>
  <c r="M104" i="2"/>
  <c r="L104" i="2"/>
  <c r="K104" i="2"/>
  <c r="I104" i="2"/>
  <c r="G104" i="2"/>
  <c r="F104" i="2"/>
  <c r="W103" i="2"/>
  <c r="V103" i="2"/>
  <c r="U103" i="2"/>
  <c r="T103" i="2"/>
  <c r="S103" i="2"/>
  <c r="R103" i="2"/>
  <c r="Q103" i="2"/>
  <c r="O103" i="2"/>
  <c r="M103" i="2"/>
  <c r="L103" i="2"/>
  <c r="K103" i="2"/>
  <c r="I103" i="2"/>
  <c r="G103" i="2"/>
  <c r="F103" i="2"/>
  <c r="W102" i="2"/>
  <c r="V102" i="2"/>
  <c r="U102" i="2"/>
  <c r="T102" i="2"/>
  <c r="S102" i="2"/>
  <c r="R102" i="2"/>
  <c r="Q102" i="2"/>
  <c r="O102" i="2"/>
  <c r="M102" i="2"/>
  <c r="L102" i="2"/>
  <c r="K102" i="2"/>
  <c r="I102" i="2"/>
  <c r="G102" i="2"/>
  <c r="F102" i="2"/>
  <c r="W101" i="2"/>
  <c r="V101" i="2"/>
  <c r="U101" i="2"/>
  <c r="T101" i="2"/>
  <c r="S101" i="2"/>
  <c r="R101" i="2"/>
  <c r="Q101" i="2"/>
  <c r="O101" i="2"/>
  <c r="M101" i="2"/>
  <c r="L101" i="2"/>
  <c r="K101" i="2"/>
  <c r="I101" i="2"/>
  <c r="G101" i="2"/>
  <c r="F101" i="2"/>
  <c r="W100" i="2"/>
  <c r="V100" i="2"/>
  <c r="U100" i="2"/>
  <c r="T100" i="2"/>
  <c r="S100" i="2"/>
  <c r="R100" i="2"/>
  <c r="Q100" i="2"/>
  <c r="O100" i="2"/>
  <c r="M100" i="2"/>
  <c r="L100" i="2"/>
  <c r="K100" i="2"/>
  <c r="I100" i="2"/>
  <c r="G100" i="2"/>
  <c r="F100" i="2"/>
  <c r="W99" i="2"/>
  <c r="V99" i="2"/>
  <c r="U99" i="2"/>
  <c r="T99" i="2"/>
  <c r="S99" i="2"/>
  <c r="R99" i="2"/>
  <c r="Q99" i="2"/>
  <c r="O99" i="2"/>
  <c r="M99" i="2"/>
  <c r="L99" i="2"/>
  <c r="K99" i="2"/>
  <c r="I99" i="2"/>
  <c r="G99" i="2"/>
  <c r="F99" i="2"/>
  <c r="W98" i="2"/>
  <c r="V98" i="2"/>
  <c r="U98" i="2"/>
  <c r="T98" i="2"/>
  <c r="S98" i="2"/>
  <c r="R98" i="2"/>
  <c r="Q98" i="2"/>
  <c r="O98" i="2"/>
  <c r="M98" i="2"/>
  <c r="L98" i="2"/>
  <c r="K98" i="2"/>
  <c r="I98" i="2"/>
  <c r="G98" i="2"/>
  <c r="F98" i="2"/>
  <c r="W97" i="2"/>
  <c r="V97" i="2"/>
  <c r="U97" i="2"/>
  <c r="T97" i="2"/>
  <c r="S97" i="2"/>
  <c r="R97" i="2"/>
  <c r="Q97" i="2"/>
  <c r="O97" i="2"/>
  <c r="M97" i="2"/>
  <c r="L97" i="2"/>
  <c r="K97" i="2"/>
  <c r="I97" i="2"/>
  <c r="G97" i="2"/>
  <c r="F97" i="2"/>
  <c r="W96" i="2"/>
  <c r="V96" i="2"/>
  <c r="U96" i="2"/>
  <c r="T96" i="2"/>
  <c r="S96" i="2"/>
  <c r="R96" i="2"/>
  <c r="Q96" i="2"/>
  <c r="O96" i="2"/>
  <c r="M96" i="2"/>
  <c r="L96" i="2"/>
  <c r="K96" i="2"/>
  <c r="I96" i="2"/>
  <c r="G96" i="2"/>
  <c r="F96" i="2"/>
  <c r="W95" i="2"/>
  <c r="V95" i="2"/>
  <c r="U95" i="2"/>
  <c r="T95" i="2"/>
  <c r="S95" i="2"/>
  <c r="R95" i="2"/>
  <c r="Q95" i="2"/>
  <c r="O95" i="2"/>
  <c r="M95" i="2"/>
  <c r="L95" i="2"/>
  <c r="K95" i="2"/>
  <c r="I95" i="2"/>
  <c r="G95" i="2"/>
  <c r="F95" i="2"/>
  <c r="W94" i="2"/>
  <c r="V94" i="2"/>
  <c r="U94" i="2"/>
  <c r="T94" i="2"/>
  <c r="S94" i="2"/>
  <c r="R94" i="2"/>
  <c r="Q94" i="2"/>
  <c r="O94" i="2"/>
  <c r="M94" i="2"/>
  <c r="L94" i="2"/>
  <c r="K94" i="2"/>
  <c r="I94" i="2"/>
  <c r="G94" i="2"/>
  <c r="F94" i="2"/>
  <c r="W93" i="2"/>
  <c r="V93" i="2"/>
  <c r="U93" i="2"/>
  <c r="T93" i="2"/>
  <c r="S93" i="2"/>
  <c r="R93" i="2"/>
  <c r="Q93" i="2"/>
  <c r="O93" i="2"/>
  <c r="M93" i="2"/>
  <c r="L93" i="2"/>
  <c r="K93" i="2"/>
  <c r="I93" i="2"/>
  <c r="G93" i="2"/>
  <c r="F93" i="2"/>
  <c r="W92" i="2"/>
  <c r="V92" i="2"/>
  <c r="U92" i="2"/>
  <c r="T92" i="2"/>
  <c r="S92" i="2"/>
  <c r="R92" i="2"/>
  <c r="Q92" i="2"/>
  <c r="O92" i="2"/>
  <c r="M92" i="2"/>
  <c r="L92" i="2"/>
  <c r="K92" i="2"/>
  <c r="I92" i="2"/>
  <c r="G92" i="2"/>
  <c r="F92" i="2"/>
  <c r="W91" i="2"/>
  <c r="V91" i="2"/>
  <c r="U91" i="2"/>
  <c r="T91" i="2"/>
  <c r="S91" i="2"/>
  <c r="R91" i="2"/>
  <c r="Q91" i="2"/>
  <c r="O91" i="2"/>
  <c r="M91" i="2"/>
  <c r="L91" i="2"/>
  <c r="K91" i="2"/>
  <c r="I91" i="2"/>
  <c r="G91" i="2"/>
  <c r="F91" i="2"/>
  <c r="W90" i="2"/>
  <c r="V90" i="2"/>
  <c r="U90" i="2"/>
  <c r="T90" i="2"/>
  <c r="S90" i="2"/>
  <c r="R90" i="2"/>
  <c r="Q90" i="2"/>
  <c r="O90" i="2"/>
  <c r="M90" i="2"/>
  <c r="L90" i="2"/>
  <c r="K90" i="2"/>
  <c r="I90" i="2"/>
  <c r="G90" i="2"/>
  <c r="F90" i="2"/>
  <c r="W89" i="2"/>
  <c r="V89" i="2"/>
  <c r="U89" i="2"/>
  <c r="T89" i="2"/>
  <c r="S89" i="2"/>
  <c r="R89" i="2"/>
  <c r="Q89" i="2"/>
  <c r="O89" i="2"/>
  <c r="M89" i="2"/>
  <c r="L89" i="2"/>
  <c r="K89" i="2"/>
  <c r="I89" i="2"/>
  <c r="G89" i="2"/>
  <c r="F89" i="2"/>
  <c r="W88" i="2"/>
  <c r="V88" i="2"/>
  <c r="U88" i="2"/>
  <c r="T88" i="2"/>
  <c r="S88" i="2"/>
  <c r="R88" i="2"/>
  <c r="Q88" i="2"/>
  <c r="O88" i="2"/>
  <c r="M88" i="2"/>
  <c r="L88" i="2"/>
  <c r="K88" i="2"/>
  <c r="I88" i="2"/>
  <c r="G88" i="2"/>
  <c r="F88" i="2"/>
  <c r="W87" i="2"/>
  <c r="V87" i="2"/>
  <c r="U87" i="2"/>
  <c r="T87" i="2"/>
  <c r="S87" i="2"/>
  <c r="R87" i="2"/>
  <c r="Q87" i="2"/>
  <c r="O87" i="2"/>
  <c r="M87" i="2"/>
  <c r="L87" i="2"/>
  <c r="K87" i="2"/>
  <c r="I87" i="2"/>
  <c r="G87" i="2"/>
  <c r="F87" i="2"/>
  <c r="W86" i="2"/>
  <c r="V86" i="2"/>
  <c r="U86" i="2"/>
  <c r="T86" i="2"/>
  <c r="S86" i="2"/>
  <c r="R86" i="2"/>
  <c r="Q86" i="2"/>
  <c r="O86" i="2"/>
  <c r="M86" i="2"/>
  <c r="L86" i="2"/>
  <c r="K86" i="2"/>
  <c r="I86" i="2"/>
  <c r="G86" i="2"/>
  <c r="F86" i="2"/>
  <c r="W85" i="2"/>
  <c r="V85" i="2"/>
  <c r="U85" i="2"/>
  <c r="T85" i="2"/>
  <c r="S85" i="2"/>
  <c r="R85" i="2"/>
  <c r="Q85" i="2"/>
  <c r="O85" i="2"/>
  <c r="M85" i="2"/>
  <c r="L85" i="2"/>
  <c r="K85" i="2"/>
  <c r="I85" i="2"/>
  <c r="G85" i="2"/>
  <c r="F85" i="2"/>
  <c r="W84" i="2"/>
  <c r="V84" i="2"/>
  <c r="U84" i="2"/>
  <c r="T84" i="2"/>
  <c r="S84" i="2"/>
  <c r="R84" i="2"/>
  <c r="Q84" i="2"/>
  <c r="O84" i="2"/>
  <c r="M84" i="2"/>
  <c r="L84" i="2"/>
  <c r="K84" i="2"/>
  <c r="I84" i="2"/>
  <c r="G84" i="2"/>
  <c r="F84" i="2"/>
  <c r="W83" i="2"/>
  <c r="V83" i="2"/>
  <c r="U83" i="2"/>
  <c r="T83" i="2"/>
  <c r="S83" i="2"/>
  <c r="R83" i="2"/>
  <c r="Q83" i="2"/>
  <c r="O83" i="2"/>
  <c r="M83" i="2"/>
  <c r="L83" i="2"/>
  <c r="K83" i="2"/>
  <c r="I83" i="2"/>
  <c r="G83" i="2"/>
  <c r="F83" i="2"/>
  <c r="W82" i="2"/>
  <c r="V82" i="2"/>
  <c r="U82" i="2"/>
  <c r="T82" i="2"/>
  <c r="S82" i="2"/>
  <c r="R82" i="2"/>
  <c r="Q82" i="2"/>
  <c r="O82" i="2"/>
  <c r="M82" i="2"/>
  <c r="L82" i="2"/>
  <c r="K82" i="2"/>
  <c r="I82" i="2"/>
  <c r="G82" i="2"/>
  <c r="F82" i="2"/>
  <c r="W81" i="2"/>
  <c r="V81" i="2"/>
  <c r="U81" i="2"/>
  <c r="T81" i="2"/>
  <c r="S81" i="2"/>
  <c r="R81" i="2"/>
  <c r="Q81" i="2"/>
  <c r="O81" i="2"/>
  <c r="M81" i="2"/>
  <c r="L81" i="2"/>
  <c r="K81" i="2"/>
  <c r="I81" i="2"/>
  <c r="G81" i="2"/>
  <c r="F81" i="2"/>
  <c r="W80" i="2"/>
  <c r="V80" i="2"/>
  <c r="U80" i="2"/>
  <c r="T80" i="2"/>
  <c r="S80" i="2"/>
  <c r="R80" i="2"/>
  <c r="Q80" i="2"/>
  <c r="O80" i="2"/>
  <c r="M80" i="2"/>
  <c r="L80" i="2"/>
  <c r="K80" i="2"/>
  <c r="I80" i="2"/>
  <c r="G80" i="2"/>
  <c r="F80" i="2"/>
  <c r="W79" i="2"/>
  <c r="V79" i="2"/>
  <c r="U79" i="2"/>
  <c r="T79" i="2"/>
  <c r="S79" i="2"/>
  <c r="R79" i="2"/>
  <c r="Q79" i="2"/>
  <c r="O79" i="2"/>
  <c r="M79" i="2"/>
  <c r="L79" i="2"/>
  <c r="K79" i="2"/>
  <c r="I79" i="2"/>
  <c r="G79" i="2"/>
  <c r="F79" i="2"/>
  <c r="W78" i="2"/>
  <c r="V78" i="2"/>
  <c r="U78" i="2"/>
  <c r="T78" i="2"/>
  <c r="S78" i="2"/>
  <c r="R78" i="2"/>
  <c r="Q78" i="2"/>
  <c r="O78" i="2"/>
  <c r="M78" i="2"/>
  <c r="L78" i="2"/>
  <c r="K78" i="2"/>
  <c r="I78" i="2"/>
  <c r="G78" i="2"/>
  <c r="F78" i="2"/>
  <c r="W77" i="2"/>
  <c r="V77" i="2"/>
  <c r="U77" i="2"/>
  <c r="T77" i="2"/>
  <c r="S77" i="2"/>
  <c r="R77" i="2"/>
  <c r="Q77" i="2"/>
  <c r="O77" i="2"/>
  <c r="M77" i="2"/>
  <c r="L77" i="2"/>
  <c r="K77" i="2"/>
  <c r="I77" i="2"/>
  <c r="G77" i="2"/>
  <c r="F77" i="2"/>
  <c r="W76" i="2"/>
  <c r="V76" i="2"/>
  <c r="U76" i="2"/>
  <c r="T76" i="2"/>
  <c r="S76" i="2"/>
  <c r="R76" i="2"/>
  <c r="Q76" i="2"/>
  <c r="O76" i="2"/>
  <c r="M76" i="2"/>
  <c r="L76" i="2"/>
  <c r="K76" i="2"/>
  <c r="I76" i="2"/>
  <c r="G76" i="2"/>
  <c r="F76" i="2"/>
  <c r="W75" i="2"/>
  <c r="V75" i="2"/>
  <c r="U75" i="2"/>
  <c r="T75" i="2"/>
  <c r="S75" i="2"/>
  <c r="R75" i="2"/>
  <c r="Q75" i="2"/>
  <c r="O75" i="2"/>
  <c r="M75" i="2"/>
  <c r="L75" i="2"/>
  <c r="K75" i="2"/>
  <c r="I75" i="2"/>
  <c r="G75" i="2"/>
  <c r="F75" i="2"/>
  <c r="W74" i="2"/>
  <c r="V74" i="2"/>
  <c r="U74" i="2"/>
  <c r="T74" i="2"/>
  <c r="S74" i="2"/>
  <c r="R74" i="2"/>
  <c r="Q74" i="2"/>
  <c r="O74" i="2"/>
  <c r="M74" i="2"/>
  <c r="L74" i="2"/>
  <c r="K74" i="2"/>
  <c r="I74" i="2"/>
  <c r="G74" i="2"/>
  <c r="F74" i="2"/>
  <c r="W73" i="2"/>
  <c r="V73" i="2"/>
  <c r="U73" i="2"/>
  <c r="T73" i="2"/>
  <c r="S73" i="2"/>
  <c r="R73" i="2"/>
  <c r="Q73" i="2"/>
  <c r="O73" i="2"/>
  <c r="M73" i="2"/>
  <c r="L73" i="2"/>
  <c r="K73" i="2"/>
  <c r="I73" i="2"/>
  <c r="G73" i="2"/>
  <c r="F73" i="2"/>
  <c r="W72" i="2"/>
  <c r="V72" i="2"/>
  <c r="U72" i="2"/>
  <c r="T72" i="2"/>
  <c r="S72" i="2"/>
  <c r="R72" i="2"/>
  <c r="Q72" i="2"/>
  <c r="O72" i="2"/>
  <c r="M72" i="2"/>
  <c r="L72" i="2"/>
  <c r="K72" i="2"/>
  <c r="I72" i="2"/>
  <c r="G72" i="2"/>
  <c r="F72" i="2"/>
  <c r="W71" i="2"/>
  <c r="V71" i="2"/>
  <c r="U71" i="2"/>
  <c r="T71" i="2"/>
  <c r="S71" i="2"/>
  <c r="R71" i="2"/>
  <c r="Q71" i="2"/>
  <c r="O71" i="2"/>
  <c r="M71" i="2"/>
  <c r="L71" i="2"/>
  <c r="K71" i="2"/>
  <c r="I71" i="2"/>
  <c r="G71" i="2"/>
  <c r="F71" i="2"/>
  <c r="W70" i="2"/>
  <c r="V70" i="2"/>
  <c r="U70" i="2"/>
  <c r="T70" i="2"/>
  <c r="S70" i="2"/>
  <c r="R70" i="2"/>
  <c r="Q70" i="2"/>
  <c r="O70" i="2"/>
  <c r="M70" i="2"/>
  <c r="L70" i="2"/>
  <c r="K70" i="2"/>
  <c r="I70" i="2"/>
  <c r="G70" i="2"/>
  <c r="F70" i="2"/>
  <c r="W69" i="2"/>
  <c r="V69" i="2"/>
  <c r="U69" i="2"/>
  <c r="T69" i="2"/>
  <c r="S69" i="2"/>
  <c r="R69" i="2"/>
  <c r="Q69" i="2"/>
  <c r="O69" i="2"/>
  <c r="M69" i="2"/>
  <c r="L69" i="2"/>
  <c r="K69" i="2"/>
  <c r="I69" i="2"/>
  <c r="G69" i="2"/>
  <c r="F69" i="2"/>
  <c r="W68" i="2"/>
  <c r="V68" i="2"/>
  <c r="U68" i="2"/>
  <c r="T68" i="2"/>
  <c r="S68" i="2"/>
  <c r="R68" i="2"/>
  <c r="Q68" i="2"/>
  <c r="O68" i="2"/>
  <c r="M68" i="2"/>
  <c r="L68" i="2"/>
  <c r="K68" i="2"/>
  <c r="I68" i="2"/>
  <c r="G68" i="2"/>
  <c r="F68" i="2"/>
  <c r="W67" i="2"/>
  <c r="V67" i="2"/>
  <c r="U67" i="2"/>
  <c r="T67" i="2"/>
  <c r="S67" i="2"/>
  <c r="R67" i="2"/>
  <c r="Q67" i="2"/>
  <c r="O67" i="2"/>
  <c r="M67" i="2"/>
  <c r="L67" i="2"/>
  <c r="K67" i="2"/>
  <c r="I67" i="2"/>
  <c r="G67" i="2"/>
  <c r="F67" i="2"/>
  <c r="W66" i="2"/>
  <c r="V66" i="2"/>
  <c r="U66" i="2"/>
  <c r="T66" i="2"/>
  <c r="S66" i="2"/>
  <c r="R66" i="2"/>
  <c r="Q66" i="2"/>
  <c r="O66" i="2"/>
  <c r="M66" i="2"/>
  <c r="L66" i="2"/>
  <c r="K66" i="2"/>
  <c r="I66" i="2"/>
  <c r="G66" i="2"/>
  <c r="F66" i="2"/>
  <c r="W65" i="2"/>
  <c r="V65" i="2"/>
  <c r="U65" i="2"/>
  <c r="T65" i="2"/>
  <c r="S65" i="2"/>
  <c r="R65" i="2"/>
  <c r="Q65" i="2"/>
  <c r="O65" i="2"/>
  <c r="M65" i="2"/>
  <c r="L65" i="2"/>
  <c r="K65" i="2"/>
  <c r="I65" i="2"/>
  <c r="G65" i="2"/>
  <c r="F65" i="2"/>
  <c r="W64" i="2"/>
  <c r="V64" i="2"/>
  <c r="U64" i="2"/>
  <c r="T64" i="2"/>
  <c r="S64" i="2"/>
  <c r="R64" i="2"/>
  <c r="Q64" i="2"/>
  <c r="O64" i="2"/>
  <c r="M64" i="2"/>
  <c r="L64" i="2"/>
  <c r="K64" i="2"/>
  <c r="I64" i="2"/>
  <c r="G64" i="2"/>
  <c r="F64" i="2"/>
  <c r="W63" i="2"/>
  <c r="V63" i="2"/>
  <c r="U63" i="2"/>
  <c r="T63" i="2"/>
  <c r="S63" i="2"/>
  <c r="R63" i="2"/>
  <c r="Q63" i="2"/>
  <c r="O63" i="2"/>
  <c r="M63" i="2"/>
  <c r="L63" i="2"/>
  <c r="K63" i="2"/>
  <c r="I63" i="2"/>
  <c r="G63" i="2"/>
  <c r="F63" i="2"/>
  <c r="W62" i="2"/>
  <c r="V62" i="2"/>
  <c r="U62" i="2"/>
  <c r="T62" i="2"/>
  <c r="S62" i="2"/>
  <c r="R62" i="2"/>
  <c r="Q62" i="2"/>
  <c r="O62" i="2"/>
  <c r="M62" i="2"/>
  <c r="L62" i="2"/>
  <c r="K62" i="2"/>
  <c r="I62" i="2"/>
  <c r="G62" i="2"/>
  <c r="F62" i="2"/>
  <c r="W61" i="2"/>
  <c r="V61" i="2"/>
  <c r="U61" i="2"/>
  <c r="T61" i="2"/>
  <c r="S61" i="2"/>
  <c r="R61" i="2"/>
  <c r="Q61" i="2"/>
  <c r="O61" i="2"/>
  <c r="M61" i="2"/>
  <c r="L61" i="2"/>
  <c r="K61" i="2"/>
  <c r="I61" i="2"/>
  <c r="G61" i="2"/>
  <c r="F61" i="2"/>
  <c r="W60" i="2"/>
  <c r="V60" i="2"/>
  <c r="U60" i="2"/>
  <c r="T60" i="2"/>
  <c r="S60" i="2"/>
  <c r="R60" i="2"/>
  <c r="Q60" i="2"/>
  <c r="O60" i="2"/>
  <c r="M60" i="2"/>
  <c r="L60" i="2"/>
  <c r="K60" i="2"/>
  <c r="I60" i="2"/>
  <c r="G60" i="2"/>
  <c r="F60" i="2"/>
  <c r="W59" i="2"/>
  <c r="V59" i="2"/>
  <c r="U59" i="2"/>
  <c r="T59" i="2"/>
  <c r="S59" i="2"/>
  <c r="R59" i="2"/>
  <c r="Q59" i="2"/>
  <c r="O59" i="2"/>
  <c r="M59" i="2"/>
  <c r="L59" i="2"/>
  <c r="K59" i="2"/>
  <c r="I59" i="2"/>
  <c r="G59" i="2"/>
  <c r="F59" i="2"/>
  <c r="W58" i="2"/>
  <c r="V58" i="2"/>
  <c r="U58" i="2"/>
  <c r="T58" i="2"/>
  <c r="S58" i="2"/>
  <c r="R58" i="2"/>
  <c r="Q58" i="2"/>
  <c r="O58" i="2"/>
  <c r="M58" i="2"/>
  <c r="L58" i="2"/>
  <c r="K58" i="2"/>
  <c r="I58" i="2"/>
  <c r="G58" i="2"/>
  <c r="F58" i="2"/>
  <c r="W57" i="2"/>
  <c r="V57" i="2"/>
  <c r="U57" i="2"/>
  <c r="T57" i="2"/>
  <c r="S57" i="2"/>
  <c r="R57" i="2"/>
  <c r="Q57" i="2"/>
  <c r="O57" i="2"/>
  <c r="M57" i="2"/>
  <c r="L57" i="2"/>
  <c r="K57" i="2"/>
  <c r="I57" i="2"/>
  <c r="G57" i="2"/>
  <c r="F57" i="2"/>
  <c r="W56" i="2"/>
  <c r="V56" i="2"/>
  <c r="U56" i="2"/>
  <c r="T56" i="2"/>
  <c r="S56" i="2"/>
  <c r="R56" i="2"/>
  <c r="Q56" i="2"/>
  <c r="O56" i="2"/>
  <c r="M56" i="2"/>
  <c r="L56" i="2"/>
  <c r="K56" i="2"/>
  <c r="I56" i="2"/>
  <c r="G56" i="2"/>
  <c r="F56" i="2"/>
  <c r="W55" i="2"/>
  <c r="V55" i="2"/>
  <c r="U55" i="2"/>
  <c r="T55" i="2"/>
  <c r="S55" i="2"/>
  <c r="R55" i="2"/>
  <c r="Q55" i="2"/>
  <c r="O55" i="2"/>
  <c r="M55" i="2"/>
  <c r="L55" i="2"/>
  <c r="K55" i="2"/>
  <c r="I55" i="2"/>
  <c r="G55" i="2"/>
  <c r="F55" i="2"/>
  <c r="W54" i="2"/>
  <c r="V54" i="2"/>
  <c r="T54" i="2" s="1"/>
  <c r="U54" i="2"/>
  <c r="S54" i="2"/>
  <c r="R54" i="2"/>
  <c r="Q54" i="2"/>
  <c r="O54" i="2"/>
  <c r="M54" i="2"/>
  <c r="L54" i="2"/>
  <c r="K54" i="2"/>
  <c r="I54" i="2"/>
  <c r="G54" i="2"/>
  <c r="F54" i="2"/>
  <c r="W53" i="2"/>
  <c r="U53" i="2" s="1"/>
  <c r="V53" i="2"/>
  <c r="T53" i="2" s="1"/>
  <c r="S53" i="2"/>
  <c r="R53" i="2"/>
  <c r="Q53" i="2"/>
  <c r="P53" i="2" s="1"/>
  <c r="O53" i="2"/>
  <c r="N53" i="2" s="1"/>
  <c r="M53" i="2"/>
  <c r="L53" i="2"/>
  <c r="K53" i="2"/>
  <c r="J53" i="2" s="1"/>
  <c r="I53" i="2"/>
  <c r="H53" i="2" s="1"/>
  <c r="G53" i="2"/>
  <c r="F53" i="2"/>
  <c r="W52" i="2"/>
  <c r="U52" i="2" s="1"/>
  <c r="V52" i="2"/>
  <c r="T52" i="2" s="1"/>
  <c r="S52" i="2"/>
  <c r="R52" i="2"/>
  <c r="Q52" i="2"/>
  <c r="P52" i="2" s="1"/>
  <c r="O52" i="2"/>
  <c r="N52" i="2" s="1"/>
  <c r="M52" i="2"/>
  <c r="L52" i="2"/>
  <c r="K52" i="2"/>
  <c r="J52" i="2" s="1"/>
  <c r="I52" i="2"/>
  <c r="H52" i="2" s="1"/>
  <c r="G52" i="2"/>
  <c r="F52" i="2"/>
  <c r="W51" i="2"/>
  <c r="U51" i="2" s="1"/>
  <c r="V51" i="2"/>
  <c r="T51" i="2" s="1"/>
  <c r="S51" i="2"/>
  <c r="R51" i="2"/>
  <c r="Q51" i="2"/>
  <c r="P51" i="2" s="1"/>
  <c r="O51" i="2"/>
  <c r="N51" i="2" s="1"/>
  <c r="M51" i="2"/>
  <c r="L51" i="2"/>
  <c r="K51" i="2"/>
  <c r="J51" i="2" s="1"/>
  <c r="I51" i="2"/>
  <c r="H51" i="2" s="1"/>
  <c r="G51" i="2"/>
  <c r="F51" i="2"/>
  <c r="W50" i="2"/>
  <c r="U50" i="2" s="1"/>
  <c r="V50" i="2"/>
  <c r="T50" i="2" s="1"/>
  <c r="S50" i="2"/>
  <c r="R50" i="2"/>
  <c r="Q50" i="2"/>
  <c r="P50" i="2" s="1"/>
  <c r="O50" i="2"/>
  <c r="N50" i="2" s="1"/>
  <c r="M50" i="2"/>
  <c r="L50" i="2"/>
  <c r="K50" i="2"/>
  <c r="J50" i="2" s="1"/>
  <c r="I50" i="2"/>
  <c r="H50" i="2" s="1"/>
  <c r="G50" i="2"/>
  <c r="F50" i="2"/>
  <c r="W49" i="2"/>
  <c r="U49" i="2" s="1"/>
  <c r="V49" i="2"/>
  <c r="T49" i="2" s="1"/>
  <c r="S49" i="2"/>
  <c r="R49" i="2"/>
  <c r="Q49" i="2"/>
  <c r="P49" i="2" s="1"/>
  <c r="O49" i="2"/>
  <c r="N49" i="2" s="1"/>
  <c r="M49" i="2"/>
  <c r="L49" i="2"/>
  <c r="K49" i="2"/>
  <c r="J49" i="2" s="1"/>
  <c r="I49" i="2"/>
  <c r="H49" i="2" s="1"/>
  <c r="G49" i="2"/>
  <c r="F49" i="2"/>
  <c r="W48" i="2"/>
  <c r="U48" i="2" s="1"/>
  <c r="V48" i="2"/>
  <c r="T48" i="2" s="1"/>
  <c r="S48" i="2"/>
  <c r="R48" i="2"/>
  <c r="Q48" i="2"/>
  <c r="P48" i="2" s="1"/>
  <c r="O48" i="2"/>
  <c r="N48" i="2" s="1"/>
  <c r="M48" i="2"/>
  <c r="L48" i="2"/>
  <c r="K48" i="2"/>
  <c r="J48" i="2" s="1"/>
  <c r="I48" i="2"/>
  <c r="G48" i="2"/>
  <c r="F48" i="2"/>
  <c r="W47" i="2"/>
  <c r="U47" i="2" s="1"/>
  <c r="V47" i="2"/>
  <c r="T47" i="2" s="1"/>
  <c r="S47" i="2"/>
  <c r="R47" i="2"/>
  <c r="Q47" i="2"/>
  <c r="P47" i="2" s="1"/>
  <c r="O47" i="2"/>
  <c r="N47" i="2" s="1"/>
  <c r="M47" i="2"/>
  <c r="L47" i="2"/>
  <c r="K47" i="2"/>
  <c r="J47" i="2" s="1"/>
  <c r="I47" i="2"/>
  <c r="H47" i="2" s="1"/>
  <c r="G47" i="2"/>
  <c r="F47" i="2"/>
  <c r="W46" i="2"/>
  <c r="U46" i="2" s="1"/>
  <c r="V46" i="2"/>
  <c r="T46" i="2" s="1"/>
  <c r="S46" i="2"/>
  <c r="R46" i="2"/>
  <c r="Q46" i="2"/>
  <c r="P46" i="2" s="1"/>
  <c r="O46" i="2"/>
  <c r="N46" i="2" s="1"/>
  <c r="M46" i="2"/>
  <c r="L46" i="2"/>
  <c r="K46" i="2"/>
  <c r="J46" i="2" s="1"/>
  <c r="I46" i="2"/>
  <c r="H46" i="2" s="1"/>
  <c r="G46" i="2"/>
  <c r="F46" i="2"/>
  <c r="W45" i="2"/>
  <c r="U45" i="2" s="1"/>
  <c r="V45" i="2"/>
  <c r="T45" i="2" s="1"/>
  <c r="S45" i="2"/>
  <c r="R45" i="2"/>
  <c r="Q45" i="2"/>
  <c r="P45" i="2" s="1"/>
  <c r="O45" i="2"/>
  <c r="N45" i="2" s="1"/>
  <c r="M45" i="2"/>
  <c r="L45" i="2"/>
  <c r="K45" i="2"/>
  <c r="J45" i="2" s="1"/>
  <c r="I45" i="2"/>
  <c r="H45" i="2" s="1"/>
  <c r="G45" i="2"/>
  <c r="F45" i="2"/>
  <c r="W44" i="2"/>
  <c r="U44" i="2" s="1"/>
  <c r="V44" i="2"/>
  <c r="T44" i="2" s="1"/>
  <c r="S44" i="2"/>
  <c r="R44" i="2"/>
  <c r="Q44" i="2"/>
  <c r="O44" i="2"/>
  <c r="N44" i="2" s="1"/>
  <c r="M44" i="2"/>
  <c r="L44" i="2"/>
  <c r="K44" i="2"/>
  <c r="J44" i="2" s="1"/>
  <c r="I44" i="2"/>
  <c r="H44" i="2" s="1"/>
  <c r="G44" i="2"/>
  <c r="F44" i="2"/>
  <c r="W43" i="2"/>
  <c r="U43" i="2" s="1"/>
  <c r="V43" i="2"/>
  <c r="T43" i="2" s="1"/>
  <c r="S43" i="2"/>
  <c r="R43" i="2"/>
  <c r="Q43" i="2"/>
  <c r="P43" i="2" s="1"/>
  <c r="O43" i="2"/>
  <c r="N43" i="2" s="1"/>
  <c r="M43" i="2"/>
  <c r="L43" i="2"/>
  <c r="K43" i="2"/>
  <c r="J43" i="2" s="1"/>
  <c r="I43" i="2"/>
  <c r="H43" i="2" s="1"/>
  <c r="G43" i="2"/>
  <c r="F43" i="2"/>
  <c r="W42" i="2"/>
  <c r="U42" i="2" s="1"/>
  <c r="V42" i="2"/>
  <c r="T42" i="2" s="1"/>
  <c r="S42" i="2"/>
  <c r="R42" i="2"/>
  <c r="Q42" i="2"/>
  <c r="P42" i="2" s="1"/>
  <c r="O42" i="2"/>
  <c r="N42" i="2" s="1"/>
  <c r="M42" i="2"/>
  <c r="L42" i="2"/>
  <c r="K42" i="2"/>
  <c r="J42" i="2" s="1"/>
  <c r="I42" i="2"/>
  <c r="H42" i="2" s="1"/>
  <c r="G42" i="2"/>
  <c r="F42" i="2"/>
  <c r="W41" i="2"/>
  <c r="U41" i="2" s="1"/>
  <c r="V41" i="2"/>
  <c r="T41" i="2" s="1"/>
  <c r="S41" i="2"/>
  <c r="R41" i="2"/>
  <c r="Q41" i="2"/>
  <c r="P41" i="2" s="1"/>
  <c r="O41" i="2"/>
  <c r="N41" i="2" s="1"/>
  <c r="M41" i="2"/>
  <c r="L41" i="2"/>
  <c r="K41" i="2"/>
  <c r="J41" i="2" s="1"/>
  <c r="I41" i="2"/>
  <c r="H41" i="2" s="1"/>
  <c r="G41" i="2"/>
  <c r="F41" i="2"/>
  <c r="W40" i="2"/>
  <c r="U40" i="2" s="1"/>
  <c r="V40" i="2"/>
  <c r="T40" i="2" s="1"/>
  <c r="S40" i="2"/>
  <c r="R40" i="2"/>
  <c r="Q40" i="2"/>
  <c r="P40" i="2" s="1"/>
  <c r="O40" i="2"/>
  <c r="N40" i="2" s="1"/>
  <c r="M40" i="2"/>
  <c r="L40" i="2"/>
  <c r="K40" i="2"/>
  <c r="J40" i="2" s="1"/>
  <c r="I40" i="2"/>
  <c r="G40" i="2"/>
  <c r="F40" i="2"/>
  <c r="W39" i="2"/>
  <c r="U39" i="2" s="1"/>
  <c r="V39" i="2"/>
  <c r="T39" i="2" s="1"/>
  <c r="S39" i="2"/>
  <c r="R39" i="2"/>
  <c r="Q39" i="2"/>
  <c r="P39" i="2" s="1"/>
  <c r="O39" i="2"/>
  <c r="N39" i="2" s="1"/>
  <c r="M39" i="2"/>
  <c r="L39" i="2"/>
  <c r="K39" i="2"/>
  <c r="J39" i="2" s="1"/>
  <c r="I39" i="2"/>
  <c r="H39" i="2" s="1"/>
  <c r="G39" i="2"/>
  <c r="F39" i="2"/>
  <c r="W38" i="2"/>
  <c r="U38" i="2" s="1"/>
  <c r="V38" i="2"/>
  <c r="T38" i="2" s="1"/>
  <c r="S38" i="2"/>
  <c r="R38" i="2"/>
  <c r="Q38" i="2"/>
  <c r="P38" i="2" s="1"/>
  <c r="O38" i="2"/>
  <c r="N38" i="2" s="1"/>
  <c r="M38" i="2"/>
  <c r="L38" i="2"/>
  <c r="K38" i="2"/>
  <c r="J38" i="2" s="1"/>
  <c r="I38" i="2"/>
  <c r="H38" i="2" s="1"/>
  <c r="G38" i="2"/>
  <c r="F38" i="2"/>
  <c r="W37" i="2"/>
  <c r="U37" i="2" s="1"/>
  <c r="V37" i="2"/>
  <c r="T37" i="2" s="1"/>
  <c r="S37" i="2"/>
  <c r="R37" i="2"/>
  <c r="Q37" i="2"/>
  <c r="P37" i="2" s="1"/>
  <c r="O37" i="2"/>
  <c r="N37" i="2" s="1"/>
  <c r="M37" i="2"/>
  <c r="L37" i="2"/>
  <c r="K37" i="2"/>
  <c r="J37" i="2" s="1"/>
  <c r="I37" i="2"/>
  <c r="H37" i="2" s="1"/>
  <c r="G37" i="2"/>
  <c r="F37" i="2"/>
  <c r="W36" i="2"/>
  <c r="U36" i="2" s="1"/>
  <c r="V36" i="2"/>
  <c r="T36" i="2" s="1"/>
  <c r="S36" i="2"/>
  <c r="R36" i="2"/>
  <c r="Q36" i="2"/>
  <c r="O36" i="2"/>
  <c r="N36" i="2" s="1"/>
  <c r="M36" i="2"/>
  <c r="L36" i="2"/>
  <c r="K36" i="2"/>
  <c r="J36" i="2" s="1"/>
  <c r="I36" i="2"/>
  <c r="H36" i="2" s="1"/>
  <c r="G36" i="2"/>
  <c r="F36" i="2"/>
  <c r="W35" i="2"/>
  <c r="U35" i="2" s="1"/>
  <c r="V35" i="2"/>
  <c r="T35" i="2" s="1"/>
  <c r="S35" i="2"/>
  <c r="R35" i="2"/>
  <c r="Q35" i="2"/>
  <c r="P35" i="2" s="1"/>
  <c r="O35" i="2"/>
  <c r="N35" i="2" s="1"/>
  <c r="M35" i="2"/>
  <c r="L35" i="2"/>
  <c r="K35" i="2"/>
  <c r="J35" i="2" s="1"/>
  <c r="I35" i="2"/>
  <c r="H35" i="2" s="1"/>
  <c r="G35" i="2"/>
  <c r="F35" i="2"/>
  <c r="W34" i="2"/>
  <c r="U34" i="2" s="1"/>
  <c r="V34" i="2"/>
  <c r="T34" i="2" s="1"/>
  <c r="S34" i="2"/>
  <c r="R34" i="2"/>
  <c r="Q34" i="2"/>
  <c r="P34" i="2" s="1"/>
  <c r="O34" i="2"/>
  <c r="N34" i="2" s="1"/>
  <c r="M34" i="2"/>
  <c r="L34" i="2"/>
  <c r="K34" i="2"/>
  <c r="J34" i="2" s="1"/>
  <c r="I34" i="2"/>
  <c r="H34" i="2" s="1"/>
  <c r="G34" i="2"/>
  <c r="F34" i="2"/>
  <c r="W33" i="2"/>
  <c r="U33" i="2" s="1"/>
  <c r="V33" i="2"/>
  <c r="T33" i="2" s="1"/>
  <c r="S33" i="2"/>
  <c r="R33" i="2"/>
  <c r="Q33" i="2"/>
  <c r="P33" i="2" s="1"/>
  <c r="O33" i="2"/>
  <c r="N33" i="2" s="1"/>
  <c r="M33" i="2"/>
  <c r="L33" i="2"/>
  <c r="K33" i="2"/>
  <c r="J33" i="2" s="1"/>
  <c r="I33" i="2"/>
  <c r="H33" i="2" s="1"/>
  <c r="G33" i="2"/>
  <c r="F33" i="2"/>
  <c r="W32" i="2"/>
  <c r="U32" i="2" s="1"/>
  <c r="V32" i="2"/>
  <c r="T32" i="2" s="1"/>
  <c r="S32" i="2"/>
  <c r="R32" i="2"/>
  <c r="Q32" i="2"/>
  <c r="P32" i="2" s="1"/>
  <c r="O32" i="2"/>
  <c r="N32" i="2" s="1"/>
  <c r="M32" i="2"/>
  <c r="L32" i="2"/>
  <c r="K32" i="2"/>
  <c r="J32" i="2" s="1"/>
  <c r="I32" i="2"/>
  <c r="H32" i="2" s="1"/>
  <c r="G32" i="2"/>
  <c r="F32" i="2"/>
  <c r="W31" i="2"/>
  <c r="U31" i="2" s="1"/>
  <c r="V31" i="2"/>
  <c r="T31" i="2" s="1"/>
  <c r="S31" i="2"/>
  <c r="R31" i="2"/>
  <c r="Q31" i="2"/>
  <c r="P31" i="2" s="1"/>
  <c r="O31" i="2"/>
  <c r="N31" i="2" s="1"/>
  <c r="M31" i="2"/>
  <c r="L31" i="2"/>
  <c r="K31" i="2"/>
  <c r="J31" i="2" s="1"/>
  <c r="I31" i="2"/>
  <c r="H31" i="2" s="1"/>
  <c r="G31" i="2"/>
  <c r="F31" i="2"/>
  <c r="W30" i="2"/>
  <c r="U30" i="2" s="1"/>
  <c r="V30" i="2"/>
  <c r="T30" i="2" s="1"/>
  <c r="S30" i="2"/>
  <c r="R30" i="2"/>
  <c r="Q30" i="2"/>
  <c r="P30" i="2" s="1"/>
  <c r="O30" i="2"/>
  <c r="N30" i="2" s="1"/>
  <c r="M30" i="2"/>
  <c r="L30" i="2"/>
  <c r="K30" i="2"/>
  <c r="J30" i="2" s="1"/>
  <c r="I30" i="2"/>
  <c r="H30" i="2" s="1"/>
  <c r="G30" i="2"/>
  <c r="F30" i="2"/>
  <c r="W29" i="2"/>
  <c r="U29" i="2" s="1"/>
  <c r="V29" i="2"/>
  <c r="T29" i="2" s="1"/>
  <c r="S29" i="2"/>
  <c r="R29" i="2"/>
  <c r="Q29" i="2"/>
  <c r="P29" i="2" s="1"/>
  <c r="O29" i="2"/>
  <c r="N29" i="2" s="1"/>
  <c r="M29" i="2"/>
  <c r="L29" i="2"/>
  <c r="K29" i="2"/>
  <c r="J29" i="2" s="1"/>
  <c r="I29" i="2"/>
  <c r="H29" i="2" s="1"/>
  <c r="G29" i="2"/>
  <c r="F29" i="2"/>
  <c r="W28" i="2"/>
  <c r="U28" i="2" s="1"/>
  <c r="V28" i="2"/>
  <c r="T28" i="2" s="1"/>
  <c r="S28" i="2"/>
  <c r="R28" i="2"/>
  <c r="Q28" i="2"/>
  <c r="P28" i="2" s="1"/>
  <c r="O28" i="2"/>
  <c r="N28" i="2" s="1"/>
  <c r="M28" i="2"/>
  <c r="L28" i="2"/>
  <c r="K28" i="2"/>
  <c r="J28" i="2" s="1"/>
  <c r="I28" i="2"/>
  <c r="H28" i="2" s="1"/>
  <c r="G28" i="2"/>
  <c r="F28" i="2"/>
  <c r="W27" i="2"/>
  <c r="U27" i="2" s="1"/>
  <c r="V27" i="2"/>
  <c r="T27" i="2" s="1"/>
  <c r="S27" i="2"/>
  <c r="R27" i="2"/>
  <c r="Q27" i="2"/>
  <c r="P27" i="2" s="1"/>
  <c r="O27" i="2"/>
  <c r="N27" i="2" s="1"/>
  <c r="M27" i="2"/>
  <c r="L27" i="2"/>
  <c r="K27" i="2"/>
  <c r="J27" i="2" s="1"/>
  <c r="I27" i="2"/>
  <c r="H27" i="2" s="1"/>
  <c r="G27" i="2"/>
  <c r="F27" i="2"/>
  <c r="W26" i="2"/>
  <c r="U26" i="2" s="1"/>
  <c r="V26" i="2"/>
  <c r="T26" i="2" s="1"/>
  <c r="S26" i="2"/>
  <c r="R26" i="2"/>
  <c r="Q26" i="2"/>
  <c r="P26" i="2" s="1"/>
  <c r="O26" i="2"/>
  <c r="N26" i="2" s="1"/>
  <c r="M26" i="2"/>
  <c r="L26" i="2"/>
  <c r="K26" i="2"/>
  <c r="I26" i="2"/>
  <c r="H26" i="2" s="1"/>
  <c r="G26" i="2"/>
  <c r="F26" i="2"/>
  <c r="W25" i="2"/>
  <c r="U25" i="2" s="1"/>
  <c r="V25" i="2"/>
  <c r="T25" i="2" s="1"/>
  <c r="S25" i="2"/>
  <c r="R25" i="2"/>
  <c r="Q25" i="2"/>
  <c r="P25" i="2" s="1"/>
  <c r="O25" i="2"/>
  <c r="N25" i="2" s="1"/>
  <c r="M25" i="2"/>
  <c r="L25" i="2"/>
  <c r="K25" i="2"/>
  <c r="J25" i="2" s="1"/>
  <c r="I25" i="2"/>
  <c r="H25" i="2" s="1"/>
  <c r="G25" i="2"/>
  <c r="F25" i="2"/>
  <c r="W24" i="2"/>
  <c r="U24" i="2" s="1"/>
  <c r="V24" i="2"/>
  <c r="T24" i="2" s="1"/>
  <c r="S24" i="2"/>
  <c r="R24" i="2"/>
  <c r="Q24" i="2"/>
  <c r="P24" i="2" s="1"/>
  <c r="O24" i="2"/>
  <c r="N24" i="2" s="1"/>
  <c r="M24" i="2"/>
  <c r="L24" i="2"/>
  <c r="K24" i="2"/>
  <c r="J24" i="2" s="1"/>
  <c r="I24" i="2"/>
  <c r="H24" i="2" s="1"/>
  <c r="G24" i="2"/>
  <c r="F24" i="2"/>
  <c r="W23" i="2"/>
  <c r="U23" i="2" s="1"/>
  <c r="V23" i="2"/>
  <c r="T23" i="2" s="1"/>
  <c r="S23" i="2"/>
  <c r="R23" i="2"/>
  <c r="Q23" i="2"/>
  <c r="P23" i="2" s="1"/>
  <c r="O23" i="2"/>
  <c r="N23" i="2" s="1"/>
  <c r="M23" i="2"/>
  <c r="L23" i="2"/>
  <c r="K23" i="2"/>
  <c r="J23" i="2" s="1"/>
  <c r="I23" i="2"/>
  <c r="H23" i="2" s="1"/>
  <c r="G23" i="2"/>
  <c r="F23" i="2"/>
  <c r="W22" i="2"/>
  <c r="U22" i="2" s="1"/>
  <c r="V22" i="2"/>
  <c r="T22" i="2" s="1"/>
  <c r="S22" i="2"/>
  <c r="R22" i="2"/>
  <c r="Q22" i="2"/>
  <c r="P22" i="2" s="1"/>
  <c r="O22" i="2"/>
  <c r="N22" i="2" s="1"/>
  <c r="M22" i="2"/>
  <c r="L22" i="2"/>
  <c r="K22" i="2"/>
  <c r="J22" i="2" s="1"/>
  <c r="I22" i="2"/>
  <c r="H22" i="2" s="1"/>
  <c r="G22" i="2"/>
  <c r="F22" i="2"/>
  <c r="W21" i="2"/>
  <c r="U21" i="2" s="1"/>
  <c r="V21" i="2"/>
  <c r="T21" i="2" s="1"/>
  <c r="S21" i="2"/>
  <c r="R21" i="2"/>
  <c r="Q21" i="2"/>
  <c r="P21" i="2" s="1"/>
  <c r="O21" i="2"/>
  <c r="N21" i="2" s="1"/>
  <c r="M21" i="2"/>
  <c r="L21" i="2"/>
  <c r="K21" i="2"/>
  <c r="J21" i="2" s="1"/>
  <c r="I21" i="2"/>
  <c r="H21" i="2" s="1"/>
  <c r="G21" i="2"/>
  <c r="F21" i="2"/>
  <c r="W20" i="2"/>
  <c r="U20" i="2" s="1"/>
  <c r="V20" i="2"/>
  <c r="T20" i="2" s="1"/>
  <c r="S20" i="2"/>
  <c r="R20" i="2"/>
  <c r="Q20" i="2"/>
  <c r="P20" i="2" s="1"/>
  <c r="O20" i="2"/>
  <c r="N20" i="2" s="1"/>
  <c r="M20" i="2"/>
  <c r="L20" i="2"/>
  <c r="K20" i="2"/>
  <c r="J20" i="2" s="1"/>
  <c r="I20" i="2"/>
  <c r="H20" i="2" s="1"/>
  <c r="G20" i="2"/>
  <c r="F20" i="2"/>
  <c r="W19" i="2"/>
  <c r="U19" i="2" s="1"/>
  <c r="V19" i="2"/>
  <c r="T19" i="2" s="1"/>
  <c r="S19" i="2"/>
  <c r="R19" i="2"/>
  <c r="Q19" i="2"/>
  <c r="P19" i="2" s="1"/>
  <c r="O19" i="2"/>
  <c r="N19" i="2" s="1"/>
  <c r="M19" i="2"/>
  <c r="L19" i="2"/>
  <c r="K19" i="2"/>
  <c r="J19" i="2" s="1"/>
  <c r="I19" i="2"/>
  <c r="H19" i="2" s="1"/>
  <c r="G19" i="2"/>
  <c r="F19" i="2"/>
  <c r="W18" i="2"/>
  <c r="U18" i="2" s="1"/>
  <c r="V18" i="2"/>
  <c r="T18" i="2" s="1"/>
  <c r="S18" i="2"/>
  <c r="R18" i="2"/>
  <c r="Q18" i="2"/>
  <c r="P18" i="2" s="1"/>
  <c r="O18" i="2"/>
  <c r="N18" i="2" s="1"/>
  <c r="M18" i="2"/>
  <c r="L18" i="2"/>
  <c r="K18" i="2"/>
  <c r="I18" i="2"/>
  <c r="H18" i="2" s="1"/>
  <c r="G18" i="2"/>
  <c r="F18" i="2"/>
  <c r="W17" i="2"/>
  <c r="U17" i="2" s="1"/>
  <c r="V17" i="2"/>
  <c r="T17" i="2" s="1"/>
  <c r="S17" i="2"/>
  <c r="R17" i="2"/>
  <c r="Q17" i="2"/>
  <c r="P17" i="2" s="1"/>
  <c r="O17" i="2"/>
  <c r="N17" i="2" s="1"/>
  <c r="M17" i="2"/>
  <c r="L17" i="2"/>
  <c r="K17" i="2"/>
  <c r="J17" i="2" s="1"/>
  <c r="I17" i="2"/>
  <c r="H17" i="2" s="1"/>
  <c r="G17" i="2"/>
  <c r="F17" i="2"/>
  <c r="W16" i="2"/>
  <c r="U16" i="2" s="1"/>
  <c r="V16" i="2"/>
  <c r="T16" i="2" s="1"/>
  <c r="S16" i="2"/>
  <c r="R16" i="2"/>
  <c r="Q16" i="2"/>
  <c r="P16" i="2" s="1"/>
  <c r="O16" i="2"/>
  <c r="N16" i="2" s="1"/>
  <c r="M16" i="2"/>
  <c r="L16" i="2"/>
  <c r="K16" i="2"/>
  <c r="J16" i="2" s="1"/>
  <c r="I16" i="2"/>
  <c r="H16" i="2" s="1"/>
  <c r="G16" i="2"/>
  <c r="F16" i="2"/>
  <c r="W15" i="2"/>
  <c r="U15" i="2" s="1"/>
  <c r="V15" i="2"/>
  <c r="T15" i="2" s="1"/>
  <c r="S15" i="2"/>
  <c r="R15" i="2"/>
  <c r="Q15" i="2"/>
  <c r="P15" i="2" s="1"/>
  <c r="O15" i="2"/>
  <c r="N15" i="2" s="1"/>
  <c r="M15" i="2"/>
  <c r="L15" i="2"/>
  <c r="K15" i="2"/>
  <c r="J15" i="2" s="1"/>
  <c r="I15" i="2"/>
  <c r="H15" i="2" s="1"/>
  <c r="G15" i="2"/>
  <c r="F15" i="2"/>
  <c r="W14" i="2"/>
  <c r="U14" i="2" s="1"/>
  <c r="V14" i="2"/>
  <c r="T14" i="2" s="1"/>
  <c r="S14" i="2"/>
  <c r="R14" i="2"/>
  <c r="Q14" i="2"/>
  <c r="P14" i="2" s="1"/>
  <c r="O14" i="2"/>
  <c r="N14" i="2" s="1"/>
  <c r="M14" i="2"/>
  <c r="L14" i="2"/>
  <c r="K14" i="2"/>
  <c r="J14" i="2" s="1"/>
  <c r="I14" i="2"/>
  <c r="H14" i="2" s="1"/>
  <c r="G14" i="2"/>
  <c r="F14" i="2"/>
  <c r="W13" i="2"/>
  <c r="U13" i="2" s="1"/>
  <c r="V13" i="2"/>
  <c r="T13" i="2" s="1"/>
  <c r="S13" i="2"/>
  <c r="R13" i="2"/>
  <c r="Q13" i="2"/>
  <c r="P13" i="2" s="1"/>
  <c r="O13" i="2"/>
  <c r="N13" i="2" s="1"/>
  <c r="M13" i="2"/>
  <c r="L13" i="2"/>
  <c r="K13" i="2"/>
  <c r="J13" i="2" s="1"/>
  <c r="I13" i="2"/>
  <c r="H13" i="2" s="1"/>
  <c r="G13" i="2"/>
  <c r="F13" i="2"/>
  <c r="W12" i="2"/>
  <c r="U12" i="2" s="1"/>
  <c r="V12" i="2"/>
  <c r="T12" i="2" s="1"/>
  <c r="S12" i="2"/>
  <c r="R12" i="2"/>
  <c r="Q12" i="2"/>
  <c r="P12" i="2" s="1"/>
  <c r="O12" i="2"/>
  <c r="N12" i="2" s="1"/>
  <c r="M12" i="2"/>
  <c r="L12" i="2"/>
  <c r="K12" i="2"/>
  <c r="J12" i="2" s="1"/>
  <c r="I12" i="2"/>
  <c r="H12" i="2" s="1"/>
  <c r="G12" i="2"/>
  <c r="F12" i="2"/>
  <c r="W11" i="2"/>
  <c r="U11" i="2" s="1"/>
  <c r="V11" i="2"/>
  <c r="T11" i="2" s="1"/>
  <c r="S11" i="2"/>
  <c r="R11" i="2"/>
  <c r="Q11" i="2"/>
  <c r="P11" i="2" s="1"/>
  <c r="O11" i="2"/>
  <c r="N11" i="2" s="1"/>
  <c r="M11" i="2"/>
  <c r="L11" i="2"/>
  <c r="K11" i="2"/>
  <c r="J11" i="2" s="1"/>
  <c r="I11" i="2"/>
  <c r="H11" i="2" s="1"/>
  <c r="G11" i="2"/>
  <c r="F11" i="2"/>
  <c r="W10" i="2"/>
  <c r="U10" i="2" s="1"/>
  <c r="V10" i="2"/>
  <c r="T10" i="2" s="1"/>
  <c r="S10" i="2"/>
  <c r="R10" i="2"/>
  <c r="Q10" i="2"/>
  <c r="P10" i="2" s="1"/>
  <c r="O10" i="2"/>
  <c r="N10" i="2" s="1"/>
  <c r="M10" i="2"/>
  <c r="L10" i="2"/>
  <c r="K10" i="2"/>
  <c r="J10" i="2" s="1"/>
  <c r="I10" i="2"/>
  <c r="H10" i="2" s="1"/>
  <c r="G10" i="2"/>
  <c r="F10" i="2"/>
  <c r="W9" i="2"/>
  <c r="U9" i="2" s="1"/>
  <c r="V9" i="2"/>
  <c r="T9" i="2" s="1"/>
  <c r="S9" i="2"/>
  <c r="R9" i="2"/>
  <c r="Q9" i="2"/>
  <c r="P9" i="2" s="1"/>
  <c r="O9" i="2"/>
  <c r="N9" i="2" s="1"/>
  <c r="M9" i="2"/>
  <c r="L9" i="2"/>
  <c r="K9" i="2"/>
  <c r="J9" i="2" s="1"/>
  <c r="I9" i="2"/>
  <c r="H9" i="2" s="1"/>
  <c r="G9" i="2"/>
  <c r="F9" i="2"/>
  <c r="W8" i="2"/>
  <c r="U8" i="2" s="1"/>
  <c r="V8" i="2"/>
  <c r="T8" i="2" s="1"/>
  <c r="S8" i="2"/>
  <c r="R8" i="2"/>
  <c r="Q8" i="2"/>
  <c r="P8" i="2" s="1"/>
  <c r="O8" i="2"/>
  <c r="N8" i="2" s="1"/>
  <c r="M8" i="2"/>
  <c r="L8" i="2"/>
  <c r="K8" i="2"/>
  <c r="J8" i="2" s="1"/>
  <c r="I8" i="2"/>
  <c r="H8" i="2" s="1"/>
  <c r="G8" i="2"/>
  <c r="F8" i="2"/>
  <c r="W7" i="2"/>
  <c r="U7" i="2" s="1"/>
  <c r="V7" i="2"/>
  <c r="T7" i="2" s="1"/>
  <c r="S7" i="2"/>
  <c r="R7" i="2"/>
  <c r="Q7" i="2"/>
  <c r="P7" i="2" s="1"/>
  <c r="O7" i="2"/>
  <c r="N7" i="2" s="1"/>
  <c r="M7" i="2"/>
  <c r="L7" i="2"/>
  <c r="K7" i="2"/>
  <c r="J7" i="2" s="1"/>
  <c r="I7" i="2"/>
  <c r="H7" i="2" s="1"/>
  <c r="G7" i="2"/>
  <c r="F7" i="2"/>
  <c r="W6" i="2"/>
  <c r="U6" i="2" s="1"/>
  <c r="V6" i="2"/>
  <c r="T6" i="2" s="1"/>
  <c r="S6" i="2"/>
  <c r="R6" i="2"/>
  <c r="Q6" i="2"/>
  <c r="P6" i="2" s="1"/>
  <c r="O6" i="2"/>
  <c r="N6" i="2" s="1"/>
  <c r="M6" i="2"/>
  <c r="L6" i="2"/>
  <c r="K6" i="2"/>
  <c r="J6" i="2" s="1"/>
  <c r="I6" i="2"/>
  <c r="G6" i="2"/>
  <c r="F6" i="2"/>
  <c r="W5" i="2"/>
  <c r="U5" i="2" s="1"/>
  <c r="V5" i="2"/>
  <c r="T5" i="2" s="1"/>
  <c r="S5" i="2"/>
  <c r="R5" i="2"/>
  <c r="Q5" i="2"/>
  <c r="P5" i="2" s="1"/>
  <c r="O5" i="2"/>
  <c r="N5" i="2" s="1"/>
  <c r="M5" i="2"/>
  <c r="L5" i="2"/>
  <c r="K5" i="2"/>
  <c r="J5" i="2" s="1"/>
  <c r="I5" i="2"/>
  <c r="H5" i="2" s="1"/>
  <c r="G5" i="2"/>
  <c r="F5" i="2"/>
  <c r="W4" i="2"/>
  <c r="U4" i="2" s="1"/>
  <c r="V4" i="2"/>
  <c r="T4" i="2" s="1"/>
  <c r="S4" i="2"/>
  <c r="R4" i="2"/>
  <c r="Q4" i="2"/>
  <c r="P4" i="2" s="1"/>
  <c r="O4" i="2" s="1"/>
  <c r="N4" i="2" s="1"/>
  <c r="M4" i="2"/>
  <c r="L4" i="2"/>
  <c r="K4" i="2"/>
  <c r="J4" i="2" s="1"/>
  <c r="I4" i="2"/>
  <c r="H4" i="2" s="1"/>
  <c r="G4" i="2"/>
  <c r="F4" i="2"/>
  <c r="D4" i="2"/>
  <c r="E1002" i="2" l="1"/>
  <c r="E1001" i="2"/>
  <c r="E1000" i="2"/>
  <c r="E999" i="2"/>
  <c r="E998" i="2"/>
  <c r="E997" i="2"/>
  <c r="E996" i="2"/>
  <c r="E995" i="2"/>
  <c r="E994" i="2"/>
  <c r="E993" i="2"/>
  <c r="E992" i="2"/>
  <c r="E991" i="2"/>
  <c r="E990" i="2"/>
  <c r="E989" i="2"/>
  <c r="E988" i="2"/>
  <c r="E987" i="2"/>
  <c r="E986" i="2"/>
  <c r="E985" i="2"/>
  <c r="E984" i="2"/>
  <c r="E983" i="2"/>
  <c r="E982" i="2"/>
  <c r="E981" i="2"/>
  <c r="E980" i="2"/>
  <c r="E979" i="2"/>
  <c r="E978" i="2"/>
  <c r="E977" i="2"/>
  <c r="E976" i="2"/>
  <c r="E975" i="2"/>
  <c r="E974" i="2"/>
  <c r="E973" i="2"/>
  <c r="E972" i="2"/>
  <c r="E971" i="2"/>
  <c r="E970" i="2"/>
  <c r="E969" i="2"/>
  <c r="E968" i="2"/>
  <c r="E967" i="2"/>
  <c r="E966" i="2"/>
  <c r="E965" i="2"/>
  <c r="E964" i="2"/>
  <c r="E963" i="2"/>
  <c r="E962" i="2"/>
  <c r="E961" i="2"/>
  <c r="E960" i="2"/>
  <c r="E959" i="2"/>
  <c r="E958" i="2"/>
  <c r="E957" i="2"/>
  <c r="E956" i="2"/>
  <c r="E955" i="2"/>
  <c r="E954" i="2"/>
  <c r="E953" i="2"/>
  <c r="E952" i="2"/>
  <c r="E951" i="2"/>
  <c r="E950" i="2"/>
  <c r="E949" i="2"/>
  <c r="E948" i="2"/>
  <c r="E947" i="2"/>
  <c r="E946" i="2"/>
  <c r="E945" i="2"/>
  <c r="E944" i="2"/>
  <c r="E943" i="2"/>
  <c r="E942" i="2"/>
  <c r="E941" i="2"/>
  <c r="E940" i="2"/>
  <c r="E939" i="2"/>
  <c r="E938" i="2"/>
  <c r="E937" i="2"/>
  <c r="E936" i="2"/>
  <c r="E935" i="2"/>
  <c r="E934" i="2"/>
  <c r="E933" i="2"/>
  <c r="E932" i="2"/>
  <c r="E931" i="2"/>
  <c r="E930" i="2"/>
  <c r="E929" i="2"/>
  <c r="E928" i="2"/>
  <c r="E927" i="2"/>
  <c r="E926" i="2"/>
  <c r="E925" i="2"/>
  <c r="E924" i="2"/>
  <c r="E923" i="2"/>
  <c r="E922" i="2"/>
  <c r="E921" i="2"/>
  <c r="E920" i="2"/>
  <c r="E919" i="2"/>
  <c r="E918" i="2"/>
  <c r="E917" i="2"/>
  <c r="E916" i="2"/>
  <c r="E915" i="2"/>
  <c r="E914" i="2"/>
  <c r="E913" i="2"/>
  <c r="E912" i="2"/>
  <c r="E911" i="2"/>
  <c r="E910" i="2"/>
  <c r="E909" i="2"/>
  <c r="E908" i="2"/>
  <c r="E907" i="2"/>
  <c r="E906" i="2"/>
  <c r="E905" i="2"/>
  <c r="E904" i="2"/>
  <c r="E903" i="2"/>
  <c r="E902" i="2"/>
  <c r="E901" i="2"/>
  <c r="E900" i="2"/>
  <c r="E899" i="2"/>
  <c r="E898" i="2"/>
  <c r="E897" i="2"/>
  <c r="E896" i="2"/>
  <c r="E895" i="2"/>
  <c r="E894" i="2"/>
  <c r="E893" i="2"/>
  <c r="E892" i="2"/>
  <c r="E891" i="2"/>
  <c r="E890" i="2"/>
  <c r="E889" i="2"/>
  <c r="E888" i="2"/>
  <c r="E887" i="2"/>
  <c r="E886" i="2"/>
  <c r="E885" i="2"/>
  <c r="E884" i="2"/>
  <c r="E883" i="2"/>
  <c r="E882" i="2"/>
  <c r="E881" i="2"/>
  <c r="E880" i="2"/>
  <c r="E879" i="2"/>
  <c r="E878" i="2"/>
  <c r="E877" i="2"/>
  <c r="E876" i="2"/>
  <c r="E875" i="2"/>
  <c r="E874" i="2"/>
  <c r="E873" i="2"/>
  <c r="E872" i="2"/>
  <c r="E871" i="2"/>
  <c r="E870" i="2"/>
  <c r="E869" i="2"/>
  <c r="E868" i="2"/>
  <c r="E867" i="2"/>
  <c r="E866" i="2"/>
  <c r="E865" i="2"/>
  <c r="E864" i="2"/>
  <c r="E863" i="2"/>
  <c r="E862" i="2"/>
  <c r="E861" i="2"/>
  <c r="E860" i="2"/>
  <c r="E859" i="2"/>
  <c r="E858" i="2"/>
  <c r="E857" i="2"/>
  <c r="E856" i="2"/>
  <c r="E855" i="2"/>
  <c r="E854" i="2"/>
  <c r="E853" i="2"/>
  <c r="E852" i="2"/>
  <c r="E851" i="2"/>
  <c r="E850" i="2"/>
  <c r="E849" i="2"/>
  <c r="E848" i="2"/>
  <c r="E847" i="2"/>
  <c r="E846" i="2"/>
  <c r="E845" i="2"/>
  <c r="E844" i="2"/>
  <c r="E843" i="2"/>
  <c r="E842" i="2"/>
  <c r="E841" i="2"/>
  <c r="E840" i="2"/>
  <c r="E839" i="2"/>
  <c r="E838" i="2"/>
  <c r="E837" i="2"/>
  <c r="E836" i="2"/>
  <c r="E835" i="2"/>
  <c r="E834" i="2"/>
  <c r="E833" i="2"/>
  <c r="E832" i="2"/>
  <c r="E831" i="2"/>
  <c r="E830" i="2"/>
  <c r="E829" i="2"/>
  <c r="E828" i="2"/>
  <c r="E827" i="2"/>
  <c r="E826" i="2"/>
  <c r="E825" i="2"/>
  <c r="E824" i="2"/>
  <c r="E823" i="2"/>
  <c r="E822" i="2"/>
  <c r="E821" i="2"/>
  <c r="E820" i="2"/>
  <c r="E819" i="2"/>
  <c r="E818" i="2"/>
  <c r="E817" i="2"/>
  <c r="E816" i="2"/>
  <c r="E815" i="2"/>
  <c r="E814" i="2"/>
  <c r="E813" i="2"/>
  <c r="E812" i="2"/>
  <c r="E811" i="2"/>
  <c r="E810" i="2"/>
  <c r="E809" i="2"/>
  <c r="E808" i="2"/>
  <c r="E807" i="2"/>
  <c r="E806" i="2"/>
  <c r="E805" i="2"/>
  <c r="E804" i="2"/>
  <c r="E803" i="2"/>
  <c r="E802" i="2"/>
  <c r="E801" i="2"/>
  <c r="E800" i="2"/>
  <c r="E799" i="2"/>
  <c r="E798" i="2"/>
  <c r="E797" i="2"/>
  <c r="E796" i="2"/>
  <c r="E795" i="2"/>
  <c r="E794" i="2"/>
  <c r="E793" i="2"/>
  <c r="E792" i="2"/>
  <c r="E791" i="2"/>
  <c r="E790" i="2"/>
  <c r="E789" i="2"/>
  <c r="E788" i="2"/>
  <c r="E787" i="2"/>
  <c r="E786" i="2"/>
  <c r="E785" i="2"/>
  <c r="E784" i="2"/>
  <c r="E783" i="2"/>
  <c r="E782" i="2"/>
  <c r="E781" i="2"/>
  <c r="E780" i="2"/>
  <c r="E779" i="2"/>
  <c r="E778" i="2"/>
  <c r="E777" i="2"/>
  <c r="E776" i="2"/>
  <c r="E775" i="2"/>
  <c r="E774" i="2"/>
  <c r="E773" i="2"/>
  <c r="E772" i="2"/>
  <c r="E771" i="2"/>
  <c r="E770" i="2"/>
  <c r="E769" i="2"/>
  <c r="E768" i="2"/>
  <c r="E767" i="2"/>
  <c r="E766" i="2"/>
  <c r="E765" i="2"/>
  <c r="E764" i="2"/>
  <c r="E763" i="2"/>
  <c r="E762" i="2"/>
  <c r="E761" i="2"/>
  <c r="E760" i="2"/>
  <c r="E759" i="2"/>
  <c r="E758" i="2"/>
  <c r="E757" i="2"/>
  <c r="E756" i="2"/>
  <c r="E755" i="2"/>
  <c r="E754" i="2"/>
  <c r="E753" i="2"/>
  <c r="E752" i="2"/>
  <c r="E751" i="2"/>
  <c r="E750" i="2"/>
  <c r="E749" i="2"/>
  <c r="E748" i="2"/>
  <c r="E747" i="2"/>
  <c r="E746" i="2"/>
  <c r="E745" i="2"/>
  <c r="E744" i="2"/>
  <c r="E743" i="2"/>
  <c r="E742" i="2"/>
  <c r="E741" i="2"/>
  <c r="E740" i="2"/>
  <c r="E739" i="2"/>
  <c r="E738" i="2"/>
  <c r="E737" i="2"/>
  <c r="E736" i="2"/>
  <c r="E735" i="2"/>
  <c r="E734" i="2"/>
  <c r="E733" i="2"/>
  <c r="E732" i="2"/>
  <c r="E731" i="2"/>
  <c r="E730" i="2"/>
  <c r="E729" i="2"/>
  <c r="E728" i="2"/>
  <c r="E727" i="2"/>
  <c r="E726" i="2"/>
  <c r="E725" i="2"/>
  <c r="E724" i="2"/>
  <c r="E723" i="2"/>
  <c r="E722" i="2"/>
  <c r="E721" i="2"/>
  <c r="E720" i="2"/>
  <c r="E719" i="2"/>
  <c r="E718" i="2"/>
  <c r="E717" i="2"/>
  <c r="E716" i="2"/>
  <c r="E715" i="2"/>
  <c r="E714" i="2"/>
  <c r="E713" i="2"/>
  <c r="E712" i="2"/>
  <c r="E711" i="2"/>
  <c r="E710" i="2"/>
  <c r="E709" i="2"/>
  <c r="E708" i="2"/>
  <c r="E707" i="2"/>
  <c r="E706" i="2"/>
  <c r="E705" i="2"/>
  <c r="E704" i="2"/>
  <c r="E703" i="2"/>
  <c r="E702" i="2"/>
  <c r="E701" i="2"/>
  <c r="E700" i="2"/>
  <c r="E699" i="2"/>
  <c r="E698" i="2"/>
  <c r="E697" i="2"/>
  <c r="E696" i="2"/>
  <c r="E695" i="2"/>
  <c r="E694" i="2"/>
  <c r="E693" i="2"/>
  <c r="E692" i="2"/>
  <c r="E691" i="2"/>
  <c r="E690" i="2"/>
  <c r="E689" i="2"/>
  <c r="E688" i="2"/>
  <c r="E687" i="2"/>
  <c r="E686" i="2"/>
  <c r="E685" i="2"/>
  <c r="E684" i="2"/>
  <c r="E683" i="2"/>
  <c r="E682" i="2"/>
  <c r="E681" i="2"/>
  <c r="E680" i="2"/>
  <c r="E679" i="2"/>
  <c r="E678" i="2"/>
  <c r="E677" i="2"/>
  <c r="E676" i="2"/>
  <c r="E675" i="2"/>
  <c r="E674" i="2"/>
  <c r="E673" i="2"/>
  <c r="E672" i="2"/>
  <c r="E671" i="2"/>
  <c r="E670" i="2"/>
  <c r="E669" i="2"/>
  <c r="E668" i="2"/>
  <c r="E667" i="2"/>
  <c r="E666" i="2"/>
  <c r="E665" i="2"/>
  <c r="E664" i="2"/>
  <c r="E663" i="2"/>
  <c r="E662" i="2"/>
  <c r="E661" i="2"/>
  <c r="E660" i="2"/>
  <c r="E659" i="2"/>
  <c r="E658" i="2"/>
  <c r="E657" i="2"/>
  <c r="E656" i="2"/>
  <c r="E655" i="2"/>
  <c r="E654" i="2"/>
  <c r="E653" i="2"/>
  <c r="E652" i="2"/>
  <c r="E651" i="2"/>
  <c r="E650" i="2"/>
  <c r="E649" i="2"/>
  <c r="E648" i="2"/>
  <c r="E647" i="2"/>
  <c r="E646" i="2"/>
  <c r="E645" i="2"/>
  <c r="E644" i="2"/>
  <c r="E643" i="2"/>
  <c r="E642" i="2"/>
  <c r="E641" i="2"/>
  <c r="E640" i="2"/>
  <c r="E639" i="2"/>
  <c r="E638" i="2"/>
  <c r="E637" i="2"/>
  <c r="E636" i="2"/>
  <c r="E635" i="2"/>
  <c r="E634" i="2"/>
  <c r="E633" i="2"/>
  <c r="E632" i="2"/>
  <c r="E631" i="2"/>
  <c r="E630" i="2"/>
  <c r="E629" i="2"/>
  <c r="E628" i="2"/>
  <c r="E627" i="2"/>
  <c r="E626" i="2"/>
  <c r="E625" i="2"/>
  <c r="E624" i="2"/>
  <c r="E623" i="2"/>
  <c r="E622" i="2"/>
  <c r="E621" i="2"/>
  <c r="E620" i="2"/>
  <c r="E619" i="2"/>
  <c r="E618" i="2"/>
  <c r="E617" i="2"/>
  <c r="E616" i="2"/>
  <c r="E615" i="2"/>
  <c r="E614" i="2"/>
  <c r="E613" i="2"/>
  <c r="E612" i="2"/>
  <c r="E611" i="2"/>
  <c r="E610" i="2"/>
  <c r="E609" i="2"/>
  <c r="E608" i="2"/>
  <c r="E607" i="2"/>
  <c r="E606" i="2"/>
  <c r="E605" i="2"/>
  <c r="E604" i="2"/>
  <c r="E603" i="2"/>
  <c r="E602" i="2"/>
  <c r="E601" i="2"/>
  <c r="E600" i="2"/>
  <c r="E599" i="2"/>
  <c r="E598" i="2"/>
  <c r="E597" i="2"/>
  <c r="E596" i="2"/>
  <c r="E595" i="2"/>
  <c r="E594" i="2"/>
  <c r="E593" i="2"/>
  <c r="E592" i="2"/>
  <c r="E591" i="2"/>
  <c r="E590" i="2"/>
  <c r="E589" i="2"/>
  <c r="E588" i="2"/>
  <c r="E587" i="2"/>
  <c r="E586" i="2"/>
  <c r="E585" i="2"/>
  <c r="E584" i="2"/>
  <c r="E583" i="2"/>
  <c r="E582" i="2"/>
  <c r="E581" i="2"/>
  <c r="E580" i="2"/>
  <c r="E579" i="2"/>
  <c r="E578" i="2"/>
  <c r="E577" i="2"/>
  <c r="E576" i="2"/>
  <c r="E575" i="2"/>
  <c r="E574" i="2"/>
  <c r="E573" i="2"/>
  <c r="E572" i="2"/>
  <c r="E571" i="2"/>
  <c r="E570" i="2"/>
  <c r="E569" i="2"/>
  <c r="E568" i="2"/>
  <c r="E567" i="2"/>
  <c r="E566" i="2"/>
  <c r="E565" i="2"/>
  <c r="E564" i="2"/>
  <c r="E563" i="2"/>
  <c r="E562" i="2"/>
  <c r="E561" i="2"/>
  <c r="E560" i="2"/>
  <c r="E559" i="2"/>
  <c r="E558" i="2"/>
  <c r="E557" i="2"/>
  <c r="E556" i="2"/>
  <c r="E555" i="2"/>
  <c r="E55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E513" i="2"/>
  <c r="E512" i="2"/>
  <c r="E511" i="2"/>
  <c r="E510" i="2"/>
  <c r="E509" i="2"/>
  <c r="E508" i="2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E477" i="2"/>
  <c r="E476" i="2"/>
  <c r="E475" i="2"/>
  <c r="E474" i="2"/>
  <c r="E473" i="2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D1002" i="2"/>
  <c r="C1002" i="2"/>
  <c r="D1001" i="2"/>
  <c r="C1001" i="2"/>
  <c r="D1000" i="2"/>
  <c r="C1000" i="2"/>
  <c r="D999" i="2"/>
  <c r="C999" i="2"/>
  <c r="D998" i="2"/>
  <c r="C998" i="2"/>
  <c r="D997" i="2"/>
  <c r="C997" i="2"/>
  <c r="D996" i="2"/>
  <c r="C996" i="2"/>
  <c r="D995" i="2"/>
  <c r="C995" i="2"/>
  <c r="D994" i="2"/>
  <c r="C994" i="2"/>
  <c r="D993" i="2"/>
  <c r="C993" i="2"/>
  <c r="D992" i="2"/>
  <c r="C992" i="2"/>
  <c r="D991" i="2"/>
  <c r="C991" i="2"/>
  <c r="D990" i="2"/>
  <c r="C990" i="2"/>
  <c r="D989" i="2"/>
  <c r="C989" i="2"/>
  <c r="D988" i="2"/>
  <c r="C988" i="2"/>
  <c r="D987" i="2"/>
  <c r="C987" i="2"/>
  <c r="D986" i="2"/>
  <c r="C986" i="2"/>
  <c r="D985" i="2"/>
  <c r="C985" i="2"/>
  <c r="D984" i="2"/>
  <c r="C984" i="2"/>
  <c r="D983" i="2"/>
  <c r="C983" i="2"/>
  <c r="D982" i="2"/>
  <c r="C982" i="2"/>
  <c r="D981" i="2"/>
  <c r="C981" i="2"/>
  <c r="D980" i="2"/>
  <c r="C980" i="2"/>
  <c r="D979" i="2"/>
  <c r="C979" i="2"/>
  <c r="D978" i="2"/>
  <c r="C978" i="2"/>
  <c r="D977" i="2"/>
  <c r="C977" i="2"/>
  <c r="D976" i="2"/>
  <c r="C976" i="2"/>
  <c r="D975" i="2"/>
  <c r="C975" i="2"/>
  <c r="D974" i="2"/>
  <c r="C974" i="2"/>
  <c r="D973" i="2"/>
  <c r="C973" i="2"/>
  <c r="D972" i="2"/>
  <c r="C972" i="2"/>
  <c r="D971" i="2"/>
  <c r="C971" i="2"/>
  <c r="D970" i="2"/>
  <c r="C970" i="2"/>
  <c r="D969" i="2"/>
  <c r="C969" i="2"/>
  <c r="D968" i="2"/>
  <c r="C968" i="2"/>
  <c r="D967" i="2"/>
  <c r="C967" i="2"/>
  <c r="D966" i="2"/>
  <c r="C966" i="2"/>
  <c r="D965" i="2"/>
  <c r="C965" i="2"/>
  <c r="D964" i="2"/>
  <c r="C964" i="2"/>
  <c r="D963" i="2"/>
  <c r="C963" i="2"/>
  <c r="D962" i="2"/>
  <c r="C962" i="2"/>
  <c r="D961" i="2"/>
  <c r="C961" i="2"/>
  <c r="D960" i="2"/>
  <c r="C960" i="2"/>
  <c r="D959" i="2"/>
  <c r="C959" i="2"/>
  <c r="D958" i="2"/>
  <c r="C958" i="2"/>
  <c r="D957" i="2"/>
  <c r="C957" i="2"/>
  <c r="D956" i="2"/>
  <c r="C956" i="2"/>
  <c r="D955" i="2"/>
  <c r="C955" i="2"/>
  <c r="D954" i="2"/>
  <c r="C954" i="2"/>
  <c r="D953" i="2"/>
  <c r="C953" i="2"/>
  <c r="D952" i="2"/>
  <c r="C952" i="2"/>
  <c r="D951" i="2"/>
  <c r="C951" i="2"/>
  <c r="D950" i="2"/>
  <c r="C950" i="2"/>
  <c r="D949" i="2"/>
  <c r="C949" i="2"/>
  <c r="D948" i="2"/>
  <c r="C948" i="2"/>
  <c r="D947" i="2"/>
  <c r="C947" i="2"/>
  <c r="D946" i="2"/>
  <c r="C946" i="2"/>
  <c r="D945" i="2"/>
  <c r="C945" i="2"/>
  <c r="D944" i="2"/>
  <c r="C944" i="2"/>
  <c r="D943" i="2"/>
  <c r="C943" i="2"/>
  <c r="D942" i="2"/>
  <c r="C942" i="2"/>
  <c r="D941" i="2"/>
  <c r="C941" i="2"/>
  <c r="D940" i="2"/>
  <c r="C940" i="2"/>
  <c r="D939" i="2"/>
  <c r="C939" i="2"/>
  <c r="D938" i="2"/>
  <c r="C938" i="2"/>
  <c r="D937" i="2"/>
  <c r="C937" i="2"/>
  <c r="D936" i="2"/>
  <c r="C936" i="2"/>
  <c r="D935" i="2"/>
  <c r="C935" i="2"/>
  <c r="D934" i="2"/>
  <c r="C934" i="2"/>
  <c r="D933" i="2"/>
  <c r="C933" i="2"/>
  <c r="D932" i="2"/>
  <c r="C932" i="2"/>
  <c r="D931" i="2"/>
  <c r="C931" i="2"/>
  <c r="D930" i="2"/>
  <c r="C930" i="2"/>
  <c r="D929" i="2"/>
  <c r="C929" i="2"/>
  <c r="D928" i="2"/>
  <c r="C928" i="2"/>
  <c r="D927" i="2"/>
  <c r="C927" i="2"/>
  <c r="D926" i="2"/>
  <c r="C926" i="2"/>
  <c r="D925" i="2"/>
  <c r="C925" i="2"/>
  <c r="D924" i="2"/>
  <c r="C924" i="2"/>
  <c r="D923" i="2"/>
  <c r="C923" i="2"/>
  <c r="D922" i="2"/>
  <c r="C922" i="2"/>
  <c r="D921" i="2"/>
  <c r="C921" i="2"/>
  <c r="D920" i="2"/>
  <c r="C920" i="2"/>
  <c r="D919" i="2"/>
  <c r="C919" i="2"/>
  <c r="D918" i="2"/>
  <c r="C918" i="2"/>
  <c r="D917" i="2"/>
  <c r="C917" i="2"/>
  <c r="D916" i="2"/>
  <c r="C916" i="2"/>
  <c r="D915" i="2"/>
  <c r="C915" i="2"/>
  <c r="D914" i="2"/>
  <c r="C914" i="2"/>
  <c r="D913" i="2"/>
  <c r="C913" i="2"/>
  <c r="D912" i="2"/>
  <c r="C912" i="2"/>
  <c r="D911" i="2"/>
  <c r="C911" i="2"/>
  <c r="D910" i="2"/>
  <c r="C910" i="2"/>
  <c r="D909" i="2"/>
  <c r="C909" i="2"/>
  <c r="D908" i="2"/>
  <c r="C908" i="2"/>
  <c r="D907" i="2"/>
  <c r="C907" i="2"/>
  <c r="D906" i="2"/>
  <c r="C906" i="2"/>
  <c r="D905" i="2"/>
  <c r="C905" i="2"/>
  <c r="D904" i="2"/>
  <c r="C904" i="2"/>
  <c r="D903" i="2"/>
  <c r="C903" i="2"/>
  <c r="D902" i="2"/>
  <c r="C902" i="2"/>
  <c r="D901" i="2"/>
  <c r="C901" i="2"/>
  <c r="D900" i="2"/>
  <c r="C900" i="2"/>
  <c r="D899" i="2"/>
  <c r="C899" i="2"/>
  <c r="D898" i="2"/>
  <c r="C898" i="2"/>
  <c r="D897" i="2"/>
  <c r="C897" i="2"/>
  <c r="D896" i="2"/>
  <c r="C896" i="2"/>
  <c r="D895" i="2"/>
  <c r="C895" i="2"/>
  <c r="D894" i="2"/>
  <c r="C894" i="2"/>
  <c r="D893" i="2"/>
  <c r="C893" i="2"/>
  <c r="D892" i="2"/>
  <c r="C892" i="2"/>
  <c r="D891" i="2"/>
  <c r="C891" i="2"/>
  <c r="D890" i="2"/>
  <c r="C890" i="2"/>
  <c r="D889" i="2"/>
  <c r="C889" i="2"/>
  <c r="D888" i="2"/>
  <c r="C888" i="2"/>
  <c r="D887" i="2"/>
  <c r="C887" i="2"/>
  <c r="D886" i="2"/>
  <c r="C886" i="2"/>
  <c r="D885" i="2"/>
  <c r="C885" i="2"/>
  <c r="D884" i="2"/>
  <c r="C884" i="2"/>
  <c r="D883" i="2"/>
  <c r="C883" i="2"/>
  <c r="D882" i="2"/>
  <c r="C882" i="2"/>
  <c r="D881" i="2"/>
  <c r="C881" i="2"/>
  <c r="D880" i="2"/>
  <c r="C880" i="2"/>
  <c r="D879" i="2"/>
  <c r="C879" i="2"/>
  <c r="D878" i="2"/>
  <c r="C878" i="2"/>
  <c r="D877" i="2"/>
  <c r="C877" i="2"/>
  <c r="D876" i="2"/>
  <c r="C876" i="2"/>
  <c r="D875" i="2"/>
  <c r="C875" i="2"/>
  <c r="D874" i="2"/>
  <c r="C874" i="2"/>
  <c r="D873" i="2"/>
  <c r="C873" i="2"/>
  <c r="D872" i="2"/>
  <c r="C872" i="2"/>
  <c r="D871" i="2"/>
  <c r="C871" i="2"/>
  <c r="D870" i="2"/>
  <c r="C870" i="2"/>
  <c r="D869" i="2"/>
  <c r="C869" i="2"/>
  <c r="D868" i="2"/>
  <c r="C868" i="2"/>
  <c r="D867" i="2"/>
  <c r="C867" i="2"/>
  <c r="D866" i="2"/>
  <c r="C866" i="2"/>
  <c r="D865" i="2"/>
  <c r="C865" i="2"/>
  <c r="D864" i="2"/>
  <c r="C864" i="2"/>
  <c r="D863" i="2"/>
  <c r="C863" i="2"/>
  <c r="D862" i="2"/>
  <c r="C862" i="2"/>
  <c r="D861" i="2"/>
  <c r="C861" i="2"/>
  <c r="D860" i="2"/>
  <c r="C860" i="2"/>
  <c r="D859" i="2"/>
  <c r="C859" i="2"/>
  <c r="D858" i="2"/>
  <c r="C858" i="2"/>
  <c r="D857" i="2"/>
  <c r="C857" i="2"/>
  <c r="D856" i="2"/>
  <c r="C856" i="2"/>
  <c r="D855" i="2"/>
  <c r="C855" i="2"/>
  <c r="D854" i="2"/>
  <c r="C854" i="2"/>
  <c r="D853" i="2"/>
  <c r="C853" i="2"/>
  <c r="D852" i="2"/>
  <c r="C852" i="2"/>
  <c r="D851" i="2"/>
  <c r="C851" i="2"/>
  <c r="D850" i="2"/>
  <c r="C850" i="2"/>
  <c r="D849" i="2"/>
  <c r="C849" i="2"/>
  <c r="D848" i="2"/>
  <c r="C848" i="2"/>
  <c r="D847" i="2"/>
  <c r="C847" i="2"/>
  <c r="D846" i="2"/>
  <c r="C846" i="2"/>
  <c r="D845" i="2"/>
  <c r="C845" i="2"/>
  <c r="D844" i="2"/>
  <c r="C844" i="2"/>
  <c r="D843" i="2"/>
  <c r="C843" i="2"/>
  <c r="D842" i="2"/>
  <c r="C842" i="2"/>
  <c r="D841" i="2"/>
  <c r="C841" i="2"/>
  <c r="D840" i="2"/>
  <c r="C840" i="2"/>
  <c r="D839" i="2"/>
  <c r="C839" i="2"/>
  <c r="D838" i="2"/>
  <c r="C838" i="2"/>
  <c r="D837" i="2"/>
  <c r="C837" i="2"/>
  <c r="D836" i="2"/>
  <c r="C836" i="2"/>
  <c r="D835" i="2"/>
  <c r="C835" i="2"/>
  <c r="D834" i="2"/>
  <c r="C834" i="2"/>
  <c r="D833" i="2"/>
  <c r="C833" i="2"/>
  <c r="D832" i="2"/>
  <c r="C832" i="2"/>
  <c r="D831" i="2"/>
  <c r="C831" i="2"/>
  <c r="D830" i="2"/>
  <c r="C830" i="2"/>
  <c r="D829" i="2"/>
  <c r="C829" i="2"/>
  <c r="D828" i="2"/>
  <c r="C828" i="2"/>
  <c r="D827" i="2"/>
  <c r="C827" i="2"/>
  <c r="D826" i="2"/>
  <c r="C826" i="2"/>
  <c r="D825" i="2"/>
  <c r="C825" i="2"/>
  <c r="D824" i="2"/>
  <c r="C824" i="2"/>
  <c r="D823" i="2"/>
  <c r="C823" i="2"/>
  <c r="D822" i="2"/>
  <c r="C822" i="2"/>
  <c r="D821" i="2"/>
  <c r="C821" i="2"/>
  <c r="D820" i="2"/>
  <c r="C820" i="2"/>
  <c r="D819" i="2"/>
  <c r="C819" i="2"/>
  <c r="D818" i="2"/>
  <c r="C818" i="2"/>
  <c r="D817" i="2"/>
  <c r="C817" i="2"/>
  <c r="D816" i="2"/>
  <c r="C816" i="2"/>
  <c r="D815" i="2"/>
  <c r="C815" i="2"/>
  <c r="D814" i="2"/>
  <c r="C814" i="2"/>
  <c r="D813" i="2"/>
  <c r="C813" i="2"/>
  <c r="D812" i="2"/>
  <c r="C812" i="2"/>
  <c r="D811" i="2"/>
  <c r="C811" i="2"/>
  <c r="D810" i="2"/>
  <c r="C810" i="2"/>
  <c r="D809" i="2"/>
  <c r="C809" i="2"/>
  <c r="D808" i="2"/>
  <c r="C808" i="2"/>
  <c r="D807" i="2"/>
  <c r="C807" i="2"/>
  <c r="D806" i="2"/>
  <c r="C806" i="2"/>
  <c r="D805" i="2"/>
  <c r="C805" i="2"/>
  <c r="D804" i="2"/>
  <c r="C804" i="2"/>
  <c r="D803" i="2"/>
  <c r="C803" i="2"/>
  <c r="D802" i="2"/>
  <c r="C802" i="2"/>
  <c r="D801" i="2"/>
  <c r="C801" i="2"/>
  <c r="D800" i="2"/>
  <c r="C800" i="2"/>
  <c r="D799" i="2"/>
  <c r="C799" i="2"/>
  <c r="D798" i="2"/>
  <c r="C798" i="2"/>
  <c r="D797" i="2"/>
  <c r="C797" i="2"/>
  <c r="D796" i="2"/>
  <c r="C796" i="2"/>
  <c r="D795" i="2"/>
  <c r="C795" i="2"/>
  <c r="D794" i="2"/>
  <c r="C794" i="2"/>
  <c r="D793" i="2"/>
  <c r="C793" i="2"/>
  <c r="D792" i="2"/>
  <c r="C792" i="2"/>
  <c r="D791" i="2"/>
  <c r="C791" i="2"/>
  <c r="D790" i="2"/>
  <c r="C790" i="2"/>
  <c r="D789" i="2"/>
  <c r="C789" i="2"/>
  <c r="D788" i="2"/>
  <c r="C788" i="2"/>
  <c r="D787" i="2"/>
  <c r="C787" i="2"/>
  <c r="D786" i="2"/>
  <c r="C786" i="2"/>
  <c r="D785" i="2"/>
  <c r="C785" i="2"/>
  <c r="D784" i="2"/>
  <c r="C784" i="2"/>
  <c r="D783" i="2"/>
  <c r="C783" i="2"/>
  <c r="D782" i="2"/>
  <c r="C782" i="2"/>
  <c r="D781" i="2"/>
  <c r="C781" i="2"/>
  <c r="D780" i="2"/>
  <c r="C780" i="2"/>
  <c r="D779" i="2"/>
  <c r="C779" i="2"/>
  <c r="D778" i="2"/>
  <c r="C778" i="2"/>
  <c r="D777" i="2"/>
  <c r="C777" i="2"/>
  <c r="D776" i="2"/>
  <c r="C776" i="2"/>
  <c r="D775" i="2"/>
  <c r="C775" i="2"/>
  <c r="D774" i="2"/>
  <c r="C774" i="2"/>
  <c r="D773" i="2"/>
  <c r="C773" i="2"/>
  <c r="D772" i="2"/>
  <c r="C772" i="2"/>
  <c r="D771" i="2"/>
  <c r="C771" i="2"/>
  <c r="D770" i="2"/>
  <c r="C770" i="2"/>
  <c r="D769" i="2"/>
  <c r="C769" i="2"/>
  <c r="D768" i="2"/>
  <c r="C768" i="2"/>
  <c r="D767" i="2"/>
  <c r="C767" i="2"/>
  <c r="D766" i="2"/>
  <c r="C766" i="2"/>
  <c r="D765" i="2"/>
  <c r="C765" i="2"/>
  <c r="D764" i="2"/>
  <c r="C764" i="2"/>
  <c r="D763" i="2"/>
  <c r="C763" i="2"/>
  <c r="D762" i="2"/>
  <c r="C762" i="2"/>
  <c r="D761" i="2"/>
  <c r="C761" i="2"/>
  <c r="D760" i="2"/>
  <c r="C760" i="2"/>
  <c r="D759" i="2"/>
  <c r="C759" i="2"/>
  <c r="D758" i="2"/>
  <c r="C758" i="2"/>
  <c r="D757" i="2"/>
  <c r="C757" i="2"/>
  <c r="D756" i="2"/>
  <c r="C756" i="2"/>
  <c r="D755" i="2"/>
  <c r="C755" i="2"/>
  <c r="D754" i="2"/>
  <c r="C754" i="2"/>
  <c r="D753" i="2"/>
  <c r="C753" i="2"/>
  <c r="D752" i="2"/>
  <c r="C752" i="2"/>
  <c r="D751" i="2"/>
  <c r="C751" i="2"/>
  <c r="D750" i="2"/>
  <c r="C750" i="2"/>
  <c r="D749" i="2"/>
  <c r="C749" i="2"/>
  <c r="D748" i="2"/>
  <c r="C748" i="2"/>
  <c r="D747" i="2"/>
  <c r="C747" i="2"/>
  <c r="D746" i="2"/>
  <c r="C746" i="2"/>
  <c r="D745" i="2"/>
  <c r="C745" i="2"/>
  <c r="D744" i="2"/>
  <c r="C744" i="2"/>
  <c r="D743" i="2"/>
  <c r="C743" i="2"/>
  <c r="D742" i="2"/>
  <c r="C742" i="2"/>
  <c r="D741" i="2"/>
  <c r="C741" i="2"/>
  <c r="D740" i="2"/>
  <c r="C740" i="2"/>
  <c r="D739" i="2"/>
  <c r="C739" i="2"/>
  <c r="D738" i="2"/>
  <c r="C738" i="2"/>
  <c r="D737" i="2"/>
  <c r="C737" i="2"/>
  <c r="D736" i="2"/>
  <c r="C736" i="2"/>
  <c r="D735" i="2"/>
  <c r="C735" i="2"/>
  <c r="D734" i="2"/>
  <c r="C734" i="2"/>
  <c r="D733" i="2"/>
  <c r="C733" i="2"/>
  <c r="D732" i="2"/>
  <c r="C732" i="2"/>
  <c r="D731" i="2"/>
  <c r="C731" i="2"/>
  <c r="D730" i="2"/>
  <c r="C730" i="2"/>
  <c r="D729" i="2"/>
  <c r="C729" i="2"/>
  <c r="D728" i="2"/>
  <c r="C728" i="2"/>
  <c r="D727" i="2"/>
  <c r="C727" i="2"/>
  <c r="D726" i="2"/>
  <c r="C726" i="2"/>
  <c r="D725" i="2"/>
  <c r="C725" i="2"/>
  <c r="D724" i="2"/>
  <c r="C724" i="2"/>
  <c r="D723" i="2"/>
  <c r="C723" i="2"/>
  <c r="D722" i="2"/>
  <c r="C722" i="2"/>
  <c r="D721" i="2"/>
  <c r="C721" i="2"/>
  <c r="D720" i="2"/>
  <c r="C720" i="2"/>
  <c r="D719" i="2"/>
  <c r="C719" i="2"/>
  <c r="D718" i="2"/>
  <c r="C718" i="2"/>
  <c r="D717" i="2"/>
  <c r="C717" i="2"/>
  <c r="D716" i="2"/>
  <c r="C716" i="2"/>
  <c r="D715" i="2"/>
  <c r="C715" i="2"/>
  <c r="D714" i="2"/>
  <c r="C714" i="2"/>
  <c r="D713" i="2"/>
  <c r="C713" i="2"/>
  <c r="D712" i="2"/>
  <c r="C712" i="2"/>
  <c r="D711" i="2"/>
  <c r="C711" i="2"/>
  <c r="D710" i="2"/>
  <c r="C710" i="2"/>
  <c r="D709" i="2"/>
  <c r="C709" i="2"/>
  <c r="D708" i="2"/>
  <c r="C708" i="2"/>
  <c r="D707" i="2"/>
  <c r="C707" i="2"/>
  <c r="D706" i="2"/>
  <c r="C706" i="2"/>
  <c r="D705" i="2"/>
  <c r="C705" i="2"/>
  <c r="D704" i="2"/>
  <c r="C704" i="2"/>
  <c r="D703" i="2"/>
  <c r="C703" i="2"/>
  <c r="D702" i="2"/>
  <c r="C702" i="2"/>
  <c r="D701" i="2"/>
  <c r="C701" i="2"/>
  <c r="D700" i="2"/>
  <c r="C700" i="2"/>
  <c r="D699" i="2"/>
  <c r="C699" i="2"/>
  <c r="D698" i="2"/>
  <c r="C698" i="2"/>
  <c r="D697" i="2"/>
  <c r="C697" i="2"/>
  <c r="D696" i="2"/>
  <c r="C696" i="2"/>
  <c r="D695" i="2"/>
  <c r="C695" i="2"/>
  <c r="D694" i="2"/>
  <c r="C694" i="2"/>
  <c r="D693" i="2"/>
  <c r="C693" i="2"/>
  <c r="D692" i="2"/>
  <c r="C692" i="2"/>
  <c r="D691" i="2"/>
  <c r="C691" i="2"/>
  <c r="D690" i="2"/>
  <c r="C690" i="2"/>
  <c r="D689" i="2"/>
  <c r="C689" i="2"/>
  <c r="D688" i="2"/>
  <c r="C688" i="2"/>
  <c r="D687" i="2"/>
  <c r="C687" i="2"/>
  <c r="D686" i="2"/>
  <c r="C686" i="2"/>
  <c r="D685" i="2"/>
  <c r="C685" i="2"/>
  <c r="D684" i="2"/>
  <c r="C684" i="2"/>
  <c r="D683" i="2"/>
  <c r="C683" i="2"/>
  <c r="D682" i="2"/>
  <c r="C682" i="2"/>
  <c r="D681" i="2"/>
  <c r="C681" i="2"/>
  <c r="D680" i="2"/>
  <c r="C680" i="2"/>
  <c r="D679" i="2"/>
  <c r="C679" i="2"/>
  <c r="D678" i="2"/>
  <c r="C678" i="2"/>
  <c r="D677" i="2"/>
  <c r="C677" i="2"/>
  <c r="D676" i="2"/>
  <c r="C676" i="2"/>
  <c r="D675" i="2"/>
  <c r="C675" i="2"/>
  <c r="D674" i="2"/>
  <c r="C674" i="2"/>
  <c r="D673" i="2"/>
  <c r="C673" i="2"/>
  <c r="D672" i="2"/>
  <c r="C672" i="2"/>
  <c r="D671" i="2"/>
  <c r="C671" i="2"/>
  <c r="D670" i="2"/>
  <c r="C670" i="2"/>
  <c r="D669" i="2"/>
  <c r="C669" i="2"/>
  <c r="D668" i="2"/>
  <c r="C668" i="2"/>
  <c r="D667" i="2"/>
  <c r="C667" i="2"/>
  <c r="D666" i="2"/>
  <c r="C666" i="2"/>
  <c r="D665" i="2"/>
  <c r="C665" i="2"/>
  <c r="D664" i="2"/>
  <c r="C664" i="2"/>
  <c r="D663" i="2"/>
  <c r="C663" i="2"/>
  <c r="D662" i="2"/>
  <c r="C662" i="2"/>
  <c r="D661" i="2"/>
  <c r="C661" i="2"/>
  <c r="D660" i="2"/>
  <c r="C660" i="2"/>
  <c r="D659" i="2"/>
  <c r="C659" i="2"/>
  <c r="D658" i="2"/>
  <c r="C658" i="2"/>
  <c r="D657" i="2"/>
  <c r="C657" i="2"/>
  <c r="D656" i="2"/>
  <c r="C656" i="2"/>
  <c r="D655" i="2"/>
  <c r="C655" i="2"/>
  <c r="D654" i="2"/>
  <c r="C654" i="2"/>
  <c r="D653" i="2"/>
  <c r="C653" i="2"/>
  <c r="D652" i="2"/>
  <c r="C652" i="2"/>
  <c r="D651" i="2"/>
  <c r="C651" i="2"/>
  <c r="D650" i="2"/>
  <c r="C650" i="2"/>
  <c r="D649" i="2"/>
  <c r="C649" i="2"/>
  <c r="D648" i="2"/>
  <c r="C648" i="2"/>
  <c r="D647" i="2"/>
  <c r="C647" i="2"/>
  <c r="D646" i="2"/>
  <c r="C646" i="2"/>
  <c r="D645" i="2"/>
  <c r="C645" i="2"/>
  <c r="D644" i="2"/>
  <c r="C644" i="2"/>
  <c r="D643" i="2"/>
  <c r="C643" i="2"/>
  <c r="D642" i="2"/>
  <c r="C642" i="2"/>
  <c r="D641" i="2"/>
  <c r="C641" i="2"/>
  <c r="D640" i="2"/>
  <c r="C640" i="2"/>
  <c r="D639" i="2"/>
  <c r="C639" i="2"/>
  <c r="D638" i="2"/>
  <c r="C638" i="2"/>
  <c r="D637" i="2"/>
  <c r="C637" i="2"/>
  <c r="D636" i="2"/>
  <c r="C636" i="2"/>
  <c r="D635" i="2"/>
  <c r="C635" i="2"/>
  <c r="D634" i="2"/>
  <c r="C634" i="2"/>
  <c r="D633" i="2"/>
  <c r="C633" i="2"/>
  <c r="D632" i="2"/>
  <c r="C632" i="2"/>
  <c r="D631" i="2"/>
  <c r="C631" i="2"/>
  <c r="D630" i="2"/>
  <c r="C630" i="2"/>
  <c r="D629" i="2"/>
  <c r="C629" i="2"/>
  <c r="D628" i="2"/>
  <c r="C628" i="2"/>
  <c r="D627" i="2"/>
  <c r="C627" i="2"/>
  <c r="D626" i="2"/>
  <c r="C626" i="2"/>
  <c r="D625" i="2"/>
  <c r="C625" i="2"/>
  <c r="D624" i="2"/>
  <c r="C624" i="2"/>
  <c r="D623" i="2"/>
  <c r="C623" i="2"/>
  <c r="D622" i="2"/>
  <c r="C622" i="2"/>
  <c r="D621" i="2"/>
  <c r="C621" i="2"/>
  <c r="D620" i="2"/>
  <c r="C620" i="2"/>
  <c r="D619" i="2"/>
  <c r="C619" i="2"/>
  <c r="D618" i="2"/>
  <c r="C618" i="2"/>
  <c r="D617" i="2"/>
  <c r="C617" i="2"/>
  <c r="D616" i="2"/>
  <c r="C616" i="2"/>
  <c r="D615" i="2"/>
  <c r="C615" i="2"/>
  <c r="D614" i="2"/>
  <c r="C614" i="2"/>
  <c r="D613" i="2"/>
  <c r="C613" i="2"/>
  <c r="D612" i="2"/>
  <c r="C612" i="2"/>
  <c r="D611" i="2"/>
  <c r="C611" i="2"/>
  <c r="D610" i="2"/>
  <c r="C610" i="2"/>
  <c r="D609" i="2"/>
  <c r="C609" i="2"/>
  <c r="D608" i="2"/>
  <c r="C608" i="2"/>
  <c r="D607" i="2"/>
  <c r="C607" i="2"/>
  <c r="D606" i="2"/>
  <c r="C606" i="2"/>
  <c r="D605" i="2"/>
  <c r="C605" i="2"/>
  <c r="D604" i="2"/>
  <c r="C604" i="2"/>
  <c r="D603" i="2"/>
  <c r="C603" i="2"/>
  <c r="D602" i="2"/>
  <c r="C602" i="2"/>
  <c r="D601" i="2"/>
  <c r="C601" i="2"/>
  <c r="D600" i="2"/>
  <c r="C600" i="2"/>
  <c r="D599" i="2"/>
  <c r="C599" i="2"/>
  <c r="D598" i="2"/>
  <c r="C598" i="2"/>
  <c r="D597" i="2"/>
  <c r="C597" i="2"/>
  <c r="D596" i="2"/>
  <c r="C596" i="2"/>
  <c r="D595" i="2"/>
  <c r="C595" i="2"/>
  <c r="D594" i="2"/>
  <c r="C594" i="2"/>
  <c r="D593" i="2"/>
  <c r="C593" i="2"/>
  <c r="D592" i="2"/>
  <c r="C592" i="2"/>
  <c r="D591" i="2"/>
  <c r="C591" i="2"/>
  <c r="D590" i="2"/>
  <c r="C590" i="2"/>
  <c r="D589" i="2"/>
  <c r="C589" i="2"/>
  <c r="D588" i="2"/>
  <c r="C588" i="2"/>
  <c r="D587" i="2"/>
  <c r="C587" i="2"/>
  <c r="D586" i="2"/>
  <c r="C586" i="2"/>
  <c r="D585" i="2"/>
  <c r="C585" i="2"/>
  <c r="D584" i="2"/>
  <c r="C584" i="2"/>
  <c r="D583" i="2"/>
  <c r="C583" i="2"/>
  <c r="D582" i="2"/>
  <c r="C582" i="2"/>
  <c r="D581" i="2"/>
  <c r="C581" i="2"/>
  <c r="D580" i="2"/>
  <c r="C580" i="2"/>
  <c r="D579" i="2"/>
  <c r="C579" i="2"/>
  <c r="D578" i="2"/>
  <c r="C578" i="2"/>
  <c r="D577" i="2"/>
  <c r="C577" i="2"/>
  <c r="D576" i="2"/>
  <c r="C576" i="2"/>
  <c r="D575" i="2"/>
  <c r="C575" i="2"/>
  <c r="D574" i="2"/>
  <c r="C574" i="2"/>
  <c r="D573" i="2"/>
  <c r="C573" i="2"/>
  <c r="D572" i="2"/>
  <c r="C572" i="2"/>
  <c r="D571" i="2"/>
  <c r="C571" i="2"/>
  <c r="D570" i="2"/>
  <c r="C570" i="2"/>
  <c r="D569" i="2"/>
  <c r="C569" i="2"/>
  <c r="D568" i="2"/>
  <c r="C568" i="2"/>
  <c r="D567" i="2"/>
  <c r="C567" i="2"/>
  <c r="D566" i="2"/>
  <c r="C566" i="2"/>
  <c r="D565" i="2"/>
  <c r="C565" i="2"/>
  <c r="D564" i="2"/>
  <c r="C564" i="2"/>
  <c r="D563" i="2"/>
  <c r="C563" i="2"/>
  <c r="D562" i="2"/>
  <c r="C562" i="2"/>
  <c r="D561" i="2"/>
  <c r="C561" i="2"/>
  <c r="D560" i="2"/>
  <c r="C560" i="2"/>
  <c r="D559" i="2"/>
  <c r="C559" i="2"/>
  <c r="D558" i="2"/>
  <c r="C558" i="2"/>
  <c r="D557" i="2"/>
  <c r="C557" i="2"/>
  <c r="D556" i="2"/>
  <c r="C556" i="2"/>
  <c r="D555" i="2"/>
  <c r="C555" i="2"/>
  <c r="D554" i="2"/>
  <c r="C554" i="2"/>
  <c r="D553" i="2"/>
  <c r="C553" i="2"/>
  <c r="D552" i="2"/>
  <c r="C552" i="2"/>
  <c r="D551" i="2"/>
  <c r="C551" i="2"/>
  <c r="D550" i="2"/>
  <c r="C550" i="2"/>
  <c r="D549" i="2"/>
  <c r="C549" i="2"/>
  <c r="D548" i="2"/>
  <c r="C548" i="2"/>
  <c r="D547" i="2"/>
  <c r="C547" i="2"/>
  <c r="D546" i="2"/>
  <c r="C546" i="2"/>
  <c r="D545" i="2"/>
  <c r="C545" i="2"/>
  <c r="D544" i="2"/>
  <c r="C544" i="2"/>
  <c r="D543" i="2"/>
  <c r="C543" i="2"/>
  <c r="D542" i="2"/>
  <c r="C542" i="2"/>
  <c r="D541" i="2"/>
  <c r="C541" i="2"/>
  <c r="D540" i="2"/>
  <c r="C540" i="2"/>
  <c r="D539" i="2"/>
  <c r="C539" i="2"/>
  <c r="D538" i="2"/>
  <c r="C538" i="2"/>
  <c r="D537" i="2"/>
  <c r="C537" i="2"/>
  <c r="D536" i="2"/>
  <c r="C536" i="2"/>
  <c r="D535" i="2"/>
  <c r="C535" i="2"/>
  <c r="D534" i="2"/>
  <c r="C534" i="2"/>
  <c r="D533" i="2"/>
  <c r="C533" i="2"/>
  <c r="D532" i="2"/>
  <c r="C532" i="2"/>
  <c r="D531" i="2"/>
  <c r="C531" i="2"/>
  <c r="D530" i="2"/>
  <c r="C530" i="2"/>
  <c r="D529" i="2"/>
  <c r="C529" i="2"/>
  <c r="D528" i="2"/>
  <c r="C528" i="2"/>
  <c r="D527" i="2"/>
  <c r="C527" i="2"/>
  <c r="D526" i="2"/>
  <c r="C526" i="2"/>
  <c r="D525" i="2"/>
  <c r="C525" i="2"/>
  <c r="D524" i="2"/>
  <c r="C524" i="2"/>
  <c r="D523" i="2"/>
  <c r="C523" i="2"/>
  <c r="D522" i="2"/>
  <c r="C522" i="2"/>
  <c r="D521" i="2"/>
  <c r="C521" i="2"/>
  <c r="D520" i="2"/>
  <c r="C520" i="2"/>
  <c r="D519" i="2"/>
  <c r="C519" i="2"/>
  <c r="D518" i="2"/>
  <c r="C518" i="2"/>
  <c r="D517" i="2"/>
  <c r="C517" i="2"/>
  <c r="D516" i="2"/>
  <c r="C516" i="2"/>
  <c r="D515" i="2"/>
  <c r="C515" i="2"/>
  <c r="D514" i="2"/>
  <c r="C514" i="2"/>
  <c r="D513" i="2"/>
  <c r="C513" i="2"/>
  <c r="D512" i="2"/>
  <c r="C512" i="2"/>
  <c r="D511" i="2"/>
  <c r="C511" i="2"/>
  <c r="D510" i="2"/>
  <c r="C510" i="2"/>
  <c r="D509" i="2"/>
  <c r="C509" i="2"/>
  <c r="D508" i="2"/>
  <c r="C508" i="2"/>
  <c r="D507" i="2"/>
  <c r="C507" i="2"/>
  <c r="D506" i="2"/>
  <c r="C506" i="2"/>
  <c r="D505" i="2"/>
  <c r="C505" i="2"/>
  <c r="D504" i="2"/>
  <c r="C504" i="2"/>
  <c r="D503" i="2"/>
  <c r="C503" i="2"/>
  <c r="D502" i="2"/>
  <c r="C502" i="2"/>
  <c r="D501" i="2"/>
  <c r="C501" i="2"/>
  <c r="D500" i="2"/>
  <c r="C500" i="2"/>
  <c r="D499" i="2"/>
  <c r="C499" i="2"/>
  <c r="D498" i="2"/>
  <c r="C498" i="2"/>
  <c r="D497" i="2"/>
  <c r="C497" i="2"/>
  <c r="D496" i="2"/>
  <c r="C496" i="2"/>
  <c r="D495" i="2"/>
  <c r="C495" i="2"/>
  <c r="D494" i="2"/>
  <c r="C494" i="2"/>
  <c r="D493" i="2"/>
  <c r="C493" i="2"/>
  <c r="D492" i="2"/>
  <c r="C492" i="2"/>
  <c r="D491" i="2"/>
  <c r="C491" i="2"/>
  <c r="D490" i="2"/>
  <c r="C490" i="2"/>
  <c r="D489" i="2"/>
  <c r="C489" i="2"/>
  <c r="D488" i="2"/>
  <c r="C488" i="2"/>
  <c r="D487" i="2"/>
  <c r="C487" i="2"/>
  <c r="D486" i="2"/>
  <c r="C486" i="2"/>
  <c r="D485" i="2"/>
  <c r="C485" i="2"/>
  <c r="D484" i="2"/>
  <c r="C484" i="2"/>
  <c r="D483" i="2"/>
  <c r="C483" i="2"/>
  <c r="D482" i="2"/>
  <c r="C482" i="2"/>
  <c r="D481" i="2"/>
  <c r="C481" i="2"/>
  <c r="D480" i="2"/>
  <c r="C480" i="2"/>
  <c r="D479" i="2"/>
  <c r="C479" i="2"/>
  <c r="D478" i="2"/>
  <c r="C478" i="2"/>
  <c r="D477" i="2"/>
  <c r="C477" i="2"/>
  <c r="D476" i="2"/>
  <c r="C476" i="2"/>
  <c r="D475" i="2"/>
  <c r="C475" i="2"/>
  <c r="D474" i="2"/>
  <c r="C474" i="2"/>
  <c r="D473" i="2"/>
  <c r="C473" i="2"/>
  <c r="D472" i="2"/>
  <c r="C472" i="2"/>
  <c r="D471" i="2"/>
  <c r="C471" i="2"/>
  <c r="D470" i="2"/>
  <c r="C470" i="2"/>
  <c r="D469" i="2"/>
  <c r="C469" i="2"/>
  <c r="D468" i="2"/>
  <c r="C468" i="2"/>
  <c r="D467" i="2"/>
  <c r="C467" i="2"/>
  <c r="D466" i="2"/>
  <c r="C466" i="2"/>
  <c r="D465" i="2"/>
  <c r="C465" i="2"/>
  <c r="D464" i="2"/>
  <c r="C464" i="2"/>
  <c r="D463" i="2"/>
  <c r="C463" i="2"/>
  <c r="D462" i="2"/>
  <c r="C462" i="2"/>
  <c r="D461" i="2"/>
  <c r="C461" i="2"/>
  <c r="D460" i="2"/>
  <c r="C460" i="2"/>
  <c r="D459" i="2"/>
  <c r="C459" i="2"/>
  <c r="D458" i="2"/>
  <c r="C458" i="2"/>
  <c r="D457" i="2"/>
  <c r="C457" i="2"/>
  <c r="D456" i="2"/>
  <c r="C456" i="2"/>
  <c r="D455" i="2"/>
  <c r="C455" i="2"/>
  <c r="D454" i="2"/>
  <c r="C454" i="2"/>
  <c r="D453" i="2"/>
  <c r="C453" i="2"/>
  <c r="D452" i="2"/>
  <c r="C452" i="2"/>
  <c r="D451" i="2"/>
  <c r="C451" i="2"/>
  <c r="D450" i="2"/>
  <c r="C450" i="2"/>
  <c r="D449" i="2"/>
  <c r="C449" i="2"/>
  <c r="D448" i="2"/>
  <c r="C448" i="2"/>
  <c r="D447" i="2"/>
  <c r="C447" i="2"/>
  <c r="D446" i="2"/>
  <c r="C446" i="2"/>
  <c r="D445" i="2"/>
  <c r="C445" i="2"/>
  <c r="D444" i="2"/>
  <c r="C444" i="2"/>
  <c r="D443" i="2"/>
  <c r="C443" i="2"/>
  <c r="D442" i="2"/>
  <c r="C442" i="2"/>
  <c r="D441" i="2"/>
  <c r="C441" i="2"/>
  <c r="D440" i="2"/>
  <c r="C440" i="2"/>
  <c r="D439" i="2"/>
  <c r="C439" i="2"/>
  <c r="D438" i="2"/>
  <c r="C438" i="2"/>
  <c r="D437" i="2"/>
  <c r="C437" i="2"/>
  <c r="D436" i="2"/>
  <c r="C436" i="2"/>
  <c r="D435" i="2"/>
  <c r="C435" i="2"/>
  <c r="D434" i="2"/>
  <c r="C434" i="2"/>
  <c r="D433" i="2"/>
  <c r="C433" i="2"/>
  <c r="D432" i="2"/>
  <c r="C432" i="2"/>
  <c r="D431" i="2"/>
  <c r="C431" i="2"/>
  <c r="D430" i="2"/>
  <c r="C430" i="2"/>
  <c r="D429" i="2"/>
  <c r="C429" i="2"/>
  <c r="D428" i="2"/>
  <c r="C428" i="2"/>
  <c r="D427" i="2"/>
  <c r="C427" i="2"/>
  <c r="D426" i="2"/>
  <c r="C426" i="2"/>
  <c r="D425" i="2"/>
  <c r="C425" i="2"/>
  <c r="D424" i="2"/>
  <c r="C424" i="2"/>
  <c r="D423" i="2"/>
  <c r="C423" i="2"/>
  <c r="D422" i="2"/>
  <c r="C422" i="2"/>
  <c r="D421" i="2"/>
  <c r="C421" i="2"/>
  <c r="D420" i="2"/>
  <c r="C420" i="2"/>
  <c r="D419" i="2"/>
  <c r="C419" i="2"/>
  <c r="D418" i="2"/>
  <c r="C418" i="2"/>
  <c r="D417" i="2"/>
  <c r="C417" i="2"/>
  <c r="D416" i="2"/>
  <c r="C416" i="2"/>
  <c r="D415" i="2"/>
  <c r="C415" i="2"/>
  <c r="D414" i="2"/>
  <c r="C414" i="2"/>
  <c r="D413" i="2"/>
  <c r="C413" i="2"/>
  <c r="D412" i="2"/>
  <c r="C412" i="2"/>
  <c r="D411" i="2"/>
  <c r="C411" i="2"/>
  <c r="D410" i="2"/>
  <c r="C410" i="2"/>
  <c r="D409" i="2"/>
  <c r="C409" i="2"/>
  <c r="D408" i="2"/>
  <c r="C408" i="2"/>
  <c r="D407" i="2"/>
  <c r="C407" i="2"/>
  <c r="D406" i="2"/>
  <c r="C406" i="2"/>
  <c r="D405" i="2"/>
  <c r="C405" i="2"/>
  <c r="D404" i="2"/>
  <c r="C404" i="2"/>
  <c r="D403" i="2"/>
  <c r="C403" i="2"/>
  <c r="D402" i="2"/>
  <c r="C402" i="2"/>
  <c r="D401" i="2"/>
  <c r="C401" i="2"/>
  <c r="D400" i="2"/>
  <c r="C400" i="2"/>
  <c r="D399" i="2"/>
  <c r="C399" i="2"/>
  <c r="D398" i="2"/>
  <c r="C398" i="2"/>
  <c r="D397" i="2"/>
  <c r="C397" i="2"/>
  <c r="D396" i="2"/>
  <c r="C396" i="2"/>
  <c r="D395" i="2"/>
  <c r="C395" i="2"/>
  <c r="D394" i="2"/>
  <c r="C394" i="2"/>
  <c r="D393" i="2"/>
  <c r="C393" i="2"/>
  <c r="D392" i="2"/>
  <c r="C392" i="2"/>
  <c r="D391" i="2"/>
  <c r="C391" i="2"/>
  <c r="D390" i="2"/>
  <c r="C390" i="2"/>
  <c r="D389" i="2"/>
  <c r="C389" i="2"/>
  <c r="D388" i="2"/>
  <c r="C388" i="2"/>
  <c r="D387" i="2"/>
  <c r="C387" i="2"/>
  <c r="D386" i="2"/>
  <c r="C386" i="2"/>
  <c r="D385" i="2"/>
  <c r="C385" i="2"/>
  <c r="D384" i="2"/>
  <c r="C384" i="2"/>
  <c r="D383" i="2"/>
  <c r="C383" i="2"/>
  <c r="D382" i="2"/>
  <c r="C382" i="2"/>
  <c r="D381" i="2"/>
  <c r="C381" i="2"/>
  <c r="D380" i="2"/>
  <c r="C380" i="2"/>
  <c r="D379" i="2"/>
  <c r="C379" i="2"/>
  <c r="D378" i="2"/>
  <c r="C378" i="2"/>
  <c r="D377" i="2"/>
  <c r="C377" i="2"/>
  <c r="D376" i="2"/>
  <c r="C376" i="2"/>
  <c r="D375" i="2"/>
  <c r="C375" i="2"/>
  <c r="D374" i="2"/>
  <c r="C374" i="2"/>
  <c r="D373" i="2"/>
  <c r="C373" i="2"/>
  <c r="D372" i="2"/>
  <c r="C372" i="2"/>
  <c r="D371" i="2"/>
  <c r="C371" i="2"/>
  <c r="D370" i="2"/>
  <c r="C370" i="2"/>
  <c r="D369" i="2"/>
  <c r="C369" i="2"/>
  <c r="D368" i="2"/>
  <c r="C368" i="2"/>
  <c r="D367" i="2"/>
  <c r="C367" i="2"/>
  <c r="D366" i="2"/>
  <c r="C366" i="2"/>
  <c r="D365" i="2"/>
  <c r="C365" i="2"/>
  <c r="D364" i="2"/>
  <c r="C364" i="2"/>
  <c r="D363" i="2"/>
  <c r="C363" i="2"/>
  <c r="D362" i="2"/>
  <c r="C362" i="2"/>
  <c r="D361" i="2"/>
  <c r="C361" i="2"/>
  <c r="D360" i="2"/>
  <c r="C360" i="2"/>
  <c r="D359" i="2"/>
  <c r="C359" i="2"/>
  <c r="D358" i="2"/>
  <c r="C358" i="2"/>
  <c r="D357" i="2"/>
  <c r="C357" i="2"/>
  <c r="D356" i="2"/>
  <c r="C356" i="2"/>
  <c r="D355" i="2"/>
  <c r="C355" i="2"/>
  <c r="D354" i="2"/>
  <c r="C354" i="2"/>
  <c r="D353" i="2"/>
  <c r="C353" i="2"/>
  <c r="D352" i="2"/>
  <c r="C352" i="2"/>
  <c r="D351" i="2"/>
  <c r="C351" i="2"/>
  <c r="D350" i="2"/>
  <c r="C350" i="2"/>
  <c r="D349" i="2"/>
  <c r="C349" i="2"/>
  <c r="D348" i="2"/>
  <c r="C348" i="2"/>
  <c r="D347" i="2"/>
  <c r="C347" i="2"/>
  <c r="D346" i="2"/>
  <c r="C346" i="2"/>
  <c r="D345" i="2"/>
  <c r="C345" i="2"/>
  <c r="D344" i="2"/>
  <c r="C344" i="2"/>
  <c r="D343" i="2"/>
  <c r="C343" i="2"/>
  <c r="D342" i="2"/>
  <c r="C342" i="2"/>
  <c r="D341" i="2"/>
  <c r="C341" i="2"/>
  <c r="D340" i="2"/>
  <c r="C340" i="2"/>
  <c r="D339" i="2"/>
  <c r="C339" i="2"/>
  <c r="D338" i="2"/>
  <c r="C338" i="2"/>
  <c r="D337" i="2"/>
  <c r="C337" i="2"/>
  <c r="D336" i="2"/>
  <c r="C336" i="2"/>
  <c r="D335" i="2"/>
  <c r="C335" i="2"/>
  <c r="D334" i="2"/>
  <c r="C334" i="2"/>
  <c r="D333" i="2"/>
  <c r="C333" i="2"/>
  <c r="D332" i="2"/>
  <c r="C332" i="2"/>
  <c r="D331" i="2"/>
  <c r="C331" i="2"/>
  <c r="D330" i="2"/>
  <c r="C330" i="2"/>
  <c r="D329" i="2"/>
  <c r="C329" i="2"/>
  <c r="D328" i="2"/>
  <c r="C328" i="2"/>
  <c r="D327" i="2"/>
  <c r="C327" i="2"/>
  <c r="D326" i="2"/>
  <c r="C326" i="2"/>
  <c r="D325" i="2"/>
  <c r="C325" i="2"/>
  <c r="D324" i="2"/>
  <c r="C324" i="2"/>
  <c r="D323" i="2"/>
  <c r="C323" i="2"/>
  <c r="D322" i="2"/>
  <c r="C322" i="2"/>
  <c r="D321" i="2"/>
  <c r="C321" i="2"/>
  <c r="D320" i="2"/>
  <c r="C320" i="2"/>
  <c r="D319" i="2"/>
  <c r="C319" i="2"/>
  <c r="D318" i="2"/>
  <c r="C318" i="2"/>
  <c r="D317" i="2"/>
  <c r="C317" i="2"/>
  <c r="D316" i="2"/>
  <c r="C316" i="2"/>
  <c r="D315" i="2"/>
  <c r="C315" i="2"/>
  <c r="D314" i="2"/>
  <c r="C314" i="2"/>
  <c r="D313" i="2"/>
  <c r="C313" i="2"/>
  <c r="D312" i="2"/>
  <c r="C312" i="2"/>
  <c r="D311" i="2"/>
  <c r="C311" i="2"/>
  <c r="D310" i="2"/>
  <c r="C310" i="2"/>
  <c r="D309" i="2"/>
  <c r="C309" i="2"/>
  <c r="D308" i="2"/>
  <c r="C308" i="2"/>
  <c r="D307" i="2"/>
  <c r="C307" i="2"/>
  <c r="D306" i="2"/>
  <c r="C306" i="2"/>
  <c r="D305" i="2"/>
  <c r="C305" i="2"/>
  <c r="D304" i="2"/>
  <c r="C304" i="2"/>
  <c r="D303" i="2"/>
  <c r="C303" i="2"/>
  <c r="D302" i="2"/>
  <c r="C302" i="2"/>
  <c r="D301" i="2"/>
  <c r="C301" i="2"/>
  <c r="D300" i="2"/>
  <c r="C300" i="2"/>
  <c r="D299" i="2"/>
  <c r="C299" i="2"/>
  <c r="D298" i="2"/>
  <c r="C298" i="2"/>
  <c r="D297" i="2"/>
  <c r="C297" i="2"/>
  <c r="D296" i="2"/>
  <c r="C296" i="2"/>
  <c r="D295" i="2"/>
  <c r="C295" i="2"/>
  <c r="D294" i="2"/>
  <c r="C294" i="2"/>
  <c r="D293" i="2"/>
  <c r="C293" i="2"/>
  <c r="D292" i="2"/>
  <c r="C292" i="2"/>
  <c r="D291" i="2"/>
  <c r="C291" i="2"/>
  <c r="D290" i="2"/>
  <c r="C290" i="2"/>
  <c r="D289" i="2"/>
  <c r="C289" i="2"/>
  <c r="D288" i="2"/>
  <c r="C288" i="2"/>
  <c r="D287" i="2"/>
  <c r="C287" i="2"/>
  <c r="D286" i="2"/>
  <c r="C286" i="2"/>
  <c r="D285" i="2"/>
  <c r="C285" i="2"/>
  <c r="D284" i="2"/>
  <c r="C284" i="2"/>
  <c r="D283" i="2"/>
  <c r="C283" i="2"/>
  <c r="D282" i="2"/>
  <c r="C282" i="2"/>
  <c r="D281" i="2"/>
  <c r="C281" i="2"/>
  <c r="D280" i="2"/>
  <c r="C280" i="2"/>
  <c r="D279" i="2"/>
  <c r="C279" i="2"/>
  <c r="D278" i="2"/>
  <c r="C278" i="2"/>
  <c r="D277" i="2"/>
  <c r="C277" i="2"/>
  <c r="D276" i="2"/>
  <c r="C276" i="2"/>
  <c r="D275" i="2"/>
  <c r="C275" i="2"/>
  <c r="D274" i="2"/>
  <c r="C274" i="2"/>
  <c r="D273" i="2"/>
  <c r="C273" i="2"/>
  <c r="D272" i="2"/>
  <c r="C272" i="2"/>
  <c r="D271" i="2"/>
  <c r="C271" i="2"/>
  <c r="D270" i="2"/>
  <c r="C270" i="2"/>
  <c r="D269" i="2"/>
  <c r="C269" i="2"/>
  <c r="D268" i="2"/>
  <c r="C268" i="2"/>
  <c r="D267" i="2"/>
  <c r="C267" i="2"/>
  <c r="D266" i="2"/>
  <c r="C266" i="2"/>
  <c r="D265" i="2"/>
  <c r="C265" i="2"/>
  <c r="D264" i="2"/>
  <c r="C264" i="2"/>
  <c r="D263" i="2"/>
  <c r="C263" i="2"/>
  <c r="D262" i="2"/>
  <c r="C262" i="2"/>
  <c r="D261" i="2"/>
  <c r="C261" i="2"/>
  <c r="D260" i="2"/>
  <c r="C260" i="2"/>
  <c r="D259" i="2"/>
  <c r="C259" i="2"/>
  <c r="D258" i="2"/>
  <c r="C258" i="2"/>
  <c r="D257" i="2"/>
  <c r="C257" i="2"/>
  <c r="D256" i="2"/>
  <c r="C256" i="2"/>
  <c r="D255" i="2"/>
  <c r="C255" i="2"/>
  <c r="D254" i="2"/>
  <c r="C254" i="2"/>
  <c r="D253" i="2"/>
  <c r="C253" i="2"/>
  <c r="D252" i="2"/>
  <c r="C252" i="2"/>
  <c r="D251" i="2"/>
  <c r="C251" i="2"/>
  <c r="D250" i="2"/>
  <c r="C250" i="2"/>
  <c r="D249" i="2"/>
  <c r="C249" i="2"/>
  <c r="D248" i="2"/>
  <c r="C248" i="2"/>
  <c r="D247" i="2"/>
  <c r="C247" i="2"/>
  <c r="D246" i="2"/>
  <c r="C246" i="2"/>
  <c r="D245" i="2"/>
  <c r="C245" i="2"/>
  <c r="D244" i="2"/>
  <c r="C244" i="2"/>
  <c r="D243" i="2"/>
  <c r="C243" i="2"/>
  <c r="D242" i="2"/>
  <c r="C242" i="2"/>
  <c r="D241" i="2"/>
  <c r="C241" i="2"/>
  <c r="D240" i="2"/>
  <c r="C240" i="2"/>
  <c r="D239" i="2"/>
  <c r="C239" i="2"/>
  <c r="D238" i="2"/>
  <c r="C238" i="2"/>
  <c r="D237" i="2"/>
  <c r="C237" i="2"/>
  <c r="D236" i="2"/>
  <c r="C236" i="2"/>
  <c r="D235" i="2"/>
  <c r="C235" i="2"/>
  <c r="D234" i="2"/>
  <c r="C234" i="2"/>
  <c r="D233" i="2"/>
  <c r="C233" i="2"/>
  <c r="D232" i="2"/>
  <c r="C232" i="2"/>
  <c r="D231" i="2"/>
  <c r="C231" i="2"/>
  <c r="D230" i="2"/>
  <c r="C230" i="2"/>
  <c r="D229" i="2"/>
  <c r="C229" i="2"/>
  <c r="D228" i="2"/>
  <c r="C228" i="2"/>
  <c r="D227" i="2"/>
  <c r="C227" i="2"/>
  <c r="D226" i="2"/>
  <c r="C226" i="2"/>
  <c r="D225" i="2"/>
  <c r="C225" i="2"/>
  <c r="D224" i="2"/>
  <c r="C224" i="2"/>
  <c r="D223" i="2"/>
  <c r="C223" i="2"/>
  <c r="D222" i="2"/>
  <c r="C222" i="2"/>
  <c r="D221" i="2"/>
  <c r="C221" i="2"/>
  <c r="D220" i="2"/>
  <c r="C220" i="2"/>
  <c r="D219" i="2"/>
  <c r="C219" i="2"/>
  <c r="D218" i="2"/>
  <c r="C218" i="2"/>
  <c r="D217" i="2"/>
  <c r="C217" i="2"/>
  <c r="D216" i="2"/>
  <c r="C216" i="2"/>
  <c r="D215" i="2"/>
  <c r="C215" i="2"/>
  <c r="D214" i="2"/>
  <c r="C214" i="2"/>
  <c r="D213" i="2"/>
  <c r="C213" i="2"/>
  <c r="D212" i="2"/>
  <c r="C212" i="2"/>
  <c r="D211" i="2"/>
  <c r="C211" i="2"/>
  <c r="D210" i="2"/>
  <c r="C210" i="2"/>
  <c r="D209" i="2"/>
  <c r="C209" i="2"/>
  <c r="D208" i="2"/>
  <c r="C208" i="2"/>
  <c r="D207" i="2"/>
  <c r="C207" i="2"/>
  <c r="D206" i="2"/>
  <c r="C206" i="2"/>
  <c r="D205" i="2"/>
  <c r="C205" i="2"/>
  <c r="D204" i="2"/>
  <c r="C204" i="2"/>
  <c r="D203" i="2"/>
  <c r="C203" i="2"/>
  <c r="D202" i="2"/>
  <c r="C202" i="2"/>
  <c r="D201" i="2"/>
  <c r="C201" i="2"/>
  <c r="D200" i="2"/>
  <c r="C200" i="2"/>
  <c r="D199" i="2"/>
  <c r="C199" i="2"/>
  <c r="D198" i="2"/>
  <c r="C198" i="2"/>
  <c r="D197" i="2"/>
  <c r="C197" i="2"/>
  <c r="D196" i="2"/>
  <c r="C196" i="2"/>
  <c r="D195" i="2"/>
  <c r="C195" i="2"/>
  <c r="D194" i="2"/>
  <c r="C194" i="2"/>
  <c r="D193" i="2"/>
  <c r="C193" i="2"/>
  <c r="D192" i="2"/>
  <c r="C192" i="2"/>
  <c r="D191" i="2"/>
  <c r="C191" i="2"/>
  <c r="D190" i="2"/>
  <c r="C190" i="2"/>
  <c r="D189" i="2"/>
  <c r="C189" i="2"/>
  <c r="D188" i="2"/>
  <c r="C188" i="2"/>
  <c r="D187" i="2"/>
  <c r="C187" i="2"/>
  <c r="D186" i="2"/>
  <c r="C186" i="2"/>
  <c r="D185" i="2"/>
  <c r="C185" i="2"/>
  <c r="D184" i="2"/>
  <c r="C184" i="2"/>
  <c r="D183" i="2"/>
  <c r="C183" i="2"/>
  <c r="D182" i="2"/>
  <c r="C182" i="2"/>
  <c r="D181" i="2"/>
  <c r="C181" i="2"/>
  <c r="D180" i="2"/>
  <c r="C180" i="2"/>
  <c r="D179" i="2"/>
  <c r="C179" i="2"/>
  <c r="D178" i="2"/>
  <c r="C178" i="2"/>
  <c r="D177" i="2"/>
  <c r="C177" i="2"/>
  <c r="D176" i="2"/>
  <c r="C176" i="2"/>
  <c r="D175" i="2"/>
  <c r="C175" i="2"/>
  <c r="D174" i="2"/>
  <c r="C174" i="2"/>
  <c r="D173" i="2"/>
  <c r="C173" i="2"/>
  <c r="D172" i="2"/>
  <c r="C172" i="2"/>
  <c r="D171" i="2"/>
  <c r="C171" i="2"/>
  <c r="D170" i="2"/>
  <c r="C170" i="2"/>
  <c r="D169" i="2"/>
  <c r="C169" i="2"/>
  <c r="D168" i="2"/>
  <c r="C168" i="2"/>
  <c r="D167" i="2"/>
  <c r="C167" i="2"/>
  <c r="D166" i="2"/>
  <c r="C166" i="2"/>
  <c r="D165" i="2"/>
  <c r="C165" i="2"/>
  <c r="D164" i="2"/>
  <c r="C164" i="2"/>
  <c r="D163" i="2"/>
  <c r="C163" i="2"/>
  <c r="D162" i="2"/>
  <c r="C162" i="2"/>
  <c r="D161" i="2"/>
  <c r="C161" i="2"/>
  <c r="D160" i="2"/>
  <c r="C160" i="2"/>
  <c r="D159" i="2"/>
  <c r="C159" i="2"/>
  <c r="D158" i="2"/>
  <c r="C158" i="2"/>
  <c r="D157" i="2"/>
  <c r="C157" i="2"/>
  <c r="D156" i="2"/>
  <c r="C156" i="2"/>
  <c r="D155" i="2"/>
  <c r="C155" i="2"/>
  <c r="D154" i="2"/>
  <c r="C154" i="2"/>
  <c r="D153" i="2"/>
  <c r="C153" i="2"/>
  <c r="D152" i="2"/>
  <c r="C152" i="2"/>
  <c r="D151" i="2"/>
  <c r="C151" i="2"/>
  <c r="D150" i="2"/>
  <c r="C150" i="2"/>
  <c r="D149" i="2"/>
  <c r="C149" i="2"/>
  <c r="D148" i="2"/>
  <c r="C148" i="2"/>
  <c r="D147" i="2"/>
  <c r="C147" i="2"/>
  <c r="D146" i="2"/>
  <c r="C146" i="2"/>
  <c r="D145" i="2"/>
  <c r="C145" i="2"/>
  <c r="D144" i="2"/>
  <c r="C144" i="2"/>
  <c r="D143" i="2"/>
  <c r="C143" i="2"/>
  <c r="D142" i="2"/>
  <c r="C142" i="2"/>
  <c r="D141" i="2"/>
  <c r="C141" i="2"/>
  <c r="D140" i="2"/>
  <c r="C140" i="2"/>
  <c r="D139" i="2"/>
  <c r="C139" i="2"/>
  <c r="D138" i="2"/>
  <c r="C138" i="2"/>
  <c r="D137" i="2"/>
  <c r="C137" i="2"/>
  <c r="D136" i="2"/>
  <c r="C136" i="2"/>
  <c r="D135" i="2"/>
  <c r="C135" i="2"/>
  <c r="D134" i="2"/>
  <c r="C134" i="2"/>
  <c r="D133" i="2"/>
  <c r="C133" i="2"/>
  <c r="D132" i="2"/>
  <c r="C132" i="2"/>
  <c r="D131" i="2"/>
  <c r="C131" i="2"/>
  <c r="D130" i="2"/>
  <c r="C130" i="2"/>
  <c r="D129" i="2"/>
  <c r="C129" i="2"/>
  <c r="D128" i="2"/>
  <c r="C128" i="2"/>
  <c r="D127" i="2"/>
  <c r="C127" i="2"/>
  <c r="D126" i="2"/>
  <c r="C126" i="2"/>
  <c r="D125" i="2"/>
  <c r="C125" i="2"/>
  <c r="D124" i="2"/>
  <c r="C124" i="2"/>
  <c r="D123" i="2"/>
  <c r="C123" i="2"/>
  <c r="D122" i="2"/>
  <c r="C122" i="2"/>
  <c r="D121" i="2"/>
  <c r="C121" i="2"/>
  <c r="D120" i="2"/>
  <c r="C120" i="2"/>
  <c r="D119" i="2"/>
  <c r="C119" i="2"/>
  <c r="D118" i="2"/>
  <c r="C118" i="2"/>
  <c r="D117" i="2"/>
  <c r="C117" i="2"/>
  <c r="D116" i="2"/>
  <c r="C116" i="2"/>
  <c r="D115" i="2"/>
  <c r="C115" i="2"/>
  <c r="D114" i="2"/>
  <c r="C114" i="2"/>
  <c r="D113" i="2"/>
  <c r="C113" i="2"/>
  <c r="D112" i="2"/>
  <c r="C112" i="2"/>
  <c r="D111" i="2"/>
  <c r="C111" i="2"/>
  <c r="D110" i="2"/>
  <c r="C110" i="2"/>
  <c r="D109" i="2"/>
  <c r="C109" i="2"/>
  <c r="D108" i="2"/>
  <c r="C108" i="2"/>
  <c r="D107" i="2"/>
  <c r="C107" i="2"/>
  <c r="D106" i="2"/>
  <c r="C106" i="2"/>
  <c r="D105" i="2"/>
  <c r="C105" i="2"/>
  <c r="D104" i="2"/>
  <c r="C104" i="2"/>
  <c r="D103" i="2"/>
  <c r="C103" i="2"/>
  <c r="D102" i="2"/>
  <c r="C102" i="2"/>
  <c r="D101" i="2"/>
  <c r="C101" i="2"/>
  <c r="D100" i="2"/>
  <c r="C100" i="2"/>
  <c r="D99" i="2"/>
  <c r="C99" i="2"/>
  <c r="D98" i="2"/>
  <c r="C98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6" i="2"/>
  <c r="C86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8" i="2"/>
  <c r="C58" i="2"/>
  <c r="D57" i="2"/>
  <c r="C57" i="2"/>
  <c r="D56" i="2"/>
  <c r="C56" i="2"/>
  <c r="D55" i="2"/>
  <c r="C55" i="2"/>
  <c r="D54" i="2"/>
  <c r="C54" i="2"/>
  <c r="D53" i="2"/>
  <c r="C53" i="2"/>
  <c r="D52" i="2"/>
  <c r="C5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E4" i="2"/>
  <c r="C4" i="2"/>
  <c r="B4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Sheng-Lin Wu</author>
  </authors>
  <commentList>
    <comment ref="E1" authorId="0" shapeId="0" xr:uid="{A77B5C57-4E78-48C5-8ADD-A1EF9BF4EF5F}">
      <text>
        <r>
          <rPr>
            <sz val="9"/>
            <color indexed="81"/>
            <rFont val="Tahoma"/>
            <charset val="1"/>
          </rPr>
          <t xml:space="preserve">- per Deployment is the total Request/Limit of the deployment
(i.e., per Pod Request/Limit * replicas) 
</t>
        </r>
      </text>
    </comment>
    <comment ref="T1" authorId="0" shapeId="0" xr:uid="{9C9DDB76-1B7C-4F39-8E94-552BE05F4046}">
      <text>
        <r>
          <rPr>
            <sz val="9"/>
            <color indexed="81"/>
            <rFont val="Tahoma"/>
            <family val="2"/>
          </rPr>
          <t>Global minimum limit.
The final Recommended Limit won't be lower than this global minimum limit.</t>
        </r>
      </text>
    </comment>
    <comment ref="T3" authorId="0" shapeId="0" xr:uid="{5F54DDD4-1B22-48DF-BEA3-6DE65E49C8A3}">
      <text>
        <r>
          <rPr>
            <b/>
            <sz val="9"/>
            <color indexed="81"/>
            <rFont val="Tahoma"/>
            <family val="2"/>
          </rPr>
          <t xml:space="preserve">Recommended CPU/Mem Limit </t>
        </r>
        <r>
          <rPr>
            <sz val="9"/>
            <color indexed="81"/>
            <rFont val="Tahoma"/>
            <family val="2"/>
          </rPr>
          <t>is the largest number of below values:
  1. Federator.ai recommended limit ($P/$Q)
  2. Global minimum limit ($L$2/$M$2)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F153DE-C363-41FE-9BEA-FC3CA7DED332}" keepAlive="1" name="Query - deployment-raw" description="Connection to the 'deployment-raw' query in the workbook." type="5" refreshedVersion="8" background="1" refreshOnLoad="1" saveData="1">
    <dbPr connection="Provider=Microsoft.Mashup.OleDb.1;Data Source=$Workbook$;Location=deployment-raw;Extended Properties=&quot;&quot;" command="SELECT * FROM [deployment-raw]"/>
  </connection>
</connections>
</file>

<file path=xl/sharedStrings.xml><?xml version="1.0" encoding="utf-8"?>
<sst xmlns="http://schemas.openxmlformats.org/spreadsheetml/2006/main" count="255" uniqueCount="124">
  <si>
    <t>Deployment</t>
  </si>
  <si>
    <t>Node-Affinity</t>
  </si>
  <si>
    <t>Replicas</t>
  </si>
  <si>
    <t>&lt;none&gt;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</si>
  <si>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</si>
  <si>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</si>
  <si>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</si>
  <si>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</si>
  <si>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</si>
  <si>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</si>
  <si>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</si>
  <si>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</si>
  <si>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</si>
  <si>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</si>
  <si>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</si>
  <si>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</si>
  <si>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deployment</t>
  </si>
  <si>
    <t>Kind</t>
  </si>
  <si>
    <t>Namespace</t>
  </si>
  <si>
    <t>Column13</t>
  </si>
  <si>
    <t>CPU</t>
  </si>
  <si>
    <t>Memory</t>
  </si>
  <si>
    <t>kube-system</t>
  </si>
  <si>
    <t>monitoring</t>
  </si>
  <si>
    <t>statefulset</t>
  </si>
  <si>
    <t>Column14</t>
  </si>
  <si>
    <t>Column15</t>
  </si>
  <si>
    <t>Column16</t>
  </si>
  <si>
    <r>
      <rPr>
        <b/>
        <sz val="11"/>
        <color theme="1" tint="0.34998626667073579"/>
        <rFont val="Calibri"/>
        <family val="2"/>
        <scheme val="minor"/>
      </rPr>
      <t>Federator.ai Recommended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theme="1" tint="0.34998626667073579"/>
        <rFont val="Calibri"/>
        <family val="2"/>
        <scheme val="minor"/>
      </rPr>
      <t>CPU Limit
(mcores)</t>
    </r>
  </si>
  <si>
    <r>
      <rPr>
        <b/>
        <sz val="11"/>
        <color theme="1" tint="0.34998626667073579"/>
        <rFont val="Calibri"/>
        <family val="2"/>
        <scheme val="minor"/>
      </rPr>
      <t>Federator.ai Recommended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theme="1" tint="0.34998626667073579"/>
        <rFont val="Calibri"/>
        <family val="2"/>
        <scheme val="minor"/>
      </rPr>
      <t>Memory Limit
(MiB)</t>
    </r>
  </si>
  <si>
    <r>
      <t>Additional Headroom 
(</t>
    </r>
    <r>
      <rPr>
        <b/>
        <sz val="12"/>
        <color rgb="FFC00000"/>
        <rFont val="Calibri"/>
        <family val="2"/>
        <scheme val="minor"/>
      </rPr>
      <t>Extra</t>
    </r>
    <r>
      <rPr>
        <b/>
        <sz val="11"/>
        <color theme="3" tint="0.14999847407452621"/>
        <rFont val="Calibri"/>
        <family val="2"/>
        <scheme val="minor"/>
      </rPr>
      <t xml:space="preserve"> % of CPU Limit)</t>
    </r>
  </si>
  <si>
    <r>
      <t>Additional Headroom 
(</t>
    </r>
    <r>
      <rPr>
        <b/>
        <sz val="12"/>
        <color rgb="FFC00000"/>
        <rFont val="Calibri"/>
        <family val="2"/>
        <scheme val="minor"/>
      </rPr>
      <t>Extra</t>
    </r>
    <r>
      <rPr>
        <b/>
        <sz val="11"/>
        <color theme="3" tint="0.14999847407452621"/>
        <rFont val="Calibri"/>
        <family val="2"/>
        <scheme val="minor"/>
      </rPr>
      <t xml:space="preserve"> % of Mem Limit)</t>
    </r>
  </si>
  <si>
    <t>Minimum CPU Limit
per replica (mcores)</t>
  </si>
  <si>
    <t>Minimum Memory Limit
per replica (MiB)</t>
  </si>
  <si>
    <t>coredns</t>
  </si>
  <si>
    <t>webapp1-deploy</t>
  </si>
  <si>
    <t>app</t>
  </si>
  <si>
    <t>jaeger-operator</t>
  </si>
  <si>
    <t>default</t>
  </si>
  <si>
    <t>nfs-client-provisioner</t>
  </si>
  <si>
    <t>wpacontroller-watermarkpodautoscaler</t>
  </si>
  <si>
    <t>calico-kube-controllers</t>
  </si>
  <si>
    <t>metrics-server</t>
  </si>
  <si>
    <t>local-path-provisioner</t>
  </si>
  <si>
    <t>local-path-storage</t>
  </si>
  <si>
    <t>my-prometheus-operator-grafana</t>
  </si>
  <si>
    <t>my-prometheus-operator-kub-operator</t>
  </si>
  <si>
    <t>my-prometheus-operator-kube-state-metrics</t>
  </si>
  <si>
    <t>consumer</t>
  </si>
  <si>
    <t>myproject</t>
  </si>
  <si>
    <t>my-cluster-entity-operator</t>
  </si>
  <si>
    <t>my-cluster-kafka-exporter</t>
  </si>
  <si>
    <t>producer</t>
  </si>
  <si>
    <t>strimzi-cluster-operator</t>
  </si>
  <si>
    <t>observability</t>
  </si>
  <si>
    <t>cart</t>
  </si>
  <si>
    <t>robot-shop</t>
  </si>
  <si>
    <t>catalogue</t>
  </si>
  <si>
    <t>dispatch</t>
  </si>
  <si>
    <t>ingress-nginx-controller</t>
  </si>
  <si>
    <t>mongo-ex-prometheus-mongodb-exporter</t>
  </si>
  <si>
    <t>mongodb</t>
  </si>
  <si>
    <t>mysql</t>
  </si>
  <si>
    <t>mysql-ex-prometheus-mysql-exporter</t>
  </si>
  <si>
    <t>nginx-ex-deployment</t>
  </si>
  <si>
    <t>payment</t>
  </si>
  <si>
    <t>rabbitmq</t>
  </si>
  <si>
    <t>rabbitmq-ex-prometheus-rabbitmq-exporter</t>
  </si>
  <si>
    <t>ratings</t>
  </si>
  <si>
    <t>redis-ex-prometheus-redis-exporter</t>
  </si>
  <si>
    <t>shipping</t>
  </si>
  <si>
    <t>user</t>
  </si>
  <si>
    <t>web</t>
  </si>
  <si>
    <t>stable-ingress-nginx-ingress-controller</t>
  </si>
  <si>
    <t>stable-ingress</t>
  </si>
  <si>
    <t>stable-ingress-nginx-ingress-default-backend</t>
  </si>
  <si>
    <t>example-deployment</t>
  </si>
  <si>
    <t>test-ns</t>
  </si>
  <si>
    <t>tomcathost</t>
  </si>
  <si>
    <t>tomcat</t>
  </si>
  <si>
    <t>tomcathost2</t>
  </si>
  <si>
    <t>tomcat2</t>
  </si>
  <si>
    <t>tomcathost3</t>
  </si>
  <si>
    <t>tomcat3</t>
  </si>
  <si>
    <t>tomcathost4</t>
  </si>
  <si>
    <t>tomcat4</t>
  </si>
  <si>
    <t>tomcathost5</t>
  </si>
  <si>
    <t>tomcat5</t>
  </si>
  <si>
    <t>alertmanager-my-prometheus-operator-kub-alertmanager</t>
  </si>
  <si>
    <t>prometheus-my-prometheus-operator-kub-prometheus</t>
  </si>
  <si>
    <t>my-cluster-kafka</t>
  </si>
  <si>
    <t>my-cluster-zookeeper</t>
  </si>
  <si>
    <t>nginx-web-sts</t>
  </si>
  <si>
    <t>web2</t>
  </si>
  <si>
    <t>nginx-web2-sts</t>
  </si>
  <si>
    <t>web3</t>
  </si>
  <si>
    <t>nginx-web3-sts</t>
  </si>
  <si>
    <t>redis</t>
  </si>
  <si>
    <t>Column17</t>
  </si>
  <si>
    <t>Column18</t>
  </si>
  <si>
    <t>Column19</t>
  </si>
  <si>
    <t>Column20</t>
  </si>
  <si>
    <r>
      <rPr>
        <b/>
        <sz val="11"/>
        <rFont val="Calibri"/>
        <family val="2"/>
        <scheme val="minor"/>
      </rPr>
      <t>Current</t>
    </r>
    <r>
      <rPr>
        <b/>
        <sz val="11"/>
        <color theme="1"/>
        <rFont val="Calibri"/>
        <family val="2"/>
        <scheme val="minor"/>
      </rPr>
      <t xml:space="preserve">
CPU Request
(mcores)</t>
    </r>
  </si>
  <si>
    <r>
      <rPr>
        <b/>
        <sz val="11"/>
        <rFont val="Calibri"/>
        <family val="2"/>
        <scheme val="minor"/>
      </rPr>
      <t>Current</t>
    </r>
    <r>
      <rPr>
        <b/>
        <sz val="11"/>
        <color theme="1"/>
        <rFont val="Calibri"/>
        <family val="2"/>
        <scheme val="minor"/>
      </rPr>
      <t xml:space="preserve">
CPU Limit
(mcores)</t>
    </r>
  </si>
  <si>
    <r>
      <rPr>
        <b/>
        <sz val="11"/>
        <rFont val="Calibri"/>
        <family val="2"/>
        <scheme val="minor"/>
      </rPr>
      <t>Current</t>
    </r>
    <r>
      <rPr>
        <b/>
        <sz val="11"/>
        <color theme="1"/>
        <rFont val="Calibri"/>
        <family val="2"/>
        <scheme val="minor"/>
      </rPr>
      <t xml:space="preserve">
Memory Request
(MiB)</t>
    </r>
  </si>
  <si>
    <r>
      <rPr>
        <b/>
        <sz val="11"/>
        <rFont val="Calibri"/>
        <family val="2"/>
        <scheme val="minor"/>
      </rPr>
      <t>Current</t>
    </r>
    <r>
      <rPr>
        <b/>
        <sz val="11"/>
        <color theme="1"/>
        <rFont val="Calibri"/>
        <family val="2"/>
        <scheme val="minor"/>
      </rPr>
      <t xml:space="preserve">
Memory Limit
(MiB)</t>
    </r>
  </si>
  <si>
    <t>Display CPU/Mem
per</t>
  </si>
  <si>
    <r>
      <rPr>
        <b/>
        <u/>
        <sz val="12"/>
        <rFont val="Calibri"/>
        <family val="2"/>
        <scheme val="minor"/>
      </rPr>
      <t>Final</t>
    </r>
    <r>
      <rPr>
        <b/>
        <sz val="11"/>
        <color theme="9" tint="-0.249977111117893"/>
        <rFont val="Calibri"/>
        <family val="2"/>
        <scheme val="minor"/>
      </rPr>
      <t xml:space="preserve">
</t>
    </r>
    <r>
      <rPr>
        <b/>
        <sz val="11"/>
        <color rgb="FFC00000"/>
        <rFont val="Calibri"/>
        <family val="2"/>
        <scheme val="minor"/>
      </rPr>
      <t>Recommended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theme="9" tint="-0.499984740745262"/>
        <rFont val="Calibri"/>
        <family val="2"/>
        <scheme val="minor"/>
      </rPr>
      <t>Memory</t>
    </r>
    <r>
      <rPr>
        <b/>
        <sz val="11"/>
        <color theme="1"/>
        <rFont val="Calibri"/>
        <family val="2"/>
        <scheme val="minor"/>
      </rPr>
      <t xml:space="preserve"> Request
(MiB)</t>
    </r>
  </si>
  <si>
    <r>
      <rPr>
        <b/>
        <u/>
        <sz val="12"/>
        <rFont val="Calibri"/>
        <family val="2"/>
        <scheme val="minor"/>
      </rPr>
      <t>Final</t>
    </r>
    <r>
      <rPr>
        <b/>
        <sz val="11"/>
        <color theme="9" tint="-0.249977111117893"/>
        <rFont val="Calibri"/>
        <family val="2"/>
        <scheme val="minor"/>
      </rPr>
      <t xml:space="preserve">
</t>
    </r>
    <r>
      <rPr>
        <b/>
        <sz val="11"/>
        <color rgb="FFC00000"/>
        <rFont val="Calibri"/>
        <family val="2"/>
        <scheme val="minor"/>
      </rPr>
      <t>Recommended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theme="9" tint="-0.499984740745262"/>
        <rFont val="Calibri"/>
        <family val="2"/>
        <scheme val="minor"/>
      </rPr>
      <t>Memory</t>
    </r>
    <r>
      <rPr>
        <b/>
        <sz val="11"/>
        <color theme="1"/>
        <rFont val="Calibri"/>
        <family val="2"/>
        <scheme val="minor"/>
      </rPr>
      <t xml:space="preserve"> Limit
(MiB)</t>
    </r>
  </si>
  <si>
    <t>Replica</t>
  </si>
  <si>
    <t>1.0.4</t>
  </si>
  <si>
    <t>test-prom</t>
  </si>
  <si>
    <r>
      <rPr>
        <b/>
        <u/>
        <sz val="12"/>
        <rFont val="Calibri"/>
        <family val="2"/>
        <scheme val="minor"/>
      </rPr>
      <t>Final</t>
    </r>
    <r>
      <rPr>
        <b/>
        <sz val="12"/>
        <rFont val="Calibri"/>
        <family val="2"/>
        <scheme val="minor"/>
      </rPr>
      <t xml:space="preserve">
</t>
    </r>
    <r>
      <rPr>
        <b/>
        <sz val="11"/>
        <color rgb="FFC00000"/>
        <rFont val="Calibri"/>
        <family val="2"/>
        <scheme val="minor"/>
      </rPr>
      <t>Recommended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theme="4" tint="-0.249977111117893"/>
        <rFont val="Calibri"/>
        <family val="2"/>
        <scheme val="minor"/>
      </rPr>
      <t>CPU</t>
    </r>
    <r>
      <rPr>
        <b/>
        <sz val="11"/>
        <color theme="1"/>
        <rFont val="Calibri"/>
        <family val="2"/>
        <scheme val="minor"/>
      </rPr>
      <t xml:space="preserve"> Request
(mcores)</t>
    </r>
  </si>
  <si>
    <r>
      <rPr>
        <b/>
        <u/>
        <sz val="12"/>
        <rFont val="Calibri"/>
        <family val="2"/>
        <scheme val="minor"/>
      </rPr>
      <t>Final</t>
    </r>
    <r>
      <rPr>
        <b/>
        <sz val="11"/>
        <color theme="9" tint="-0.249977111117893"/>
        <rFont val="Calibri"/>
        <family val="2"/>
        <scheme val="minor"/>
      </rPr>
      <t xml:space="preserve">
</t>
    </r>
    <r>
      <rPr>
        <b/>
        <sz val="11"/>
        <color rgb="FFC00000"/>
        <rFont val="Calibri"/>
        <family val="2"/>
        <scheme val="minor"/>
      </rPr>
      <t>Recommended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theme="4" tint="-0.249977111117893"/>
        <rFont val="Calibri"/>
        <family val="2"/>
        <scheme val="minor"/>
      </rPr>
      <t>CPU</t>
    </r>
    <r>
      <rPr>
        <b/>
        <sz val="11"/>
        <color theme="1"/>
        <rFont val="Calibri"/>
        <family val="2"/>
        <scheme val="minor"/>
      </rPr>
      <t xml:space="preserve"> Limit
(mcores)</t>
    </r>
  </si>
  <si>
    <r>
      <rPr>
        <b/>
        <sz val="11"/>
        <color theme="1" tint="0.14999847407452621"/>
        <rFont val="Calibri"/>
        <family val="2"/>
        <scheme val="minor"/>
      </rPr>
      <t>Minimum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theme="1" tint="0.34998626667073579"/>
        <rFont val="Calibri"/>
        <family val="2"/>
        <scheme val="minor"/>
      </rPr>
      <t>CPU Usage
(mcores)</t>
    </r>
  </si>
  <si>
    <r>
      <rPr>
        <b/>
        <sz val="11"/>
        <color theme="1" tint="0.14999847407452621"/>
        <rFont val="Calibri"/>
        <family val="2"/>
        <scheme val="minor"/>
      </rPr>
      <t>Maximum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theme="1" tint="0.34998626667073579"/>
        <rFont val="Calibri"/>
        <family val="2"/>
        <scheme val="minor"/>
      </rPr>
      <t>CPU Usage
(mcores)</t>
    </r>
  </si>
  <si>
    <r>
      <rPr>
        <b/>
        <u/>
        <sz val="11"/>
        <color theme="1" tint="0.14999847407452621"/>
        <rFont val="Calibri"/>
        <family val="2"/>
        <scheme val="minor"/>
      </rPr>
      <t>Average over</t>
    </r>
    <r>
      <rPr>
        <b/>
        <sz val="11"/>
        <color theme="1" tint="0.14999847407452621"/>
        <rFont val="Calibri"/>
        <family val="2"/>
        <scheme val="minor"/>
      </rPr>
      <t xml:space="preserve"> CPU </t>
    </r>
    <r>
      <rPr>
        <b/>
        <u/>
        <sz val="11"/>
        <color theme="1" tint="0.14999847407452621"/>
        <rFont val="Calibri"/>
        <family val="2"/>
        <scheme val="minor"/>
      </rPr>
      <t>Request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theme="1" tint="0.34998626667073579"/>
        <rFont val="Calibri"/>
        <family val="2"/>
        <scheme val="minor"/>
      </rPr>
      <t>(%)</t>
    </r>
  </si>
  <si>
    <r>
      <rPr>
        <b/>
        <u/>
        <sz val="11"/>
        <color theme="1" tint="0.14999847407452621"/>
        <rFont val="Calibri"/>
        <family val="2"/>
        <scheme val="minor"/>
      </rPr>
      <t>Average over</t>
    </r>
    <r>
      <rPr>
        <b/>
        <sz val="11"/>
        <color theme="1" tint="0.14999847407452621"/>
        <rFont val="Calibri"/>
        <family val="2"/>
        <scheme val="minor"/>
      </rPr>
      <t xml:space="preserve"> CPU </t>
    </r>
    <r>
      <rPr>
        <b/>
        <u/>
        <sz val="11"/>
        <color theme="1" tint="0.14999847407452621"/>
        <rFont val="Calibri"/>
        <family val="2"/>
        <scheme val="minor"/>
      </rPr>
      <t>Limit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theme="1" tint="0.34998626667073579"/>
        <rFont val="Calibri"/>
        <family val="2"/>
        <scheme val="minor"/>
      </rPr>
      <t>(%)</t>
    </r>
  </si>
  <si>
    <r>
      <rPr>
        <b/>
        <sz val="11"/>
        <color theme="1" tint="0.14999847407452621"/>
        <rFont val="Calibri"/>
        <family val="2"/>
        <scheme val="minor"/>
      </rPr>
      <t xml:space="preserve">Minimum
</t>
    </r>
    <r>
      <rPr>
        <b/>
        <sz val="11"/>
        <color theme="1" tint="0.34998626667073579"/>
        <rFont val="Calibri"/>
        <family val="2"/>
        <scheme val="minor"/>
      </rPr>
      <t>Memory Usage
(MiB)</t>
    </r>
  </si>
  <si>
    <r>
      <rPr>
        <b/>
        <sz val="11"/>
        <color theme="1" tint="0.14999847407452621"/>
        <rFont val="Calibri"/>
        <family val="2"/>
        <scheme val="minor"/>
      </rPr>
      <t>Maximum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theme="1" tint="0.34998626667073579"/>
        <rFont val="Calibri"/>
        <family val="2"/>
        <scheme val="minor"/>
      </rPr>
      <t>Memory Usage
(MiB)</t>
    </r>
  </si>
  <si>
    <r>
      <rPr>
        <b/>
        <u/>
        <sz val="11"/>
        <color theme="1" tint="0.14999847407452621"/>
        <rFont val="Calibri"/>
        <family val="2"/>
        <scheme val="minor"/>
      </rPr>
      <t>Average over</t>
    </r>
    <r>
      <rPr>
        <b/>
        <sz val="11"/>
        <color theme="1" tint="0.14999847407452621"/>
        <rFont val="Calibri"/>
        <family val="2"/>
        <scheme val="minor"/>
      </rPr>
      <t xml:space="preserve"> Memory </t>
    </r>
    <r>
      <rPr>
        <b/>
        <u/>
        <sz val="11"/>
        <color theme="1" tint="0.14999847407452621"/>
        <rFont val="Calibri"/>
        <family val="2"/>
        <scheme val="minor"/>
      </rPr>
      <t>Request</t>
    </r>
    <r>
      <rPr>
        <b/>
        <sz val="11"/>
        <color theme="1" tint="0.34998626667073579"/>
        <rFont val="Calibri"/>
        <family val="2"/>
        <scheme val="minor"/>
      </rPr>
      <t xml:space="preserve">
(%)</t>
    </r>
  </si>
  <si>
    <r>
      <rPr>
        <b/>
        <u/>
        <sz val="11"/>
        <color theme="1" tint="0.14999847407452621"/>
        <rFont val="Calibri"/>
        <family val="2"/>
        <scheme val="minor"/>
      </rPr>
      <t>Average over</t>
    </r>
    <r>
      <rPr>
        <b/>
        <sz val="11"/>
        <color theme="1" tint="0.14999847407452621"/>
        <rFont val="Calibri"/>
        <family val="2"/>
        <scheme val="minor"/>
      </rPr>
      <t xml:space="preserve"> Memory </t>
    </r>
    <r>
      <rPr>
        <b/>
        <u/>
        <sz val="11"/>
        <color theme="1" tint="0.14999847407452621"/>
        <rFont val="Calibri"/>
        <family val="2"/>
        <scheme val="minor"/>
      </rPr>
      <t>Limit</t>
    </r>
    <r>
      <rPr>
        <b/>
        <sz val="11"/>
        <color theme="1" tint="0.34998626667073579"/>
        <rFont val="Calibri"/>
        <family val="2"/>
        <scheme val="minor"/>
      </rPr>
      <t xml:space="preserve">
(%)</t>
    </r>
  </si>
  <si>
    <t>1691397812</t>
  </si>
  <si>
    <t>21600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</si>
</sst>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scheme val="minor"/>
    </font>
    <font>
      <sz val="11"/>
      <color rgb="FF9C5700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9"/>
      <color indexed="81"/>
      <name val="Tahoma"/>
      <family val="2"/>
    </font>
    <font>
      <sz val="11"/>
      <color theme="9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color theme="3" tint="0.1499984740745262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sz val="9"/>
      <color indexed="81"/>
      <name val="Tahoma"/>
      <charset val="1"/>
    </font>
    <font>
      <b/>
      <sz val="11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b/>
      <u/>
      <sz val="11"/>
      <color theme="1" tint="0.14999847407452621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8" tint="-0.49998474074526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EF2CB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2" tint="-4.9989318521683403E-2"/>
        <bgColor rgb="FFFFFFFF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rgb="FFFFFFFF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rgb="FFD9E2F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60">
    <border>
      <left/>
      <right/>
      <top/>
      <bottom/>
      <diagonal/>
    </border>
    <border>
      <left style="thin">
        <color rgb="FFA5A5A5"/>
      </left>
      <right style="thin">
        <color rgb="FFA5A5A5"/>
      </right>
      <top/>
      <bottom style="thin">
        <color rgb="FFA5A5A5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rgb="FFA5A5A5"/>
      </left>
      <right/>
      <top/>
      <bottom style="thin">
        <color rgb="FFA5A5A5"/>
      </bottom>
      <diagonal/>
    </border>
    <border>
      <left style="thin">
        <color rgb="FFA5A5A5"/>
      </left>
      <right/>
      <top style="thin">
        <color rgb="FFA5A5A5"/>
      </top>
      <bottom style="thin">
        <color rgb="FFA5A5A5"/>
      </bottom>
      <diagonal/>
    </border>
    <border>
      <left style="medium">
        <color theme="4" tint="-0.499984740745262"/>
      </left>
      <right style="thin">
        <color rgb="FFA5A5A5"/>
      </right>
      <top/>
      <bottom style="thin">
        <color rgb="FFA5A5A5"/>
      </bottom>
      <diagonal/>
    </border>
    <border>
      <left style="medium">
        <color theme="4" tint="-0.499984740745262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rgb="FFA5A5A5"/>
      </left>
      <right style="medium">
        <color theme="4" tint="-0.499984740745262"/>
      </right>
      <top/>
      <bottom style="thin">
        <color rgb="FFA5A5A5"/>
      </bottom>
      <diagonal/>
    </border>
    <border>
      <left style="thin">
        <color rgb="FFA5A5A5"/>
      </left>
      <right style="medium">
        <color theme="4" tint="-0.499984740745262"/>
      </right>
      <top style="thin">
        <color rgb="FFA5A5A5"/>
      </top>
      <bottom style="thin">
        <color rgb="FFA5A5A5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A5A5A5"/>
      </left>
      <right style="medium">
        <color theme="4" tint="-0.499984740745262"/>
      </right>
      <top style="medium">
        <color rgb="FF002060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theme="4" tint="-0.499984740745262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rgb="FF002060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4" tint="-0.499984740745262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rgb="FF002060"/>
      </right>
      <top/>
      <bottom style="thin">
        <color theme="0" tint="-0.34998626667073579"/>
      </bottom>
      <diagonal/>
    </border>
    <border>
      <left style="medium">
        <color rgb="FF002060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rgb="FF002060"/>
      </left>
      <right style="thin">
        <color theme="0" tint="-0.34998626667073579"/>
      </right>
      <top style="medium">
        <color rgb="FF002060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rgb="FF002060"/>
      </right>
      <top style="medium">
        <color rgb="FF002060"/>
      </top>
      <bottom style="thin">
        <color theme="0" tint="-0.34998626667073579"/>
      </bottom>
      <diagonal/>
    </border>
    <border>
      <left style="medium">
        <color rgb="FF002060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rgb="FFA5A5A5"/>
      </right>
      <top style="medium">
        <color rgb="FF002060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thin">
        <color rgb="FFA5A5A5"/>
      </right>
      <top style="thin">
        <color rgb="FFA5A5A5"/>
      </top>
      <bottom/>
      <diagonal/>
    </border>
    <border>
      <left style="thin">
        <color rgb="FFA5A5A5"/>
      </left>
      <right style="medium">
        <color theme="4" tint="-0.499984740745262"/>
      </right>
      <top style="thin">
        <color rgb="FFA5A5A5"/>
      </top>
      <bottom/>
      <diagonal/>
    </border>
    <border>
      <left style="medium">
        <color rgb="FF002060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medium">
        <color rgb="FF002060"/>
      </right>
      <top style="thin">
        <color theme="0" tint="-0.34998626667073579"/>
      </top>
      <bottom/>
      <diagonal/>
    </border>
    <border>
      <left style="thin">
        <color rgb="FFA5A5A5"/>
      </left>
      <right style="thin">
        <color rgb="FFA5A5A5"/>
      </right>
      <top style="medium">
        <color theme="4" tint="-0.499984740745262"/>
      </top>
      <bottom style="double">
        <color theme="4" tint="-0.499984740745262"/>
      </bottom>
      <diagonal/>
    </border>
    <border>
      <left style="thin">
        <color rgb="FFA5A5A5"/>
      </left>
      <right/>
      <top style="medium">
        <color theme="4" tint="-0.499984740745262"/>
      </top>
      <bottom style="double">
        <color theme="4" tint="-0.499984740745262"/>
      </bottom>
      <diagonal/>
    </border>
    <border>
      <left style="medium">
        <color theme="4" tint="-0.499984740745262"/>
      </left>
      <right style="thin">
        <color theme="0" tint="-0.34998626667073579"/>
      </right>
      <top style="medium">
        <color theme="4" tint="-0.499984740745262"/>
      </top>
      <bottom style="double">
        <color theme="4" tint="-0.499984740745262"/>
      </bottom>
      <diagonal/>
    </border>
    <border>
      <left style="medium">
        <color theme="4" tint="-0.499984740745262"/>
      </left>
      <right style="thin">
        <color rgb="FFA5A5A5"/>
      </right>
      <top style="medium">
        <color theme="4" tint="-0.499984740745262"/>
      </top>
      <bottom style="double">
        <color theme="4" tint="-0.499984740745262"/>
      </bottom>
      <diagonal/>
    </border>
    <border>
      <left style="thin">
        <color theme="0" tint="-0.34998626667073579"/>
      </left>
      <right style="medium">
        <color rgb="FF002060"/>
      </right>
      <top style="medium">
        <color theme="4" tint="-0.499984740745262"/>
      </top>
      <bottom style="double">
        <color theme="4" tint="-0.499984740745262"/>
      </bottom>
      <diagonal/>
    </border>
    <border>
      <left style="thin">
        <color rgb="FFA5A5A5"/>
      </left>
      <right style="medium">
        <color theme="4" tint="-0.499984740745262"/>
      </right>
      <top style="medium">
        <color theme="4" tint="-0.499984740745262"/>
      </top>
      <bottom style="double">
        <color theme="4" tint="-0.499984740745262"/>
      </bottom>
      <diagonal/>
    </border>
    <border>
      <left style="medium">
        <color rgb="FF002060"/>
      </left>
      <right style="thin">
        <color theme="0" tint="-0.34998626667073579"/>
      </right>
      <top style="medium">
        <color theme="4" tint="-0.499984740745262"/>
      </top>
      <bottom style="double">
        <color theme="4" tint="-0.499984740745262"/>
      </bottom>
      <diagonal/>
    </border>
    <border>
      <left/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4" tint="-0.499984740745262"/>
      </top>
      <bottom style="double">
        <color theme="4" tint="-0.499984740745262"/>
      </bottom>
      <diagonal/>
    </border>
    <border>
      <left style="thin">
        <color theme="0" tint="-0.34998626667073579"/>
      </left>
      <right style="medium">
        <color theme="4" tint="-0.499984740745262"/>
      </right>
      <top style="medium">
        <color theme="4" tint="-0.499984740745262"/>
      </top>
      <bottom style="double">
        <color theme="4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rgb="FFA5A5A5"/>
      </bottom>
      <diagonal/>
    </border>
    <border>
      <left style="thin">
        <color theme="0" tint="-0.34998626667073579"/>
      </left>
      <right style="medium">
        <color theme="4" tint="-0.499984740745262"/>
      </right>
      <top/>
      <bottom style="thin">
        <color rgb="FFA5A5A5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rgb="FFA5A5A5"/>
      </top>
      <bottom style="thin">
        <color rgb="FFA5A5A5"/>
      </bottom>
      <diagonal/>
    </border>
    <border>
      <left style="thin">
        <color theme="0" tint="-0.34998626667073579"/>
      </left>
      <right style="medium">
        <color theme="4" tint="-0.499984740745262"/>
      </right>
      <top style="thin">
        <color rgb="FFA5A5A5"/>
      </top>
      <bottom style="thin">
        <color rgb="FFA5A5A5"/>
      </bottom>
      <diagonal/>
    </border>
    <border>
      <left style="medium">
        <color theme="4" tint="-0.499984740745262"/>
      </left>
      <right style="thin">
        <color theme="0" tint="-0.34998626667073579"/>
      </right>
      <top style="double">
        <color theme="4" tint="-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4" tint="-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4" tint="-0.499984740745262"/>
      </top>
      <bottom style="thin">
        <color rgb="FFA5A5A5"/>
      </bottom>
      <diagonal/>
    </border>
    <border>
      <left style="thin">
        <color theme="0" tint="-0.34998626667073579"/>
      </left>
      <right style="medium">
        <color theme="4" tint="-0.499984740745262"/>
      </right>
      <top style="double">
        <color theme="4" tint="-0.499984740745262"/>
      </top>
      <bottom style="thin">
        <color rgb="FFA5A5A5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thin">
        <color theme="0" tint="-0.34998626667073579"/>
      </bottom>
      <diagonal/>
    </border>
    <border>
      <left style="medium">
        <color rgb="FF002060"/>
      </left>
      <right style="medium">
        <color rgb="FF002060"/>
      </right>
      <top style="thin">
        <color theme="0" tint="-0.34998626667073579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 style="medium">
        <color rgb="FF002060"/>
      </left>
      <right/>
      <top style="medium">
        <color rgb="FF002060"/>
      </top>
      <bottom style="medium">
        <color theme="4" tint="-0.499984740745262"/>
      </bottom>
      <diagonal/>
    </border>
    <border>
      <left/>
      <right/>
      <top style="medium">
        <color rgb="FF002060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rgb="FF002060"/>
      </top>
      <bottom style="medium">
        <color theme="4" tint="-0.499984740745262"/>
      </bottom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ck">
        <color theme="0" tint="-4.9989318521683403E-2"/>
      </top>
      <bottom style="medium">
        <color rgb="FF002060"/>
      </bottom>
      <diagonal/>
    </border>
    <border>
      <left/>
      <right/>
      <top/>
      <bottom style="medium">
        <color theme="4" tint="-0.499984740745262"/>
      </bottom>
      <diagonal/>
    </border>
    <border>
      <left/>
      <right/>
      <top style="thick">
        <color theme="0" tint="-4.9989318521683403E-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thick">
        <color theme="0" tint="-4.9989318521683403E-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</borders>
  <cellStyleXfs count="3">
    <xf numFmtId="0" fontId="0" fillId="0" borderId="0"/>
    <xf numFmtId="0" fontId="8" fillId="2" borderId="0" applyNumberFormat="0" applyBorder="0" applyAlignment="0" applyProtection="0"/>
    <xf numFmtId="0" fontId="1" fillId="6" borderId="0" applyNumberFormat="0" applyBorder="0" applyAlignment="0" applyProtection="0"/>
  </cellStyleXfs>
  <cellXfs count="89">
    <xf numFmtId="0" fontId="0" fillId="0" borderId="0" xfId="0"/>
    <xf numFmtId="0" fontId="2" fillId="0" borderId="0" xfId="0" applyFont="1" applyAlignment="1">
      <alignment vertical="center"/>
    </xf>
    <xf numFmtId="0" fontId="5" fillId="4" borderId="1" xfId="0" applyFont="1" applyFill="1" applyBorder="1" applyAlignment="1">
      <alignment horizontal="left" vertical="center"/>
    </xf>
    <xf numFmtId="0" fontId="6" fillId="4" borderId="1" xfId="0" applyFont="1" applyFill="1" applyBorder="1" applyAlignment="1">
      <alignment horizontal="center" vertical="center"/>
    </xf>
    <xf numFmtId="3" fontId="6" fillId="5" borderId="3" xfId="0" applyNumberFormat="1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center" vertical="center"/>
    </xf>
    <xf numFmtId="3" fontId="6" fillId="5" borderId="4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left" vertical="center"/>
    </xf>
    <xf numFmtId="0" fontId="2" fillId="4" borderId="2" xfId="0" applyFont="1" applyFill="1" applyBorder="1" applyAlignment="1">
      <alignment horizontal="center" vertical="center"/>
    </xf>
    <xf numFmtId="3" fontId="2" fillId="4" borderId="4" xfId="0" applyNumberFormat="1" applyFont="1" applyFill="1" applyBorder="1" applyAlignment="1">
      <alignment vertical="center"/>
    </xf>
    <xf numFmtId="3" fontId="15" fillId="7" borderId="10" xfId="2" applyNumberFormat="1" applyFont="1" applyFill="1" applyBorder="1" applyAlignment="1">
      <alignment horizontal="center" vertical="center" wrapText="1"/>
    </xf>
    <xf numFmtId="3" fontId="15" fillId="7" borderId="17" xfId="2" applyNumberFormat="1" applyFont="1" applyFill="1" applyBorder="1" applyAlignment="1">
      <alignment horizontal="center" vertical="center" wrapText="1"/>
    </xf>
    <xf numFmtId="3" fontId="15" fillId="7" borderId="18" xfId="2" applyNumberFormat="1" applyFont="1" applyFill="1" applyBorder="1" applyAlignment="1">
      <alignment horizontal="center" vertical="center" wrapText="1"/>
    </xf>
    <xf numFmtId="3" fontId="21" fillId="0" borderId="15" xfId="0" applyNumberFormat="1" applyFont="1" applyBorder="1" applyAlignment="1">
      <alignment horizontal="right" vertical="center" indent="1"/>
    </xf>
    <xf numFmtId="3" fontId="21" fillId="0" borderId="19" xfId="0" applyNumberFormat="1" applyFont="1" applyBorder="1" applyAlignment="1">
      <alignment horizontal="right" vertical="center" indent="1"/>
    </xf>
    <xf numFmtId="3" fontId="21" fillId="0" borderId="13" xfId="0" applyNumberFormat="1" applyFont="1" applyBorder="1" applyAlignment="1">
      <alignment horizontal="right" vertical="center" indent="1"/>
    </xf>
    <xf numFmtId="3" fontId="21" fillId="0" borderId="16" xfId="0" applyNumberFormat="1" applyFont="1" applyBorder="1" applyAlignment="1">
      <alignment horizontal="right" vertical="center" indent="1"/>
    </xf>
    <xf numFmtId="0" fontId="2" fillId="4" borderId="0" xfId="0" applyFont="1" applyFill="1" applyAlignment="1">
      <alignment horizontal="center" vertical="center"/>
    </xf>
    <xf numFmtId="3" fontId="15" fillId="7" borderId="20" xfId="2" applyNumberFormat="1" applyFont="1" applyFill="1" applyBorder="1" applyAlignment="1">
      <alignment horizontal="center" vertical="center" wrapText="1"/>
    </xf>
    <xf numFmtId="3" fontId="9" fillId="3" borderId="22" xfId="1" applyNumberFormat="1" applyFont="1" applyFill="1" applyBorder="1" applyAlignment="1">
      <alignment horizontal="center" vertical="center"/>
    </xf>
    <xf numFmtId="3" fontId="9" fillId="3" borderId="23" xfId="1" applyNumberFormat="1" applyFont="1" applyFill="1" applyBorder="1" applyAlignment="1">
      <alignment horizontal="center" vertical="center"/>
    </xf>
    <xf numFmtId="9" fontId="9" fillId="3" borderId="24" xfId="1" applyNumberFormat="1" applyFont="1" applyFill="1" applyBorder="1" applyAlignment="1">
      <alignment horizontal="center" vertical="center"/>
    </xf>
    <xf numFmtId="9" fontId="9" fillId="3" borderId="25" xfId="1" applyNumberFormat="1" applyFont="1" applyFill="1" applyBorder="1" applyAlignment="1">
      <alignment horizontal="center" vertical="center"/>
    </xf>
    <xf numFmtId="0" fontId="4" fillId="10" borderId="26" xfId="0" applyFont="1" applyFill="1" applyBorder="1" applyAlignment="1">
      <alignment horizontal="center" vertical="center"/>
    </xf>
    <xf numFmtId="0" fontId="4" fillId="10" borderId="27" xfId="0" applyFont="1" applyFill="1" applyBorder="1" applyAlignment="1">
      <alignment horizontal="center" vertical="center"/>
    </xf>
    <xf numFmtId="0" fontId="4" fillId="10" borderId="28" xfId="0" applyFont="1" applyFill="1" applyBorder="1" applyAlignment="1">
      <alignment horizontal="center" vertical="center" wrapText="1"/>
    </xf>
    <xf numFmtId="0" fontId="4" fillId="10" borderId="29" xfId="0" applyFont="1" applyFill="1" applyBorder="1" applyAlignment="1">
      <alignment horizontal="center" vertical="center" wrapText="1"/>
    </xf>
    <xf numFmtId="0" fontId="4" fillId="10" borderId="26" xfId="0" applyFont="1" applyFill="1" applyBorder="1" applyAlignment="1">
      <alignment horizontal="center" vertical="center" wrapText="1"/>
    </xf>
    <xf numFmtId="0" fontId="4" fillId="10" borderId="31" xfId="0" applyFont="1" applyFill="1" applyBorder="1" applyAlignment="1">
      <alignment horizontal="center" vertical="center" wrapText="1"/>
    </xf>
    <xf numFmtId="3" fontId="4" fillId="10" borderId="32" xfId="0" applyNumberFormat="1" applyFont="1" applyFill="1" applyBorder="1" applyAlignment="1">
      <alignment horizontal="center" vertical="center" wrapText="1"/>
    </xf>
    <xf numFmtId="3" fontId="4" fillId="10" borderId="30" xfId="0" applyNumberFormat="1" applyFont="1" applyFill="1" applyBorder="1" applyAlignment="1">
      <alignment horizontal="center" vertical="center" wrapText="1"/>
    </xf>
    <xf numFmtId="3" fontId="29" fillId="0" borderId="14" xfId="0" applyNumberFormat="1" applyFont="1" applyBorder="1" applyAlignment="1">
      <alignment horizontal="right" vertical="center" indent="1"/>
    </xf>
    <xf numFmtId="3" fontId="29" fillId="0" borderId="12" xfId="0" applyNumberFormat="1" applyFont="1" applyBorder="1" applyAlignment="1">
      <alignment horizontal="right" vertical="center" indent="1"/>
    </xf>
    <xf numFmtId="0" fontId="4" fillId="10" borderId="35" xfId="0" applyFont="1" applyFill="1" applyBorder="1" applyAlignment="1">
      <alignment horizontal="center" vertical="center" wrapText="1"/>
    </xf>
    <xf numFmtId="0" fontId="4" fillId="10" borderId="36" xfId="0" applyFont="1" applyFill="1" applyBorder="1" applyAlignment="1">
      <alignment horizontal="center" vertical="center" wrapText="1"/>
    </xf>
    <xf numFmtId="3" fontId="31" fillId="0" borderId="14" xfId="0" applyNumberFormat="1" applyFont="1" applyBorder="1" applyAlignment="1">
      <alignment horizontal="right" vertical="center" indent="1"/>
    </xf>
    <xf numFmtId="3" fontId="31" fillId="0" borderId="11" xfId="0" applyNumberFormat="1" applyFont="1" applyBorder="1" applyAlignment="1">
      <alignment horizontal="right" vertical="center" indent="1"/>
    </xf>
    <xf numFmtId="3" fontId="31" fillId="0" borderId="12" xfId="0" applyNumberFormat="1" applyFont="1" applyBorder="1" applyAlignment="1">
      <alignment horizontal="right" vertical="center" indent="1"/>
    </xf>
    <xf numFmtId="3" fontId="31" fillId="0" borderId="9" xfId="0" applyNumberFormat="1" applyFont="1" applyBorder="1" applyAlignment="1">
      <alignment horizontal="right" vertical="center" indent="1"/>
    </xf>
    <xf numFmtId="3" fontId="29" fillId="0" borderId="41" xfId="0" applyNumberFormat="1" applyFont="1" applyBorder="1" applyAlignment="1">
      <alignment horizontal="right" vertical="center" indent="1"/>
    </xf>
    <xf numFmtId="3" fontId="29" fillId="0" borderId="42" xfId="0" applyNumberFormat="1" applyFont="1" applyBorder="1" applyAlignment="1">
      <alignment horizontal="right" vertical="center" indent="1"/>
    </xf>
    <xf numFmtId="3" fontId="29" fillId="0" borderId="11" xfId="0" applyNumberFormat="1" applyFont="1" applyBorder="1" applyAlignment="1">
      <alignment horizontal="right" vertical="center" indent="1"/>
    </xf>
    <xf numFmtId="3" fontId="29" fillId="0" borderId="9" xfId="0" applyNumberFormat="1" applyFont="1" applyBorder="1" applyAlignment="1">
      <alignment horizontal="right" vertical="center" indent="1"/>
    </xf>
    <xf numFmtId="3" fontId="11" fillId="4" borderId="47" xfId="0" applyNumberFormat="1" applyFont="1" applyFill="1" applyBorder="1" applyAlignment="1">
      <alignment horizontal="right" vertical="center" indent="1"/>
    </xf>
    <xf numFmtId="3" fontId="11" fillId="4" borderId="49" xfId="0" applyNumberFormat="1" applyFont="1" applyFill="1" applyBorder="1" applyAlignment="1">
      <alignment horizontal="right" vertical="center" indent="1"/>
    </xf>
    <xf numFmtId="3" fontId="11" fillId="4" borderId="21" xfId="0" applyNumberFormat="1" applyFont="1" applyFill="1" applyBorder="1" applyAlignment="1">
      <alignment horizontal="right" vertical="center" indent="1"/>
    </xf>
    <xf numFmtId="3" fontId="11" fillId="4" borderId="48" xfId="0" applyNumberFormat="1" applyFont="1" applyFill="1" applyBorder="1" applyAlignment="1">
      <alignment horizontal="right" vertical="center" indent="1"/>
    </xf>
    <xf numFmtId="3" fontId="33" fillId="8" borderId="1" xfId="0" applyNumberFormat="1" applyFont="1" applyFill="1" applyBorder="1" applyAlignment="1">
      <alignment horizontal="right" vertical="center" indent="1"/>
    </xf>
    <xf numFmtId="3" fontId="33" fillId="9" borderId="2" xfId="0" applyNumberFormat="1" applyFont="1" applyFill="1" applyBorder="1" applyAlignment="1">
      <alignment horizontal="right" vertical="center" indent="1"/>
    </xf>
    <xf numFmtId="3" fontId="33" fillId="9" borderId="7" xfId="0" applyNumberFormat="1" applyFont="1" applyFill="1" applyBorder="1" applyAlignment="1">
      <alignment horizontal="right" vertical="center" indent="1"/>
    </xf>
    <xf numFmtId="3" fontId="33" fillId="9" borderId="8" xfId="0" applyNumberFormat="1" applyFont="1" applyFill="1" applyBorder="1" applyAlignment="1">
      <alignment horizontal="right" vertical="center" indent="1"/>
    </xf>
    <xf numFmtId="3" fontId="35" fillId="13" borderId="45" xfId="2" applyNumberFormat="1" applyFont="1" applyFill="1" applyBorder="1" applyAlignment="1">
      <alignment horizontal="center" vertical="center" wrapText="1"/>
    </xf>
    <xf numFmtId="9" fontId="18" fillId="3" borderId="46" xfId="1" applyNumberFormat="1" applyFont="1" applyFill="1" applyBorder="1" applyAlignment="1">
      <alignment horizontal="center" vertical="center"/>
    </xf>
    <xf numFmtId="0" fontId="16" fillId="4" borderId="0" xfId="0" applyFont="1" applyFill="1" applyAlignment="1">
      <alignment horizontal="left" vertical="center"/>
    </xf>
    <xf numFmtId="0" fontId="37" fillId="4" borderId="0" xfId="0" applyFont="1" applyFill="1" applyAlignment="1">
      <alignment horizontal="left" vertical="top"/>
    </xf>
    <xf numFmtId="0" fontId="16" fillId="4" borderId="53" xfId="0" applyFont="1" applyFill="1" applyBorder="1" applyAlignment="1">
      <alignment horizontal="left" vertical="top"/>
    </xf>
    <xf numFmtId="3" fontId="14" fillId="8" borderId="5" xfId="0" applyNumberFormat="1" applyFont="1" applyFill="1" applyBorder="1" applyAlignment="1">
      <alignment horizontal="right" vertical="center" indent="1"/>
    </xf>
    <xf numFmtId="3" fontId="14" fillId="9" borderId="6" xfId="0" applyNumberFormat="1" applyFont="1" applyFill="1" applyBorder="1" applyAlignment="1">
      <alignment horizontal="right" vertical="center" indent="1"/>
    </xf>
    <xf numFmtId="3" fontId="14" fillId="9" borderId="1" xfId="0" applyNumberFormat="1" applyFont="1" applyFill="1" applyBorder="1" applyAlignment="1">
      <alignment horizontal="right" vertical="center" indent="1"/>
    </xf>
    <xf numFmtId="3" fontId="14" fillId="9" borderId="2" xfId="0" applyNumberFormat="1" applyFont="1" applyFill="1" applyBorder="1" applyAlignment="1">
      <alignment horizontal="right" vertical="center" indent="1"/>
    </xf>
    <xf numFmtId="0" fontId="16" fillId="4" borderId="54" xfId="0" applyFont="1" applyFill="1" applyBorder="1" applyAlignment="1">
      <alignment horizontal="left" vertical="top"/>
    </xf>
    <xf numFmtId="0" fontId="2" fillId="4" borderId="54" xfId="0" applyFont="1" applyFill="1" applyBorder="1" applyAlignment="1">
      <alignment horizontal="center" vertical="center"/>
    </xf>
    <xf numFmtId="3" fontId="2" fillId="4" borderId="55" xfId="0" applyNumberFormat="1" applyFont="1" applyFill="1" applyBorder="1" applyAlignment="1">
      <alignment horizontal="right" vertical="center" indent="1"/>
    </xf>
    <xf numFmtId="3" fontId="16" fillId="4" borderId="55" xfId="0" applyNumberFormat="1" applyFont="1" applyFill="1" applyBorder="1" applyAlignment="1">
      <alignment horizontal="right" vertical="center" indent="1"/>
    </xf>
    <xf numFmtId="0" fontId="2" fillId="4" borderId="56" xfId="0" applyFont="1" applyFill="1" applyBorder="1" applyAlignment="1">
      <alignment horizontal="center" vertical="center"/>
    </xf>
    <xf numFmtId="3" fontId="2" fillId="4" borderId="57" xfId="0" applyNumberFormat="1" applyFont="1" applyFill="1" applyBorder="1" applyAlignment="1">
      <alignment horizontal="right" vertical="center" indent="1"/>
    </xf>
    <xf numFmtId="3" fontId="16" fillId="4" borderId="58" xfId="0" applyNumberFormat="1" applyFont="1" applyFill="1" applyBorder="1" applyAlignment="1">
      <alignment horizontal="right" vertical="center" indent="1"/>
    </xf>
    <xf numFmtId="3" fontId="30" fillId="0" borderId="43" xfId="0" applyNumberFormat="1" applyFont="1" applyBorder="1" applyAlignment="1">
      <alignment horizontal="right" vertical="center" indent="1"/>
    </xf>
    <xf numFmtId="3" fontId="30" fillId="0" borderId="37" xfId="0" applyNumberFormat="1" applyFont="1" applyBorder="1" applyAlignment="1">
      <alignment horizontal="right" vertical="center" indent="1"/>
    </xf>
    <xf numFmtId="3" fontId="30" fillId="0" borderId="39" xfId="0" applyNumberFormat="1" applyFont="1" applyBorder="1" applyAlignment="1">
      <alignment horizontal="right" vertical="center" indent="1"/>
    </xf>
    <xf numFmtId="3" fontId="30" fillId="0" borderId="44" xfId="0" applyNumberFormat="1" applyFont="1" applyBorder="1" applyAlignment="1">
      <alignment horizontal="right" vertical="center" indent="1"/>
    </xf>
    <xf numFmtId="3" fontId="30" fillId="0" borderId="38" xfId="0" applyNumberFormat="1" applyFont="1" applyBorder="1" applyAlignment="1">
      <alignment horizontal="right" vertical="center" indent="1"/>
    </xf>
    <xf numFmtId="3" fontId="30" fillId="0" borderId="40" xfId="0" applyNumberFormat="1" applyFont="1" applyBorder="1" applyAlignment="1">
      <alignment horizontal="right" vertical="center" indent="1"/>
    </xf>
    <xf numFmtId="3" fontId="13" fillId="0" borderId="37" xfId="0" applyNumberFormat="1" applyFont="1" applyBorder="1" applyAlignment="1">
      <alignment horizontal="right" vertical="center" indent="1"/>
    </xf>
    <xf numFmtId="3" fontId="13" fillId="0" borderId="39" xfId="0" applyNumberFormat="1" applyFont="1" applyBorder="1" applyAlignment="1">
      <alignment horizontal="right" vertical="center" indent="1"/>
    </xf>
    <xf numFmtId="3" fontId="13" fillId="0" borderId="38" xfId="0" applyNumberFormat="1" applyFont="1" applyBorder="1" applyAlignment="1">
      <alignment horizontal="right" vertical="center" indent="1"/>
    </xf>
    <xf numFmtId="3" fontId="13" fillId="0" borderId="40" xfId="0" applyNumberFormat="1" applyFont="1" applyBorder="1" applyAlignment="1">
      <alignment horizontal="right" vertical="center" indent="1"/>
    </xf>
    <xf numFmtId="9" fontId="39" fillId="14" borderId="42" xfId="0" applyNumberFormat="1" applyFont="1" applyFill="1" applyBorder="1" applyAlignment="1">
      <alignment horizontal="right" vertical="center" indent="1"/>
    </xf>
    <xf numFmtId="9" fontId="39" fillId="14" borderId="11" xfId="0" applyNumberFormat="1" applyFont="1" applyFill="1" applyBorder="1" applyAlignment="1">
      <alignment horizontal="right" vertical="center" indent="1"/>
    </xf>
    <xf numFmtId="9" fontId="39" fillId="14" borderId="9" xfId="0" applyNumberFormat="1" applyFont="1" applyFill="1" applyBorder="1" applyAlignment="1">
      <alignment horizontal="right" vertical="center" indent="1"/>
    </xf>
    <xf numFmtId="9" fontId="33" fillId="14" borderId="11" xfId="0" applyNumberFormat="1" applyFont="1" applyFill="1" applyBorder="1" applyAlignment="1">
      <alignment horizontal="right" vertical="center" indent="1"/>
    </xf>
    <xf numFmtId="9" fontId="33" fillId="14" borderId="9" xfId="0" applyNumberFormat="1" applyFont="1" applyFill="1" applyBorder="1" applyAlignment="1">
      <alignment horizontal="right" vertical="center" indent="1"/>
    </xf>
    <xf numFmtId="3" fontId="32" fillId="11" borderId="50" xfId="0" applyNumberFormat="1" applyFont="1" applyFill="1" applyBorder="1" applyAlignment="1">
      <alignment horizontal="center" vertical="center"/>
    </xf>
    <xf numFmtId="3" fontId="32" fillId="11" borderId="51" xfId="0" applyNumberFormat="1" applyFont="1" applyFill="1" applyBorder="1" applyAlignment="1">
      <alignment horizontal="center" vertical="center"/>
    </xf>
    <xf numFmtId="3" fontId="32" fillId="11" borderId="52" xfId="0" applyNumberFormat="1" applyFont="1" applyFill="1" applyBorder="1" applyAlignment="1">
      <alignment horizontal="center" vertical="center"/>
    </xf>
    <xf numFmtId="3" fontId="28" fillId="12" borderId="59" xfId="0" applyNumberFormat="1" applyFont="1" applyFill="1" applyBorder="1" applyAlignment="1">
      <alignment horizontal="center" vertical="center"/>
    </xf>
    <xf numFmtId="3" fontId="28" fillId="12" borderId="33" xfId="0" applyNumberFormat="1" applyFont="1" applyFill="1" applyBorder="1" applyAlignment="1">
      <alignment horizontal="center" vertical="center"/>
    </xf>
    <xf numFmtId="3" fontId="28" fillId="12" borderId="34" xfId="0" applyNumberFormat="1" applyFont="1" applyFill="1" applyBorder="1" applyAlignment="1">
      <alignment horizontal="center" vertical="center"/>
    </xf>
  </cellXfs>
  <cellStyles count="3">
    <cellStyle name="40% - Accent1" xfId="2" builtinId="31"/>
    <cellStyle name="Neutral" xfId="1" builtinId="28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8CDB2"/>
      <color rgb="FFFEF2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7" Type="http://customschemas.google.com/relationships/workbookmetadata" Target="metadata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freshOnLoad="1" connectionId="1" xr16:uid="{F2D7D9FF-EF09-4244-83AB-713B03022654}" autoFormatId="16" applyNumberFormats="0" applyBorderFormats="0" applyFontFormats="0" applyPatternFormats="0" applyAlignmentFormats="0" applyWidthHeightFormats="0">
  <queryTableRefresh nextId="21">
    <queryTableFields count="2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1E1FE8-EB99-459F-B5D3-B3860D81537E}" name="deployment_raw" displayName="deployment_raw" ref="A2:T53" tableType="queryTable" totalsRowShown="0">
  <autoFilter ref="A2:T53" xr:uid="{881E1FE8-EB99-459F-B5D3-B3860D81537E}"/>
  <tableColumns count="20">
    <tableColumn id="1" xr3:uid="{B798DB88-01F9-48D4-9402-2A7464C0BBD2}" uniqueName="1" name="Column1" queryTableFieldId="1" dataDxfId="9"/>
    <tableColumn id="2" xr3:uid="{76B0291C-1159-4563-BCBC-D9AFAF01896C}" uniqueName="2" name="Column2" queryTableFieldId="2" dataDxfId="8"/>
    <tableColumn id="3" xr3:uid="{A4CA6731-4904-4443-BA05-37F884E94806}" uniqueName="3" name="Column3" queryTableFieldId="3" dataDxfId="7"/>
    <tableColumn id="4" xr3:uid="{C6BC4B36-7D50-42B5-A690-4A02FDCAC4FA}" uniqueName="4" name="Column4" queryTableFieldId="4" dataDxfId="6"/>
    <tableColumn id="5" xr3:uid="{16BE10AF-49BB-46DA-931F-DF4E1AADB82B}" uniqueName="5" name="Column5" queryTableFieldId="5"/>
    <tableColumn id="6" xr3:uid="{B7E26273-5D5B-403F-9787-E8191F3D3363}" uniqueName="6" name="Column6" queryTableFieldId="6"/>
    <tableColumn id="7" xr3:uid="{96C394B4-47FD-43DF-BFBB-83F0A1EB855D}" uniqueName="7" name="Column7" queryTableFieldId="7"/>
    <tableColumn id="8" xr3:uid="{F90188AD-18C7-45AF-91B7-2226729A9548}" uniqueName="8" name="Column8" queryTableFieldId="8"/>
    <tableColumn id="9" xr3:uid="{D16331D6-5B64-493F-862A-650A4A15A1F1}" uniqueName="9" name="Column9" queryTableFieldId="9"/>
    <tableColumn id="10" xr3:uid="{2D92AC47-9B24-44FB-95D5-0978E4120F8E}" uniqueName="10" name="Column10" queryTableFieldId="10"/>
    <tableColumn id="11" xr3:uid="{CDFF3AB6-F7F5-4C35-8256-444FD09C6BCA}" uniqueName="11" name="Column11" queryTableFieldId="11"/>
    <tableColumn id="12" xr3:uid="{F4B9F290-092C-418F-8F7D-1B33339C258F}" uniqueName="12" name="Column12" queryTableFieldId="12"/>
    <tableColumn id="13" xr3:uid="{5C437417-0A5A-4DD3-A25A-6F58A9559BA6}" uniqueName="13" name="Column13" queryTableFieldId="13"/>
    <tableColumn id="14" xr3:uid="{5909834C-62ED-467F-9E60-834A96B38D9D}" uniqueName="14" name="Column14" queryTableFieldId="14" dataDxfId="5"/>
    <tableColumn id="15" xr3:uid="{1D7B2EBE-9168-4B69-AD00-28F632AF68B5}" uniqueName="15" name="Column15" queryTableFieldId="15" dataDxfId="4"/>
    <tableColumn id="16" xr3:uid="{F83CAE01-818E-4227-8312-54BA9374941A}" uniqueName="16" name="Column16" queryTableFieldId="16"/>
    <tableColumn id="17" xr3:uid="{E73AB84F-DCB1-4E15-B900-F8140D6B1F8D}" uniqueName="17" name="Column17" queryTableFieldId="17" dataDxfId="3"/>
    <tableColumn id="18" xr3:uid="{DD025B51-9E87-43A3-9DCC-0BD8CE26CEE4}" uniqueName="18" name="Column18" queryTableFieldId="18" dataDxfId="2"/>
    <tableColumn id="19" xr3:uid="{10446D2C-E3A5-4B0B-BE2D-0D65B5467EF4}" uniqueName="19" name="Column19" queryTableFieldId="19" dataDxfId="1"/>
    <tableColumn id="20" xr3:uid="{3116055F-9C65-4CDD-96C5-8F36B0F0F5B7}" uniqueName="20" name="Column20" queryTableFieldId="2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1003"/>
  <sheetViews>
    <sheetView tabSelected="1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P4" sqref="P4"/>
    </sheetView>
  </sheetViews>
  <sheetFormatPr defaultColWidth="14.42578125" defaultRowHeight="15" customHeight="1" x14ac:dyDescent="0.25"/>
  <cols>
    <col min="1" max="1" width="38.7109375" style="8" customWidth="1"/>
    <col min="2" max="2" width="16.42578125" style="9" customWidth="1"/>
    <col min="3" max="3" width="16.7109375" style="9" customWidth="1"/>
    <col min="4" max="4" width="18.85546875" style="9" customWidth="1"/>
    <col min="5" max="5" width="13.7109375" style="10" customWidth="1"/>
    <col min="6" max="6" width="16" style="33" customWidth="1"/>
    <col min="7" max="7" width="16" style="43" customWidth="1"/>
    <col min="8" max="8" width="16" style="80" customWidth="1"/>
    <col min="9" max="9" width="16" style="70" customWidth="1"/>
    <col min="10" max="10" width="16" style="80" customWidth="1"/>
    <col min="11" max="11" width="16" style="73" customWidth="1"/>
    <col min="12" max="12" width="16" style="38" customWidth="1"/>
    <col min="13" max="13" width="16" style="39" customWidth="1"/>
    <col min="14" max="14" width="16" style="82" customWidth="1"/>
    <col min="15" max="15" width="16" style="75" customWidth="1"/>
    <col min="16" max="16" width="16" style="82" customWidth="1"/>
    <col min="17" max="17" width="16" style="77" customWidth="1"/>
    <col min="18" max="18" width="18.28515625" style="58" customWidth="1"/>
    <col min="19" max="19" width="18.42578125" style="49" customWidth="1"/>
    <col min="20" max="20" width="22.7109375" style="60" customWidth="1"/>
    <col min="21" max="21" width="22.7109375" style="51" customWidth="1"/>
    <col min="22" max="22" width="22.7109375" style="17" customWidth="1"/>
    <col min="23" max="23" width="22.7109375" style="16" customWidth="1"/>
    <col min="24" max="30" width="8.7109375" style="1" customWidth="1"/>
    <col min="31" max="16384" width="14.42578125" style="1"/>
  </cols>
  <sheetData>
    <row r="1" spans="1:23" ht="39.75" customHeight="1" thickTop="1" thickBot="1" x14ac:dyDescent="0.3">
      <c r="A1" s="55" t="str">
        <f>_xlfn.CONCAT('deployment-raw'!A3, ", ", 'deployment-raw'!B3)</f>
        <v>1.0.4, 1691397812</v>
      </c>
      <c r="B1" s="18"/>
      <c r="C1" s="18"/>
      <c r="D1" s="18"/>
      <c r="E1" s="52" t="s">
        <v>106</v>
      </c>
      <c r="F1" s="56" t="str">
        <f>_xlfn.CONCAT("Granularity:  ", 'deployment-raw'!D3)</f>
        <v>Granularity:  21600</v>
      </c>
      <c r="G1" s="62"/>
      <c r="H1" s="61"/>
      <c r="I1" s="63"/>
      <c r="J1" s="61"/>
      <c r="K1" s="64"/>
      <c r="L1" s="65"/>
      <c r="M1" s="65"/>
      <c r="N1" s="65"/>
      <c r="O1" s="66"/>
      <c r="P1" s="65"/>
      <c r="Q1" s="67"/>
      <c r="R1" s="46"/>
      <c r="S1" s="44"/>
      <c r="T1" s="19" t="s">
        <v>32</v>
      </c>
      <c r="U1" s="11" t="s">
        <v>33</v>
      </c>
      <c r="V1" s="12" t="s">
        <v>30</v>
      </c>
      <c r="W1" s="13" t="s">
        <v>31</v>
      </c>
    </row>
    <row r="2" spans="1:23" ht="24.75" customHeight="1" thickBot="1" x14ac:dyDescent="0.3">
      <c r="A2" s="54" t="str">
        <f>_xlfn.CONCAT("Cluster:  ", 'deployment-raw'!C3)</f>
        <v>Cluster:  test-prom</v>
      </c>
      <c r="B2" s="18"/>
      <c r="C2" s="18"/>
      <c r="D2" s="18"/>
      <c r="E2" s="53" t="s">
        <v>109</v>
      </c>
      <c r="F2" s="83" t="s">
        <v>20</v>
      </c>
      <c r="G2" s="84"/>
      <c r="H2" s="84"/>
      <c r="I2" s="84"/>
      <c r="J2" s="84"/>
      <c r="K2" s="85"/>
      <c r="L2" s="86" t="s">
        <v>21</v>
      </c>
      <c r="M2" s="87"/>
      <c r="N2" s="87"/>
      <c r="O2" s="87"/>
      <c r="P2" s="87"/>
      <c r="Q2" s="88"/>
      <c r="R2" s="47"/>
      <c r="S2" s="45"/>
      <c r="T2" s="20">
        <v>50</v>
      </c>
      <c r="U2" s="21">
        <v>25</v>
      </c>
      <c r="V2" s="22">
        <v>0</v>
      </c>
      <c r="W2" s="23">
        <v>0</v>
      </c>
    </row>
    <row r="3" spans="1:23" ht="59.25" customHeight="1" thickBot="1" x14ac:dyDescent="0.3">
      <c r="A3" s="24" t="s">
        <v>0</v>
      </c>
      <c r="B3" s="24" t="s">
        <v>17</v>
      </c>
      <c r="C3" s="24" t="s">
        <v>18</v>
      </c>
      <c r="D3" s="24" t="s">
        <v>1</v>
      </c>
      <c r="E3" s="25" t="s">
        <v>2</v>
      </c>
      <c r="F3" s="26" t="s">
        <v>114</v>
      </c>
      <c r="G3" s="34" t="s">
        <v>115</v>
      </c>
      <c r="H3" s="34" t="s">
        <v>116</v>
      </c>
      <c r="I3" s="34" t="s">
        <v>102</v>
      </c>
      <c r="J3" s="34" t="s">
        <v>117</v>
      </c>
      <c r="K3" s="35" t="s">
        <v>103</v>
      </c>
      <c r="L3" s="26" t="s">
        <v>118</v>
      </c>
      <c r="M3" s="34" t="s">
        <v>119</v>
      </c>
      <c r="N3" s="34" t="s">
        <v>120</v>
      </c>
      <c r="O3" s="34" t="s">
        <v>104</v>
      </c>
      <c r="P3" s="34" t="s">
        <v>121</v>
      </c>
      <c r="Q3" s="35" t="s">
        <v>105</v>
      </c>
      <c r="R3" s="27" t="s">
        <v>112</v>
      </c>
      <c r="S3" s="28" t="s">
        <v>107</v>
      </c>
      <c r="T3" s="28" t="s">
        <v>113</v>
      </c>
      <c r="U3" s="29" t="s">
        <v>108</v>
      </c>
      <c r="V3" s="30" t="s">
        <v>28</v>
      </c>
      <c r="W3" s="31" t="s">
        <v>29</v>
      </c>
    </row>
    <row r="4" spans="1:23" ht="15.75" thickTop="1" x14ac:dyDescent="0.25">
      <c r="A4" s="2" t="str">
        <f>IF(ISNONTEXT(deployment_raw[[#This Row],[Column1]]), "", deployment_raw[[#This Row],[Column1]])</f>
        <v>webapp1-deploy</v>
      </c>
      <c r="B4" s="3" t="str">
        <f>IF(ISNONTEXT(deployment_raw[[#This Row],[Column2]]), "", deployment_raw[[#This Row],[Column2]])</f>
        <v>deployment</v>
      </c>
      <c r="C4" s="3" t="str">
        <f>IF(ISNONTEXT(deployment_raw[[#This Row],[Column3]]), "", deployment_raw[[#This Row],[Column3]])</f>
        <v>app</v>
      </c>
      <c r="D4" s="3" t="str">
        <f>IF(ISNONTEXT(deployment_raw[[#This Row],[Column4]]), "", deployment_raw[[#This Row],[Column4]])</f>
        <v>&lt;none&gt;</v>
      </c>
      <c r="E4" s="4">
        <f>IF(ISNUMBER(deployment_raw[[#This Row],[Column5]]), deployment_raw[[#This Row],[Column5]],"")</f>
        <v>1</v>
      </c>
      <c r="F4" s="40">
        <f>IF(ISNUMBER(deployment_raw[[#This Row],[Column17]]), deployment_raw[[#This Row],[Column17]]/IF(OR($E$2="Deployment",deployment_raw[[#This Row],[Column5]]=0),1,deployment_raw[[#This Row],[Column5]]),"")</f>
        <v>0</v>
      </c>
      <c r="G4" s="41">
        <f>IF(ISNUMBER(deployment_raw[[#This Row],[Column14]]), deployment_raw[[#This Row],[Column14]]/IF(OR($E$2="Deployment",deployment_raw[[#This Row],[Column5]]=0),1,deployment_raw[[#This Row],[Column5]]),"")</f>
        <v>0</v>
      </c>
      <c r="H4" s="78">
        <f>IF(ISNUMBER(deployment_raw[[#This Row],[Column19]]), IF(I4&lt;&gt;0,(deployment_raw[[#This Row],[Column19]]/IF(OR($E$2="Deployment",deployment_raw[[#This Row],[Column5]]=0),1,deployment_raw[[#This Row],[Column5]]))/I4,0),"")</f>
        <v>0</v>
      </c>
      <c r="I4" s="68">
        <f>IF(ISNUMBER(deployment_raw[[#This Row],[Column6]]), (deployment_raw[[#This Row],[Column6]] * IF($E$2="Deployment",deployment_raw[[#This Row],[Column5]],1)),"")</f>
        <v>100</v>
      </c>
      <c r="J4" s="78">
        <f>IF(ISNUMBER(deployment_raw[[#This Row],[Column19]]), IF(K4&lt;&gt;0,(deployment_raw[[#This Row],[Column19]]/IF(OR($E$2="Deployment",deployment_raw[[#This Row],[Column5]]=0),1,deployment_raw[[#This Row],[Column5]]))/K4,0),"")</f>
        <v>0</v>
      </c>
      <c r="K4" s="71">
        <f>IF(ISNUMBER(deployment_raw[[#This Row],[Column8]]), (deployment_raw[[#This Row],[Column8]]  * IF($E$2="Deployment",deployment_raw[[#This Row],[Column5]],1)),"")</f>
        <v>250</v>
      </c>
      <c r="L4" s="36">
        <f>IF(ISNUMBER(deployment_raw[[#This Row],[Column18]]), deployment_raw[[#This Row],[Column18]]/IF(OR($E$2="Deployment",deployment_raw[[#This Row],[Column5]]=0),1,deployment_raw[[#This Row],[Column5]])/1048576,"")</f>
        <v>0</v>
      </c>
      <c r="M4" s="37">
        <f>IF(ISNUMBER(deployment_raw[[#This Row],[Column15]]), deployment_raw[[#This Row],[Column15]]/IF(OR($E$2="Deployment",deployment_raw[[#This Row],[Column5]]=0),1,deployment_raw[[#This Row],[Column5]])/1048576,"")</f>
        <v>0</v>
      </c>
      <c r="N4" s="81">
        <f>IF(ISNUMBER(deployment_raw[[#This Row],[Column20]]), IF(O4&lt;&gt;0,deployment_raw[[#This Row],[Column20]]/IF(OR($E$2="Deployment",deployment_raw[[#This Row],[Column5]]=0),1,deployment_raw[[#This Row],[Column5]])/1048576/O4,0),"")</f>
        <v>0</v>
      </c>
      <c r="O4" s="74">
        <f>IF(ISNUMBER(deployment_raw[[#This Row],[Column7]]), (deployment_raw[[#This Row],[Column7]] * IF($E$2="Deployment",deployment_raw[[#This Row],[Column5]],1))/1048576/IF(P4&lt;&gt;0,P4,1),"")</f>
        <v>128</v>
      </c>
      <c r="P4" s="81">
        <f>IF(ISNUMBER(deployment_raw[[#This Row],[Column20]]), IF(Q4&lt;&gt;0,deployment_raw[[#This Row],[Column20]]/IF(OR($E$2="Deployment",deployment_raw[[#This Row],[Column5]]=0),1,deployment_raw[[#This Row],[Column5]])/1048576/Q4,0),"")</f>
        <v>0</v>
      </c>
      <c r="Q4" s="76">
        <f>IF(ISNUMBER(deployment_raw[[#This Row],[Column9]]), (deployment_raw[[#This Row],[Column9]] * IF($E$2="Deployment",deployment_raw[[#This Row],[Column5]],1))/1048576,"")</f>
        <v>256</v>
      </c>
      <c r="R4" s="57">
        <f>IF(ISNUMBER(deployment_raw[[#This Row],[Column10]]), (deployment_raw[[#This Row],[Column10]] * IF($E$2="Deployment",deployment_raw[[#This Row],[Column5]],1)),"")</f>
        <v>100</v>
      </c>
      <c r="S4" s="48">
        <f>IF(ISNUMBER(deployment_raw[[#This Row],[Column11]]), (deployment_raw[[#This Row],[Column11]] * IF($E$2="Deployment",deployment_raw[[#This Row],[Column5]],1))/1048576,"")</f>
        <v>128</v>
      </c>
      <c r="T4" s="59">
        <f>IF(ISNUMBER(deployment_raw[[#This Row],[Column8]]),IF(OR(deployment_raw[[#This Row],[Column5]] &lt;&gt; 0,$E$2 &lt;&gt; "Deployment"), MAX(V4, ($T$2 * IF($E$2="Deployment",deployment_raw[[#This Row],[Column5]],1))), 0),"")</f>
        <v>250</v>
      </c>
      <c r="U4" s="50">
        <f>IF(ISNUMBER(deployment_raw[[#This Row],[Column9]]),IF(OR(deployment_raw[[#This Row],[Column5]] &lt;&gt; 0,$E$2&lt;&gt;"Deployment"), MAX(W4, ($U$2 * IF($E$2="Deployment",deployment_raw[[#This Row],[Column5]],1))), 0),"")</f>
        <v>256</v>
      </c>
      <c r="V4" s="15">
        <f>IF(ISNUMBER(deployment_raw[[#This Row],[Column12]]), (deployment_raw[[#This Row],[Column12]] * IF($E$2="Deployment",deployment_raw[[#This Row],[Column5]],1)*(1+$V$2)),"")</f>
        <v>250</v>
      </c>
      <c r="W4" s="14">
        <f>IF(ISNUMBER(deployment_raw[[#This Row],[Column13]]), (deployment_raw[[#This Row],[Column13]] * IF($E$2="Deployment",deployment_raw[[#This Row],[Column5]],1)*(1+$W$2))/1048576,"")</f>
        <v>256</v>
      </c>
    </row>
    <row r="5" spans="1:23" x14ac:dyDescent="0.25">
      <c r="A5" s="5" t="str">
        <f>IF(ISNONTEXT(deployment_raw[[#This Row],[Column1]]), "", deployment_raw[[#This Row],[Column1]])</f>
        <v>jaeger-operator</v>
      </c>
      <c r="B5" s="6" t="str">
        <f>IF(ISNONTEXT(deployment_raw[[#This Row],[Column2]]), "", deployment_raw[[#This Row],[Column2]])</f>
        <v>deployment</v>
      </c>
      <c r="C5" s="6" t="str">
        <f>IF(ISNONTEXT(deployment_raw[[#This Row],[Column3]]), "", deployment_raw[[#This Row],[Column3]])</f>
        <v>default</v>
      </c>
      <c r="D5" s="6" t="str">
        <f>IF(ISNONTEXT(deployment_raw[[#This Row],[Column4]]), "", deployment_raw[[#This Row],[Column4]])</f>
        <v>&lt;none&gt;</v>
      </c>
      <c r="E5" s="7">
        <f>IF(ISNUMBER(deployment_raw[[#This Row],[Column5]]), deployment_raw[[#This Row],[Column5]],"")</f>
        <v>1</v>
      </c>
      <c r="F5" s="32">
        <f>IF(ISNUMBER(deployment_raw[[#This Row],[Column17]]), deployment_raw[[#This Row],[Column17]]/IF(OR($E$2="Deployment",deployment_raw[[#This Row],[Column5]]=0),1,deployment_raw[[#This Row],[Column5]]),"")</f>
        <v>0</v>
      </c>
      <c r="G5" s="42">
        <f>IF(ISNUMBER(deployment_raw[[#This Row],[Column14]]), deployment_raw[[#This Row],[Column14]]/IF(OR($E$2="Deployment",deployment_raw[[#This Row],[Column5]]=0),1,deployment_raw[[#This Row],[Column5]]),"")</f>
        <v>0</v>
      </c>
      <c r="H5" s="79">
        <f>IF(ISNUMBER(deployment_raw[[#This Row],[Column19]]), IF(I5&lt;&gt;0,(deployment_raw[[#This Row],[Column19]]/IF(OR($E$2="Deployment",deployment_raw[[#This Row],[Column5]]=0),1,deployment_raw[[#This Row],[Column5]]))/I5,0),"")</f>
        <v>0</v>
      </c>
      <c r="I5" s="69">
        <f>IF(ISNUMBER(deployment_raw[[#This Row],[Column6]]), (deployment_raw[[#This Row],[Column6]] * IF($E$2="Deployment",deployment_raw[[#This Row],[Column5]],1)),"")</f>
        <v>100</v>
      </c>
      <c r="J5" s="79">
        <f>IF(ISNUMBER(deployment_raw[[#This Row],[Column19]]), IF(K5&lt;&gt;0,(deployment_raw[[#This Row],[Column19]]/IF(OR($E$2="Deployment",deployment_raw[[#This Row],[Column5]]=0),1,deployment_raw[[#This Row],[Column5]]))/K5,0),"")</f>
        <v>0</v>
      </c>
      <c r="K5" s="72">
        <f>IF(ISNUMBER(deployment_raw[[#This Row],[Column8]]), (deployment_raw[[#This Row],[Column8]]  * IF($E$2="Deployment",deployment_raw[[#This Row],[Column5]],1)),"")</f>
        <v>500</v>
      </c>
      <c r="L5" s="36">
        <f>IF(ISNUMBER(deployment_raw[[#This Row],[Column18]]), deployment_raw[[#This Row],[Column18]]/IF(OR($E$2="Deployment",deployment_raw[[#This Row],[Column5]]=0),1,deployment_raw[[#This Row],[Column5]])/1048576,"")</f>
        <v>0</v>
      </c>
      <c r="M5" s="37">
        <f>IF(ISNUMBER(deployment_raw[[#This Row],[Column15]]), deployment_raw[[#This Row],[Column15]]/IF(OR($E$2="Deployment",deployment_raw[[#This Row],[Column5]]=0),1,deployment_raw[[#This Row],[Column5]])/1048576,"")</f>
        <v>0</v>
      </c>
      <c r="N5" s="81">
        <f>IF(ISNUMBER(deployment_raw[[#This Row],[Column20]]), IF(O5&lt;&gt;0,deployment_raw[[#This Row],[Column20]]/IF(OR($E$2="Deployment",deployment_raw[[#This Row],[Column5]]=0),1,deployment_raw[[#This Row],[Column5]])/1048576/O5,0),"")</f>
        <v>0</v>
      </c>
      <c r="O5" s="74">
        <f>IF(ISNUMBER(deployment_raw[[#This Row],[Column7]]), (deployment_raw[[#This Row],[Column7]] * IF($E$2="Deployment",deployment_raw[[#This Row],[Column5]],1))/1048576,"")</f>
        <v>128</v>
      </c>
      <c r="P5" s="81">
        <f>IF(ISNUMBER(deployment_raw[[#This Row],[Column20]]), IF(Q5&lt;&gt;0,deployment_raw[[#This Row],[Column20]]/IF(OR($E$2="Deployment",deployment_raw[[#This Row],[Column5]]=0),1,deployment_raw[[#This Row],[Column5]])/1048576/Q5,0),"")</f>
        <v>0</v>
      </c>
      <c r="Q5" s="76">
        <f>IF(ISNUMBER(deployment_raw[[#This Row],[Column9]]), (deployment_raw[[#This Row],[Column9]] * IF($E$2="Deployment",deployment_raw[[#This Row],[Column5]],1))/1048576,"")</f>
        <v>512</v>
      </c>
      <c r="R5" s="57">
        <f>IF(ISNUMBER(deployment_raw[[#This Row],[Column10]]), (deployment_raw[[#This Row],[Column10]] * IF($E$2="Deployment",deployment_raw[[#This Row],[Column5]],1)),"")</f>
        <v>100</v>
      </c>
      <c r="S5" s="48">
        <f>IF(ISNUMBER(deployment_raw[[#This Row],[Column11]]), (deployment_raw[[#This Row],[Column11]] * IF($E$2="Deployment",deployment_raw[[#This Row],[Column5]],1))/1048576,"")</f>
        <v>128</v>
      </c>
      <c r="T5" s="59">
        <f>IF(ISNUMBER(deployment_raw[[#This Row],[Column8]]),IF(OR(deployment_raw[[#This Row],[Column5]] &lt;&gt; 0,$E$2 &lt;&gt; "Deployment"), MAX(V5, ($T$2 * IF($E$2="Deployment",deployment_raw[[#This Row],[Column5]],1))), 0),"")</f>
        <v>500</v>
      </c>
      <c r="U5" s="50">
        <f>IF(ISNUMBER(deployment_raw[[#This Row],[Column9]]),IF(OR(deployment_raw[[#This Row],[Column5]] &lt;&gt; 0,$E$2&lt;&gt;"Deployment"), MAX(W5, ($U$2 * IF($E$2="Deployment",deployment_raw[[#This Row],[Column5]],1))), 0),"")</f>
        <v>512</v>
      </c>
      <c r="V5" s="15">
        <f>IF(ISNUMBER(deployment_raw[[#This Row],[Column12]]), (deployment_raw[[#This Row],[Column12]] * IF($E$2="Deployment",deployment_raw[[#This Row],[Column5]],1)*(1+$V$2)),"")</f>
        <v>500</v>
      </c>
      <c r="W5" s="14">
        <f>IF(ISNUMBER(deployment_raw[[#This Row],[Column13]]), (deployment_raw[[#This Row],[Column13]] * IF($E$2="Deployment",deployment_raw[[#This Row],[Column5]],1)*(1+$W$2))/1048576,"")</f>
        <v>512</v>
      </c>
    </row>
    <row r="6" spans="1:23" x14ac:dyDescent="0.25">
      <c r="A6" s="5" t="str">
        <f>IF(ISNONTEXT(deployment_raw[[#This Row],[Column1]]), "", deployment_raw[[#This Row],[Column1]])</f>
        <v>nfs-client-provisioner</v>
      </c>
      <c r="B6" s="6" t="str">
        <f>IF(ISNONTEXT(deployment_raw[[#This Row],[Column2]]), "", deployment_raw[[#This Row],[Column2]])</f>
        <v>deployment</v>
      </c>
      <c r="C6" s="6" t="str">
        <f>IF(ISNONTEXT(deployment_raw[[#This Row],[Column3]]), "", deployment_raw[[#This Row],[Column3]])</f>
        <v>default</v>
      </c>
      <c r="D6" s="6" t="str">
        <f>IF(ISNONTEXT(deployment_raw[[#This Row],[Column4]]), "", deployment_raw[[#This Row],[Column4]])</f>
        <v>&lt;none&gt;</v>
      </c>
      <c r="E6" s="7">
        <f>IF(ISNUMBER(deployment_raw[[#This Row],[Column5]]), deployment_raw[[#This Row],[Column5]],"")</f>
        <v>1</v>
      </c>
      <c r="F6" s="32">
        <f>IF(ISNUMBER(deployment_raw[[#This Row],[Column17]]), deployment_raw[[#This Row],[Column17]]/IF(OR($E$2="Deployment",deployment_raw[[#This Row],[Column5]]=0),1,deployment_raw[[#This Row],[Column5]]),"")</f>
        <v>0</v>
      </c>
      <c r="G6" s="42">
        <f>IF(ISNUMBER(deployment_raw[[#This Row],[Column14]]), deployment_raw[[#This Row],[Column14]]/IF(OR($E$2="Deployment",deployment_raw[[#This Row],[Column5]]=0),1,deployment_raw[[#This Row],[Column5]]),"")</f>
        <v>0</v>
      </c>
      <c r="H6" s="79">
        <f>IF(ISNUMBER(deployment_raw[[#This Row],[Column19]]), IF(I6&lt;&gt;0,(deployment_raw[[#This Row],[Column19]]/IF(OR($E$2="Deployment",deployment_raw[[#This Row],[Column5]]=0),1,deployment_raw[[#This Row],[Column5]]))/I6,0),"")</f>
        <v>0</v>
      </c>
      <c r="I6" s="69">
        <f>IF(ISNUMBER(deployment_raw[[#This Row],[Column6]]), (deployment_raw[[#This Row],[Column6]] * IF($E$2="Deployment",deployment_raw[[#This Row],[Column5]],1)),"")</f>
        <v>0</v>
      </c>
      <c r="J6" s="79">
        <f>IF(ISNUMBER(deployment_raw[[#This Row],[Column19]]), IF(K6&lt;&gt;0,(deployment_raw[[#This Row],[Column19]]/IF(OR($E$2="Deployment",deployment_raw[[#This Row],[Column5]]=0),1,deployment_raw[[#This Row],[Column5]]))/K6,0),"")</f>
        <v>0</v>
      </c>
      <c r="K6" s="72">
        <f>IF(ISNUMBER(deployment_raw[[#This Row],[Column8]]), (deployment_raw[[#This Row],[Column8]]  * IF($E$2="Deployment",deployment_raw[[#This Row],[Column5]],1)),"")</f>
        <v>0</v>
      </c>
      <c r="L6" s="36">
        <f>IF(ISNUMBER(deployment_raw[[#This Row],[Column18]]), deployment_raw[[#This Row],[Column18]]/IF(OR($E$2="Deployment",deployment_raw[[#This Row],[Column5]]=0),1,deployment_raw[[#This Row],[Column5]])/1048576,"")</f>
        <v>0</v>
      </c>
      <c r="M6" s="37">
        <f>IF(ISNUMBER(deployment_raw[[#This Row],[Column15]]), deployment_raw[[#This Row],[Column15]]/IF(OR($E$2="Deployment",deployment_raw[[#This Row],[Column5]]=0),1,deployment_raw[[#This Row],[Column5]])/1048576,"")</f>
        <v>0</v>
      </c>
      <c r="N6" s="81">
        <f>IF(ISNUMBER(deployment_raw[[#This Row],[Column20]]), IF(O6&lt;&gt;0,deployment_raw[[#This Row],[Column20]]/IF(OR($E$2="Deployment",deployment_raw[[#This Row],[Column5]]=0),1,deployment_raw[[#This Row],[Column5]])/1048576/O6,0),"")</f>
        <v>0</v>
      </c>
      <c r="O6" s="74">
        <f>IF(ISNUMBER(deployment_raw[[#This Row],[Column7]]), (deployment_raw[[#This Row],[Column7]] * IF($E$2="Deployment",deployment_raw[[#This Row],[Column5]],1))/1048576,"")</f>
        <v>0</v>
      </c>
      <c r="P6" s="81">
        <f>IF(ISNUMBER(deployment_raw[[#This Row],[Column20]]), IF(Q6&lt;&gt;0,deployment_raw[[#This Row],[Column20]]/IF(OR($E$2="Deployment",deployment_raw[[#This Row],[Column5]]=0),1,deployment_raw[[#This Row],[Column5]])/1048576/Q6,0),"")</f>
        <v>0</v>
      </c>
      <c r="Q6" s="76">
        <f>IF(ISNUMBER(deployment_raw[[#This Row],[Column9]]), (deployment_raw[[#This Row],[Column9]] * IF($E$2="Deployment",deployment_raw[[#This Row],[Column5]],1))/1048576,"")</f>
        <v>0</v>
      </c>
      <c r="R6" s="57">
        <f>IF(ISNUMBER(deployment_raw[[#This Row],[Column10]]), (deployment_raw[[#This Row],[Column10]] * IF($E$2="Deployment",deployment_raw[[#This Row],[Column5]],1)),"")</f>
        <v>0</v>
      </c>
      <c r="S6" s="48">
        <f>IF(ISNUMBER(deployment_raw[[#This Row],[Column11]]), (deployment_raw[[#This Row],[Column11]] * IF($E$2="Deployment",deployment_raw[[#This Row],[Column5]],1))/1048576,"")</f>
        <v>0</v>
      </c>
      <c r="T6" s="59">
        <f>IF(ISNUMBER(deployment_raw[[#This Row],[Column8]]),IF(OR(deployment_raw[[#This Row],[Column5]] &lt;&gt; 0,$E$2 &lt;&gt; "Deployment"), MAX(V6, ($T$2 * IF($E$2="Deployment",deployment_raw[[#This Row],[Column5]],1))), 0),"")</f>
        <v>50</v>
      </c>
      <c r="U6" s="50">
        <f>IF(ISNUMBER(deployment_raw[[#This Row],[Column9]]),IF(OR(deployment_raw[[#This Row],[Column5]] &lt;&gt; 0,$E$2&lt;&gt;"Deployment"), MAX(W6, ($U$2 * IF($E$2="Deployment",deployment_raw[[#This Row],[Column5]],1))), 0),"")</f>
        <v>25</v>
      </c>
      <c r="V6" s="15">
        <f>IF(ISNUMBER(deployment_raw[[#This Row],[Column12]]), (deployment_raw[[#This Row],[Column12]] * IF($E$2="Deployment",deployment_raw[[#This Row],[Column5]],1)*(1+$V$2)),"")</f>
        <v>0</v>
      </c>
      <c r="W6" s="14">
        <f>IF(ISNUMBER(deployment_raw[[#This Row],[Column13]]), (deployment_raw[[#This Row],[Column13]] * IF($E$2="Deployment",deployment_raw[[#This Row],[Column5]],1)*(1+$W$2))/1048576,"")</f>
        <v>0</v>
      </c>
    </row>
    <row r="7" spans="1:23" x14ac:dyDescent="0.25">
      <c r="A7" s="5" t="str">
        <f>IF(ISNONTEXT(deployment_raw[[#This Row],[Column1]]), "", deployment_raw[[#This Row],[Column1]])</f>
        <v>wpacontroller-watermarkpodautoscaler</v>
      </c>
      <c r="B7" s="6" t="str">
        <f>IF(ISNONTEXT(deployment_raw[[#This Row],[Column2]]), "", deployment_raw[[#This Row],[Column2]])</f>
        <v>deployment</v>
      </c>
      <c r="C7" s="6" t="str">
        <f>IF(ISNONTEXT(deployment_raw[[#This Row],[Column3]]), "", deployment_raw[[#This Row],[Column3]])</f>
        <v>default</v>
      </c>
      <c r="D7" s="6" t="str">
        <f>IF(ISNONTEXT(deployment_raw[[#This Row],[Column4]]), "", deployment_raw[[#This Row],[Column4]])</f>
        <v>&lt;none&gt;</v>
      </c>
      <c r="E7" s="7">
        <f>IF(ISNUMBER(deployment_raw[[#This Row],[Column5]]), deployment_raw[[#This Row],[Column5]],"")</f>
        <v>1</v>
      </c>
      <c r="F7" s="32">
        <f>IF(ISNUMBER(deployment_raw[[#This Row],[Column17]]), deployment_raw[[#This Row],[Column17]]/IF(OR($E$2="Deployment",deployment_raw[[#This Row],[Column5]]=0),1,deployment_raw[[#This Row],[Column5]]),"")</f>
        <v>0</v>
      </c>
      <c r="G7" s="42">
        <f>IF(ISNUMBER(deployment_raw[[#This Row],[Column14]]), deployment_raw[[#This Row],[Column14]]/IF(OR($E$2="Deployment",deployment_raw[[#This Row],[Column5]]=0),1,deployment_raw[[#This Row],[Column5]]),"")</f>
        <v>0</v>
      </c>
      <c r="H7" s="79">
        <f>IF(ISNUMBER(deployment_raw[[#This Row],[Column19]]), IF(I7&lt;&gt;0,(deployment_raw[[#This Row],[Column19]]/IF(OR($E$2="Deployment",deployment_raw[[#This Row],[Column5]]=0),1,deployment_raw[[#This Row],[Column5]]))/I7,0),"")</f>
        <v>0</v>
      </c>
      <c r="I7" s="69">
        <f>IF(ISNUMBER(deployment_raw[[#This Row],[Column6]]), (deployment_raw[[#This Row],[Column6]] * IF($E$2="Deployment",deployment_raw[[#This Row],[Column5]],1)),"")</f>
        <v>0</v>
      </c>
      <c r="J7" s="79">
        <f>IF(ISNUMBER(deployment_raw[[#This Row],[Column19]]), IF(K7&lt;&gt;0,(deployment_raw[[#This Row],[Column19]]/IF(OR($E$2="Deployment",deployment_raw[[#This Row],[Column5]]=0),1,deployment_raw[[#This Row],[Column5]]))/K7,0),"")</f>
        <v>0</v>
      </c>
      <c r="K7" s="72">
        <f>IF(ISNUMBER(deployment_raw[[#This Row],[Column8]]), (deployment_raw[[#This Row],[Column8]]  * IF($E$2="Deployment",deployment_raw[[#This Row],[Column5]],1)),"")</f>
        <v>0</v>
      </c>
      <c r="L7" s="36">
        <f>IF(ISNUMBER(deployment_raw[[#This Row],[Column18]]), deployment_raw[[#This Row],[Column18]]/IF(OR($E$2="Deployment",deployment_raw[[#This Row],[Column5]]=0),1,deployment_raw[[#This Row],[Column5]])/1048576,"")</f>
        <v>0</v>
      </c>
      <c r="M7" s="37">
        <f>IF(ISNUMBER(deployment_raw[[#This Row],[Column15]]), deployment_raw[[#This Row],[Column15]]/IF(OR($E$2="Deployment",deployment_raw[[#This Row],[Column5]]=0),1,deployment_raw[[#This Row],[Column5]])/1048576,"")</f>
        <v>0</v>
      </c>
      <c r="N7" s="81">
        <f>IF(ISNUMBER(deployment_raw[[#This Row],[Column20]]), IF(O7&lt;&gt;0,deployment_raw[[#This Row],[Column20]]/IF(OR($E$2="Deployment",deployment_raw[[#This Row],[Column5]]=0),1,deployment_raw[[#This Row],[Column5]])/1048576/O7,0),"")</f>
        <v>0</v>
      </c>
      <c r="O7" s="74">
        <f>IF(ISNUMBER(deployment_raw[[#This Row],[Column7]]), (deployment_raw[[#This Row],[Column7]] * IF($E$2="Deployment",deployment_raw[[#This Row],[Column5]],1))/1048576,"")</f>
        <v>0</v>
      </c>
      <c r="P7" s="81">
        <f>IF(ISNUMBER(deployment_raw[[#This Row],[Column20]]), IF(Q7&lt;&gt;0,deployment_raw[[#This Row],[Column20]]/IF(OR($E$2="Deployment",deployment_raw[[#This Row],[Column5]]=0),1,deployment_raw[[#This Row],[Column5]])/1048576/Q7,0),"")</f>
        <v>0</v>
      </c>
      <c r="Q7" s="76">
        <f>IF(ISNUMBER(deployment_raw[[#This Row],[Column9]]), (deployment_raw[[#This Row],[Column9]] * IF($E$2="Deployment",deployment_raw[[#This Row],[Column5]],1))/1048576,"")</f>
        <v>0</v>
      </c>
      <c r="R7" s="57">
        <f>IF(ISNUMBER(deployment_raw[[#This Row],[Column10]]), (deployment_raw[[#This Row],[Column10]] * IF($E$2="Deployment",deployment_raw[[#This Row],[Column5]],1)),"")</f>
        <v>0</v>
      </c>
      <c r="S7" s="48">
        <f>IF(ISNUMBER(deployment_raw[[#This Row],[Column11]]), (deployment_raw[[#This Row],[Column11]] * IF($E$2="Deployment",deployment_raw[[#This Row],[Column5]],1))/1048576,"")</f>
        <v>0</v>
      </c>
      <c r="T7" s="59">
        <f>IF(ISNUMBER(deployment_raw[[#This Row],[Column8]]),IF(OR(deployment_raw[[#This Row],[Column5]] &lt;&gt; 0,$E$2 &lt;&gt; "Deployment"), MAX(V7, ($T$2 * IF($E$2="Deployment",deployment_raw[[#This Row],[Column5]],1))), 0),"")</f>
        <v>50</v>
      </c>
      <c r="U7" s="50">
        <f>IF(ISNUMBER(deployment_raw[[#This Row],[Column9]]),IF(OR(deployment_raw[[#This Row],[Column5]] &lt;&gt; 0,$E$2&lt;&gt;"Deployment"), MAX(W7, ($U$2 * IF($E$2="Deployment",deployment_raw[[#This Row],[Column5]],1))), 0),"")</f>
        <v>25</v>
      </c>
      <c r="V7" s="15">
        <f>IF(ISNUMBER(deployment_raw[[#This Row],[Column12]]), (deployment_raw[[#This Row],[Column12]] * IF($E$2="Deployment",deployment_raw[[#This Row],[Column5]],1)*(1+$V$2)),"")</f>
        <v>0</v>
      </c>
      <c r="W7" s="14">
        <f>IF(ISNUMBER(deployment_raw[[#This Row],[Column13]]), (deployment_raw[[#This Row],[Column13]] * IF($E$2="Deployment",deployment_raw[[#This Row],[Column5]],1)*(1+$W$2))/1048576,"")</f>
        <v>0</v>
      </c>
    </row>
    <row r="8" spans="1:23" x14ac:dyDescent="0.25">
      <c r="A8" s="5" t="str">
        <f>IF(ISNONTEXT(deployment_raw[[#This Row],[Column1]]), "", deployment_raw[[#This Row],[Column1]])</f>
        <v>calico-kube-controllers</v>
      </c>
      <c r="B8" s="6" t="str">
        <f>IF(ISNONTEXT(deployment_raw[[#This Row],[Column2]]), "", deployment_raw[[#This Row],[Column2]])</f>
        <v>deployment</v>
      </c>
      <c r="C8" s="6" t="str">
        <f>IF(ISNONTEXT(deployment_raw[[#This Row],[Column3]]), "", deployment_raw[[#This Row],[Column3]])</f>
        <v>kube-system</v>
      </c>
      <c r="D8" s="6" t="str">
        <f>IF(ISNONTEXT(deployment_raw[[#This Row],[Column4]]), "", deployment_raw[[#This Row],[Column4]])</f>
        <v>&lt;none&gt;</v>
      </c>
      <c r="E8" s="7">
        <f>IF(ISNUMBER(deployment_raw[[#This Row],[Column5]]), deployment_raw[[#This Row],[Column5]],"")</f>
        <v>1</v>
      </c>
      <c r="F8" s="32">
        <f>IF(ISNUMBER(deployment_raw[[#This Row],[Column17]]), deployment_raw[[#This Row],[Column17]]/IF(OR($E$2="Deployment",deployment_raw[[#This Row],[Column5]]=0),1,deployment_raw[[#This Row],[Column5]]),"")</f>
        <v>0</v>
      </c>
      <c r="G8" s="42">
        <f>IF(ISNUMBER(deployment_raw[[#This Row],[Column14]]), deployment_raw[[#This Row],[Column14]]/IF(OR($E$2="Deployment",deployment_raw[[#This Row],[Column5]]=0),1,deployment_raw[[#This Row],[Column5]]),"")</f>
        <v>0</v>
      </c>
      <c r="H8" s="79">
        <f>IF(ISNUMBER(deployment_raw[[#This Row],[Column19]]), IF(I8&lt;&gt;0,(deployment_raw[[#This Row],[Column19]]/IF(OR($E$2="Deployment",deployment_raw[[#This Row],[Column5]]=0),1,deployment_raw[[#This Row],[Column5]]))/I8,0),"")</f>
        <v>0</v>
      </c>
      <c r="I8" s="69">
        <f>IF(ISNUMBER(deployment_raw[[#This Row],[Column6]]), (deployment_raw[[#This Row],[Column6]] * IF($E$2="Deployment",deployment_raw[[#This Row],[Column5]],1)),"")</f>
        <v>0</v>
      </c>
      <c r="J8" s="79">
        <f>IF(ISNUMBER(deployment_raw[[#This Row],[Column19]]), IF(K8&lt;&gt;0,(deployment_raw[[#This Row],[Column19]]/IF(OR($E$2="Deployment",deployment_raw[[#This Row],[Column5]]=0),1,deployment_raw[[#This Row],[Column5]]))/K8,0),"")</f>
        <v>0</v>
      </c>
      <c r="K8" s="72">
        <f>IF(ISNUMBER(deployment_raw[[#This Row],[Column8]]), (deployment_raw[[#This Row],[Column8]]  * IF($E$2="Deployment",deployment_raw[[#This Row],[Column5]],1)),"")</f>
        <v>0</v>
      </c>
      <c r="L8" s="36">
        <f>IF(ISNUMBER(deployment_raw[[#This Row],[Column18]]), deployment_raw[[#This Row],[Column18]]/IF(OR($E$2="Deployment",deployment_raw[[#This Row],[Column5]]=0),1,deployment_raw[[#This Row],[Column5]])/1048576,"")</f>
        <v>0</v>
      </c>
      <c r="M8" s="37">
        <f>IF(ISNUMBER(deployment_raw[[#This Row],[Column15]]), deployment_raw[[#This Row],[Column15]]/IF(OR($E$2="Deployment",deployment_raw[[#This Row],[Column5]]=0),1,deployment_raw[[#This Row],[Column5]])/1048576,"")</f>
        <v>0</v>
      </c>
      <c r="N8" s="81">
        <f>IF(ISNUMBER(deployment_raw[[#This Row],[Column20]]), IF(O8&lt;&gt;0,deployment_raw[[#This Row],[Column20]]/IF(OR($E$2="Deployment",deployment_raw[[#This Row],[Column5]]=0),1,deployment_raw[[#This Row],[Column5]])/1048576/O8,0),"")</f>
        <v>0</v>
      </c>
      <c r="O8" s="74">
        <f>IF(ISNUMBER(deployment_raw[[#This Row],[Column7]]), (deployment_raw[[#This Row],[Column7]] * IF($E$2="Deployment",deployment_raw[[#This Row],[Column5]],1))/1048576,"")</f>
        <v>0</v>
      </c>
      <c r="P8" s="81">
        <f>IF(ISNUMBER(deployment_raw[[#This Row],[Column20]]), IF(Q8&lt;&gt;0,deployment_raw[[#This Row],[Column20]]/IF(OR($E$2="Deployment",deployment_raw[[#This Row],[Column5]]=0),1,deployment_raw[[#This Row],[Column5]])/1048576/Q8,0),"")</f>
        <v>0</v>
      </c>
      <c r="Q8" s="76">
        <f>IF(ISNUMBER(deployment_raw[[#This Row],[Column9]]), (deployment_raw[[#This Row],[Column9]] * IF($E$2="Deployment",deployment_raw[[#This Row],[Column5]],1))/1048576,"")</f>
        <v>0</v>
      </c>
      <c r="R8" s="57">
        <f>IF(ISNUMBER(deployment_raw[[#This Row],[Column10]]), (deployment_raw[[#This Row],[Column10]] * IF($E$2="Deployment",deployment_raw[[#This Row],[Column5]],1)),"")</f>
        <v>0</v>
      </c>
      <c r="S8" s="48">
        <f>IF(ISNUMBER(deployment_raw[[#This Row],[Column11]]), (deployment_raw[[#This Row],[Column11]] * IF($E$2="Deployment",deployment_raw[[#This Row],[Column5]],1))/1048576,"")</f>
        <v>0</v>
      </c>
      <c r="T8" s="59">
        <f>IF(ISNUMBER(deployment_raw[[#This Row],[Column8]]),IF(OR(deployment_raw[[#This Row],[Column5]] &lt;&gt; 0,$E$2 &lt;&gt; "Deployment"), MAX(V8, ($T$2 * IF($E$2="Deployment",deployment_raw[[#This Row],[Column5]],1))), 0),"")</f>
        <v>50</v>
      </c>
      <c r="U8" s="50">
        <f>IF(ISNUMBER(deployment_raw[[#This Row],[Column9]]),IF(OR(deployment_raw[[#This Row],[Column5]] &lt;&gt; 0,$E$2&lt;&gt;"Deployment"), MAX(W8, ($U$2 * IF($E$2="Deployment",deployment_raw[[#This Row],[Column5]],1))), 0),"")</f>
        <v>25</v>
      </c>
      <c r="V8" s="15">
        <f>IF(ISNUMBER(deployment_raw[[#This Row],[Column12]]), (deployment_raw[[#This Row],[Column12]] * IF($E$2="Deployment",deployment_raw[[#This Row],[Column5]],1)*(1+$V$2)),"")</f>
        <v>0</v>
      </c>
      <c r="W8" s="14">
        <f>IF(ISNUMBER(deployment_raw[[#This Row],[Column13]]), (deployment_raw[[#This Row],[Column13]] * IF($E$2="Deployment",deployment_raw[[#This Row],[Column5]],1)*(1+$W$2))/1048576,"")</f>
        <v>0</v>
      </c>
    </row>
    <row r="9" spans="1:23" x14ac:dyDescent="0.25">
      <c r="A9" s="5" t="str">
        <f>IF(ISNONTEXT(deployment_raw[[#This Row],[Column1]]), "", deployment_raw[[#This Row],[Column1]])</f>
        <v>coredns</v>
      </c>
      <c r="B9" s="6" t="str">
        <f>IF(ISNONTEXT(deployment_raw[[#This Row],[Column2]]), "", deployment_raw[[#This Row],[Column2]])</f>
        <v>deployment</v>
      </c>
      <c r="C9" s="6" t="str">
        <f>IF(ISNONTEXT(deployment_raw[[#This Row],[Column3]]), "", deployment_raw[[#This Row],[Column3]])</f>
        <v>kube-system</v>
      </c>
      <c r="D9" s="6" t="str">
        <f>IF(ISNONTEXT(deployment_raw[[#This Row],[Column4]]), "", deployment_raw[[#This Row],[Column4]])</f>
        <v>&lt;none&gt;</v>
      </c>
      <c r="E9" s="7">
        <f>IF(ISNUMBER(deployment_raw[[#This Row],[Column5]]), deployment_raw[[#This Row],[Column5]],"")</f>
        <v>2</v>
      </c>
      <c r="F9" s="32">
        <f>IF(ISNUMBER(deployment_raw[[#This Row],[Column17]]), deployment_raw[[#This Row],[Column17]]/IF(OR($E$2="Deployment",deployment_raw[[#This Row],[Column5]]=0),1,deployment_raw[[#This Row],[Column5]]),"")</f>
        <v>0</v>
      </c>
      <c r="G9" s="42">
        <f>IF(ISNUMBER(deployment_raw[[#This Row],[Column14]]), deployment_raw[[#This Row],[Column14]]/IF(OR($E$2="Deployment",deployment_raw[[#This Row],[Column5]]=0),1,deployment_raw[[#This Row],[Column5]]),"")</f>
        <v>0</v>
      </c>
      <c r="H9" s="79">
        <f>IF(ISNUMBER(deployment_raw[[#This Row],[Column19]]), IF(I9&lt;&gt;0,(deployment_raw[[#This Row],[Column19]]/IF(OR($E$2="Deployment",deployment_raw[[#This Row],[Column5]]=0),1,deployment_raw[[#This Row],[Column5]]))/I9,0),"")</f>
        <v>0</v>
      </c>
      <c r="I9" s="69">
        <f>IF(ISNUMBER(deployment_raw[[#This Row],[Column6]]), (deployment_raw[[#This Row],[Column6]] * IF($E$2="Deployment",deployment_raw[[#This Row],[Column5]],1)),"")</f>
        <v>100</v>
      </c>
      <c r="J9" s="79">
        <f>IF(ISNUMBER(deployment_raw[[#This Row],[Column19]]), IF(K9&lt;&gt;0,(deployment_raw[[#This Row],[Column19]]/IF(OR($E$2="Deployment",deployment_raw[[#This Row],[Column5]]=0),1,deployment_raw[[#This Row],[Column5]]))/K9,0),"")</f>
        <v>0</v>
      </c>
      <c r="K9" s="72">
        <f>IF(ISNUMBER(deployment_raw[[#This Row],[Column8]]), (deployment_raw[[#This Row],[Column8]]  * IF($E$2="Deployment",deployment_raw[[#This Row],[Column5]],1)),"")</f>
        <v>0</v>
      </c>
      <c r="L9" s="36">
        <f>IF(ISNUMBER(deployment_raw[[#This Row],[Column18]]), deployment_raw[[#This Row],[Column18]]/IF(OR($E$2="Deployment",deployment_raw[[#This Row],[Column5]]=0),1,deployment_raw[[#This Row],[Column5]])/1048576,"")</f>
        <v>0</v>
      </c>
      <c r="M9" s="37">
        <f>IF(ISNUMBER(deployment_raw[[#This Row],[Column15]]), deployment_raw[[#This Row],[Column15]]/IF(OR($E$2="Deployment",deployment_raw[[#This Row],[Column5]]=0),1,deployment_raw[[#This Row],[Column5]])/1048576,"")</f>
        <v>0</v>
      </c>
      <c r="N9" s="81">
        <f>IF(ISNUMBER(deployment_raw[[#This Row],[Column20]]), IF(O9&lt;&gt;0,deployment_raw[[#This Row],[Column20]]/IF(OR($E$2="Deployment",deployment_raw[[#This Row],[Column5]]=0),1,deployment_raw[[#This Row],[Column5]])/1048576/O9,0),"")</f>
        <v>0</v>
      </c>
      <c r="O9" s="74">
        <f>IF(ISNUMBER(deployment_raw[[#This Row],[Column7]]), (deployment_raw[[#This Row],[Column7]] * IF($E$2="Deployment",deployment_raw[[#This Row],[Column5]],1))/1048576,"")</f>
        <v>70</v>
      </c>
      <c r="P9" s="81">
        <f>IF(ISNUMBER(deployment_raw[[#This Row],[Column20]]), IF(Q9&lt;&gt;0,deployment_raw[[#This Row],[Column20]]/IF(OR($E$2="Deployment",deployment_raw[[#This Row],[Column5]]=0),1,deployment_raw[[#This Row],[Column5]])/1048576/Q9,0),"")</f>
        <v>0</v>
      </c>
      <c r="Q9" s="76">
        <f>IF(ISNUMBER(deployment_raw[[#This Row],[Column9]]), (deployment_raw[[#This Row],[Column9]] * IF($E$2="Deployment",deployment_raw[[#This Row],[Column5]],1))/1048576,"")</f>
        <v>170</v>
      </c>
      <c r="R9" s="57">
        <f>IF(ISNUMBER(deployment_raw[[#This Row],[Column10]]), (deployment_raw[[#This Row],[Column10]] * IF($E$2="Deployment",deployment_raw[[#This Row],[Column5]],1)),"")</f>
        <v>100</v>
      </c>
      <c r="S9" s="48">
        <f>IF(ISNUMBER(deployment_raw[[#This Row],[Column11]]), (deployment_raw[[#This Row],[Column11]] * IF($E$2="Deployment",deployment_raw[[#This Row],[Column5]],1))/1048576,"")</f>
        <v>70</v>
      </c>
      <c r="T9" s="59">
        <f>IF(ISNUMBER(deployment_raw[[#This Row],[Column8]]),IF(OR(deployment_raw[[#This Row],[Column5]] &lt;&gt; 0,$E$2 &lt;&gt; "Deployment"), MAX(V9, ($T$2 * IF($E$2="Deployment",deployment_raw[[#This Row],[Column5]],1))), 0),"")</f>
        <v>50</v>
      </c>
      <c r="U9" s="50">
        <f>IF(ISNUMBER(deployment_raw[[#This Row],[Column9]]),IF(OR(deployment_raw[[#This Row],[Column5]] &lt;&gt; 0,$E$2&lt;&gt;"Deployment"), MAX(W9, ($U$2 * IF($E$2="Deployment",deployment_raw[[#This Row],[Column5]],1))), 0),"")</f>
        <v>170</v>
      </c>
      <c r="V9" s="15">
        <f>IF(ISNUMBER(deployment_raw[[#This Row],[Column12]]), (deployment_raw[[#This Row],[Column12]] * IF($E$2="Deployment",deployment_raw[[#This Row],[Column5]],1)*(1+$V$2)),"")</f>
        <v>0</v>
      </c>
      <c r="W9" s="14">
        <f>IF(ISNUMBER(deployment_raw[[#This Row],[Column13]]), (deployment_raw[[#This Row],[Column13]] * IF($E$2="Deployment",deployment_raw[[#This Row],[Column5]],1)*(1+$W$2))/1048576,"")</f>
        <v>170</v>
      </c>
    </row>
    <row r="10" spans="1:23" x14ac:dyDescent="0.25">
      <c r="A10" s="5" t="str">
        <f>IF(ISNONTEXT(deployment_raw[[#This Row],[Column1]]), "", deployment_raw[[#This Row],[Column1]])</f>
        <v>metrics-server</v>
      </c>
      <c r="B10" s="6" t="str">
        <f>IF(ISNONTEXT(deployment_raw[[#This Row],[Column2]]), "", deployment_raw[[#This Row],[Column2]])</f>
        <v>deployment</v>
      </c>
      <c r="C10" s="6" t="str">
        <f>IF(ISNONTEXT(deployment_raw[[#This Row],[Column3]]), "", deployment_raw[[#This Row],[Column3]])</f>
        <v>kube-system</v>
      </c>
      <c r="D10" s="6" t="str">
        <f>IF(ISNONTEXT(deployment_raw[[#This Row],[Column4]]), "", deployment_raw[[#This Row],[Column4]])</f>
        <v>&lt;none&gt;</v>
      </c>
      <c r="E10" s="7">
        <f>IF(ISNUMBER(deployment_raw[[#This Row],[Column5]]), deployment_raw[[#This Row],[Column5]],"")</f>
        <v>1</v>
      </c>
      <c r="F10" s="32">
        <f>IF(ISNUMBER(deployment_raw[[#This Row],[Column17]]), deployment_raw[[#This Row],[Column17]]/IF(OR($E$2="Deployment",deployment_raw[[#This Row],[Column5]]=0),1,deployment_raw[[#This Row],[Column5]]),"")</f>
        <v>0</v>
      </c>
      <c r="G10" s="42">
        <f>IF(ISNUMBER(deployment_raw[[#This Row],[Column14]]), deployment_raw[[#This Row],[Column14]]/IF(OR($E$2="Deployment",deployment_raw[[#This Row],[Column5]]=0),1,deployment_raw[[#This Row],[Column5]]),"")</f>
        <v>0</v>
      </c>
      <c r="H10" s="79">
        <f>IF(ISNUMBER(deployment_raw[[#This Row],[Column19]]), IF(I10&lt;&gt;0,(deployment_raw[[#This Row],[Column19]]/IF(OR($E$2="Deployment",deployment_raw[[#This Row],[Column5]]=0),1,deployment_raw[[#This Row],[Column5]]))/I10,0),"")</f>
        <v>0</v>
      </c>
      <c r="I10" s="69">
        <f>IF(ISNUMBER(deployment_raw[[#This Row],[Column6]]), (deployment_raw[[#This Row],[Column6]] * IF($E$2="Deployment",deployment_raw[[#This Row],[Column5]],1)),"")</f>
        <v>0</v>
      </c>
      <c r="J10" s="79">
        <f>IF(ISNUMBER(deployment_raw[[#This Row],[Column19]]), IF(K10&lt;&gt;0,(deployment_raw[[#This Row],[Column19]]/IF(OR($E$2="Deployment",deployment_raw[[#This Row],[Column5]]=0),1,deployment_raw[[#This Row],[Column5]]))/K10,0),"")</f>
        <v>0</v>
      </c>
      <c r="K10" s="72">
        <f>IF(ISNUMBER(deployment_raw[[#This Row],[Column8]]), (deployment_raw[[#This Row],[Column8]]  * IF($E$2="Deployment",deployment_raw[[#This Row],[Column5]],1)),"")</f>
        <v>0</v>
      </c>
      <c r="L10" s="36">
        <f>IF(ISNUMBER(deployment_raw[[#This Row],[Column18]]), deployment_raw[[#This Row],[Column18]]/IF(OR($E$2="Deployment",deployment_raw[[#This Row],[Column5]]=0),1,deployment_raw[[#This Row],[Column5]])/1048576,"")</f>
        <v>0</v>
      </c>
      <c r="M10" s="37">
        <f>IF(ISNUMBER(deployment_raw[[#This Row],[Column15]]), deployment_raw[[#This Row],[Column15]]/IF(OR($E$2="Deployment",deployment_raw[[#This Row],[Column5]]=0),1,deployment_raw[[#This Row],[Column5]])/1048576,"")</f>
        <v>0</v>
      </c>
      <c r="N10" s="81">
        <f>IF(ISNUMBER(deployment_raw[[#This Row],[Column20]]), IF(O10&lt;&gt;0,deployment_raw[[#This Row],[Column20]]/IF(OR($E$2="Deployment",deployment_raw[[#This Row],[Column5]]=0),1,deployment_raw[[#This Row],[Column5]])/1048576/O10,0),"")</f>
        <v>0</v>
      </c>
      <c r="O10" s="74">
        <f>IF(ISNUMBER(deployment_raw[[#This Row],[Column7]]), (deployment_raw[[#This Row],[Column7]] * IF($E$2="Deployment",deployment_raw[[#This Row],[Column5]],1))/1048576,"")</f>
        <v>0</v>
      </c>
      <c r="P10" s="81">
        <f>IF(ISNUMBER(deployment_raw[[#This Row],[Column20]]), IF(Q10&lt;&gt;0,deployment_raw[[#This Row],[Column20]]/IF(OR($E$2="Deployment",deployment_raw[[#This Row],[Column5]]=0),1,deployment_raw[[#This Row],[Column5]])/1048576/Q10,0),"")</f>
        <v>0</v>
      </c>
      <c r="Q10" s="76">
        <f>IF(ISNUMBER(deployment_raw[[#This Row],[Column9]]), (deployment_raw[[#This Row],[Column9]] * IF($E$2="Deployment",deployment_raw[[#This Row],[Column5]],1))/1048576,"")</f>
        <v>0</v>
      </c>
      <c r="R10" s="57">
        <f>IF(ISNUMBER(deployment_raw[[#This Row],[Column10]]), (deployment_raw[[#This Row],[Column10]] * IF($E$2="Deployment",deployment_raw[[#This Row],[Column5]],1)),"")</f>
        <v>0</v>
      </c>
      <c r="S10" s="48">
        <f>IF(ISNUMBER(deployment_raw[[#This Row],[Column11]]), (deployment_raw[[#This Row],[Column11]] * IF($E$2="Deployment",deployment_raw[[#This Row],[Column5]],1))/1048576,"")</f>
        <v>0</v>
      </c>
      <c r="T10" s="59">
        <f>IF(ISNUMBER(deployment_raw[[#This Row],[Column8]]),IF(OR(deployment_raw[[#This Row],[Column5]] &lt;&gt; 0,$E$2 &lt;&gt; "Deployment"), MAX(V10, ($T$2 * IF($E$2="Deployment",deployment_raw[[#This Row],[Column5]],1))), 0),"")</f>
        <v>50</v>
      </c>
      <c r="U10" s="50">
        <f>IF(ISNUMBER(deployment_raw[[#This Row],[Column9]]),IF(OR(deployment_raw[[#This Row],[Column5]] &lt;&gt; 0,$E$2&lt;&gt;"Deployment"), MAX(W10, ($U$2 * IF($E$2="Deployment",deployment_raw[[#This Row],[Column5]],1))), 0),"")</f>
        <v>25</v>
      </c>
      <c r="V10" s="15">
        <f>IF(ISNUMBER(deployment_raw[[#This Row],[Column12]]), (deployment_raw[[#This Row],[Column12]] * IF($E$2="Deployment",deployment_raw[[#This Row],[Column5]],1)*(1+$V$2)),"")</f>
        <v>0</v>
      </c>
      <c r="W10" s="14">
        <f>IF(ISNUMBER(deployment_raw[[#This Row],[Column13]]), (deployment_raw[[#This Row],[Column13]] * IF($E$2="Deployment",deployment_raw[[#This Row],[Column5]],1)*(1+$W$2))/1048576,"")</f>
        <v>0</v>
      </c>
    </row>
    <row r="11" spans="1:23" x14ac:dyDescent="0.25">
      <c r="A11" s="5" t="str">
        <f>IF(ISNONTEXT(deployment_raw[[#This Row],[Column1]]), "", deployment_raw[[#This Row],[Column1]])</f>
        <v>local-path-provisioner</v>
      </c>
      <c r="B11" s="6" t="str">
        <f>IF(ISNONTEXT(deployment_raw[[#This Row],[Column2]]), "", deployment_raw[[#This Row],[Column2]])</f>
        <v>deployment</v>
      </c>
      <c r="C11" s="6" t="str">
        <f>IF(ISNONTEXT(deployment_raw[[#This Row],[Column3]]), "", deployment_raw[[#This Row],[Column3]])</f>
        <v>local-path-storage</v>
      </c>
      <c r="D11" s="6" t="str">
        <f>IF(ISNONTEXT(deployment_raw[[#This Row],[Column4]]), "", deployment_raw[[#This Row],[Column4]])</f>
        <v>&lt;none&gt;</v>
      </c>
      <c r="E11" s="7">
        <f>IF(ISNUMBER(deployment_raw[[#This Row],[Column5]]), deployment_raw[[#This Row],[Column5]],"")</f>
        <v>1</v>
      </c>
      <c r="F11" s="32">
        <f>IF(ISNUMBER(deployment_raw[[#This Row],[Column17]]), deployment_raw[[#This Row],[Column17]]/IF(OR($E$2="Deployment",deployment_raw[[#This Row],[Column5]]=0),1,deployment_raw[[#This Row],[Column5]]),"")</f>
        <v>0</v>
      </c>
      <c r="G11" s="42">
        <f>IF(ISNUMBER(deployment_raw[[#This Row],[Column14]]), deployment_raw[[#This Row],[Column14]]/IF(OR($E$2="Deployment",deployment_raw[[#This Row],[Column5]]=0),1,deployment_raw[[#This Row],[Column5]]),"")</f>
        <v>0</v>
      </c>
      <c r="H11" s="79">
        <f>IF(ISNUMBER(deployment_raw[[#This Row],[Column19]]), IF(I11&lt;&gt;0,(deployment_raw[[#This Row],[Column19]]/IF(OR($E$2="Deployment",deployment_raw[[#This Row],[Column5]]=0),1,deployment_raw[[#This Row],[Column5]]))/I11,0),"")</f>
        <v>0</v>
      </c>
      <c r="I11" s="69">
        <f>IF(ISNUMBER(deployment_raw[[#This Row],[Column6]]), (deployment_raw[[#This Row],[Column6]] * IF($E$2="Deployment",deployment_raw[[#This Row],[Column5]],1)),"")</f>
        <v>0</v>
      </c>
      <c r="J11" s="79">
        <f>IF(ISNUMBER(deployment_raw[[#This Row],[Column19]]), IF(K11&lt;&gt;0,(deployment_raw[[#This Row],[Column19]]/IF(OR($E$2="Deployment",deployment_raw[[#This Row],[Column5]]=0),1,deployment_raw[[#This Row],[Column5]]))/K11,0),"")</f>
        <v>0</v>
      </c>
      <c r="K11" s="72">
        <f>IF(ISNUMBER(deployment_raw[[#This Row],[Column8]]), (deployment_raw[[#This Row],[Column8]]  * IF($E$2="Deployment",deployment_raw[[#This Row],[Column5]],1)),"")</f>
        <v>0</v>
      </c>
      <c r="L11" s="36">
        <f>IF(ISNUMBER(deployment_raw[[#This Row],[Column18]]), deployment_raw[[#This Row],[Column18]]/IF(OR($E$2="Deployment",deployment_raw[[#This Row],[Column5]]=0),1,deployment_raw[[#This Row],[Column5]])/1048576,"")</f>
        <v>0</v>
      </c>
      <c r="M11" s="37">
        <f>IF(ISNUMBER(deployment_raw[[#This Row],[Column15]]), deployment_raw[[#This Row],[Column15]]/IF(OR($E$2="Deployment",deployment_raw[[#This Row],[Column5]]=0),1,deployment_raw[[#This Row],[Column5]])/1048576,"")</f>
        <v>0</v>
      </c>
      <c r="N11" s="81">
        <f>IF(ISNUMBER(deployment_raw[[#This Row],[Column20]]), IF(O11&lt;&gt;0,deployment_raw[[#This Row],[Column20]]/IF(OR($E$2="Deployment",deployment_raw[[#This Row],[Column5]]=0),1,deployment_raw[[#This Row],[Column5]])/1048576/O11,0),"")</f>
        <v>0</v>
      </c>
      <c r="O11" s="74">
        <f>IF(ISNUMBER(deployment_raw[[#This Row],[Column7]]), (deployment_raw[[#This Row],[Column7]] * IF($E$2="Deployment",deployment_raw[[#This Row],[Column5]],1))/1048576,"")</f>
        <v>0</v>
      </c>
      <c r="P11" s="81">
        <f>IF(ISNUMBER(deployment_raw[[#This Row],[Column20]]), IF(Q11&lt;&gt;0,deployment_raw[[#This Row],[Column20]]/IF(OR($E$2="Deployment",deployment_raw[[#This Row],[Column5]]=0),1,deployment_raw[[#This Row],[Column5]])/1048576/Q11,0),"")</f>
        <v>0</v>
      </c>
      <c r="Q11" s="76">
        <f>IF(ISNUMBER(deployment_raw[[#This Row],[Column9]]), (deployment_raw[[#This Row],[Column9]] * IF($E$2="Deployment",deployment_raw[[#This Row],[Column5]],1))/1048576,"")</f>
        <v>0</v>
      </c>
      <c r="R11" s="57">
        <f>IF(ISNUMBER(deployment_raw[[#This Row],[Column10]]), (deployment_raw[[#This Row],[Column10]] * IF($E$2="Deployment",deployment_raw[[#This Row],[Column5]],1)),"")</f>
        <v>0</v>
      </c>
      <c r="S11" s="48">
        <f>IF(ISNUMBER(deployment_raw[[#This Row],[Column11]]), (deployment_raw[[#This Row],[Column11]] * IF($E$2="Deployment",deployment_raw[[#This Row],[Column5]],1))/1048576,"")</f>
        <v>0</v>
      </c>
      <c r="T11" s="59">
        <f>IF(ISNUMBER(deployment_raw[[#This Row],[Column8]]),IF(OR(deployment_raw[[#This Row],[Column5]] &lt;&gt; 0,$E$2 &lt;&gt; "Deployment"), MAX(V11, ($T$2 * IF($E$2="Deployment",deployment_raw[[#This Row],[Column5]],1))), 0),"")</f>
        <v>50</v>
      </c>
      <c r="U11" s="50">
        <f>IF(ISNUMBER(deployment_raw[[#This Row],[Column9]]),IF(OR(deployment_raw[[#This Row],[Column5]] &lt;&gt; 0,$E$2&lt;&gt;"Deployment"), MAX(W11, ($U$2 * IF($E$2="Deployment",deployment_raw[[#This Row],[Column5]],1))), 0),"")</f>
        <v>25</v>
      </c>
      <c r="V11" s="15">
        <f>IF(ISNUMBER(deployment_raw[[#This Row],[Column12]]), (deployment_raw[[#This Row],[Column12]] * IF($E$2="Deployment",deployment_raw[[#This Row],[Column5]],1)*(1+$V$2)),"")</f>
        <v>0</v>
      </c>
      <c r="W11" s="14">
        <f>IF(ISNUMBER(deployment_raw[[#This Row],[Column13]]), (deployment_raw[[#This Row],[Column13]] * IF($E$2="Deployment",deployment_raw[[#This Row],[Column5]],1)*(1+$W$2))/1048576,"")</f>
        <v>0</v>
      </c>
    </row>
    <row r="12" spans="1:23" x14ac:dyDescent="0.25">
      <c r="A12" s="5" t="str">
        <f>IF(ISNONTEXT(deployment_raw[[#This Row],[Column1]]), "", deployment_raw[[#This Row],[Column1]])</f>
        <v>my-prometheus-operator-grafana</v>
      </c>
      <c r="B12" s="6" t="str">
        <f>IF(ISNONTEXT(deployment_raw[[#This Row],[Column2]]), "", deployment_raw[[#This Row],[Column2]])</f>
        <v>deployment</v>
      </c>
      <c r="C12" s="6" t="str">
        <f>IF(ISNONTEXT(deployment_raw[[#This Row],[Column3]]), "", deployment_raw[[#This Row],[Column3]])</f>
        <v>monitoring</v>
      </c>
      <c r="D12" s="6" t="str">
        <f>IF(ISNONTEXT(deployment_raw[[#This Row],[Column4]]), "", deployment_raw[[#This Row],[Column4]])</f>
        <v>&lt;none&gt;</v>
      </c>
      <c r="E12" s="7">
        <f>IF(ISNUMBER(deployment_raw[[#This Row],[Column5]]), deployment_raw[[#This Row],[Column5]],"")</f>
        <v>1</v>
      </c>
      <c r="F12" s="32">
        <f>IF(ISNUMBER(deployment_raw[[#This Row],[Column17]]), deployment_raw[[#This Row],[Column17]]/IF(OR($E$2="Deployment",deployment_raw[[#This Row],[Column5]]=0),1,deployment_raw[[#This Row],[Column5]]),"")</f>
        <v>0</v>
      </c>
      <c r="G12" s="42">
        <f>IF(ISNUMBER(deployment_raw[[#This Row],[Column14]]), deployment_raw[[#This Row],[Column14]]/IF(OR($E$2="Deployment",deployment_raw[[#This Row],[Column5]]=0),1,deployment_raw[[#This Row],[Column5]]),"")</f>
        <v>0</v>
      </c>
      <c r="H12" s="79">
        <f>IF(ISNUMBER(deployment_raw[[#This Row],[Column19]]), IF(I12&lt;&gt;0,(deployment_raw[[#This Row],[Column19]]/IF(OR($E$2="Deployment",deployment_raw[[#This Row],[Column5]]=0),1,deployment_raw[[#This Row],[Column5]]))/I12,0),"")</f>
        <v>0</v>
      </c>
      <c r="I12" s="69">
        <f>IF(ISNUMBER(deployment_raw[[#This Row],[Column6]]), (deployment_raw[[#This Row],[Column6]] * IF($E$2="Deployment",deployment_raw[[#This Row],[Column5]],1)),"")</f>
        <v>0</v>
      </c>
      <c r="J12" s="79">
        <f>IF(ISNUMBER(deployment_raw[[#This Row],[Column19]]), IF(K12&lt;&gt;0,(deployment_raw[[#This Row],[Column19]]/IF(OR($E$2="Deployment",deployment_raw[[#This Row],[Column5]]=0),1,deployment_raw[[#This Row],[Column5]]))/K12,0),"")</f>
        <v>0</v>
      </c>
      <c r="K12" s="72">
        <f>IF(ISNUMBER(deployment_raw[[#This Row],[Column8]]), (deployment_raw[[#This Row],[Column8]]  * IF($E$2="Deployment",deployment_raw[[#This Row],[Column5]],1)),"")</f>
        <v>0</v>
      </c>
      <c r="L12" s="36">
        <f>IF(ISNUMBER(deployment_raw[[#This Row],[Column18]]), deployment_raw[[#This Row],[Column18]]/IF(OR($E$2="Deployment",deployment_raw[[#This Row],[Column5]]=0),1,deployment_raw[[#This Row],[Column5]])/1048576,"")</f>
        <v>0</v>
      </c>
      <c r="M12" s="37">
        <f>IF(ISNUMBER(deployment_raw[[#This Row],[Column15]]), deployment_raw[[#This Row],[Column15]]/IF(OR($E$2="Deployment",deployment_raw[[#This Row],[Column5]]=0),1,deployment_raw[[#This Row],[Column5]])/1048576,"")</f>
        <v>0</v>
      </c>
      <c r="N12" s="81">
        <f>IF(ISNUMBER(deployment_raw[[#This Row],[Column20]]), IF(O12&lt;&gt;0,deployment_raw[[#This Row],[Column20]]/IF(OR($E$2="Deployment",deployment_raw[[#This Row],[Column5]]=0),1,deployment_raw[[#This Row],[Column5]])/1048576/O12,0),"")</f>
        <v>0</v>
      </c>
      <c r="O12" s="74">
        <f>IF(ISNUMBER(deployment_raw[[#This Row],[Column7]]), (deployment_raw[[#This Row],[Column7]] * IF($E$2="Deployment",deployment_raw[[#This Row],[Column5]],1))/1048576,"")</f>
        <v>0</v>
      </c>
      <c r="P12" s="81">
        <f>IF(ISNUMBER(deployment_raw[[#This Row],[Column20]]), IF(Q12&lt;&gt;0,deployment_raw[[#This Row],[Column20]]/IF(OR($E$2="Deployment",deployment_raw[[#This Row],[Column5]]=0),1,deployment_raw[[#This Row],[Column5]])/1048576/Q12,0),"")</f>
        <v>0</v>
      </c>
      <c r="Q12" s="76">
        <f>IF(ISNUMBER(deployment_raw[[#This Row],[Column9]]), (deployment_raw[[#This Row],[Column9]] * IF($E$2="Deployment",deployment_raw[[#This Row],[Column5]],1))/1048576,"")</f>
        <v>0</v>
      </c>
      <c r="R12" s="57">
        <f>IF(ISNUMBER(deployment_raw[[#This Row],[Column10]]), (deployment_raw[[#This Row],[Column10]] * IF($E$2="Deployment",deployment_raw[[#This Row],[Column5]],1)),"")</f>
        <v>0</v>
      </c>
      <c r="S12" s="48">
        <f>IF(ISNUMBER(deployment_raw[[#This Row],[Column11]]), (deployment_raw[[#This Row],[Column11]] * IF($E$2="Deployment",deployment_raw[[#This Row],[Column5]],1))/1048576,"")</f>
        <v>0</v>
      </c>
      <c r="T12" s="59">
        <f>IF(ISNUMBER(deployment_raw[[#This Row],[Column8]]),IF(OR(deployment_raw[[#This Row],[Column5]] &lt;&gt; 0,$E$2 &lt;&gt; "Deployment"), MAX(V12, ($T$2 * IF($E$2="Deployment",deployment_raw[[#This Row],[Column5]],1))), 0),"")</f>
        <v>50</v>
      </c>
      <c r="U12" s="50">
        <f>IF(ISNUMBER(deployment_raw[[#This Row],[Column9]]),IF(OR(deployment_raw[[#This Row],[Column5]] &lt;&gt; 0,$E$2&lt;&gt;"Deployment"), MAX(W12, ($U$2 * IF($E$2="Deployment",deployment_raw[[#This Row],[Column5]],1))), 0),"")</f>
        <v>25</v>
      </c>
      <c r="V12" s="15">
        <f>IF(ISNUMBER(deployment_raw[[#This Row],[Column12]]), (deployment_raw[[#This Row],[Column12]] * IF($E$2="Deployment",deployment_raw[[#This Row],[Column5]],1)*(1+$V$2)),"")</f>
        <v>0</v>
      </c>
      <c r="W12" s="14">
        <f>IF(ISNUMBER(deployment_raw[[#This Row],[Column13]]), (deployment_raw[[#This Row],[Column13]] * IF($E$2="Deployment",deployment_raw[[#This Row],[Column5]],1)*(1+$W$2))/1048576,"")</f>
        <v>0</v>
      </c>
    </row>
    <row r="13" spans="1:23" x14ac:dyDescent="0.25">
      <c r="A13" s="5" t="str">
        <f>IF(ISNONTEXT(deployment_raw[[#This Row],[Column1]]), "", deployment_raw[[#This Row],[Column1]])</f>
        <v>my-prometheus-operator-kub-operator</v>
      </c>
      <c r="B13" s="6" t="str">
        <f>IF(ISNONTEXT(deployment_raw[[#This Row],[Column2]]), "", deployment_raw[[#This Row],[Column2]])</f>
        <v>deployment</v>
      </c>
      <c r="C13" s="6" t="str">
        <f>IF(ISNONTEXT(deployment_raw[[#This Row],[Column3]]), "", deployment_raw[[#This Row],[Column3]])</f>
        <v>monitoring</v>
      </c>
      <c r="D13" s="6" t="str">
        <f>IF(ISNONTEXT(deployment_raw[[#This Row],[Column4]]), "", deployment_raw[[#This Row],[Column4]])</f>
        <v>&lt;none&gt;</v>
      </c>
      <c r="E13" s="7">
        <f>IF(ISNUMBER(deployment_raw[[#This Row],[Column5]]), deployment_raw[[#This Row],[Column5]],"")</f>
        <v>1</v>
      </c>
      <c r="F13" s="32">
        <f>IF(ISNUMBER(deployment_raw[[#This Row],[Column17]]), deployment_raw[[#This Row],[Column17]]/IF(OR($E$2="Deployment",deployment_raw[[#This Row],[Column5]]=0),1,deployment_raw[[#This Row],[Column5]]),"")</f>
        <v>0</v>
      </c>
      <c r="G13" s="42">
        <f>IF(ISNUMBER(deployment_raw[[#This Row],[Column14]]), deployment_raw[[#This Row],[Column14]]/IF(OR($E$2="Deployment",deployment_raw[[#This Row],[Column5]]=0),1,deployment_raw[[#This Row],[Column5]]),"")</f>
        <v>0</v>
      </c>
      <c r="H13" s="79">
        <f>IF(ISNUMBER(deployment_raw[[#This Row],[Column19]]), IF(I13&lt;&gt;0,(deployment_raw[[#This Row],[Column19]]/IF(OR($E$2="Deployment",deployment_raw[[#This Row],[Column5]]=0),1,deployment_raw[[#This Row],[Column5]]))/I13,0),"")</f>
        <v>0</v>
      </c>
      <c r="I13" s="69">
        <f>IF(ISNUMBER(deployment_raw[[#This Row],[Column6]]), (deployment_raw[[#This Row],[Column6]] * IF($E$2="Deployment",deployment_raw[[#This Row],[Column5]],1)),"")</f>
        <v>0</v>
      </c>
      <c r="J13" s="79">
        <f>IF(ISNUMBER(deployment_raw[[#This Row],[Column19]]), IF(K13&lt;&gt;0,(deployment_raw[[#This Row],[Column19]]/IF(OR($E$2="Deployment",deployment_raw[[#This Row],[Column5]]=0),1,deployment_raw[[#This Row],[Column5]]))/K13,0),"")</f>
        <v>0</v>
      </c>
      <c r="K13" s="72">
        <f>IF(ISNUMBER(deployment_raw[[#This Row],[Column8]]), (deployment_raw[[#This Row],[Column8]]  * IF($E$2="Deployment",deployment_raw[[#This Row],[Column5]],1)),"")</f>
        <v>0</v>
      </c>
      <c r="L13" s="36">
        <f>IF(ISNUMBER(deployment_raw[[#This Row],[Column18]]), deployment_raw[[#This Row],[Column18]]/IF(OR($E$2="Deployment",deployment_raw[[#This Row],[Column5]]=0),1,deployment_raw[[#This Row],[Column5]])/1048576,"")</f>
        <v>0</v>
      </c>
      <c r="M13" s="37">
        <f>IF(ISNUMBER(deployment_raw[[#This Row],[Column15]]), deployment_raw[[#This Row],[Column15]]/IF(OR($E$2="Deployment",deployment_raw[[#This Row],[Column5]]=0),1,deployment_raw[[#This Row],[Column5]])/1048576,"")</f>
        <v>0</v>
      </c>
      <c r="N13" s="81">
        <f>IF(ISNUMBER(deployment_raw[[#This Row],[Column20]]), IF(O13&lt;&gt;0,deployment_raw[[#This Row],[Column20]]/IF(OR($E$2="Deployment",deployment_raw[[#This Row],[Column5]]=0),1,deployment_raw[[#This Row],[Column5]])/1048576/O13,0),"")</f>
        <v>0</v>
      </c>
      <c r="O13" s="74">
        <f>IF(ISNUMBER(deployment_raw[[#This Row],[Column7]]), (deployment_raw[[#This Row],[Column7]] * IF($E$2="Deployment",deployment_raw[[#This Row],[Column5]],1))/1048576,"")</f>
        <v>0</v>
      </c>
      <c r="P13" s="81">
        <f>IF(ISNUMBER(deployment_raw[[#This Row],[Column20]]), IF(Q13&lt;&gt;0,deployment_raw[[#This Row],[Column20]]/IF(OR($E$2="Deployment",deployment_raw[[#This Row],[Column5]]=0),1,deployment_raw[[#This Row],[Column5]])/1048576/Q13,0),"")</f>
        <v>0</v>
      </c>
      <c r="Q13" s="76">
        <f>IF(ISNUMBER(deployment_raw[[#This Row],[Column9]]), (deployment_raw[[#This Row],[Column9]] * IF($E$2="Deployment",deployment_raw[[#This Row],[Column5]],1))/1048576,"")</f>
        <v>0</v>
      </c>
      <c r="R13" s="57">
        <f>IF(ISNUMBER(deployment_raw[[#This Row],[Column10]]), (deployment_raw[[#This Row],[Column10]] * IF($E$2="Deployment",deployment_raw[[#This Row],[Column5]],1)),"")</f>
        <v>0</v>
      </c>
      <c r="S13" s="48">
        <f>IF(ISNUMBER(deployment_raw[[#This Row],[Column11]]), (deployment_raw[[#This Row],[Column11]] * IF($E$2="Deployment",deployment_raw[[#This Row],[Column5]],1))/1048576,"")</f>
        <v>0</v>
      </c>
      <c r="T13" s="59">
        <f>IF(ISNUMBER(deployment_raw[[#This Row],[Column8]]),IF(OR(deployment_raw[[#This Row],[Column5]] &lt;&gt; 0,$E$2 &lt;&gt; "Deployment"), MAX(V13, ($T$2 * IF($E$2="Deployment",deployment_raw[[#This Row],[Column5]],1))), 0),"")</f>
        <v>50</v>
      </c>
      <c r="U13" s="50">
        <f>IF(ISNUMBER(deployment_raw[[#This Row],[Column9]]),IF(OR(deployment_raw[[#This Row],[Column5]] &lt;&gt; 0,$E$2&lt;&gt;"Deployment"), MAX(W13, ($U$2 * IF($E$2="Deployment",deployment_raw[[#This Row],[Column5]],1))), 0),"")</f>
        <v>25</v>
      </c>
      <c r="V13" s="15">
        <f>IF(ISNUMBER(deployment_raw[[#This Row],[Column12]]), (deployment_raw[[#This Row],[Column12]] * IF($E$2="Deployment",deployment_raw[[#This Row],[Column5]],1)*(1+$V$2)),"")</f>
        <v>0</v>
      </c>
      <c r="W13" s="14">
        <f>IF(ISNUMBER(deployment_raw[[#This Row],[Column13]]), (deployment_raw[[#This Row],[Column13]] * IF($E$2="Deployment",deployment_raw[[#This Row],[Column5]],1)*(1+$W$2))/1048576,"")</f>
        <v>0</v>
      </c>
    </row>
    <row r="14" spans="1:23" x14ac:dyDescent="0.25">
      <c r="A14" s="5" t="str">
        <f>IF(ISNONTEXT(deployment_raw[[#This Row],[Column1]]), "", deployment_raw[[#This Row],[Column1]])</f>
        <v>my-prometheus-operator-kube-state-metrics</v>
      </c>
      <c r="B14" s="6" t="str">
        <f>IF(ISNONTEXT(deployment_raw[[#This Row],[Column2]]), "", deployment_raw[[#This Row],[Column2]])</f>
        <v>deployment</v>
      </c>
      <c r="C14" s="6" t="str">
        <f>IF(ISNONTEXT(deployment_raw[[#This Row],[Column3]]), "", deployment_raw[[#This Row],[Column3]])</f>
        <v>monitoring</v>
      </c>
      <c r="D14" s="6" t="str">
        <f>IF(ISNONTEXT(deployment_raw[[#This Row],[Column4]]), "", deployment_raw[[#This Row],[Column4]])</f>
        <v>&lt;none&gt;</v>
      </c>
      <c r="E14" s="7">
        <f>IF(ISNUMBER(deployment_raw[[#This Row],[Column5]]), deployment_raw[[#This Row],[Column5]],"")</f>
        <v>1</v>
      </c>
      <c r="F14" s="32">
        <f>IF(ISNUMBER(deployment_raw[[#This Row],[Column17]]), deployment_raw[[#This Row],[Column17]]/IF(OR($E$2="Deployment",deployment_raw[[#This Row],[Column5]]=0),1,deployment_raw[[#This Row],[Column5]]),"")</f>
        <v>0</v>
      </c>
      <c r="G14" s="42">
        <f>IF(ISNUMBER(deployment_raw[[#This Row],[Column14]]), deployment_raw[[#This Row],[Column14]]/IF(OR($E$2="Deployment",deployment_raw[[#This Row],[Column5]]=0),1,deployment_raw[[#This Row],[Column5]]),"")</f>
        <v>0</v>
      </c>
      <c r="H14" s="79">
        <f>IF(ISNUMBER(deployment_raw[[#This Row],[Column19]]), IF(I14&lt;&gt;0,(deployment_raw[[#This Row],[Column19]]/IF(OR($E$2="Deployment",deployment_raw[[#This Row],[Column5]]=0),1,deployment_raw[[#This Row],[Column5]]))/I14,0),"")</f>
        <v>0</v>
      </c>
      <c r="I14" s="69">
        <f>IF(ISNUMBER(deployment_raw[[#This Row],[Column6]]), (deployment_raw[[#This Row],[Column6]] * IF($E$2="Deployment",deployment_raw[[#This Row],[Column5]],1)),"")</f>
        <v>0</v>
      </c>
      <c r="J14" s="79">
        <f>IF(ISNUMBER(deployment_raw[[#This Row],[Column19]]), IF(K14&lt;&gt;0,(deployment_raw[[#This Row],[Column19]]/IF(OR($E$2="Deployment",deployment_raw[[#This Row],[Column5]]=0),1,deployment_raw[[#This Row],[Column5]]))/K14,0),"")</f>
        <v>0</v>
      </c>
      <c r="K14" s="72">
        <f>IF(ISNUMBER(deployment_raw[[#This Row],[Column8]]), (deployment_raw[[#This Row],[Column8]]  * IF($E$2="Deployment",deployment_raw[[#This Row],[Column5]],1)),"")</f>
        <v>0</v>
      </c>
      <c r="L14" s="36">
        <f>IF(ISNUMBER(deployment_raw[[#This Row],[Column18]]), deployment_raw[[#This Row],[Column18]]/IF(OR($E$2="Deployment",deployment_raw[[#This Row],[Column5]]=0),1,deployment_raw[[#This Row],[Column5]])/1048576,"")</f>
        <v>0</v>
      </c>
      <c r="M14" s="37">
        <f>IF(ISNUMBER(deployment_raw[[#This Row],[Column15]]), deployment_raw[[#This Row],[Column15]]/IF(OR($E$2="Deployment",deployment_raw[[#This Row],[Column5]]=0),1,deployment_raw[[#This Row],[Column5]])/1048576,"")</f>
        <v>0</v>
      </c>
      <c r="N14" s="81">
        <f>IF(ISNUMBER(deployment_raw[[#This Row],[Column20]]), IF(O14&lt;&gt;0,deployment_raw[[#This Row],[Column20]]/IF(OR($E$2="Deployment",deployment_raw[[#This Row],[Column5]]=0),1,deployment_raw[[#This Row],[Column5]])/1048576/O14,0),"")</f>
        <v>0</v>
      </c>
      <c r="O14" s="74">
        <f>IF(ISNUMBER(deployment_raw[[#This Row],[Column7]]), (deployment_raw[[#This Row],[Column7]] * IF($E$2="Deployment",deployment_raw[[#This Row],[Column5]],1))/1048576,"")</f>
        <v>0</v>
      </c>
      <c r="P14" s="81">
        <f>IF(ISNUMBER(deployment_raw[[#This Row],[Column20]]), IF(Q14&lt;&gt;0,deployment_raw[[#This Row],[Column20]]/IF(OR($E$2="Deployment",deployment_raw[[#This Row],[Column5]]=0),1,deployment_raw[[#This Row],[Column5]])/1048576/Q14,0),"")</f>
        <v>0</v>
      </c>
      <c r="Q14" s="76">
        <f>IF(ISNUMBER(deployment_raw[[#This Row],[Column9]]), (deployment_raw[[#This Row],[Column9]] * IF($E$2="Deployment",deployment_raw[[#This Row],[Column5]],1))/1048576,"")</f>
        <v>0</v>
      </c>
      <c r="R14" s="57">
        <f>IF(ISNUMBER(deployment_raw[[#This Row],[Column10]]), (deployment_raw[[#This Row],[Column10]] * IF($E$2="Deployment",deployment_raw[[#This Row],[Column5]],1)),"")</f>
        <v>0</v>
      </c>
      <c r="S14" s="48">
        <f>IF(ISNUMBER(deployment_raw[[#This Row],[Column11]]), (deployment_raw[[#This Row],[Column11]] * IF($E$2="Deployment",deployment_raw[[#This Row],[Column5]],1))/1048576,"")</f>
        <v>0</v>
      </c>
      <c r="T14" s="59">
        <f>IF(ISNUMBER(deployment_raw[[#This Row],[Column8]]),IF(OR(deployment_raw[[#This Row],[Column5]] &lt;&gt; 0,$E$2 &lt;&gt; "Deployment"), MAX(V14, ($T$2 * IF($E$2="Deployment",deployment_raw[[#This Row],[Column5]],1))), 0),"")</f>
        <v>50</v>
      </c>
      <c r="U14" s="50">
        <f>IF(ISNUMBER(deployment_raw[[#This Row],[Column9]]),IF(OR(deployment_raw[[#This Row],[Column5]] &lt;&gt; 0,$E$2&lt;&gt;"Deployment"), MAX(W14, ($U$2 * IF($E$2="Deployment",deployment_raw[[#This Row],[Column5]],1))), 0),"")</f>
        <v>25</v>
      </c>
      <c r="V14" s="15">
        <f>IF(ISNUMBER(deployment_raw[[#This Row],[Column12]]), (deployment_raw[[#This Row],[Column12]] * IF($E$2="Deployment",deployment_raw[[#This Row],[Column5]],1)*(1+$V$2)),"")</f>
        <v>0</v>
      </c>
      <c r="W14" s="14">
        <f>IF(ISNUMBER(deployment_raw[[#This Row],[Column13]]), (deployment_raw[[#This Row],[Column13]] * IF($E$2="Deployment",deployment_raw[[#This Row],[Column5]],1)*(1+$W$2))/1048576,"")</f>
        <v>0</v>
      </c>
    </row>
    <row r="15" spans="1:23" x14ac:dyDescent="0.25">
      <c r="A15" s="5" t="str">
        <f>IF(ISNONTEXT(deployment_raw[[#This Row],[Column1]]), "", deployment_raw[[#This Row],[Column1]])</f>
        <v>consumer</v>
      </c>
      <c r="B15" s="6" t="str">
        <f>IF(ISNONTEXT(deployment_raw[[#This Row],[Column2]]), "", deployment_raw[[#This Row],[Column2]])</f>
        <v>deployment</v>
      </c>
      <c r="C15" s="6" t="str">
        <f>IF(ISNONTEXT(deployment_raw[[#This Row],[Column3]]), "", deployment_raw[[#This Row],[Column3]])</f>
        <v>myproject</v>
      </c>
      <c r="D15" s="6" t="str">
        <f>IF(ISNONTEXT(deployment_raw[[#This Row],[Column4]]), "", deployment_raw[[#This Row],[Column4]])</f>
        <v>&lt;none&gt;</v>
      </c>
      <c r="E15" s="7">
        <f>IF(ISNUMBER(deployment_raw[[#This Row],[Column5]]), deployment_raw[[#This Row],[Column5]],"")</f>
        <v>1</v>
      </c>
      <c r="F15" s="32">
        <f>IF(ISNUMBER(deployment_raw[[#This Row],[Column17]]), deployment_raw[[#This Row],[Column17]]/IF(OR($E$2="Deployment",deployment_raw[[#This Row],[Column5]]=0),1,deployment_raw[[#This Row],[Column5]]),"")</f>
        <v>0</v>
      </c>
      <c r="G15" s="42">
        <f>IF(ISNUMBER(deployment_raw[[#This Row],[Column14]]), deployment_raw[[#This Row],[Column14]]/IF(OR($E$2="Deployment",deployment_raw[[#This Row],[Column5]]=0),1,deployment_raw[[#This Row],[Column5]]),"")</f>
        <v>0</v>
      </c>
      <c r="H15" s="79">
        <f>IF(ISNUMBER(deployment_raw[[#This Row],[Column19]]), IF(I15&lt;&gt;0,(deployment_raw[[#This Row],[Column19]]/IF(OR($E$2="Deployment",deployment_raw[[#This Row],[Column5]]=0),1,deployment_raw[[#This Row],[Column5]]))/I15,0),"")</f>
        <v>0</v>
      </c>
      <c r="I15" s="69">
        <f>IF(ISNUMBER(deployment_raw[[#This Row],[Column6]]), (deployment_raw[[#This Row],[Column6]] * IF($E$2="Deployment",deployment_raw[[#This Row],[Column5]],1)),"")</f>
        <v>100</v>
      </c>
      <c r="J15" s="79">
        <f>IF(ISNUMBER(deployment_raw[[#This Row],[Column19]]), IF(K15&lt;&gt;0,(deployment_raw[[#This Row],[Column19]]/IF(OR($E$2="Deployment",deployment_raw[[#This Row],[Column5]]=0),1,deployment_raw[[#This Row],[Column5]]))/K15,0),"")</f>
        <v>0</v>
      </c>
      <c r="K15" s="72">
        <f>IF(ISNUMBER(deployment_raw[[#This Row],[Column8]]), (deployment_raw[[#This Row],[Column8]]  * IF($E$2="Deployment",deployment_raw[[#This Row],[Column5]],1)),"")</f>
        <v>100</v>
      </c>
      <c r="L15" s="36">
        <f>IF(ISNUMBER(deployment_raw[[#This Row],[Column18]]), deployment_raw[[#This Row],[Column18]]/IF(OR($E$2="Deployment",deployment_raw[[#This Row],[Column5]]=0),1,deployment_raw[[#This Row],[Column5]])/1048576,"")</f>
        <v>0</v>
      </c>
      <c r="M15" s="37">
        <f>IF(ISNUMBER(deployment_raw[[#This Row],[Column15]]), deployment_raw[[#This Row],[Column15]]/IF(OR($E$2="Deployment",deployment_raw[[#This Row],[Column5]]=0),1,deployment_raw[[#This Row],[Column5]])/1048576,"")</f>
        <v>0</v>
      </c>
      <c r="N15" s="81">
        <f>IF(ISNUMBER(deployment_raw[[#This Row],[Column20]]), IF(O15&lt;&gt;0,deployment_raw[[#This Row],[Column20]]/IF(OR($E$2="Deployment",deployment_raw[[#This Row],[Column5]]=0),1,deployment_raw[[#This Row],[Column5]])/1048576/O15,0),"")</f>
        <v>0</v>
      </c>
      <c r="O15" s="74">
        <f>IF(ISNUMBER(deployment_raw[[#This Row],[Column7]]), (deployment_raw[[#This Row],[Column7]] * IF($E$2="Deployment",deployment_raw[[#This Row],[Column5]],1))/1048576,"")</f>
        <v>500</v>
      </c>
      <c r="P15" s="81">
        <f>IF(ISNUMBER(deployment_raw[[#This Row],[Column20]]), IF(Q15&lt;&gt;0,deployment_raw[[#This Row],[Column20]]/IF(OR($E$2="Deployment",deployment_raw[[#This Row],[Column5]]=0),1,deployment_raw[[#This Row],[Column5]])/1048576/Q15,0),"")</f>
        <v>0</v>
      </c>
      <c r="Q15" s="76">
        <f>IF(ISNUMBER(deployment_raw[[#This Row],[Column9]]), (deployment_raw[[#This Row],[Column9]] * IF($E$2="Deployment",deployment_raw[[#This Row],[Column5]],1))/1048576,"")</f>
        <v>500</v>
      </c>
      <c r="R15" s="57">
        <f>IF(ISNUMBER(deployment_raw[[#This Row],[Column10]]), (deployment_raw[[#This Row],[Column10]] * IF($E$2="Deployment",deployment_raw[[#This Row],[Column5]],1)),"")</f>
        <v>100</v>
      </c>
      <c r="S15" s="48">
        <f>IF(ISNUMBER(deployment_raw[[#This Row],[Column11]]), (deployment_raw[[#This Row],[Column11]] * IF($E$2="Deployment",deployment_raw[[#This Row],[Column5]],1))/1048576,"")</f>
        <v>500</v>
      </c>
      <c r="T15" s="59">
        <f>IF(ISNUMBER(deployment_raw[[#This Row],[Column8]]),IF(OR(deployment_raw[[#This Row],[Column5]] &lt;&gt; 0,$E$2 &lt;&gt; "Deployment"), MAX(V15, ($T$2 * IF($E$2="Deployment",deployment_raw[[#This Row],[Column5]],1))), 0),"")</f>
        <v>100</v>
      </c>
      <c r="U15" s="50">
        <f>IF(ISNUMBER(deployment_raw[[#This Row],[Column9]]),IF(OR(deployment_raw[[#This Row],[Column5]] &lt;&gt; 0,$E$2&lt;&gt;"Deployment"), MAX(W15, ($U$2 * IF($E$2="Deployment",deployment_raw[[#This Row],[Column5]],1))), 0),"")</f>
        <v>500</v>
      </c>
      <c r="V15" s="15">
        <f>IF(ISNUMBER(deployment_raw[[#This Row],[Column12]]), (deployment_raw[[#This Row],[Column12]] * IF($E$2="Deployment",deployment_raw[[#This Row],[Column5]],1)*(1+$V$2)),"")</f>
        <v>100</v>
      </c>
      <c r="W15" s="14">
        <f>IF(ISNUMBER(deployment_raw[[#This Row],[Column13]]), (deployment_raw[[#This Row],[Column13]] * IF($E$2="Deployment",deployment_raw[[#This Row],[Column5]],1)*(1+$W$2))/1048576,"")</f>
        <v>500</v>
      </c>
    </row>
    <row r="16" spans="1:23" x14ac:dyDescent="0.25">
      <c r="A16" s="5" t="str">
        <f>IF(ISNONTEXT(deployment_raw[[#This Row],[Column1]]), "", deployment_raw[[#This Row],[Column1]])</f>
        <v>my-cluster-entity-operator</v>
      </c>
      <c r="B16" s="6" t="str">
        <f>IF(ISNONTEXT(deployment_raw[[#This Row],[Column2]]), "", deployment_raw[[#This Row],[Column2]])</f>
        <v>deployment</v>
      </c>
      <c r="C16" s="6" t="str">
        <f>IF(ISNONTEXT(deployment_raw[[#This Row],[Column3]]), "", deployment_raw[[#This Row],[Column3]])</f>
        <v>myproject</v>
      </c>
      <c r="D16" s="6" t="str">
        <f>IF(ISNONTEXT(deployment_raw[[#This Row],[Column4]]), "", deployment_raw[[#This Row],[Column4]])</f>
        <v>&lt;none&gt;</v>
      </c>
      <c r="E16" s="7">
        <f>IF(ISNUMBER(deployment_raw[[#This Row],[Column5]]), deployment_raw[[#This Row],[Column5]],"")</f>
        <v>1</v>
      </c>
      <c r="F16" s="32">
        <f>IF(ISNUMBER(deployment_raw[[#This Row],[Column17]]), deployment_raw[[#This Row],[Column17]]/IF(OR($E$2="Deployment",deployment_raw[[#This Row],[Column5]]=0),1,deployment_raw[[#This Row],[Column5]]),"")</f>
        <v>0</v>
      </c>
      <c r="G16" s="42">
        <f>IF(ISNUMBER(deployment_raw[[#This Row],[Column14]]), deployment_raw[[#This Row],[Column14]]/IF(OR($E$2="Deployment",deployment_raw[[#This Row],[Column5]]=0),1,deployment_raw[[#This Row],[Column5]]),"")</f>
        <v>0</v>
      </c>
      <c r="H16" s="79">
        <f>IF(ISNUMBER(deployment_raw[[#This Row],[Column19]]), IF(I16&lt;&gt;0,(deployment_raw[[#This Row],[Column19]]/IF(OR($E$2="Deployment",deployment_raw[[#This Row],[Column5]]=0),1,deployment_raw[[#This Row],[Column5]]))/I16,0),"")</f>
        <v>0</v>
      </c>
      <c r="I16" s="69">
        <f>IF(ISNUMBER(deployment_raw[[#This Row],[Column6]]), (deployment_raw[[#This Row],[Column6]] * IF($E$2="Deployment",deployment_raw[[#This Row],[Column5]],1)),"")</f>
        <v>0</v>
      </c>
      <c r="J16" s="79">
        <f>IF(ISNUMBER(deployment_raw[[#This Row],[Column19]]), IF(K16&lt;&gt;0,(deployment_raw[[#This Row],[Column19]]/IF(OR($E$2="Deployment",deployment_raw[[#This Row],[Column5]]=0),1,deployment_raw[[#This Row],[Column5]]))/K16,0),"")</f>
        <v>0</v>
      </c>
      <c r="K16" s="72">
        <f>IF(ISNUMBER(deployment_raw[[#This Row],[Column8]]), (deployment_raw[[#This Row],[Column8]]  * IF($E$2="Deployment",deployment_raw[[#This Row],[Column5]],1)),"")</f>
        <v>0</v>
      </c>
      <c r="L16" s="36">
        <f>IF(ISNUMBER(deployment_raw[[#This Row],[Column18]]), deployment_raw[[#This Row],[Column18]]/IF(OR($E$2="Deployment",deployment_raw[[#This Row],[Column5]]=0),1,deployment_raw[[#This Row],[Column5]])/1048576,"")</f>
        <v>0</v>
      </c>
      <c r="M16" s="37">
        <f>IF(ISNUMBER(deployment_raw[[#This Row],[Column15]]), deployment_raw[[#This Row],[Column15]]/IF(OR($E$2="Deployment",deployment_raw[[#This Row],[Column5]]=0),1,deployment_raw[[#This Row],[Column5]])/1048576,"")</f>
        <v>0</v>
      </c>
      <c r="N16" s="81">
        <f>IF(ISNUMBER(deployment_raw[[#This Row],[Column20]]), IF(O16&lt;&gt;0,deployment_raw[[#This Row],[Column20]]/IF(OR($E$2="Deployment",deployment_raw[[#This Row],[Column5]]=0),1,deployment_raw[[#This Row],[Column5]])/1048576/O16,0),"")</f>
        <v>0</v>
      </c>
      <c r="O16" s="74">
        <f>IF(ISNUMBER(deployment_raw[[#This Row],[Column7]]), (deployment_raw[[#This Row],[Column7]] * IF($E$2="Deployment",deployment_raw[[#This Row],[Column5]],1))/1048576,"")</f>
        <v>0</v>
      </c>
      <c r="P16" s="81">
        <f>IF(ISNUMBER(deployment_raw[[#This Row],[Column20]]), IF(Q16&lt;&gt;0,deployment_raw[[#This Row],[Column20]]/IF(OR($E$2="Deployment",deployment_raw[[#This Row],[Column5]]=0),1,deployment_raw[[#This Row],[Column5]])/1048576/Q16,0),"")</f>
        <v>0</v>
      </c>
      <c r="Q16" s="76">
        <f>IF(ISNUMBER(deployment_raw[[#This Row],[Column9]]), (deployment_raw[[#This Row],[Column9]] * IF($E$2="Deployment",deployment_raw[[#This Row],[Column5]],1))/1048576,"")</f>
        <v>0</v>
      </c>
      <c r="R16" s="57">
        <f>IF(ISNUMBER(deployment_raw[[#This Row],[Column10]]), (deployment_raw[[#This Row],[Column10]] * IF($E$2="Deployment",deployment_raw[[#This Row],[Column5]],1)),"")</f>
        <v>0</v>
      </c>
      <c r="S16" s="48">
        <f>IF(ISNUMBER(deployment_raw[[#This Row],[Column11]]), (deployment_raw[[#This Row],[Column11]] * IF($E$2="Deployment",deployment_raw[[#This Row],[Column5]],1))/1048576,"")</f>
        <v>0</v>
      </c>
      <c r="T16" s="59">
        <f>IF(ISNUMBER(deployment_raw[[#This Row],[Column8]]),IF(OR(deployment_raw[[#This Row],[Column5]] &lt;&gt; 0,$E$2 &lt;&gt; "Deployment"), MAX(V16, ($T$2 * IF($E$2="Deployment",deployment_raw[[#This Row],[Column5]],1))), 0),"")</f>
        <v>50</v>
      </c>
      <c r="U16" s="50">
        <f>IF(ISNUMBER(deployment_raw[[#This Row],[Column9]]),IF(OR(deployment_raw[[#This Row],[Column5]] &lt;&gt; 0,$E$2&lt;&gt;"Deployment"), MAX(W16, ($U$2 * IF($E$2="Deployment",deployment_raw[[#This Row],[Column5]],1))), 0),"")</f>
        <v>25</v>
      </c>
      <c r="V16" s="15">
        <f>IF(ISNUMBER(deployment_raw[[#This Row],[Column12]]), (deployment_raw[[#This Row],[Column12]] * IF($E$2="Deployment",deployment_raw[[#This Row],[Column5]],1)*(1+$V$2)),"")</f>
        <v>0</v>
      </c>
      <c r="W16" s="14">
        <f>IF(ISNUMBER(deployment_raw[[#This Row],[Column13]]), (deployment_raw[[#This Row],[Column13]] * IF($E$2="Deployment",deployment_raw[[#This Row],[Column5]],1)*(1+$W$2))/1048576,"")</f>
        <v>0</v>
      </c>
    </row>
    <row r="17" spans="1:23" x14ac:dyDescent="0.25">
      <c r="A17" s="5" t="str">
        <f>IF(ISNONTEXT(deployment_raw[[#This Row],[Column1]]), "", deployment_raw[[#This Row],[Column1]])</f>
        <v>my-cluster-kafka-exporter</v>
      </c>
      <c r="B17" s="6" t="str">
        <f>IF(ISNONTEXT(deployment_raw[[#This Row],[Column2]]), "", deployment_raw[[#This Row],[Column2]])</f>
        <v>deployment</v>
      </c>
      <c r="C17" s="6" t="str">
        <f>IF(ISNONTEXT(deployment_raw[[#This Row],[Column3]]), "", deployment_raw[[#This Row],[Column3]])</f>
        <v>myproject</v>
      </c>
      <c r="D17" s="6" t="str">
        <f>IF(ISNONTEXT(deployment_raw[[#This Row],[Column4]]), "", deployment_raw[[#This Row],[Column4]])</f>
        <v>&lt;none&gt;</v>
      </c>
      <c r="E17" s="7">
        <f>IF(ISNUMBER(deployment_raw[[#This Row],[Column5]]), deployment_raw[[#This Row],[Column5]],"")</f>
        <v>1</v>
      </c>
      <c r="F17" s="32">
        <f>IF(ISNUMBER(deployment_raw[[#This Row],[Column17]]), deployment_raw[[#This Row],[Column17]]/IF(OR($E$2="Deployment",deployment_raw[[#This Row],[Column5]]=0),1,deployment_raw[[#This Row],[Column5]]),"")</f>
        <v>0</v>
      </c>
      <c r="G17" s="42">
        <f>IF(ISNUMBER(deployment_raw[[#This Row],[Column14]]), deployment_raw[[#This Row],[Column14]]/IF(OR($E$2="Deployment",deployment_raw[[#This Row],[Column5]]=0),1,deployment_raw[[#This Row],[Column5]]),"")</f>
        <v>0</v>
      </c>
      <c r="H17" s="79">
        <f>IF(ISNUMBER(deployment_raw[[#This Row],[Column19]]), IF(I17&lt;&gt;0,(deployment_raw[[#This Row],[Column19]]/IF(OR($E$2="Deployment",deployment_raw[[#This Row],[Column5]]=0),1,deployment_raw[[#This Row],[Column5]]))/I17,0),"")</f>
        <v>0</v>
      </c>
      <c r="I17" s="69">
        <f>IF(ISNUMBER(deployment_raw[[#This Row],[Column6]]), (deployment_raw[[#This Row],[Column6]] * IF($E$2="Deployment",deployment_raw[[#This Row],[Column5]],1)),"")</f>
        <v>0</v>
      </c>
      <c r="J17" s="79">
        <f>IF(ISNUMBER(deployment_raw[[#This Row],[Column19]]), IF(K17&lt;&gt;0,(deployment_raw[[#This Row],[Column19]]/IF(OR($E$2="Deployment",deployment_raw[[#This Row],[Column5]]=0),1,deployment_raw[[#This Row],[Column5]]))/K17,0),"")</f>
        <v>0</v>
      </c>
      <c r="K17" s="72">
        <f>IF(ISNUMBER(deployment_raw[[#This Row],[Column8]]), (deployment_raw[[#This Row],[Column8]]  * IF($E$2="Deployment",deployment_raw[[#This Row],[Column5]],1)),"")</f>
        <v>0</v>
      </c>
      <c r="L17" s="36">
        <f>IF(ISNUMBER(deployment_raw[[#This Row],[Column18]]), deployment_raw[[#This Row],[Column18]]/IF(OR($E$2="Deployment",deployment_raw[[#This Row],[Column5]]=0),1,deployment_raw[[#This Row],[Column5]])/1048576,"")</f>
        <v>0</v>
      </c>
      <c r="M17" s="37">
        <f>IF(ISNUMBER(deployment_raw[[#This Row],[Column15]]), deployment_raw[[#This Row],[Column15]]/IF(OR($E$2="Deployment",deployment_raw[[#This Row],[Column5]]=0),1,deployment_raw[[#This Row],[Column5]])/1048576,"")</f>
        <v>0</v>
      </c>
      <c r="N17" s="81">
        <f>IF(ISNUMBER(deployment_raw[[#This Row],[Column20]]), IF(O17&lt;&gt;0,deployment_raw[[#This Row],[Column20]]/IF(OR($E$2="Deployment",deployment_raw[[#This Row],[Column5]]=0),1,deployment_raw[[#This Row],[Column5]])/1048576/O17,0),"")</f>
        <v>0</v>
      </c>
      <c r="O17" s="74">
        <f>IF(ISNUMBER(deployment_raw[[#This Row],[Column7]]), (deployment_raw[[#This Row],[Column7]] * IF($E$2="Deployment",deployment_raw[[#This Row],[Column5]],1))/1048576,"")</f>
        <v>0</v>
      </c>
      <c r="P17" s="81">
        <f>IF(ISNUMBER(deployment_raw[[#This Row],[Column20]]), IF(Q17&lt;&gt;0,deployment_raw[[#This Row],[Column20]]/IF(OR($E$2="Deployment",deployment_raw[[#This Row],[Column5]]=0),1,deployment_raw[[#This Row],[Column5]])/1048576/Q17,0),"")</f>
        <v>0</v>
      </c>
      <c r="Q17" s="76">
        <f>IF(ISNUMBER(deployment_raw[[#This Row],[Column9]]), (deployment_raw[[#This Row],[Column9]] * IF($E$2="Deployment",deployment_raw[[#This Row],[Column5]],1))/1048576,"")</f>
        <v>0</v>
      </c>
      <c r="R17" s="57">
        <f>IF(ISNUMBER(deployment_raw[[#This Row],[Column10]]), (deployment_raw[[#This Row],[Column10]] * IF($E$2="Deployment",deployment_raw[[#This Row],[Column5]],1)),"")</f>
        <v>0</v>
      </c>
      <c r="S17" s="48">
        <f>IF(ISNUMBER(deployment_raw[[#This Row],[Column11]]), (deployment_raw[[#This Row],[Column11]] * IF($E$2="Deployment",deployment_raw[[#This Row],[Column5]],1))/1048576,"")</f>
        <v>0</v>
      </c>
      <c r="T17" s="59">
        <f>IF(ISNUMBER(deployment_raw[[#This Row],[Column8]]),IF(OR(deployment_raw[[#This Row],[Column5]] &lt;&gt; 0,$E$2 &lt;&gt; "Deployment"), MAX(V17, ($T$2 * IF($E$2="Deployment",deployment_raw[[#This Row],[Column5]],1))), 0),"")</f>
        <v>50</v>
      </c>
      <c r="U17" s="50">
        <f>IF(ISNUMBER(deployment_raw[[#This Row],[Column9]]),IF(OR(deployment_raw[[#This Row],[Column5]] &lt;&gt; 0,$E$2&lt;&gt;"Deployment"), MAX(W17, ($U$2 * IF($E$2="Deployment",deployment_raw[[#This Row],[Column5]],1))), 0),"")</f>
        <v>25</v>
      </c>
      <c r="V17" s="15">
        <f>IF(ISNUMBER(deployment_raw[[#This Row],[Column12]]), (deployment_raw[[#This Row],[Column12]] * IF($E$2="Deployment",deployment_raw[[#This Row],[Column5]],1)*(1+$V$2)),"")</f>
        <v>0</v>
      </c>
      <c r="W17" s="14">
        <f>IF(ISNUMBER(deployment_raw[[#This Row],[Column13]]), (deployment_raw[[#This Row],[Column13]] * IF($E$2="Deployment",deployment_raw[[#This Row],[Column5]],1)*(1+$W$2))/1048576,"")</f>
        <v>0</v>
      </c>
    </row>
    <row r="18" spans="1:23" x14ac:dyDescent="0.25">
      <c r="A18" s="5" t="str">
        <f>IF(ISNONTEXT(deployment_raw[[#This Row],[Column1]]), "", deployment_raw[[#This Row],[Column1]])</f>
        <v>producer</v>
      </c>
      <c r="B18" s="6" t="str">
        <f>IF(ISNONTEXT(deployment_raw[[#This Row],[Column2]]), "", deployment_raw[[#This Row],[Column2]])</f>
        <v>deployment</v>
      </c>
      <c r="C18" s="6" t="str">
        <f>IF(ISNONTEXT(deployment_raw[[#This Row],[Column3]]), "", deployment_raw[[#This Row],[Column3]])</f>
        <v>myproject</v>
      </c>
      <c r="D18" s="6" t="str">
        <f>IF(ISNONTEXT(deployment_raw[[#This Row],[Column4]]), "", deployment_raw[[#This Row],[Column4]])</f>
        <v>&lt;none&gt;</v>
      </c>
      <c r="E18" s="7">
        <f>IF(ISNUMBER(deployment_raw[[#This Row],[Column5]]), deployment_raw[[#This Row],[Column5]],"")</f>
        <v>1</v>
      </c>
      <c r="F18" s="32">
        <f>IF(ISNUMBER(deployment_raw[[#This Row],[Column17]]), deployment_raw[[#This Row],[Column17]]/IF(OR($E$2="Deployment",deployment_raw[[#This Row],[Column5]]=0),1,deployment_raw[[#This Row],[Column5]]),"")</f>
        <v>0</v>
      </c>
      <c r="G18" s="42">
        <f>IF(ISNUMBER(deployment_raw[[#This Row],[Column14]]), deployment_raw[[#This Row],[Column14]]/IF(OR($E$2="Deployment",deployment_raw[[#This Row],[Column5]]=0),1,deployment_raw[[#This Row],[Column5]]),"")</f>
        <v>0</v>
      </c>
      <c r="H18" s="79">
        <f>IF(ISNUMBER(deployment_raw[[#This Row],[Column19]]), IF(I18&lt;&gt;0,(deployment_raw[[#This Row],[Column19]]/IF(OR($E$2="Deployment",deployment_raw[[#This Row],[Column5]]=0),1,deployment_raw[[#This Row],[Column5]]))/I18,0),"")</f>
        <v>0</v>
      </c>
      <c r="I18" s="69">
        <f>IF(ISNUMBER(deployment_raw[[#This Row],[Column6]]), (deployment_raw[[#This Row],[Column6]] * IF($E$2="Deployment",deployment_raw[[#This Row],[Column5]],1)),"")</f>
        <v>0</v>
      </c>
      <c r="J18" s="79">
        <f>IF(ISNUMBER(deployment_raw[[#This Row],[Column19]]), IF(K18&lt;&gt;0,(deployment_raw[[#This Row],[Column19]]/IF(OR($E$2="Deployment",deployment_raw[[#This Row],[Column5]]=0),1,deployment_raw[[#This Row],[Column5]]))/K18,0),"")</f>
        <v>0</v>
      </c>
      <c r="K18" s="72">
        <f>IF(ISNUMBER(deployment_raw[[#This Row],[Column8]]), (deployment_raw[[#This Row],[Column8]]  * IF($E$2="Deployment",deployment_raw[[#This Row],[Column5]],1)),"")</f>
        <v>0</v>
      </c>
      <c r="L18" s="36">
        <f>IF(ISNUMBER(deployment_raw[[#This Row],[Column18]]), deployment_raw[[#This Row],[Column18]]/IF(OR($E$2="Deployment",deployment_raw[[#This Row],[Column5]]=0),1,deployment_raw[[#This Row],[Column5]])/1048576,"")</f>
        <v>0</v>
      </c>
      <c r="M18" s="37">
        <f>IF(ISNUMBER(deployment_raw[[#This Row],[Column15]]), deployment_raw[[#This Row],[Column15]]/IF(OR($E$2="Deployment",deployment_raw[[#This Row],[Column5]]=0),1,deployment_raw[[#This Row],[Column5]])/1048576,"")</f>
        <v>0</v>
      </c>
      <c r="N18" s="81">
        <f>IF(ISNUMBER(deployment_raw[[#This Row],[Column20]]), IF(O18&lt;&gt;0,deployment_raw[[#This Row],[Column20]]/IF(OR($E$2="Deployment",deployment_raw[[#This Row],[Column5]]=0),1,deployment_raw[[#This Row],[Column5]])/1048576/O18,0),"")</f>
        <v>0</v>
      </c>
      <c r="O18" s="74">
        <f>IF(ISNUMBER(deployment_raw[[#This Row],[Column7]]), (deployment_raw[[#This Row],[Column7]] * IF($E$2="Deployment",deployment_raw[[#This Row],[Column5]],1))/1048576,"")</f>
        <v>0</v>
      </c>
      <c r="P18" s="81">
        <f>IF(ISNUMBER(deployment_raw[[#This Row],[Column20]]), IF(Q18&lt;&gt;0,deployment_raw[[#This Row],[Column20]]/IF(OR($E$2="Deployment",deployment_raw[[#This Row],[Column5]]=0),1,deployment_raw[[#This Row],[Column5]])/1048576/Q18,0),"")</f>
        <v>0</v>
      </c>
      <c r="Q18" s="76">
        <f>IF(ISNUMBER(deployment_raw[[#This Row],[Column9]]), (deployment_raw[[#This Row],[Column9]] * IF($E$2="Deployment",deployment_raw[[#This Row],[Column5]],1))/1048576,"")</f>
        <v>0</v>
      </c>
      <c r="R18" s="57">
        <f>IF(ISNUMBER(deployment_raw[[#This Row],[Column10]]), (deployment_raw[[#This Row],[Column10]] * IF($E$2="Deployment",deployment_raw[[#This Row],[Column5]],1)),"")</f>
        <v>0</v>
      </c>
      <c r="S18" s="48">
        <f>IF(ISNUMBER(deployment_raw[[#This Row],[Column11]]), (deployment_raw[[#This Row],[Column11]] * IF($E$2="Deployment",deployment_raw[[#This Row],[Column5]],1))/1048576,"")</f>
        <v>0</v>
      </c>
      <c r="T18" s="59">
        <f>IF(ISNUMBER(deployment_raw[[#This Row],[Column8]]),IF(OR(deployment_raw[[#This Row],[Column5]] &lt;&gt; 0,$E$2 &lt;&gt; "Deployment"), MAX(V18, ($T$2 * IF($E$2="Deployment",deployment_raw[[#This Row],[Column5]],1))), 0),"")</f>
        <v>50</v>
      </c>
      <c r="U18" s="50">
        <f>IF(ISNUMBER(deployment_raw[[#This Row],[Column9]]),IF(OR(deployment_raw[[#This Row],[Column5]] &lt;&gt; 0,$E$2&lt;&gt;"Deployment"), MAX(W18, ($U$2 * IF($E$2="Deployment",deployment_raw[[#This Row],[Column5]],1))), 0),"")</f>
        <v>25</v>
      </c>
      <c r="V18" s="15">
        <f>IF(ISNUMBER(deployment_raw[[#This Row],[Column12]]), (deployment_raw[[#This Row],[Column12]] * IF($E$2="Deployment",deployment_raw[[#This Row],[Column5]],1)*(1+$V$2)),"")</f>
        <v>0</v>
      </c>
      <c r="W18" s="14">
        <f>IF(ISNUMBER(deployment_raw[[#This Row],[Column13]]), (deployment_raw[[#This Row],[Column13]] * IF($E$2="Deployment",deployment_raw[[#This Row],[Column5]],1)*(1+$W$2))/1048576,"")</f>
        <v>0</v>
      </c>
    </row>
    <row r="19" spans="1:23" x14ac:dyDescent="0.25">
      <c r="A19" s="5" t="str">
        <f>IF(ISNONTEXT(deployment_raw[[#This Row],[Column1]]), "", deployment_raw[[#This Row],[Column1]])</f>
        <v>strimzi-cluster-operator</v>
      </c>
      <c r="B19" s="6" t="str">
        <f>IF(ISNONTEXT(deployment_raw[[#This Row],[Column2]]), "", deployment_raw[[#This Row],[Column2]])</f>
        <v>deployment</v>
      </c>
      <c r="C19" s="6" t="str">
        <f>IF(ISNONTEXT(deployment_raw[[#This Row],[Column3]]), "", deployment_raw[[#This Row],[Column3]])</f>
        <v>myproject</v>
      </c>
      <c r="D19" s="6" t="str">
        <f>IF(ISNONTEXT(deployment_raw[[#This Row],[Column4]]), "", deployment_raw[[#This Row],[Column4]])</f>
        <v>&lt;none&gt;</v>
      </c>
      <c r="E19" s="7">
        <f>IF(ISNUMBER(deployment_raw[[#This Row],[Column5]]), deployment_raw[[#This Row],[Column5]],"")</f>
        <v>1</v>
      </c>
      <c r="F19" s="32">
        <f>IF(ISNUMBER(deployment_raw[[#This Row],[Column17]]), deployment_raw[[#This Row],[Column17]]/IF(OR($E$2="Deployment",deployment_raw[[#This Row],[Column5]]=0),1,deployment_raw[[#This Row],[Column5]]),"")</f>
        <v>0</v>
      </c>
      <c r="G19" s="42">
        <f>IF(ISNUMBER(deployment_raw[[#This Row],[Column14]]), deployment_raw[[#This Row],[Column14]]/IF(OR($E$2="Deployment",deployment_raw[[#This Row],[Column5]]=0),1,deployment_raw[[#This Row],[Column5]]),"")</f>
        <v>0</v>
      </c>
      <c r="H19" s="79">
        <f>IF(ISNUMBER(deployment_raw[[#This Row],[Column19]]), IF(I19&lt;&gt;0,(deployment_raw[[#This Row],[Column19]]/IF(OR($E$2="Deployment",deployment_raw[[#This Row],[Column5]]=0),1,deployment_raw[[#This Row],[Column5]]))/I19,0),"")</f>
        <v>0</v>
      </c>
      <c r="I19" s="69">
        <f>IF(ISNUMBER(deployment_raw[[#This Row],[Column6]]), (deployment_raw[[#This Row],[Column6]] * IF($E$2="Deployment",deployment_raw[[#This Row],[Column5]],1)),"")</f>
        <v>200</v>
      </c>
      <c r="J19" s="79">
        <f>IF(ISNUMBER(deployment_raw[[#This Row],[Column19]]), IF(K19&lt;&gt;0,(deployment_raw[[#This Row],[Column19]]/IF(OR($E$2="Deployment",deployment_raw[[#This Row],[Column5]]=0),1,deployment_raw[[#This Row],[Column5]]))/K19,0),"")</f>
        <v>0</v>
      </c>
      <c r="K19" s="72">
        <f>IF(ISNUMBER(deployment_raw[[#This Row],[Column8]]), (deployment_raw[[#This Row],[Column8]]  * IF($E$2="Deployment",deployment_raw[[#This Row],[Column5]],1)),"")</f>
        <v>1000</v>
      </c>
      <c r="L19" s="36">
        <f>IF(ISNUMBER(deployment_raw[[#This Row],[Column18]]), deployment_raw[[#This Row],[Column18]]/IF(OR($E$2="Deployment",deployment_raw[[#This Row],[Column5]]=0),1,deployment_raw[[#This Row],[Column5]])/1048576,"")</f>
        <v>0</v>
      </c>
      <c r="M19" s="37">
        <f>IF(ISNUMBER(deployment_raw[[#This Row],[Column15]]), deployment_raw[[#This Row],[Column15]]/IF(OR($E$2="Deployment",deployment_raw[[#This Row],[Column5]]=0),1,deployment_raw[[#This Row],[Column5]])/1048576,"")</f>
        <v>0</v>
      </c>
      <c r="N19" s="81">
        <f>IF(ISNUMBER(deployment_raw[[#This Row],[Column20]]), IF(O19&lt;&gt;0,deployment_raw[[#This Row],[Column20]]/IF(OR($E$2="Deployment",deployment_raw[[#This Row],[Column5]]=0),1,deployment_raw[[#This Row],[Column5]])/1048576/O19,0),"")</f>
        <v>0</v>
      </c>
      <c r="O19" s="74">
        <f>IF(ISNUMBER(deployment_raw[[#This Row],[Column7]]), (deployment_raw[[#This Row],[Column7]] * IF($E$2="Deployment",deployment_raw[[#This Row],[Column5]],1))/1048576,"")</f>
        <v>256</v>
      </c>
      <c r="P19" s="81">
        <f>IF(ISNUMBER(deployment_raw[[#This Row],[Column20]]), IF(Q19&lt;&gt;0,deployment_raw[[#This Row],[Column20]]/IF(OR($E$2="Deployment",deployment_raw[[#This Row],[Column5]]=0),1,deployment_raw[[#This Row],[Column5]])/1048576/Q19,0),"")</f>
        <v>0</v>
      </c>
      <c r="Q19" s="76">
        <f>IF(ISNUMBER(deployment_raw[[#This Row],[Column9]]), (deployment_raw[[#This Row],[Column9]] * IF($E$2="Deployment",deployment_raw[[#This Row],[Column5]],1))/1048576,"")</f>
        <v>256</v>
      </c>
      <c r="R19" s="57">
        <f>IF(ISNUMBER(deployment_raw[[#This Row],[Column10]]), (deployment_raw[[#This Row],[Column10]] * IF($E$2="Deployment",deployment_raw[[#This Row],[Column5]],1)),"")</f>
        <v>200</v>
      </c>
      <c r="S19" s="48">
        <f>IF(ISNUMBER(deployment_raw[[#This Row],[Column11]]), (deployment_raw[[#This Row],[Column11]] * IF($E$2="Deployment",deployment_raw[[#This Row],[Column5]],1))/1048576,"")</f>
        <v>256</v>
      </c>
      <c r="T19" s="59">
        <f>IF(ISNUMBER(deployment_raw[[#This Row],[Column8]]),IF(OR(deployment_raw[[#This Row],[Column5]] &lt;&gt; 0,$E$2 &lt;&gt; "Deployment"), MAX(V19, ($T$2 * IF($E$2="Deployment",deployment_raw[[#This Row],[Column5]],1))), 0),"")</f>
        <v>1000</v>
      </c>
      <c r="U19" s="50">
        <f>IF(ISNUMBER(deployment_raw[[#This Row],[Column9]]),IF(OR(deployment_raw[[#This Row],[Column5]] &lt;&gt; 0,$E$2&lt;&gt;"Deployment"), MAX(W19, ($U$2 * IF($E$2="Deployment",deployment_raw[[#This Row],[Column5]],1))), 0),"")</f>
        <v>256</v>
      </c>
      <c r="V19" s="15">
        <f>IF(ISNUMBER(deployment_raw[[#This Row],[Column12]]), (deployment_raw[[#This Row],[Column12]] * IF($E$2="Deployment",deployment_raw[[#This Row],[Column5]],1)*(1+$V$2)),"")</f>
        <v>1000</v>
      </c>
      <c r="W19" s="14">
        <f>IF(ISNUMBER(deployment_raw[[#This Row],[Column13]]), (deployment_raw[[#This Row],[Column13]] * IF($E$2="Deployment",deployment_raw[[#This Row],[Column5]],1)*(1+$W$2))/1048576,"")</f>
        <v>256</v>
      </c>
    </row>
    <row r="20" spans="1:23" ht="15.75" customHeight="1" x14ac:dyDescent="0.25">
      <c r="A20" s="5" t="str">
        <f>IF(ISNONTEXT(deployment_raw[[#This Row],[Column1]]), "", deployment_raw[[#This Row],[Column1]])</f>
        <v>jaeger-operator</v>
      </c>
      <c r="B20" s="6" t="str">
        <f>IF(ISNONTEXT(deployment_raw[[#This Row],[Column2]]), "", deployment_raw[[#This Row],[Column2]])</f>
        <v>deployment</v>
      </c>
      <c r="C20" s="6" t="str">
        <f>IF(ISNONTEXT(deployment_raw[[#This Row],[Column3]]), "", deployment_raw[[#This Row],[Column3]])</f>
        <v>observability</v>
      </c>
      <c r="D20" s="6" t="str">
        <f>IF(ISNONTEXT(deployment_raw[[#This Row],[Column4]]), "", deployment_raw[[#This Row],[Column4]])</f>
        <v>&lt;none&gt;</v>
      </c>
      <c r="E20" s="7">
        <f>IF(ISNUMBER(deployment_raw[[#This Row],[Column5]]), deployment_raw[[#This Row],[Column5]],"")</f>
        <v>1</v>
      </c>
      <c r="F20" s="32">
        <f>IF(ISNUMBER(deployment_raw[[#This Row],[Column17]]), deployment_raw[[#This Row],[Column17]]/IF(OR($E$2="Deployment",deployment_raw[[#This Row],[Column5]]=0),1,deployment_raw[[#This Row],[Column5]]),"")</f>
        <v>0</v>
      </c>
      <c r="G20" s="42">
        <f>IF(ISNUMBER(deployment_raw[[#This Row],[Column14]]), deployment_raw[[#This Row],[Column14]]/IF(OR($E$2="Deployment",deployment_raw[[#This Row],[Column5]]=0),1,deployment_raw[[#This Row],[Column5]]),"")</f>
        <v>0</v>
      </c>
      <c r="H20" s="79">
        <f>IF(ISNUMBER(deployment_raw[[#This Row],[Column19]]), IF(I20&lt;&gt;0,(deployment_raw[[#This Row],[Column19]]/IF(OR($E$2="Deployment",deployment_raw[[#This Row],[Column5]]=0),1,deployment_raw[[#This Row],[Column5]]))/I20,0),"")</f>
        <v>0</v>
      </c>
      <c r="I20" s="69">
        <f>IF(ISNUMBER(deployment_raw[[#This Row],[Column6]]), (deployment_raw[[#This Row],[Column6]] * IF($E$2="Deployment",deployment_raw[[#This Row],[Column5]],1)),"")</f>
        <v>100</v>
      </c>
      <c r="J20" s="79">
        <f>IF(ISNUMBER(deployment_raw[[#This Row],[Column19]]), IF(K20&lt;&gt;0,(deployment_raw[[#This Row],[Column19]]/IF(OR($E$2="Deployment",deployment_raw[[#This Row],[Column5]]=0),1,deployment_raw[[#This Row],[Column5]]))/K20,0),"")</f>
        <v>0</v>
      </c>
      <c r="K20" s="72">
        <f>IF(ISNUMBER(deployment_raw[[#This Row],[Column8]]), (deployment_raw[[#This Row],[Column8]]  * IF($E$2="Deployment",deployment_raw[[#This Row],[Column5]],1)),"")</f>
        <v>500</v>
      </c>
      <c r="L20" s="36">
        <f>IF(ISNUMBER(deployment_raw[[#This Row],[Column18]]), deployment_raw[[#This Row],[Column18]]/IF(OR($E$2="Deployment",deployment_raw[[#This Row],[Column5]]=0),1,deployment_raw[[#This Row],[Column5]])/1048576,"")</f>
        <v>0</v>
      </c>
      <c r="M20" s="37">
        <f>IF(ISNUMBER(deployment_raw[[#This Row],[Column15]]), deployment_raw[[#This Row],[Column15]]/IF(OR($E$2="Deployment",deployment_raw[[#This Row],[Column5]]=0),1,deployment_raw[[#This Row],[Column5]])/1048576,"")</f>
        <v>0</v>
      </c>
      <c r="N20" s="81">
        <f>IF(ISNUMBER(deployment_raw[[#This Row],[Column20]]), IF(O20&lt;&gt;0,deployment_raw[[#This Row],[Column20]]/IF(OR($E$2="Deployment",deployment_raw[[#This Row],[Column5]]=0),1,deployment_raw[[#This Row],[Column5]])/1048576/O20,0),"")</f>
        <v>0</v>
      </c>
      <c r="O20" s="74">
        <f>IF(ISNUMBER(deployment_raw[[#This Row],[Column7]]), (deployment_raw[[#This Row],[Column7]] * IF($E$2="Deployment",deployment_raw[[#This Row],[Column5]],1))/1048576,"")</f>
        <v>128</v>
      </c>
      <c r="P20" s="81">
        <f>IF(ISNUMBER(deployment_raw[[#This Row],[Column20]]), IF(Q20&lt;&gt;0,deployment_raw[[#This Row],[Column20]]/IF(OR($E$2="Deployment",deployment_raw[[#This Row],[Column5]]=0),1,deployment_raw[[#This Row],[Column5]])/1048576/Q20,0),"")</f>
        <v>0</v>
      </c>
      <c r="Q20" s="76">
        <f>IF(ISNUMBER(deployment_raw[[#This Row],[Column9]]), (deployment_raw[[#This Row],[Column9]] * IF($E$2="Deployment",deployment_raw[[#This Row],[Column5]],1))/1048576,"")</f>
        <v>512</v>
      </c>
      <c r="R20" s="57">
        <f>IF(ISNUMBER(deployment_raw[[#This Row],[Column10]]), (deployment_raw[[#This Row],[Column10]] * IF($E$2="Deployment",deployment_raw[[#This Row],[Column5]],1)),"")</f>
        <v>100</v>
      </c>
      <c r="S20" s="48">
        <f>IF(ISNUMBER(deployment_raw[[#This Row],[Column11]]), (deployment_raw[[#This Row],[Column11]] * IF($E$2="Deployment",deployment_raw[[#This Row],[Column5]],1))/1048576,"")</f>
        <v>128</v>
      </c>
      <c r="T20" s="59">
        <f>IF(ISNUMBER(deployment_raw[[#This Row],[Column8]]),IF(OR(deployment_raw[[#This Row],[Column5]] &lt;&gt; 0,$E$2 &lt;&gt; "Deployment"), MAX(V20, ($T$2 * IF($E$2="Deployment",deployment_raw[[#This Row],[Column5]],1))), 0),"")</f>
        <v>500</v>
      </c>
      <c r="U20" s="50">
        <f>IF(ISNUMBER(deployment_raw[[#This Row],[Column9]]),IF(OR(deployment_raw[[#This Row],[Column5]] &lt;&gt; 0,$E$2&lt;&gt;"Deployment"), MAX(W20, ($U$2 * IF($E$2="Deployment",deployment_raw[[#This Row],[Column5]],1))), 0),"")</f>
        <v>512</v>
      </c>
      <c r="V20" s="15">
        <f>IF(ISNUMBER(deployment_raw[[#This Row],[Column12]]), (deployment_raw[[#This Row],[Column12]] * IF($E$2="Deployment",deployment_raw[[#This Row],[Column5]],1)*(1+$V$2)),"")</f>
        <v>500</v>
      </c>
      <c r="W20" s="14">
        <f>IF(ISNUMBER(deployment_raw[[#This Row],[Column13]]), (deployment_raw[[#This Row],[Column13]] * IF($E$2="Deployment",deployment_raw[[#This Row],[Column5]],1)*(1+$W$2))/1048576,"")</f>
        <v>512</v>
      </c>
    </row>
    <row r="21" spans="1:23" ht="15.75" customHeight="1" x14ac:dyDescent="0.25">
      <c r="A21" s="5" t="str">
        <f>IF(ISNONTEXT(deployment_raw[[#This Row],[Column1]]), "", deployment_raw[[#This Row],[Column1]])</f>
        <v>cart</v>
      </c>
      <c r="B21" s="6" t="str">
        <f>IF(ISNONTEXT(deployment_raw[[#This Row],[Column2]]), "", deployment_raw[[#This Row],[Column2]])</f>
        <v>deployment</v>
      </c>
      <c r="C21" s="6" t="str">
        <f>IF(ISNONTEXT(deployment_raw[[#This Row],[Column3]]), "", deployment_raw[[#This Row],[Column3]])</f>
        <v>robot-shop</v>
      </c>
      <c r="D21" s="6" t="str">
        <f>IF(ISNONTEXT(deployment_raw[[#This Row],[Column4]]), "", deployment_raw[[#This Row],[Column4]])</f>
        <v>&lt;none&gt;</v>
      </c>
      <c r="E21" s="7">
        <f>IF(ISNUMBER(deployment_raw[[#This Row],[Column5]]), deployment_raw[[#This Row],[Column5]],"")</f>
        <v>1</v>
      </c>
      <c r="F21" s="32">
        <f>IF(ISNUMBER(deployment_raw[[#This Row],[Column17]]), deployment_raw[[#This Row],[Column17]]/IF(OR($E$2="Deployment",deployment_raw[[#This Row],[Column5]]=0),1,deployment_raw[[#This Row],[Column5]]),"")</f>
        <v>0</v>
      </c>
      <c r="G21" s="42">
        <f>IF(ISNUMBER(deployment_raw[[#This Row],[Column14]]), deployment_raw[[#This Row],[Column14]]/IF(OR($E$2="Deployment",deployment_raw[[#This Row],[Column5]]=0),1,deployment_raw[[#This Row],[Column5]]),"")</f>
        <v>889</v>
      </c>
      <c r="H21" s="79">
        <f>IF(ISNUMBER(deployment_raw[[#This Row],[Column19]]), IF(I21&lt;&gt;0,(deployment_raw[[#This Row],[Column19]]/IF(OR($E$2="Deployment",deployment_raw[[#This Row],[Column5]]=0),1,deployment_raw[[#This Row],[Column5]]))/I21,0),"")</f>
        <v>2.2749999999999999</v>
      </c>
      <c r="I21" s="69">
        <f>IF(ISNUMBER(deployment_raw[[#This Row],[Column6]]), (deployment_raw[[#This Row],[Column6]] * IF($E$2="Deployment",deployment_raw[[#This Row],[Column5]],1)),"")</f>
        <v>200</v>
      </c>
      <c r="J21" s="79">
        <f>IF(ISNUMBER(deployment_raw[[#This Row],[Column19]]), IF(K21&lt;&gt;0,(deployment_raw[[#This Row],[Column19]]/IF(OR($E$2="Deployment",deployment_raw[[#This Row],[Column5]]=0),1,deployment_raw[[#This Row],[Column5]]))/K21,0),"")</f>
        <v>0.22750000000000001</v>
      </c>
      <c r="K21" s="72">
        <f>IF(ISNUMBER(deployment_raw[[#This Row],[Column8]]), (deployment_raw[[#This Row],[Column8]]  * IF($E$2="Deployment",deployment_raw[[#This Row],[Column5]],1)),"")</f>
        <v>2000</v>
      </c>
      <c r="L21" s="36">
        <f>IF(ISNUMBER(deployment_raw[[#This Row],[Column18]]), deployment_raw[[#This Row],[Column18]]/IF(OR($E$2="Deployment",deployment_raw[[#This Row],[Column5]]=0),1,deployment_raw[[#This Row],[Column5]])/1048576,"")</f>
        <v>59.00380802154541</v>
      </c>
      <c r="M21" s="37">
        <f>IF(ISNUMBER(deployment_raw[[#This Row],[Column15]]), deployment_raw[[#This Row],[Column15]]/IF(OR($E$2="Deployment",deployment_raw[[#This Row],[Column5]]=0),1,deployment_raw[[#This Row],[Column5]])/1048576,"")</f>
        <v>92.578125</v>
      </c>
      <c r="N21" s="81">
        <f>IF(ISNUMBER(deployment_raw[[#This Row],[Column20]]), IF(O21&lt;&gt;0,deployment_raw[[#This Row],[Column20]]/IF(OR($E$2="Deployment",deployment_raw[[#This Row],[Column5]]=0),1,deployment_raw[[#This Row],[Column5]])/1048576/O21,0),"")</f>
        <v>0.86181873321533198</v>
      </c>
      <c r="O21" s="74">
        <f>IF(ISNUMBER(deployment_raw[[#This Row],[Column7]]), (deployment_raw[[#This Row],[Column7]] * IF($E$2="Deployment",deployment_raw[[#This Row],[Column5]],1))/1048576,"")</f>
        <v>100</v>
      </c>
      <c r="P21" s="81">
        <f>IF(ISNUMBER(deployment_raw[[#This Row],[Column20]]), IF(Q21&lt;&gt;0,deployment_raw[[#This Row],[Column20]]/IF(OR($E$2="Deployment",deployment_raw[[#This Row],[Column5]]=0),1,deployment_raw[[#This Row],[Column5]])/1048576/Q21,0),"")</f>
        <v>0.33664794266223907</v>
      </c>
      <c r="Q21" s="76">
        <f>IF(ISNUMBER(deployment_raw[[#This Row],[Column9]]), (deployment_raw[[#This Row],[Column9]] * IF($E$2="Deployment",deployment_raw[[#This Row],[Column5]],1))/1048576,"")</f>
        <v>256</v>
      </c>
      <c r="R21" s="57">
        <f>IF(ISNUMBER(deployment_raw[[#This Row],[Column10]]), (deployment_raw[[#This Row],[Column10]] * IF($E$2="Deployment",deployment_raw[[#This Row],[Column5]],1)),"")</f>
        <v>800</v>
      </c>
      <c r="S21" s="48">
        <f>IF(ISNUMBER(deployment_raw[[#This Row],[Column11]]), (deployment_raw[[#This Row],[Column11]] * IF($E$2="Deployment",deployment_raw[[#This Row],[Column5]],1))/1048576,"")</f>
        <v>96</v>
      </c>
      <c r="T21" s="59">
        <f>IF(ISNUMBER(deployment_raw[[#This Row],[Column8]]),IF(OR(deployment_raw[[#This Row],[Column5]] &lt;&gt; 0,$E$2 &lt;&gt; "Deployment"), MAX(V21, ($T$2 * IF($E$2="Deployment",deployment_raw[[#This Row],[Column5]],1))), 0),"")</f>
        <v>1500</v>
      </c>
      <c r="U21" s="50">
        <f>IF(ISNUMBER(deployment_raw[[#This Row],[Column9]]),IF(OR(deployment_raw[[#This Row],[Column5]] &lt;&gt; 0,$E$2&lt;&gt;"Deployment"), MAX(W21, ($U$2 * IF($E$2="Deployment",deployment_raw[[#This Row],[Column5]],1))), 0),"")</f>
        <v>112</v>
      </c>
      <c r="V21" s="15">
        <f>IF(ISNUMBER(deployment_raw[[#This Row],[Column12]]), (deployment_raw[[#This Row],[Column12]] * IF($E$2="Deployment",deployment_raw[[#This Row],[Column5]],1)*(1+$V$2)),"")</f>
        <v>1500</v>
      </c>
      <c r="W21" s="14">
        <f>IF(ISNUMBER(deployment_raw[[#This Row],[Column13]]), (deployment_raw[[#This Row],[Column13]] * IF($E$2="Deployment",deployment_raw[[#This Row],[Column5]],1)*(1+$W$2))/1048576,"")</f>
        <v>112</v>
      </c>
    </row>
    <row r="22" spans="1:23" ht="15.75" customHeight="1" x14ac:dyDescent="0.25">
      <c r="A22" s="5" t="str">
        <f>IF(ISNONTEXT(deployment_raw[[#This Row],[Column1]]), "", deployment_raw[[#This Row],[Column1]])</f>
        <v>catalogue</v>
      </c>
      <c r="B22" s="6" t="str">
        <f>IF(ISNONTEXT(deployment_raw[[#This Row],[Column2]]), "", deployment_raw[[#This Row],[Column2]])</f>
        <v>deployment</v>
      </c>
      <c r="C22" s="6" t="str">
        <f>IF(ISNONTEXT(deployment_raw[[#This Row],[Column3]]), "", deployment_raw[[#This Row],[Column3]])</f>
        <v>robot-shop</v>
      </c>
      <c r="D22" s="6" t="str">
        <f>IF(ISNONTEXT(deployment_raw[[#This Row],[Column4]]), "", deployment_raw[[#This Row],[Column4]])</f>
        <v>&lt;none&gt;</v>
      </c>
      <c r="E22" s="7">
        <f>IF(ISNUMBER(deployment_raw[[#This Row],[Column5]]), deployment_raw[[#This Row],[Column5]],"")</f>
        <v>1</v>
      </c>
      <c r="F22" s="32">
        <f>IF(ISNUMBER(deployment_raw[[#This Row],[Column17]]), deployment_raw[[#This Row],[Column17]]/IF(OR($E$2="Deployment",deployment_raw[[#This Row],[Column5]]=0),1,deployment_raw[[#This Row],[Column5]]),"")</f>
        <v>0</v>
      </c>
      <c r="G22" s="42">
        <f>IF(ISNUMBER(deployment_raw[[#This Row],[Column14]]), deployment_raw[[#This Row],[Column14]]/IF(OR($E$2="Deployment",deployment_raw[[#This Row],[Column5]]=0),1,deployment_raw[[#This Row],[Column5]]),"")</f>
        <v>853</v>
      </c>
      <c r="H22" s="79">
        <f>IF(ISNUMBER(deployment_raw[[#This Row],[Column19]]), IF(I22&lt;&gt;0,(deployment_raw[[#This Row],[Column19]]/IF(OR($E$2="Deployment",deployment_raw[[#This Row],[Column5]]=0),1,deployment_raw[[#This Row],[Column5]]))/I22,0),"")</f>
        <v>1.93</v>
      </c>
      <c r="I22" s="69">
        <f>IF(ISNUMBER(deployment_raw[[#This Row],[Column6]]), (deployment_raw[[#This Row],[Column6]] * IF($E$2="Deployment",deployment_raw[[#This Row],[Column5]],1)),"")</f>
        <v>200</v>
      </c>
      <c r="J22" s="79">
        <f>IF(ISNUMBER(deployment_raw[[#This Row],[Column19]]), IF(K22&lt;&gt;0,(deployment_raw[[#This Row],[Column19]]/IF(OR($E$2="Deployment",deployment_raw[[#This Row],[Column5]]=0),1,deployment_raw[[#This Row],[Column5]]))/K22,0),"")</f>
        <v>0.17545454545454545</v>
      </c>
      <c r="K22" s="72">
        <f>IF(ISNUMBER(deployment_raw[[#This Row],[Column8]]), (deployment_raw[[#This Row],[Column8]]  * IF($E$2="Deployment",deployment_raw[[#This Row],[Column5]],1)),"")</f>
        <v>2200</v>
      </c>
      <c r="L22" s="36">
        <f>IF(ISNUMBER(deployment_raw[[#This Row],[Column18]]), deployment_raw[[#This Row],[Column18]]/IF(OR($E$2="Deployment",deployment_raw[[#This Row],[Column5]]=0),1,deployment_raw[[#This Row],[Column5]])/1048576,"")</f>
        <v>69.046841621398926</v>
      </c>
      <c r="M22" s="37">
        <f>IF(ISNUMBER(deployment_raw[[#This Row],[Column15]]), deployment_raw[[#This Row],[Column15]]/IF(OR($E$2="Deployment",deployment_raw[[#This Row],[Column5]]=0),1,deployment_raw[[#This Row],[Column5]])/1048576,"")</f>
        <v>100.83203125</v>
      </c>
      <c r="N22" s="81">
        <f>IF(ISNUMBER(deployment_raw[[#This Row],[Column20]]), IF(O22&lt;&gt;0,deployment_raw[[#This Row],[Column20]]/IF(OR($E$2="Deployment",deployment_raw[[#This Row],[Column5]]=0),1,deployment_raw[[#This Row],[Column5]])/1048576/O22,0),"")</f>
        <v>0.97995565414428709</v>
      </c>
      <c r="O22" s="74">
        <f>IF(ISNUMBER(deployment_raw[[#This Row],[Column7]]), (deployment_raw[[#This Row],[Column7]] * IF($E$2="Deployment",deployment_raw[[#This Row],[Column5]],1))/1048576,"")</f>
        <v>100</v>
      </c>
      <c r="P22" s="81">
        <f>IF(ISNUMBER(deployment_raw[[#This Row],[Column20]]), IF(Q22&lt;&gt;0,deployment_raw[[#This Row],[Column20]]/IF(OR($E$2="Deployment",deployment_raw[[#This Row],[Column5]]=0),1,deployment_raw[[#This Row],[Column5]])/1048576/Q22,0),"")</f>
        <v>0.38279517740011215</v>
      </c>
      <c r="Q22" s="76">
        <f>IF(ISNUMBER(deployment_raw[[#This Row],[Column9]]), (deployment_raw[[#This Row],[Column9]] * IF($E$2="Deployment",deployment_raw[[#This Row],[Column5]],1))/1048576,"")</f>
        <v>256</v>
      </c>
      <c r="R22" s="57">
        <f>IF(ISNUMBER(deployment_raw[[#This Row],[Column10]]), (deployment_raw[[#This Row],[Column10]] * IF($E$2="Deployment",deployment_raw[[#This Row],[Column5]],1)),"")</f>
        <v>700</v>
      </c>
      <c r="S22" s="48">
        <f>IF(ISNUMBER(deployment_raw[[#This Row],[Column11]]), (deployment_raw[[#This Row],[Column11]] * IF($E$2="Deployment",deployment_raw[[#This Row],[Column5]],1))/1048576,"")</f>
        <v>112</v>
      </c>
      <c r="T22" s="59">
        <f>IF(ISNUMBER(deployment_raw[[#This Row],[Column8]]),IF(OR(deployment_raw[[#This Row],[Column5]] &lt;&gt; 0,$E$2 &lt;&gt; "Deployment"), MAX(V22, ($T$2 * IF($E$2="Deployment",deployment_raw[[#This Row],[Column5]],1))), 0),"")</f>
        <v>1500</v>
      </c>
      <c r="U22" s="50">
        <f>IF(ISNUMBER(deployment_raw[[#This Row],[Column9]]),IF(OR(deployment_raw[[#This Row],[Column5]] &lt;&gt; 0,$E$2&lt;&gt;"Deployment"), MAX(W22, ($U$2 * IF($E$2="Deployment",deployment_raw[[#This Row],[Column5]],1))), 0),"")</f>
        <v>128</v>
      </c>
      <c r="V22" s="15">
        <f>IF(ISNUMBER(deployment_raw[[#This Row],[Column12]]), (deployment_raw[[#This Row],[Column12]] * IF($E$2="Deployment",deployment_raw[[#This Row],[Column5]],1)*(1+$V$2)),"")</f>
        <v>1500</v>
      </c>
      <c r="W22" s="14">
        <f>IF(ISNUMBER(deployment_raw[[#This Row],[Column13]]), (deployment_raw[[#This Row],[Column13]] * IF($E$2="Deployment",deployment_raw[[#This Row],[Column5]],1)*(1+$W$2))/1048576,"")</f>
        <v>128</v>
      </c>
    </row>
    <row r="23" spans="1:23" ht="15.75" customHeight="1" x14ac:dyDescent="0.25">
      <c r="A23" s="5" t="str">
        <f>IF(ISNONTEXT(deployment_raw[[#This Row],[Column1]]), "", deployment_raw[[#This Row],[Column1]])</f>
        <v>dispatch</v>
      </c>
      <c r="B23" s="6" t="str">
        <f>IF(ISNONTEXT(deployment_raw[[#This Row],[Column2]]), "", deployment_raw[[#This Row],[Column2]])</f>
        <v>deployment</v>
      </c>
      <c r="C23" s="6" t="str">
        <f>IF(ISNONTEXT(deployment_raw[[#This Row],[Column3]]), "", deployment_raw[[#This Row],[Column3]])</f>
        <v>robot-shop</v>
      </c>
      <c r="D23" s="6" t="str">
        <f>IF(ISNONTEXT(deployment_raw[[#This Row],[Column4]]), "", deployment_raw[[#This Row],[Column4]])</f>
        <v>&lt;none&gt;</v>
      </c>
      <c r="E23" s="7">
        <f>IF(ISNUMBER(deployment_raw[[#This Row],[Column5]]), deployment_raw[[#This Row],[Column5]],"")</f>
        <v>1</v>
      </c>
      <c r="F23" s="32">
        <f>IF(ISNUMBER(deployment_raw[[#This Row],[Column17]]), deployment_raw[[#This Row],[Column17]]/IF(OR($E$2="Deployment",deployment_raw[[#This Row],[Column5]]=0),1,deployment_raw[[#This Row],[Column5]]),"")</f>
        <v>3</v>
      </c>
      <c r="G23" s="42">
        <f>IF(ISNUMBER(deployment_raw[[#This Row],[Column14]]), deployment_raw[[#This Row],[Column14]]/IF(OR($E$2="Deployment",deployment_raw[[#This Row],[Column5]]=0),1,deployment_raw[[#This Row],[Column5]]),"")</f>
        <v>6</v>
      </c>
      <c r="H23" s="79">
        <f>IF(ISNUMBER(deployment_raw[[#This Row],[Column19]]), IF(I23&lt;&gt;0,(deployment_raw[[#This Row],[Column19]]/IF(OR($E$2="Deployment",deployment_raw[[#This Row],[Column5]]=0),1,deployment_raw[[#This Row],[Column5]]))/I23,0),"")</f>
        <v>0.08</v>
      </c>
      <c r="I23" s="69">
        <f>IF(ISNUMBER(deployment_raw[[#This Row],[Column6]]), (deployment_raw[[#This Row],[Column6]] * IF($E$2="Deployment",deployment_raw[[#This Row],[Column5]],1)),"")</f>
        <v>50</v>
      </c>
      <c r="J23" s="79">
        <f>IF(ISNUMBER(deployment_raw[[#This Row],[Column19]]), IF(K23&lt;&gt;0,(deployment_raw[[#This Row],[Column19]]/IF(OR($E$2="Deployment",deployment_raw[[#This Row],[Column5]]=0),1,deployment_raw[[#This Row],[Column5]]))/K23,0),"")</f>
        <v>0.02</v>
      </c>
      <c r="K23" s="72">
        <f>IF(ISNUMBER(deployment_raw[[#This Row],[Column8]]), (deployment_raw[[#This Row],[Column8]]  * IF($E$2="Deployment",deployment_raw[[#This Row],[Column5]],1)),"")</f>
        <v>200</v>
      </c>
      <c r="L23" s="36">
        <f>IF(ISNUMBER(deployment_raw[[#This Row],[Column18]]), deployment_raw[[#This Row],[Column18]]/IF(OR($E$2="Deployment",deployment_raw[[#This Row],[Column5]]=0),1,deployment_raw[[#This Row],[Column5]])/1048576,"")</f>
        <v>23.193131446838379</v>
      </c>
      <c r="M23" s="37">
        <f>IF(ISNUMBER(deployment_raw[[#This Row],[Column15]]), deployment_raw[[#This Row],[Column15]]/IF(OR($E$2="Deployment",deployment_raw[[#This Row],[Column5]]=0),1,deployment_raw[[#This Row],[Column5]])/1048576,"")</f>
        <v>25.919921875</v>
      </c>
      <c r="N23" s="81">
        <f>IF(ISNUMBER(deployment_raw[[#This Row],[Column20]]), IF(O23&lt;&gt;0,deployment_raw[[#This Row],[Column20]]/IF(OR($E$2="Deployment",deployment_raw[[#This Row],[Column5]]=0),1,deployment_raw[[#This Row],[Column5]])/1048576/O23,0),"")</f>
        <v>0.2470519733428955</v>
      </c>
      <c r="O23" s="74">
        <f>IF(ISNUMBER(deployment_raw[[#This Row],[Column7]]), (deployment_raw[[#This Row],[Column7]] * IF($E$2="Deployment",deployment_raw[[#This Row],[Column5]],1))/1048576,"")</f>
        <v>100</v>
      </c>
      <c r="P23" s="81">
        <f>IF(ISNUMBER(deployment_raw[[#This Row],[Column20]]), IF(Q23&lt;&gt;0,deployment_raw[[#This Row],[Column20]]/IF(OR($E$2="Deployment",deployment_raw[[#This Row],[Column5]]=0),1,deployment_raw[[#This Row],[Column5]])/1048576/Q23,0),"")</f>
        <v>0.2470519733428955</v>
      </c>
      <c r="Q23" s="76">
        <f>IF(ISNUMBER(deployment_raw[[#This Row],[Column9]]), (deployment_raw[[#This Row],[Column9]] * IF($E$2="Deployment",deployment_raw[[#This Row],[Column5]],1))/1048576,"")</f>
        <v>100</v>
      </c>
      <c r="R23" s="57">
        <f>IF(ISNUMBER(deployment_raw[[#This Row],[Column10]]), (deployment_raw[[#This Row],[Column10]] * IF($E$2="Deployment",deployment_raw[[#This Row],[Column5]],1)),"")</f>
        <v>10</v>
      </c>
      <c r="S23" s="48">
        <f>IF(ISNUMBER(deployment_raw[[#This Row],[Column11]]), (deployment_raw[[#This Row],[Column11]] * IF($E$2="Deployment",deployment_raw[[#This Row],[Column5]],1))/1048576,"")</f>
        <v>32</v>
      </c>
      <c r="T23" s="59">
        <f>IF(ISNUMBER(deployment_raw[[#This Row],[Column8]]),IF(OR(deployment_raw[[#This Row],[Column5]] &lt;&gt; 0,$E$2 &lt;&gt; "Deployment"), MAX(V23, ($T$2 * IF($E$2="Deployment",deployment_raw[[#This Row],[Column5]],1))), 0),"")</f>
        <v>50</v>
      </c>
      <c r="U23" s="50">
        <f>IF(ISNUMBER(deployment_raw[[#This Row],[Column9]]),IF(OR(deployment_raw[[#This Row],[Column5]] &lt;&gt; 0,$E$2&lt;&gt;"Deployment"), MAX(W23, ($U$2 * IF($E$2="Deployment",deployment_raw[[#This Row],[Column5]],1))), 0),"")</f>
        <v>32</v>
      </c>
      <c r="V23" s="15">
        <f>IF(ISNUMBER(deployment_raw[[#This Row],[Column12]]), (deployment_raw[[#This Row],[Column12]] * IF($E$2="Deployment",deployment_raw[[#This Row],[Column5]],1)*(1+$V$2)),"")</f>
        <v>10</v>
      </c>
      <c r="W23" s="14">
        <f>IF(ISNUMBER(deployment_raw[[#This Row],[Column13]]), (deployment_raw[[#This Row],[Column13]] * IF($E$2="Deployment",deployment_raw[[#This Row],[Column5]],1)*(1+$W$2))/1048576,"")</f>
        <v>32</v>
      </c>
    </row>
    <row r="24" spans="1:23" ht="15.75" customHeight="1" x14ac:dyDescent="0.25">
      <c r="A24" s="5" t="str">
        <f>IF(ISNONTEXT(deployment_raw[[#This Row],[Column1]]), "", deployment_raw[[#This Row],[Column1]])</f>
        <v>ingress-nginx-controller</v>
      </c>
      <c r="B24" s="6" t="str">
        <f>IF(ISNONTEXT(deployment_raw[[#This Row],[Column2]]), "", deployment_raw[[#This Row],[Column2]])</f>
        <v>deployment</v>
      </c>
      <c r="C24" s="6" t="str">
        <f>IF(ISNONTEXT(deployment_raw[[#This Row],[Column3]]), "", deployment_raw[[#This Row],[Column3]])</f>
        <v>robot-shop</v>
      </c>
      <c r="D24" s="6" t="str">
        <f>IF(ISNONTEXT(deployment_raw[[#This Row],[Column4]]), "", deployment_raw[[#This Row],[Column4]])</f>
        <v>&lt;none&gt;</v>
      </c>
      <c r="E24" s="7">
        <f>IF(ISNUMBER(deployment_raw[[#This Row],[Column5]]), deployment_raw[[#This Row],[Column5]],"")</f>
        <v>1</v>
      </c>
      <c r="F24" s="32">
        <f>IF(ISNUMBER(deployment_raw[[#This Row],[Column17]]), deployment_raw[[#This Row],[Column17]]/IF(OR($E$2="Deployment",deployment_raw[[#This Row],[Column5]]=0),1,deployment_raw[[#This Row],[Column5]]),"")</f>
        <v>0</v>
      </c>
      <c r="G24" s="42">
        <f>IF(ISNUMBER(deployment_raw[[#This Row],[Column14]]), deployment_raw[[#This Row],[Column14]]/IF(OR($E$2="Deployment",deployment_raw[[#This Row],[Column5]]=0),1,deployment_raw[[#This Row],[Column5]]),"")</f>
        <v>0</v>
      </c>
      <c r="H24" s="79">
        <f>IF(ISNUMBER(deployment_raw[[#This Row],[Column19]]), IF(I24&lt;&gt;0,(deployment_raw[[#This Row],[Column19]]/IF(OR($E$2="Deployment",deployment_raw[[#This Row],[Column5]]=0),1,deployment_raw[[#This Row],[Column5]]))/I24,0),"")</f>
        <v>0</v>
      </c>
      <c r="I24" s="69">
        <f>IF(ISNUMBER(deployment_raw[[#This Row],[Column6]]), (deployment_raw[[#This Row],[Column6]] * IF($E$2="Deployment",deployment_raw[[#This Row],[Column5]],1)),"")</f>
        <v>100</v>
      </c>
      <c r="J24" s="79">
        <f>IF(ISNUMBER(deployment_raw[[#This Row],[Column19]]), IF(K24&lt;&gt;0,(deployment_raw[[#This Row],[Column19]]/IF(OR($E$2="Deployment",deployment_raw[[#This Row],[Column5]]=0),1,deployment_raw[[#This Row],[Column5]]))/K24,0),"")</f>
        <v>0</v>
      </c>
      <c r="K24" s="72">
        <f>IF(ISNUMBER(deployment_raw[[#This Row],[Column8]]), (deployment_raw[[#This Row],[Column8]]  * IF($E$2="Deployment",deployment_raw[[#This Row],[Column5]],1)),"")</f>
        <v>0</v>
      </c>
      <c r="L24" s="36">
        <f>IF(ISNUMBER(deployment_raw[[#This Row],[Column18]]), deployment_raw[[#This Row],[Column18]]/IF(OR($E$2="Deployment",deployment_raw[[#This Row],[Column5]]=0),1,deployment_raw[[#This Row],[Column5]])/1048576,"")</f>
        <v>0</v>
      </c>
      <c r="M24" s="37">
        <f>IF(ISNUMBER(deployment_raw[[#This Row],[Column15]]), deployment_raw[[#This Row],[Column15]]/IF(OR($E$2="Deployment",deployment_raw[[#This Row],[Column5]]=0),1,deployment_raw[[#This Row],[Column5]])/1048576,"")</f>
        <v>0</v>
      </c>
      <c r="N24" s="81">
        <f>IF(ISNUMBER(deployment_raw[[#This Row],[Column20]]), IF(O24&lt;&gt;0,deployment_raw[[#This Row],[Column20]]/IF(OR($E$2="Deployment",deployment_raw[[#This Row],[Column5]]=0),1,deployment_raw[[#This Row],[Column5]])/1048576/O24,0),"")</f>
        <v>0</v>
      </c>
      <c r="O24" s="74">
        <f>IF(ISNUMBER(deployment_raw[[#This Row],[Column7]]), (deployment_raw[[#This Row],[Column7]] * IF($E$2="Deployment",deployment_raw[[#This Row],[Column5]],1))/1048576,"")</f>
        <v>90</v>
      </c>
      <c r="P24" s="81">
        <f>IF(ISNUMBER(deployment_raw[[#This Row],[Column20]]), IF(Q24&lt;&gt;0,deployment_raw[[#This Row],[Column20]]/IF(OR($E$2="Deployment",deployment_raw[[#This Row],[Column5]]=0),1,deployment_raw[[#This Row],[Column5]])/1048576/Q24,0),"")</f>
        <v>0</v>
      </c>
      <c r="Q24" s="76">
        <f>IF(ISNUMBER(deployment_raw[[#This Row],[Column9]]), (deployment_raw[[#This Row],[Column9]] * IF($E$2="Deployment",deployment_raw[[#This Row],[Column5]],1))/1048576,"")</f>
        <v>0</v>
      </c>
      <c r="R24" s="57">
        <f>IF(ISNUMBER(deployment_raw[[#This Row],[Column10]]), (deployment_raw[[#This Row],[Column10]] * IF($E$2="Deployment",deployment_raw[[#This Row],[Column5]],1)),"")</f>
        <v>100</v>
      </c>
      <c r="S24" s="48">
        <f>IF(ISNUMBER(deployment_raw[[#This Row],[Column11]]), (deployment_raw[[#This Row],[Column11]] * IF($E$2="Deployment",deployment_raw[[#This Row],[Column5]],1))/1048576,"")</f>
        <v>90</v>
      </c>
      <c r="T24" s="59">
        <f>IF(ISNUMBER(deployment_raw[[#This Row],[Column8]]),IF(OR(deployment_raw[[#This Row],[Column5]] &lt;&gt; 0,$E$2 &lt;&gt; "Deployment"), MAX(V24, ($T$2 * IF($E$2="Deployment",deployment_raw[[#This Row],[Column5]],1))), 0),"")</f>
        <v>50</v>
      </c>
      <c r="U24" s="50">
        <f>IF(ISNUMBER(deployment_raw[[#This Row],[Column9]]),IF(OR(deployment_raw[[#This Row],[Column5]] &lt;&gt; 0,$E$2&lt;&gt;"Deployment"), MAX(W24, ($U$2 * IF($E$2="Deployment",deployment_raw[[#This Row],[Column5]],1))), 0),"")</f>
        <v>25</v>
      </c>
      <c r="V24" s="15">
        <f>IF(ISNUMBER(deployment_raw[[#This Row],[Column12]]), (deployment_raw[[#This Row],[Column12]] * IF($E$2="Deployment",deployment_raw[[#This Row],[Column5]],1)*(1+$V$2)),"")</f>
        <v>0</v>
      </c>
      <c r="W24" s="14">
        <f>IF(ISNUMBER(deployment_raw[[#This Row],[Column13]]), (deployment_raw[[#This Row],[Column13]] * IF($E$2="Deployment",deployment_raw[[#This Row],[Column5]],1)*(1+$W$2))/1048576,"")</f>
        <v>0</v>
      </c>
    </row>
    <row r="25" spans="1:23" ht="15.75" customHeight="1" x14ac:dyDescent="0.25">
      <c r="A25" s="5" t="str">
        <f>IF(ISNONTEXT(deployment_raw[[#This Row],[Column1]]), "", deployment_raw[[#This Row],[Column1]])</f>
        <v>mongo-ex-prometheus-mongodb-exporter</v>
      </c>
      <c r="B25" s="6" t="str">
        <f>IF(ISNONTEXT(deployment_raw[[#This Row],[Column2]]), "", deployment_raw[[#This Row],[Column2]])</f>
        <v>deployment</v>
      </c>
      <c r="C25" s="6" t="str">
        <f>IF(ISNONTEXT(deployment_raw[[#This Row],[Column3]]), "", deployment_raw[[#This Row],[Column3]])</f>
        <v>robot-shop</v>
      </c>
      <c r="D25" s="6" t="str">
        <f>IF(ISNONTEXT(deployment_raw[[#This Row],[Column4]]), "", deployment_raw[[#This Row],[Column4]])</f>
        <v>&lt;none&gt;</v>
      </c>
      <c r="E25" s="7">
        <f>IF(ISNUMBER(deployment_raw[[#This Row],[Column5]]), deployment_raw[[#This Row],[Column5]],"")</f>
        <v>1</v>
      </c>
      <c r="F25" s="32">
        <f>IF(ISNUMBER(deployment_raw[[#This Row],[Column17]]), deployment_raw[[#This Row],[Column17]]/IF(OR($E$2="Deployment",deployment_raw[[#This Row],[Column5]]=0),1,deployment_raw[[#This Row],[Column5]]),"")</f>
        <v>0</v>
      </c>
      <c r="G25" s="42">
        <f>IF(ISNUMBER(deployment_raw[[#This Row],[Column14]]), deployment_raw[[#This Row],[Column14]]/IF(OR($E$2="Deployment",deployment_raw[[#This Row],[Column5]]=0),1,deployment_raw[[#This Row],[Column5]]),"")</f>
        <v>0</v>
      </c>
      <c r="H25" s="79">
        <f>IF(ISNUMBER(deployment_raw[[#This Row],[Column19]]), IF(I25&lt;&gt;0,(deployment_raw[[#This Row],[Column19]]/IF(OR($E$2="Deployment",deployment_raw[[#This Row],[Column5]]=0),1,deployment_raw[[#This Row],[Column5]]))/I25,0),"")</f>
        <v>0</v>
      </c>
      <c r="I25" s="69">
        <f>IF(ISNUMBER(deployment_raw[[#This Row],[Column6]]), (deployment_raw[[#This Row],[Column6]] * IF($E$2="Deployment",deployment_raw[[#This Row],[Column5]],1)),"")</f>
        <v>0</v>
      </c>
      <c r="J25" s="79">
        <f>IF(ISNUMBER(deployment_raw[[#This Row],[Column19]]), IF(K25&lt;&gt;0,(deployment_raw[[#This Row],[Column19]]/IF(OR($E$2="Deployment",deployment_raw[[#This Row],[Column5]]=0),1,deployment_raw[[#This Row],[Column5]]))/K25,0),"")</f>
        <v>0</v>
      </c>
      <c r="K25" s="72">
        <f>IF(ISNUMBER(deployment_raw[[#This Row],[Column8]]), (deployment_raw[[#This Row],[Column8]]  * IF($E$2="Deployment",deployment_raw[[#This Row],[Column5]],1)),"")</f>
        <v>0</v>
      </c>
      <c r="L25" s="36">
        <f>IF(ISNUMBER(deployment_raw[[#This Row],[Column18]]), deployment_raw[[#This Row],[Column18]]/IF(OR($E$2="Deployment",deployment_raw[[#This Row],[Column5]]=0),1,deployment_raw[[#This Row],[Column5]])/1048576,"")</f>
        <v>0</v>
      </c>
      <c r="M25" s="37">
        <f>IF(ISNUMBER(deployment_raw[[#This Row],[Column15]]), deployment_raw[[#This Row],[Column15]]/IF(OR($E$2="Deployment",deployment_raw[[#This Row],[Column5]]=0),1,deployment_raw[[#This Row],[Column5]])/1048576,"")</f>
        <v>0</v>
      </c>
      <c r="N25" s="81">
        <f>IF(ISNUMBER(deployment_raw[[#This Row],[Column20]]), IF(O25&lt;&gt;0,deployment_raw[[#This Row],[Column20]]/IF(OR($E$2="Deployment",deployment_raw[[#This Row],[Column5]]=0),1,deployment_raw[[#This Row],[Column5]])/1048576/O25,0),"")</f>
        <v>0</v>
      </c>
      <c r="O25" s="74">
        <f>IF(ISNUMBER(deployment_raw[[#This Row],[Column7]]), (deployment_raw[[#This Row],[Column7]] * IF($E$2="Deployment",deployment_raw[[#This Row],[Column5]],1))/1048576,"")</f>
        <v>0</v>
      </c>
      <c r="P25" s="81">
        <f>IF(ISNUMBER(deployment_raw[[#This Row],[Column20]]), IF(Q25&lt;&gt;0,deployment_raw[[#This Row],[Column20]]/IF(OR($E$2="Deployment",deployment_raw[[#This Row],[Column5]]=0),1,deployment_raw[[#This Row],[Column5]])/1048576/Q25,0),"")</f>
        <v>0</v>
      </c>
      <c r="Q25" s="76">
        <f>IF(ISNUMBER(deployment_raw[[#This Row],[Column9]]), (deployment_raw[[#This Row],[Column9]] * IF($E$2="Deployment",deployment_raw[[#This Row],[Column5]],1))/1048576,"")</f>
        <v>0</v>
      </c>
      <c r="R25" s="57">
        <f>IF(ISNUMBER(deployment_raw[[#This Row],[Column10]]), (deployment_raw[[#This Row],[Column10]] * IF($E$2="Deployment",deployment_raw[[#This Row],[Column5]],1)),"")</f>
        <v>0</v>
      </c>
      <c r="S25" s="48">
        <f>IF(ISNUMBER(deployment_raw[[#This Row],[Column11]]), (deployment_raw[[#This Row],[Column11]] * IF($E$2="Deployment",deployment_raw[[#This Row],[Column5]],1))/1048576,"")</f>
        <v>0</v>
      </c>
      <c r="T25" s="59">
        <f>IF(ISNUMBER(deployment_raw[[#This Row],[Column8]]),IF(OR(deployment_raw[[#This Row],[Column5]] &lt;&gt; 0,$E$2 &lt;&gt; "Deployment"), MAX(V25, ($T$2 * IF($E$2="Deployment",deployment_raw[[#This Row],[Column5]],1))), 0),"")</f>
        <v>50</v>
      </c>
      <c r="U25" s="50">
        <f>IF(ISNUMBER(deployment_raw[[#This Row],[Column9]]),IF(OR(deployment_raw[[#This Row],[Column5]] &lt;&gt; 0,$E$2&lt;&gt;"Deployment"), MAX(W25, ($U$2 * IF($E$2="Deployment",deployment_raw[[#This Row],[Column5]],1))), 0),"")</f>
        <v>25</v>
      </c>
      <c r="V25" s="15">
        <f>IF(ISNUMBER(deployment_raw[[#This Row],[Column12]]), (deployment_raw[[#This Row],[Column12]] * IF($E$2="Deployment",deployment_raw[[#This Row],[Column5]],1)*(1+$V$2)),"")</f>
        <v>0</v>
      </c>
      <c r="W25" s="14">
        <f>IF(ISNUMBER(deployment_raw[[#This Row],[Column13]]), (deployment_raw[[#This Row],[Column13]] * IF($E$2="Deployment",deployment_raw[[#This Row],[Column5]],1)*(1+$W$2))/1048576,"")</f>
        <v>0</v>
      </c>
    </row>
    <row r="26" spans="1:23" ht="15.75" customHeight="1" x14ac:dyDescent="0.25">
      <c r="A26" s="5" t="str">
        <f>IF(ISNONTEXT(deployment_raw[[#This Row],[Column1]]), "", deployment_raw[[#This Row],[Column1]])</f>
        <v>mongodb</v>
      </c>
      <c r="B26" s="6" t="str">
        <f>IF(ISNONTEXT(deployment_raw[[#This Row],[Column2]]), "", deployment_raw[[#This Row],[Column2]])</f>
        <v>deployment</v>
      </c>
      <c r="C26" s="6" t="str">
        <f>IF(ISNONTEXT(deployment_raw[[#This Row],[Column3]]), "", deployment_raw[[#This Row],[Column3]])</f>
        <v>robot-shop</v>
      </c>
      <c r="D26" s="6" t="str">
        <f>IF(ISNONTEXT(deployment_raw[[#This Row],[Column4]]), "", deployment_raw[[#This Row],[Column4]])</f>
        <v>&lt;none&gt;</v>
      </c>
      <c r="E26" s="7">
        <f>IF(ISNUMBER(deployment_raw[[#This Row],[Column5]]), deployment_raw[[#This Row],[Column5]],"")</f>
        <v>1</v>
      </c>
      <c r="F26" s="32">
        <f>IF(ISNUMBER(deployment_raw[[#This Row],[Column17]]), deployment_raw[[#This Row],[Column17]]/IF(OR($E$2="Deployment",deployment_raw[[#This Row],[Column5]]=0),1,deployment_raw[[#This Row],[Column5]]),"")</f>
        <v>5</v>
      </c>
      <c r="G26" s="42">
        <f>IF(ISNUMBER(deployment_raw[[#This Row],[Column14]]), deployment_raw[[#This Row],[Column14]]/IF(OR($E$2="Deployment",deployment_raw[[#This Row],[Column5]]=0),1,deployment_raw[[#This Row],[Column5]]),"")</f>
        <v>312</v>
      </c>
      <c r="H26" s="79">
        <f>IF(ISNUMBER(deployment_raw[[#This Row],[Column19]]), IF(I26&lt;&gt;0,(deployment_raw[[#This Row],[Column19]]/IF(OR($E$2="Deployment",deployment_raw[[#This Row],[Column5]]=0),1,deployment_raw[[#This Row],[Column5]]))/I26,0),"")</f>
        <v>0.77500000000000002</v>
      </c>
      <c r="I26" s="69">
        <f>IF(ISNUMBER(deployment_raw[[#This Row],[Column6]]), (deployment_raw[[#This Row],[Column6]] * IF($E$2="Deployment",deployment_raw[[#This Row],[Column5]],1)),"")</f>
        <v>200</v>
      </c>
      <c r="J26" s="79">
        <f>IF(ISNUMBER(deployment_raw[[#This Row],[Column19]]), IF(K26&lt;&gt;0,(deployment_raw[[#This Row],[Column19]]/IF(OR($E$2="Deployment",deployment_raw[[#This Row],[Column5]]=0),1,deployment_raw[[#This Row],[Column5]]))/K26,0),"")</f>
        <v>0.11071428571428571</v>
      </c>
      <c r="K26" s="72">
        <f>IF(ISNUMBER(deployment_raw[[#This Row],[Column8]]), (deployment_raw[[#This Row],[Column8]]  * IF($E$2="Deployment",deployment_raw[[#This Row],[Column5]],1)),"")</f>
        <v>1400</v>
      </c>
      <c r="L26" s="36">
        <f>IF(ISNUMBER(deployment_raw[[#This Row],[Column18]]), deployment_raw[[#This Row],[Column18]]/IF(OR($E$2="Deployment",deployment_raw[[#This Row],[Column5]]=0),1,deployment_raw[[#This Row],[Column5]])/1048576,"")</f>
        <v>149.37119102478027</v>
      </c>
      <c r="M26" s="37">
        <f>IF(ISNUMBER(deployment_raw[[#This Row],[Column15]]), deployment_raw[[#This Row],[Column15]]/IF(OR($E$2="Deployment",deployment_raw[[#This Row],[Column5]]=0),1,deployment_raw[[#This Row],[Column5]])/1048576,"")</f>
        <v>170.72265625</v>
      </c>
      <c r="N26" s="81">
        <f>IF(ISNUMBER(deployment_raw[[#This Row],[Column20]]), IF(O26&lt;&gt;0,deployment_raw[[#This Row],[Column20]]/IF(OR($E$2="Deployment",deployment_raw[[#This Row],[Column5]]=0),1,deployment_raw[[#This Row],[Column5]])/1048576/O26,0),"")</f>
        <v>0.79799513816833501</v>
      </c>
      <c r="O26" s="74">
        <f>IF(ISNUMBER(deployment_raw[[#This Row],[Column7]]), (deployment_raw[[#This Row],[Column7]] * IF($E$2="Deployment",deployment_raw[[#This Row],[Column5]],1))/1048576,"")</f>
        <v>200</v>
      </c>
      <c r="P26" s="81">
        <f>IF(ISNUMBER(deployment_raw[[#This Row],[Column20]]), IF(Q26&lt;&gt;0,deployment_raw[[#This Row],[Column20]]/IF(OR($E$2="Deployment",deployment_raw[[#This Row],[Column5]]=0),1,deployment_raw[[#This Row],[Column5]])/1048576/Q26,0),"")</f>
        <v>0.31171685084700584</v>
      </c>
      <c r="Q26" s="76">
        <f>IF(ISNUMBER(deployment_raw[[#This Row],[Column9]]), (deployment_raw[[#This Row],[Column9]] * IF($E$2="Deployment",deployment_raw[[#This Row],[Column5]],1))/1048576,"")</f>
        <v>512</v>
      </c>
      <c r="R26" s="57">
        <f>IF(ISNUMBER(deployment_raw[[#This Row],[Column10]]), (deployment_raw[[#This Row],[Column10]] * IF($E$2="Deployment",deployment_raw[[#This Row],[Column5]],1)),"")</f>
        <v>350</v>
      </c>
      <c r="S26" s="48">
        <f>IF(ISNUMBER(deployment_raw[[#This Row],[Column11]]), (deployment_raw[[#This Row],[Column11]] * IF($E$2="Deployment",deployment_raw[[#This Row],[Column5]],1))/1048576,"")</f>
        <v>192</v>
      </c>
      <c r="T26" s="59">
        <f>IF(ISNUMBER(deployment_raw[[#This Row],[Column8]]),IF(OR(deployment_raw[[#This Row],[Column5]] &lt;&gt; 0,$E$2 &lt;&gt; "Deployment"), MAX(V26, ($T$2 * IF($E$2="Deployment",deployment_raw[[#This Row],[Column5]],1))), 0),"")</f>
        <v>550</v>
      </c>
      <c r="U26" s="50">
        <f>IF(ISNUMBER(deployment_raw[[#This Row],[Column9]]),IF(OR(deployment_raw[[#This Row],[Column5]] &lt;&gt; 0,$E$2&lt;&gt;"Deployment"), MAX(W26, ($U$2 * IF($E$2="Deployment",deployment_raw[[#This Row],[Column5]],1))), 0),"")</f>
        <v>256</v>
      </c>
      <c r="V26" s="15">
        <f>IF(ISNUMBER(deployment_raw[[#This Row],[Column12]]), (deployment_raw[[#This Row],[Column12]] * IF($E$2="Deployment",deployment_raw[[#This Row],[Column5]],1)*(1+$V$2)),"")</f>
        <v>550</v>
      </c>
      <c r="W26" s="14">
        <f>IF(ISNUMBER(deployment_raw[[#This Row],[Column13]]), (deployment_raw[[#This Row],[Column13]] * IF($E$2="Deployment",deployment_raw[[#This Row],[Column5]],1)*(1+$W$2))/1048576,"")</f>
        <v>256</v>
      </c>
    </row>
    <row r="27" spans="1:23" ht="15.75" customHeight="1" x14ac:dyDescent="0.25">
      <c r="A27" s="5" t="str">
        <f>IF(ISNONTEXT(deployment_raw[[#This Row],[Column1]]), "", deployment_raw[[#This Row],[Column1]])</f>
        <v>mysql</v>
      </c>
      <c r="B27" s="6" t="str">
        <f>IF(ISNONTEXT(deployment_raw[[#This Row],[Column2]]), "", deployment_raw[[#This Row],[Column2]])</f>
        <v>deployment</v>
      </c>
      <c r="C27" s="6" t="str">
        <f>IF(ISNONTEXT(deployment_raw[[#This Row],[Column3]]), "", deployment_raw[[#This Row],[Column3]])</f>
        <v>robot-shop</v>
      </c>
      <c r="D27" s="6" t="str">
        <f>IF(ISNONTEXT(deployment_raw[[#This Row],[Column4]]), "", deployment_raw[[#This Row],[Column4]])</f>
        <v>&lt;none&gt;</v>
      </c>
      <c r="E27" s="7">
        <f>IF(ISNUMBER(deployment_raw[[#This Row],[Column5]]), deployment_raw[[#This Row],[Column5]],"")</f>
        <v>1</v>
      </c>
      <c r="F27" s="32">
        <f>IF(ISNUMBER(deployment_raw[[#This Row],[Column17]]), deployment_raw[[#This Row],[Column17]]/IF(OR($E$2="Deployment",deployment_raw[[#This Row],[Column5]]=0),1,deployment_raw[[#This Row],[Column5]]),"")</f>
        <v>3</v>
      </c>
      <c r="G27" s="42">
        <f>IF(ISNUMBER(deployment_raw[[#This Row],[Column14]]), deployment_raw[[#This Row],[Column14]]/IF(OR($E$2="Deployment",deployment_raw[[#This Row],[Column5]]=0),1,deployment_raw[[#This Row],[Column5]]),"")</f>
        <v>4</v>
      </c>
      <c r="H27" s="79">
        <f>IF(ISNUMBER(deployment_raw[[#This Row],[Column19]]), IF(I27&lt;&gt;0,(deployment_raw[[#This Row],[Column19]]/IF(OR($E$2="Deployment",deployment_raw[[#This Row],[Column5]]=0),1,deployment_raw[[#This Row],[Column5]]))/I27,0),"")</f>
        <v>1.4999999999999999E-2</v>
      </c>
      <c r="I27" s="69">
        <f>IF(ISNUMBER(deployment_raw[[#This Row],[Column6]]), (deployment_raw[[#This Row],[Column6]] * IF($E$2="Deployment",deployment_raw[[#This Row],[Column5]],1)),"")</f>
        <v>200</v>
      </c>
      <c r="J27" s="79">
        <f>IF(ISNUMBER(deployment_raw[[#This Row],[Column19]]), IF(K27&lt;&gt;0,(deployment_raw[[#This Row],[Column19]]/IF(OR($E$2="Deployment",deployment_raw[[#This Row],[Column5]]=0),1,deployment_raw[[#This Row],[Column5]]))/K27,0),"")</f>
        <v>7.4999999999999997E-3</v>
      </c>
      <c r="K27" s="72">
        <f>IF(ISNUMBER(deployment_raw[[#This Row],[Column8]]), (deployment_raw[[#This Row],[Column8]]  * IF($E$2="Deployment",deployment_raw[[#This Row],[Column5]],1)),"")</f>
        <v>400</v>
      </c>
      <c r="L27" s="36">
        <f>IF(ISNUMBER(deployment_raw[[#This Row],[Column18]]), deployment_raw[[#This Row],[Column18]]/IF(OR($E$2="Deployment",deployment_raw[[#This Row],[Column5]]=0),1,deployment_raw[[#This Row],[Column5]])/1048576,"")</f>
        <v>350.58203125</v>
      </c>
      <c r="M27" s="37">
        <f>IF(ISNUMBER(deployment_raw[[#This Row],[Column15]]), deployment_raw[[#This Row],[Column15]]/IF(OR($E$2="Deployment",deployment_raw[[#This Row],[Column5]]=0),1,deployment_raw[[#This Row],[Column5]])/1048576,"")</f>
        <v>350.6640625</v>
      </c>
      <c r="N27" s="81">
        <f>IF(ISNUMBER(deployment_raw[[#This Row],[Column20]]), IF(O27&lt;&gt;0,deployment_raw[[#This Row],[Column20]]/IF(OR($E$2="Deployment",deployment_raw[[#This Row],[Column5]]=0),1,deployment_raw[[#This Row],[Column5]])/1048576/O27,0),"")</f>
        <v>0.34240732435137033</v>
      </c>
      <c r="O27" s="74">
        <f>IF(ISNUMBER(deployment_raw[[#This Row],[Column7]]), (deployment_raw[[#This Row],[Column7]] * IF($E$2="Deployment",deployment_raw[[#This Row],[Column5]],1))/1048576,"")</f>
        <v>1024</v>
      </c>
      <c r="P27" s="81">
        <f>IF(ISNUMBER(deployment_raw[[#This Row],[Column20]]), IF(Q27&lt;&gt;0,deployment_raw[[#This Row],[Column20]]/IF(OR($E$2="Deployment",deployment_raw[[#This Row],[Column5]]=0),1,deployment_raw[[#This Row],[Column5]])/1048576/Q27,0),"")</f>
        <v>0.34240732435137033</v>
      </c>
      <c r="Q27" s="76">
        <f>IF(ISNUMBER(deployment_raw[[#This Row],[Column9]]), (deployment_raw[[#This Row],[Column9]] * IF($E$2="Deployment",deployment_raw[[#This Row],[Column5]],1))/1048576,"")</f>
        <v>1024</v>
      </c>
      <c r="R27" s="57">
        <f>IF(ISNUMBER(deployment_raw[[#This Row],[Column10]]), (deployment_raw[[#This Row],[Column10]] * IF($E$2="Deployment",deployment_raw[[#This Row],[Column5]],1)),"")</f>
        <v>10</v>
      </c>
      <c r="S27" s="48">
        <f>IF(ISNUMBER(deployment_raw[[#This Row],[Column11]]), (deployment_raw[[#This Row],[Column11]] * IF($E$2="Deployment",deployment_raw[[#This Row],[Column5]],1))/1048576,"")</f>
        <v>384</v>
      </c>
      <c r="T27" s="59">
        <f>IF(ISNUMBER(deployment_raw[[#This Row],[Column8]]),IF(OR(deployment_raw[[#This Row],[Column5]] &lt;&gt; 0,$E$2 &lt;&gt; "Deployment"), MAX(V27, ($T$2 * IF($E$2="Deployment",deployment_raw[[#This Row],[Column5]],1))), 0),"")</f>
        <v>50</v>
      </c>
      <c r="U27" s="50">
        <f>IF(ISNUMBER(deployment_raw[[#This Row],[Column9]]),IF(OR(deployment_raw[[#This Row],[Column5]] &lt;&gt; 0,$E$2&lt;&gt;"Deployment"), MAX(W27, ($U$2 * IF($E$2="Deployment",deployment_raw[[#This Row],[Column5]],1))), 0),"")</f>
        <v>448</v>
      </c>
      <c r="V27" s="15">
        <f>IF(ISNUMBER(deployment_raw[[#This Row],[Column12]]), (deployment_raw[[#This Row],[Column12]] * IF($E$2="Deployment",deployment_raw[[#This Row],[Column5]],1)*(1+$V$2)),"")</f>
        <v>10</v>
      </c>
      <c r="W27" s="14">
        <f>IF(ISNUMBER(deployment_raw[[#This Row],[Column13]]), (deployment_raw[[#This Row],[Column13]] * IF($E$2="Deployment",deployment_raw[[#This Row],[Column5]],1)*(1+$W$2))/1048576,"")</f>
        <v>448</v>
      </c>
    </row>
    <row r="28" spans="1:23" ht="15.75" customHeight="1" x14ac:dyDescent="0.25">
      <c r="A28" s="5" t="str">
        <f>IF(ISNONTEXT(deployment_raw[[#This Row],[Column1]]), "", deployment_raw[[#This Row],[Column1]])</f>
        <v>mysql-ex-prometheus-mysql-exporter</v>
      </c>
      <c r="B28" s="6" t="str">
        <f>IF(ISNONTEXT(deployment_raw[[#This Row],[Column2]]), "", deployment_raw[[#This Row],[Column2]])</f>
        <v>deployment</v>
      </c>
      <c r="C28" s="6" t="str">
        <f>IF(ISNONTEXT(deployment_raw[[#This Row],[Column3]]), "", deployment_raw[[#This Row],[Column3]])</f>
        <v>robot-shop</v>
      </c>
      <c r="D28" s="6" t="str">
        <f>IF(ISNONTEXT(deployment_raw[[#This Row],[Column4]]), "", deployment_raw[[#This Row],[Column4]])</f>
        <v>&lt;none&gt;</v>
      </c>
      <c r="E28" s="7">
        <f>IF(ISNUMBER(deployment_raw[[#This Row],[Column5]]), deployment_raw[[#This Row],[Column5]],"")</f>
        <v>1</v>
      </c>
      <c r="F28" s="32">
        <f>IF(ISNUMBER(deployment_raw[[#This Row],[Column17]]), deployment_raw[[#This Row],[Column17]]/IF(OR($E$2="Deployment",deployment_raw[[#This Row],[Column5]]=0),1,deployment_raw[[#This Row],[Column5]]),"")</f>
        <v>0</v>
      </c>
      <c r="G28" s="42">
        <f>IF(ISNUMBER(deployment_raw[[#This Row],[Column14]]), deployment_raw[[#This Row],[Column14]]/IF(OR($E$2="Deployment",deployment_raw[[#This Row],[Column5]]=0),1,deployment_raw[[#This Row],[Column5]]),"")</f>
        <v>0</v>
      </c>
      <c r="H28" s="79">
        <f>IF(ISNUMBER(deployment_raw[[#This Row],[Column19]]), IF(I28&lt;&gt;0,(deployment_raw[[#This Row],[Column19]]/IF(OR($E$2="Deployment",deployment_raw[[#This Row],[Column5]]=0),1,deployment_raw[[#This Row],[Column5]]))/I28,0),"")</f>
        <v>0</v>
      </c>
      <c r="I28" s="69">
        <f>IF(ISNUMBER(deployment_raw[[#This Row],[Column6]]), (deployment_raw[[#This Row],[Column6]] * IF($E$2="Deployment",deployment_raw[[#This Row],[Column5]],1)),"")</f>
        <v>0</v>
      </c>
      <c r="J28" s="79">
        <f>IF(ISNUMBER(deployment_raw[[#This Row],[Column19]]), IF(K28&lt;&gt;0,(deployment_raw[[#This Row],[Column19]]/IF(OR($E$2="Deployment",deployment_raw[[#This Row],[Column5]]=0),1,deployment_raw[[#This Row],[Column5]]))/K28,0),"")</f>
        <v>0</v>
      </c>
      <c r="K28" s="72">
        <f>IF(ISNUMBER(deployment_raw[[#This Row],[Column8]]), (deployment_raw[[#This Row],[Column8]]  * IF($E$2="Deployment",deployment_raw[[#This Row],[Column5]],1)),"")</f>
        <v>0</v>
      </c>
      <c r="L28" s="36">
        <f>IF(ISNUMBER(deployment_raw[[#This Row],[Column18]]), deployment_raw[[#This Row],[Column18]]/IF(OR($E$2="Deployment",deployment_raw[[#This Row],[Column5]]=0),1,deployment_raw[[#This Row],[Column5]])/1048576,"")</f>
        <v>0</v>
      </c>
      <c r="M28" s="37">
        <f>IF(ISNUMBER(deployment_raw[[#This Row],[Column15]]), deployment_raw[[#This Row],[Column15]]/IF(OR($E$2="Deployment",deployment_raw[[#This Row],[Column5]]=0),1,deployment_raw[[#This Row],[Column5]])/1048576,"")</f>
        <v>0</v>
      </c>
      <c r="N28" s="81">
        <f>IF(ISNUMBER(deployment_raw[[#This Row],[Column20]]), IF(O28&lt;&gt;0,deployment_raw[[#This Row],[Column20]]/IF(OR($E$2="Deployment",deployment_raw[[#This Row],[Column5]]=0),1,deployment_raw[[#This Row],[Column5]])/1048576/O28,0),"")</f>
        <v>0</v>
      </c>
      <c r="O28" s="74">
        <f>IF(ISNUMBER(deployment_raw[[#This Row],[Column7]]), (deployment_raw[[#This Row],[Column7]] * IF($E$2="Deployment",deployment_raw[[#This Row],[Column5]],1))/1048576,"")</f>
        <v>0</v>
      </c>
      <c r="P28" s="81">
        <f>IF(ISNUMBER(deployment_raw[[#This Row],[Column20]]), IF(Q28&lt;&gt;0,deployment_raw[[#This Row],[Column20]]/IF(OR($E$2="Deployment",deployment_raw[[#This Row],[Column5]]=0),1,deployment_raw[[#This Row],[Column5]])/1048576/Q28,0),"")</f>
        <v>0</v>
      </c>
      <c r="Q28" s="76">
        <f>IF(ISNUMBER(deployment_raw[[#This Row],[Column9]]), (deployment_raw[[#This Row],[Column9]] * IF($E$2="Deployment",deployment_raw[[#This Row],[Column5]],1))/1048576,"")</f>
        <v>0</v>
      </c>
      <c r="R28" s="57">
        <f>IF(ISNUMBER(deployment_raw[[#This Row],[Column10]]), (deployment_raw[[#This Row],[Column10]] * IF($E$2="Deployment",deployment_raw[[#This Row],[Column5]],1)),"")</f>
        <v>0</v>
      </c>
      <c r="S28" s="48">
        <f>IF(ISNUMBER(deployment_raw[[#This Row],[Column11]]), (deployment_raw[[#This Row],[Column11]] * IF($E$2="Deployment",deployment_raw[[#This Row],[Column5]],1))/1048576,"")</f>
        <v>0</v>
      </c>
      <c r="T28" s="59">
        <f>IF(ISNUMBER(deployment_raw[[#This Row],[Column8]]),IF(OR(deployment_raw[[#This Row],[Column5]] &lt;&gt; 0,$E$2 &lt;&gt; "Deployment"), MAX(V28, ($T$2 * IF($E$2="Deployment",deployment_raw[[#This Row],[Column5]],1))), 0),"")</f>
        <v>50</v>
      </c>
      <c r="U28" s="50">
        <f>IF(ISNUMBER(deployment_raw[[#This Row],[Column9]]),IF(OR(deployment_raw[[#This Row],[Column5]] &lt;&gt; 0,$E$2&lt;&gt;"Deployment"), MAX(W28, ($U$2 * IF($E$2="Deployment",deployment_raw[[#This Row],[Column5]],1))), 0),"")</f>
        <v>25</v>
      </c>
      <c r="V28" s="15">
        <f>IF(ISNUMBER(deployment_raw[[#This Row],[Column12]]), (deployment_raw[[#This Row],[Column12]] * IF($E$2="Deployment",deployment_raw[[#This Row],[Column5]],1)*(1+$V$2)),"")</f>
        <v>0</v>
      </c>
      <c r="W28" s="14">
        <f>IF(ISNUMBER(deployment_raw[[#This Row],[Column13]]), (deployment_raw[[#This Row],[Column13]] * IF($E$2="Deployment",deployment_raw[[#This Row],[Column5]],1)*(1+$W$2))/1048576,"")</f>
        <v>0</v>
      </c>
    </row>
    <row r="29" spans="1:23" ht="15.75" customHeight="1" x14ac:dyDescent="0.25">
      <c r="A29" s="5" t="str">
        <f>IF(ISNONTEXT(deployment_raw[[#This Row],[Column1]]), "", deployment_raw[[#This Row],[Column1]])</f>
        <v>nginx-ex-deployment</v>
      </c>
      <c r="B29" s="6" t="str">
        <f>IF(ISNONTEXT(deployment_raw[[#This Row],[Column2]]), "", deployment_raw[[#This Row],[Column2]])</f>
        <v>deployment</v>
      </c>
      <c r="C29" s="6" t="str">
        <f>IF(ISNONTEXT(deployment_raw[[#This Row],[Column3]]), "", deployment_raw[[#This Row],[Column3]])</f>
        <v>robot-shop</v>
      </c>
      <c r="D29" s="6" t="str">
        <f>IF(ISNONTEXT(deployment_raw[[#This Row],[Column4]]), "", deployment_raw[[#This Row],[Column4]])</f>
        <v>&lt;none&gt;</v>
      </c>
      <c r="E29" s="7">
        <f>IF(ISNUMBER(deployment_raw[[#This Row],[Column5]]), deployment_raw[[#This Row],[Column5]],"")</f>
        <v>1</v>
      </c>
      <c r="F29" s="32">
        <f>IF(ISNUMBER(deployment_raw[[#This Row],[Column17]]), deployment_raw[[#This Row],[Column17]]/IF(OR($E$2="Deployment",deployment_raw[[#This Row],[Column5]]=0),1,deployment_raw[[#This Row],[Column5]]),"")</f>
        <v>0</v>
      </c>
      <c r="G29" s="42">
        <f>IF(ISNUMBER(deployment_raw[[#This Row],[Column14]]), deployment_raw[[#This Row],[Column14]]/IF(OR($E$2="Deployment",deployment_raw[[#This Row],[Column5]]=0),1,deployment_raw[[#This Row],[Column5]]),"")</f>
        <v>0</v>
      </c>
      <c r="H29" s="79">
        <f>IF(ISNUMBER(deployment_raw[[#This Row],[Column19]]), IF(I29&lt;&gt;0,(deployment_raw[[#This Row],[Column19]]/IF(OR($E$2="Deployment",deployment_raw[[#This Row],[Column5]]=0),1,deployment_raw[[#This Row],[Column5]]))/I29,0),"")</f>
        <v>0</v>
      </c>
      <c r="I29" s="69">
        <f>IF(ISNUMBER(deployment_raw[[#This Row],[Column6]]), (deployment_raw[[#This Row],[Column6]] * IF($E$2="Deployment",deployment_raw[[#This Row],[Column5]],1)),"")</f>
        <v>0</v>
      </c>
      <c r="J29" s="79">
        <f>IF(ISNUMBER(deployment_raw[[#This Row],[Column19]]), IF(K29&lt;&gt;0,(deployment_raw[[#This Row],[Column19]]/IF(OR($E$2="Deployment",deployment_raw[[#This Row],[Column5]]=0),1,deployment_raw[[#This Row],[Column5]]))/K29,0),"")</f>
        <v>0</v>
      </c>
      <c r="K29" s="72">
        <f>IF(ISNUMBER(deployment_raw[[#This Row],[Column8]]), (deployment_raw[[#This Row],[Column8]]  * IF($E$2="Deployment",deployment_raw[[#This Row],[Column5]],1)),"")</f>
        <v>0</v>
      </c>
      <c r="L29" s="36">
        <f>IF(ISNUMBER(deployment_raw[[#This Row],[Column18]]), deployment_raw[[#This Row],[Column18]]/IF(OR($E$2="Deployment",deployment_raw[[#This Row],[Column5]]=0),1,deployment_raw[[#This Row],[Column5]])/1048576,"")</f>
        <v>0</v>
      </c>
      <c r="M29" s="37">
        <f>IF(ISNUMBER(deployment_raw[[#This Row],[Column15]]), deployment_raw[[#This Row],[Column15]]/IF(OR($E$2="Deployment",deployment_raw[[#This Row],[Column5]]=0),1,deployment_raw[[#This Row],[Column5]])/1048576,"")</f>
        <v>0</v>
      </c>
      <c r="N29" s="81">
        <f>IF(ISNUMBER(deployment_raw[[#This Row],[Column20]]), IF(O29&lt;&gt;0,deployment_raw[[#This Row],[Column20]]/IF(OR($E$2="Deployment",deployment_raw[[#This Row],[Column5]]=0),1,deployment_raw[[#This Row],[Column5]])/1048576/O29,0),"")</f>
        <v>0</v>
      </c>
      <c r="O29" s="74">
        <f>IF(ISNUMBER(deployment_raw[[#This Row],[Column7]]), (deployment_raw[[#This Row],[Column7]] * IF($E$2="Deployment",deployment_raw[[#This Row],[Column5]],1))/1048576,"")</f>
        <v>0</v>
      </c>
      <c r="P29" s="81">
        <f>IF(ISNUMBER(deployment_raw[[#This Row],[Column20]]), IF(Q29&lt;&gt;0,deployment_raw[[#This Row],[Column20]]/IF(OR($E$2="Deployment",deployment_raw[[#This Row],[Column5]]=0),1,deployment_raw[[#This Row],[Column5]])/1048576/Q29,0),"")</f>
        <v>0</v>
      </c>
      <c r="Q29" s="76">
        <f>IF(ISNUMBER(deployment_raw[[#This Row],[Column9]]), (deployment_raw[[#This Row],[Column9]] * IF($E$2="Deployment",deployment_raw[[#This Row],[Column5]],1))/1048576,"")</f>
        <v>0</v>
      </c>
      <c r="R29" s="57">
        <f>IF(ISNUMBER(deployment_raw[[#This Row],[Column10]]), (deployment_raw[[#This Row],[Column10]] * IF($E$2="Deployment",deployment_raw[[#This Row],[Column5]],1)),"")</f>
        <v>0</v>
      </c>
      <c r="S29" s="48">
        <f>IF(ISNUMBER(deployment_raw[[#This Row],[Column11]]), (deployment_raw[[#This Row],[Column11]] * IF($E$2="Deployment",deployment_raw[[#This Row],[Column5]],1))/1048576,"")</f>
        <v>0</v>
      </c>
      <c r="T29" s="59">
        <f>IF(ISNUMBER(deployment_raw[[#This Row],[Column8]]),IF(OR(deployment_raw[[#This Row],[Column5]] &lt;&gt; 0,$E$2 &lt;&gt; "Deployment"), MAX(V29, ($T$2 * IF($E$2="Deployment",deployment_raw[[#This Row],[Column5]],1))), 0),"")</f>
        <v>50</v>
      </c>
      <c r="U29" s="50">
        <f>IF(ISNUMBER(deployment_raw[[#This Row],[Column9]]),IF(OR(deployment_raw[[#This Row],[Column5]] &lt;&gt; 0,$E$2&lt;&gt;"Deployment"), MAX(W29, ($U$2 * IF($E$2="Deployment",deployment_raw[[#This Row],[Column5]],1))), 0),"")</f>
        <v>25</v>
      </c>
      <c r="V29" s="15">
        <f>IF(ISNUMBER(deployment_raw[[#This Row],[Column12]]), (deployment_raw[[#This Row],[Column12]] * IF($E$2="Deployment",deployment_raw[[#This Row],[Column5]],1)*(1+$V$2)),"")</f>
        <v>0</v>
      </c>
      <c r="W29" s="14">
        <f>IF(ISNUMBER(deployment_raw[[#This Row],[Column13]]), (deployment_raw[[#This Row],[Column13]] * IF($E$2="Deployment",deployment_raw[[#This Row],[Column5]],1)*(1+$W$2))/1048576,"")</f>
        <v>0</v>
      </c>
    </row>
    <row r="30" spans="1:23" ht="15.75" customHeight="1" x14ac:dyDescent="0.25">
      <c r="A30" s="5" t="str">
        <f>IF(ISNONTEXT(deployment_raw[[#This Row],[Column1]]), "", deployment_raw[[#This Row],[Column1]])</f>
        <v>payment</v>
      </c>
      <c r="B30" s="6" t="str">
        <f>IF(ISNONTEXT(deployment_raw[[#This Row],[Column2]]), "", deployment_raw[[#This Row],[Column2]])</f>
        <v>deployment</v>
      </c>
      <c r="C30" s="6" t="str">
        <f>IF(ISNONTEXT(deployment_raw[[#This Row],[Column3]]), "", deployment_raw[[#This Row],[Column3]])</f>
        <v>robot-shop</v>
      </c>
      <c r="D30" s="6" t="str">
        <f>IF(ISNONTEXT(deployment_raw[[#This Row],[Column4]]), "", deployment_raw[[#This Row],[Column4]])</f>
        <v>&lt;none&gt;</v>
      </c>
      <c r="E30" s="7">
        <f>IF(ISNUMBER(deployment_raw[[#This Row],[Column5]]), deployment_raw[[#This Row],[Column5]],"")</f>
        <v>1</v>
      </c>
      <c r="F30" s="32">
        <f>IF(ISNUMBER(deployment_raw[[#This Row],[Column17]]), deployment_raw[[#This Row],[Column17]]/IF(OR($E$2="Deployment",deployment_raw[[#This Row],[Column5]]=0),1,deployment_raw[[#This Row],[Column5]]),"")</f>
        <v>0</v>
      </c>
      <c r="G30" s="42">
        <f>IF(ISNUMBER(deployment_raw[[#This Row],[Column14]]), deployment_raw[[#This Row],[Column14]]/IF(OR($E$2="Deployment",deployment_raw[[#This Row],[Column5]]=0),1,deployment_raw[[#This Row],[Column5]]),"")</f>
        <v>984</v>
      </c>
      <c r="H30" s="79">
        <f>IF(ISNUMBER(deployment_raw[[#This Row],[Column19]]), IF(I30&lt;&gt;0,(deployment_raw[[#This Row],[Column19]]/IF(OR($E$2="Deployment",deployment_raw[[#This Row],[Column5]]=0),1,deployment_raw[[#This Row],[Column5]]))/I30,0),"")</f>
        <v>2.7749999999999999</v>
      </c>
      <c r="I30" s="69">
        <f>IF(ISNUMBER(deployment_raw[[#This Row],[Column6]]), (deployment_raw[[#This Row],[Column6]] * IF($E$2="Deployment",deployment_raw[[#This Row],[Column5]],1)),"")</f>
        <v>200</v>
      </c>
      <c r="J30" s="79">
        <f>IF(ISNUMBER(deployment_raw[[#This Row],[Column19]]), IF(K30&lt;&gt;0,(deployment_raw[[#This Row],[Column19]]/IF(OR($E$2="Deployment",deployment_raw[[#This Row],[Column5]]=0),1,deployment_raw[[#This Row],[Column5]]))/K30,0),"")</f>
        <v>0.185</v>
      </c>
      <c r="K30" s="72">
        <f>IF(ISNUMBER(deployment_raw[[#This Row],[Column8]]), (deployment_raw[[#This Row],[Column8]]  * IF($E$2="Deployment",deployment_raw[[#This Row],[Column5]],1)),"")</f>
        <v>3000</v>
      </c>
      <c r="L30" s="36">
        <f>IF(ISNUMBER(deployment_raw[[#This Row],[Column18]]), deployment_raw[[#This Row],[Column18]]/IF(OR($E$2="Deployment",deployment_raw[[#This Row],[Column5]]=0),1,deployment_raw[[#This Row],[Column5]])/1048576,"")</f>
        <v>42.75390625</v>
      </c>
      <c r="M30" s="37">
        <f>IF(ISNUMBER(deployment_raw[[#This Row],[Column15]]), deployment_raw[[#This Row],[Column15]]/IF(OR($E$2="Deployment",deployment_raw[[#This Row],[Column5]]=0),1,deployment_raw[[#This Row],[Column5]])/1048576,"")</f>
        <v>42.840526580810547</v>
      </c>
      <c r="N30" s="81">
        <f>IF(ISNUMBER(deployment_raw[[#This Row],[Column20]]), IF(O30&lt;&gt;0,deployment_raw[[#This Row],[Column20]]/IF(OR($E$2="Deployment",deployment_raw[[#This Row],[Column5]]=0),1,deployment_raw[[#This Row],[Column5]])/1048576/O30,0),"")</f>
        <v>0.42785542488098144</v>
      </c>
      <c r="O30" s="74">
        <f>IF(ISNUMBER(deployment_raw[[#This Row],[Column7]]), (deployment_raw[[#This Row],[Column7]] * IF($E$2="Deployment",deployment_raw[[#This Row],[Column5]],1))/1048576,"")</f>
        <v>100</v>
      </c>
      <c r="P30" s="81">
        <f>IF(ISNUMBER(deployment_raw[[#This Row],[Column20]]), IF(Q30&lt;&gt;0,deployment_raw[[#This Row],[Column20]]/IF(OR($E$2="Deployment",deployment_raw[[#This Row],[Column5]]=0),1,deployment_raw[[#This Row],[Column5]])/1048576/Q30,0),"")</f>
        <v>8.5571084976196282E-2</v>
      </c>
      <c r="Q30" s="76">
        <f>IF(ISNUMBER(deployment_raw[[#This Row],[Column9]]), (deployment_raw[[#This Row],[Column9]] * IF($E$2="Deployment",deployment_raw[[#This Row],[Column5]],1))/1048576,"")</f>
        <v>500</v>
      </c>
      <c r="R30" s="57">
        <f>IF(ISNUMBER(deployment_raw[[#This Row],[Column10]]), (deployment_raw[[#This Row],[Column10]] * IF($E$2="Deployment",deployment_raw[[#This Row],[Column5]],1)),"")</f>
        <v>700</v>
      </c>
      <c r="S30" s="48">
        <f>IF(ISNUMBER(deployment_raw[[#This Row],[Column11]]), (deployment_raw[[#This Row],[Column11]] * IF($E$2="Deployment",deployment_raw[[#This Row],[Column5]],1))/1048576,"")</f>
        <v>48</v>
      </c>
      <c r="T30" s="59">
        <f>IF(ISNUMBER(deployment_raw[[#This Row],[Column8]]),IF(OR(deployment_raw[[#This Row],[Column5]] &lt;&gt; 0,$E$2 &lt;&gt; "Deployment"), MAX(V30, ($T$2 * IF($E$2="Deployment",deployment_raw[[#This Row],[Column5]],1))), 0),"")</f>
        <v>1800</v>
      </c>
      <c r="U30" s="50">
        <f>IF(ISNUMBER(deployment_raw[[#This Row],[Column9]]),IF(OR(deployment_raw[[#This Row],[Column5]] &lt;&gt; 0,$E$2&lt;&gt;"Deployment"), MAX(W30, ($U$2 * IF($E$2="Deployment",deployment_raw[[#This Row],[Column5]],1))), 0),"")</f>
        <v>48</v>
      </c>
      <c r="V30" s="15">
        <f>IF(ISNUMBER(deployment_raw[[#This Row],[Column12]]), (deployment_raw[[#This Row],[Column12]] * IF($E$2="Deployment",deployment_raw[[#This Row],[Column5]],1)*(1+$V$2)),"")</f>
        <v>1800</v>
      </c>
      <c r="W30" s="14">
        <f>IF(ISNUMBER(deployment_raw[[#This Row],[Column13]]), (deployment_raw[[#This Row],[Column13]] * IF($E$2="Deployment",deployment_raw[[#This Row],[Column5]],1)*(1+$W$2))/1048576,"")</f>
        <v>48</v>
      </c>
    </row>
    <row r="31" spans="1:23" ht="15.75" customHeight="1" x14ac:dyDescent="0.25">
      <c r="A31" s="5" t="str">
        <f>IF(ISNONTEXT(deployment_raw[[#This Row],[Column1]]), "", deployment_raw[[#This Row],[Column1]])</f>
        <v>rabbitmq</v>
      </c>
      <c r="B31" s="6" t="str">
        <f>IF(ISNONTEXT(deployment_raw[[#This Row],[Column2]]), "", deployment_raw[[#This Row],[Column2]])</f>
        <v>deployment</v>
      </c>
      <c r="C31" s="6" t="str">
        <f>IF(ISNONTEXT(deployment_raw[[#This Row],[Column3]]), "", deployment_raw[[#This Row],[Column3]])</f>
        <v>robot-shop</v>
      </c>
      <c r="D31" s="6" t="str">
        <f>IF(ISNONTEXT(deployment_raw[[#This Row],[Column4]]), "", deployment_raw[[#This Row],[Column4]])</f>
        <v>&lt;none&gt;</v>
      </c>
      <c r="E31" s="7">
        <f>IF(ISNUMBER(deployment_raw[[#This Row],[Column5]]), deployment_raw[[#This Row],[Column5]],"")</f>
        <v>1</v>
      </c>
      <c r="F31" s="32">
        <f>IF(ISNUMBER(deployment_raw[[#This Row],[Column17]]), deployment_raw[[#This Row],[Column17]]/IF(OR($E$2="Deployment",deployment_raw[[#This Row],[Column5]]=0),1,deployment_raw[[#This Row],[Column5]]),"")</f>
        <v>21</v>
      </c>
      <c r="G31" s="42">
        <f>IF(ISNUMBER(deployment_raw[[#This Row],[Column14]]), deployment_raw[[#This Row],[Column14]]/IF(OR($E$2="Deployment",deployment_raw[[#This Row],[Column5]]=0),1,deployment_raw[[#This Row],[Column5]]),"")</f>
        <v>29</v>
      </c>
      <c r="H31" s="79">
        <f>IF(ISNUMBER(deployment_raw[[#This Row],[Column19]]), IF(I31&lt;&gt;0,(deployment_raw[[#This Row],[Column19]]/IF(OR($E$2="Deployment",deployment_raw[[#This Row],[Column5]]=0),1,deployment_raw[[#This Row],[Column5]]))/I31,0),"")</f>
        <v>0.24</v>
      </c>
      <c r="I31" s="69">
        <f>IF(ISNUMBER(deployment_raw[[#This Row],[Column6]]), (deployment_raw[[#This Row],[Column6]] * IF($E$2="Deployment",deployment_raw[[#This Row],[Column5]],1)),"")</f>
        <v>100</v>
      </c>
      <c r="J31" s="79">
        <f>IF(ISNUMBER(deployment_raw[[#This Row],[Column19]]), IF(K31&lt;&gt;0,(deployment_raw[[#This Row],[Column19]]/IF(OR($E$2="Deployment",deployment_raw[[#This Row],[Column5]]=0),1,deployment_raw[[#This Row],[Column5]]))/K31,0),"")</f>
        <v>0.16</v>
      </c>
      <c r="K31" s="72">
        <f>IF(ISNUMBER(deployment_raw[[#This Row],[Column8]]), (deployment_raw[[#This Row],[Column8]]  * IF($E$2="Deployment",deployment_raw[[#This Row],[Column5]],1)),"")</f>
        <v>150</v>
      </c>
      <c r="L31" s="36">
        <f>IF(ISNUMBER(deployment_raw[[#This Row],[Column18]]), deployment_raw[[#This Row],[Column18]]/IF(OR($E$2="Deployment",deployment_raw[[#This Row],[Column5]]=0),1,deployment_raw[[#This Row],[Column5]])/1048576,"")</f>
        <v>105.15117168426514</v>
      </c>
      <c r="M31" s="37">
        <f>IF(ISNUMBER(deployment_raw[[#This Row],[Column15]]), deployment_raw[[#This Row],[Column15]]/IF(OR($E$2="Deployment",deployment_raw[[#This Row],[Column5]]=0),1,deployment_raw[[#This Row],[Column5]])/1048576,"")</f>
        <v>118.84375</v>
      </c>
      <c r="N31" s="81">
        <f>IF(ISNUMBER(deployment_raw[[#This Row],[Column20]]), IF(O31&lt;&gt;0,deployment_raw[[#This Row],[Column20]]/IF(OR($E$2="Deployment",deployment_raw[[#This Row],[Column5]]=0),1,deployment_raw[[#This Row],[Column5]])/1048576/O31,0),"")</f>
        <v>0.2147297952324152</v>
      </c>
      <c r="O31" s="74">
        <f>IF(ISNUMBER(deployment_raw[[#This Row],[Column7]]), (deployment_raw[[#This Row],[Column7]] * IF($E$2="Deployment",deployment_raw[[#This Row],[Column5]],1))/1048576,"")</f>
        <v>512</v>
      </c>
      <c r="P31" s="81">
        <f>IF(ISNUMBER(deployment_raw[[#This Row],[Column20]]), IF(Q31&lt;&gt;0,deployment_raw[[#This Row],[Column20]]/IF(OR($E$2="Deployment",deployment_raw[[#This Row],[Column5]]=0),1,deployment_raw[[#This Row],[Column5]])/1048576/Q31,0),"")</f>
        <v>0.2147297952324152</v>
      </c>
      <c r="Q31" s="76">
        <f>IF(ISNUMBER(deployment_raw[[#This Row],[Column9]]), (deployment_raw[[#This Row],[Column9]] * IF($E$2="Deployment",deployment_raw[[#This Row],[Column5]],1))/1048576,"")</f>
        <v>512</v>
      </c>
      <c r="R31" s="57">
        <f>IF(ISNUMBER(deployment_raw[[#This Row],[Column10]]), (deployment_raw[[#This Row],[Column10]] * IF($E$2="Deployment",deployment_raw[[#This Row],[Column5]],1)),"")</f>
        <v>30</v>
      </c>
      <c r="S31" s="48">
        <f>IF(ISNUMBER(deployment_raw[[#This Row],[Column11]]), (deployment_raw[[#This Row],[Column11]] * IF($E$2="Deployment",deployment_raw[[#This Row],[Column5]],1))/1048576,"")</f>
        <v>192</v>
      </c>
      <c r="T31" s="59">
        <f>IF(ISNUMBER(deployment_raw[[#This Row],[Column8]]),IF(OR(deployment_raw[[#This Row],[Column5]] &lt;&gt; 0,$E$2 &lt;&gt; "Deployment"), MAX(V31, ($T$2 * IF($E$2="Deployment",deployment_raw[[#This Row],[Column5]],1))), 0),"")</f>
        <v>50</v>
      </c>
      <c r="U31" s="50">
        <f>IF(ISNUMBER(deployment_raw[[#This Row],[Column9]]),IF(OR(deployment_raw[[#This Row],[Column5]] &lt;&gt; 0,$E$2&lt;&gt;"Deployment"), MAX(W31, ($U$2 * IF($E$2="Deployment",deployment_raw[[#This Row],[Column5]],1))), 0),"")</f>
        <v>192</v>
      </c>
      <c r="V31" s="15">
        <f>IF(ISNUMBER(deployment_raw[[#This Row],[Column12]]), (deployment_raw[[#This Row],[Column12]] * IF($E$2="Deployment",deployment_raw[[#This Row],[Column5]],1)*(1+$V$2)),"")</f>
        <v>40</v>
      </c>
      <c r="W31" s="14">
        <f>IF(ISNUMBER(deployment_raw[[#This Row],[Column13]]), (deployment_raw[[#This Row],[Column13]] * IF($E$2="Deployment",deployment_raw[[#This Row],[Column5]],1)*(1+$W$2))/1048576,"")</f>
        <v>192</v>
      </c>
    </row>
    <row r="32" spans="1:23" ht="15.75" customHeight="1" x14ac:dyDescent="0.25">
      <c r="A32" s="5" t="str">
        <f>IF(ISNONTEXT(deployment_raw[[#This Row],[Column1]]), "", deployment_raw[[#This Row],[Column1]])</f>
        <v>rabbitmq-ex-prometheus-rabbitmq-exporter</v>
      </c>
      <c r="B32" s="6" t="str">
        <f>IF(ISNONTEXT(deployment_raw[[#This Row],[Column2]]), "", deployment_raw[[#This Row],[Column2]])</f>
        <v>deployment</v>
      </c>
      <c r="C32" s="6" t="str">
        <f>IF(ISNONTEXT(deployment_raw[[#This Row],[Column3]]), "", deployment_raw[[#This Row],[Column3]])</f>
        <v>robot-shop</v>
      </c>
      <c r="D32" s="6" t="str">
        <f>IF(ISNONTEXT(deployment_raw[[#This Row],[Column4]]), "", deployment_raw[[#This Row],[Column4]])</f>
        <v>&lt;none&gt;</v>
      </c>
      <c r="E32" s="7">
        <f>IF(ISNUMBER(deployment_raw[[#This Row],[Column5]]), deployment_raw[[#This Row],[Column5]],"")</f>
        <v>1</v>
      </c>
      <c r="F32" s="32">
        <f>IF(ISNUMBER(deployment_raw[[#This Row],[Column17]]), deployment_raw[[#This Row],[Column17]]/IF(OR($E$2="Deployment",deployment_raw[[#This Row],[Column5]]=0),1,deployment_raw[[#This Row],[Column5]]),"")</f>
        <v>0</v>
      </c>
      <c r="G32" s="42">
        <f>IF(ISNUMBER(deployment_raw[[#This Row],[Column14]]), deployment_raw[[#This Row],[Column14]]/IF(OR($E$2="Deployment",deployment_raw[[#This Row],[Column5]]=0),1,deployment_raw[[#This Row],[Column5]]),"")</f>
        <v>0</v>
      </c>
      <c r="H32" s="79">
        <f>IF(ISNUMBER(deployment_raw[[#This Row],[Column19]]), IF(I32&lt;&gt;0,(deployment_raw[[#This Row],[Column19]]/IF(OR($E$2="Deployment",deployment_raw[[#This Row],[Column5]]=0),1,deployment_raw[[#This Row],[Column5]]))/I32,0),"")</f>
        <v>0</v>
      </c>
      <c r="I32" s="69">
        <f>IF(ISNUMBER(deployment_raw[[#This Row],[Column6]]), (deployment_raw[[#This Row],[Column6]] * IF($E$2="Deployment",deployment_raw[[#This Row],[Column5]],1)),"")</f>
        <v>0</v>
      </c>
      <c r="J32" s="79">
        <f>IF(ISNUMBER(deployment_raw[[#This Row],[Column19]]), IF(K32&lt;&gt;0,(deployment_raw[[#This Row],[Column19]]/IF(OR($E$2="Deployment",deployment_raw[[#This Row],[Column5]]=0),1,deployment_raw[[#This Row],[Column5]]))/K32,0),"")</f>
        <v>0</v>
      </c>
      <c r="K32" s="72">
        <f>IF(ISNUMBER(deployment_raw[[#This Row],[Column8]]), (deployment_raw[[#This Row],[Column8]]  * IF($E$2="Deployment",deployment_raw[[#This Row],[Column5]],1)),"")</f>
        <v>0</v>
      </c>
      <c r="L32" s="36">
        <f>IF(ISNUMBER(deployment_raw[[#This Row],[Column18]]), deployment_raw[[#This Row],[Column18]]/IF(OR($E$2="Deployment",deployment_raw[[#This Row],[Column5]]=0),1,deployment_raw[[#This Row],[Column5]])/1048576,"")</f>
        <v>0</v>
      </c>
      <c r="M32" s="37">
        <f>IF(ISNUMBER(deployment_raw[[#This Row],[Column15]]), deployment_raw[[#This Row],[Column15]]/IF(OR($E$2="Deployment",deployment_raw[[#This Row],[Column5]]=0),1,deployment_raw[[#This Row],[Column5]])/1048576,"")</f>
        <v>0</v>
      </c>
      <c r="N32" s="81">
        <f>IF(ISNUMBER(deployment_raw[[#This Row],[Column20]]), IF(O32&lt;&gt;0,deployment_raw[[#This Row],[Column20]]/IF(OR($E$2="Deployment",deployment_raw[[#This Row],[Column5]]=0),1,deployment_raw[[#This Row],[Column5]])/1048576/O32,0),"")</f>
        <v>0</v>
      </c>
      <c r="O32" s="74">
        <f>IF(ISNUMBER(deployment_raw[[#This Row],[Column7]]), (deployment_raw[[#This Row],[Column7]] * IF($E$2="Deployment",deployment_raw[[#This Row],[Column5]],1))/1048576,"")</f>
        <v>0</v>
      </c>
      <c r="P32" s="81">
        <f>IF(ISNUMBER(deployment_raw[[#This Row],[Column20]]), IF(Q32&lt;&gt;0,deployment_raw[[#This Row],[Column20]]/IF(OR($E$2="Deployment",deployment_raw[[#This Row],[Column5]]=0),1,deployment_raw[[#This Row],[Column5]])/1048576/Q32,0),"")</f>
        <v>0</v>
      </c>
      <c r="Q32" s="76">
        <f>IF(ISNUMBER(deployment_raw[[#This Row],[Column9]]), (deployment_raw[[#This Row],[Column9]] * IF($E$2="Deployment",deployment_raw[[#This Row],[Column5]],1))/1048576,"")</f>
        <v>0</v>
      </c>
      <c r="R32" s="57">
        <f>IF(ISNUMBER(deployment_raw[[#This Row],[Column10]]), (deployment_raw[[#This Row],[Column10]] * IF($E$2="Deployment",deployment_raw[[#This Row],[Column5]],1)),"")</f>
        <v>0</v>
      </c>
      <c r="S32" s="48">
        <f>IF(ISNUMBER(deployment_raw[[#This Row],[Column11]]), (deployment_raw[[#This Row],[Column11]] * IF($E$2="Deployment",deployment_raw[[#This Row],[Column5]],1))/1048576,"")</f>
        <v>0</v>
      </c>
      <c r="T32" s="59">
        <f>IF(ISNUMBER(deployment_raw[[#This Row],[Column8]]),IF(OR(deployment_raw[[#This Row],[Column5]] &lt;&gt; 0,$E$2 &lt;&gt; "Deployment"), MAX(V32, ($T$2 * IF($E$2="Deployment",deployment_raw[[#This Row],[Column5]],1))), 0),"")</f>
        <v>50</v>
      </c>
      <c r="U32" s="50">
        <f>IF(ISNUMBER(deployment_raw[[#This Row],[Column9]]),IF(OR(deployment_raw[[#This Row],[Column5]] &lt;&gt; 0,$E$2&lt;&gt;"Deployment"), MAX(W32, ($U$2 * IF($E$2="Deployment",deployment_raw[[#This Row],[Column5]],1))), 0),"")</f>
        <v>25</v>
      </c>
      <c r="V32" s="15">
        <f>IF(ISNUMBER(deployment_raw[[#This Row],[Column12]]), (deployment_raw[[#This Row],[Column12]] * IF($E$2="Deployment",deployment_raw[[#This Row],[Column5]],1)*(1+$V$2)),"")</f>
        <v>0</v>
      </c>
      <c r="W32" s="14">
        <f>IF(ISNUMBER(deployment_raw[[#This Row],[Column13]]), (deployment_raw[[#This Row],[Column13]] * IF($E$2="Deployment",deployment_raw[[#This Row],[Column5]],1)*(1+$W$2))/1048576,"")</f>
        <v>0</v>
      </c>
    </row>
    <row r="33" spans="1:23" ht="15.75" customHeight="1" x14ac:dyDescent="0.25">
      <c r="A33" s="5" t="str">
        <f>IF(ISNONTEXT(deployment_raw[[#This Row],[Column1]]), "", deployment_raw[[#This Row],[Column1]])</f>
        <v>ratings</v>
      </c>
      <c r="B33" s="6" t="str">
        <f>IF(ISNONTEXT(deployment_raw[[#This Row],[Column2]]), "", deployment_raw[[#This Row],[Column2]])</f>
        <v>deployment</v>
      </c>
      <c r="C33" s="6" t="str">
        <f>IF(ISNONTEXT(deployment_raw[[#This Row],[Column3]]), "", deployment_raw[[#This Row],[Column3]])</f>
        <v>robot-shop</v>
      </c>
      <c r="D33" s="6" t="str">
        <f>IF(ISNONTEXT(deployment_raw[[#This Row],[Column4]]), "", deployment_raw[[#This Row],[Column4]])</f>
        <v>&lt;none&gt;</v>
      </c>
      <c r="E33" s="7">
        <f>IF(ISNUMBER(deployment_raw[[#This Row],[Column5]]), deployment_raw[[#This Row],[Column5]],"")</f>
        <v>1</v>
      </c>
      <c r="F33" s="32">
        <f>IF(ISNUMBER(deployment_raw[[#This Row],[Column17]]), deployment_raw[[#This Row],[Column17]]/IF(OR($E$2="Deployment",deployment_raw[[#This Row],[Column5]]=0),1,deployment_raw[[#This Row],[Column5]]),"")</f>
        <v>1</v>
      </c>
      <c r="G33" s="42">
        <f>IF(ISNUMBER(deployment_raw[[#This Row],[Column14]]), deployment_raw[[#This Row],[Column14]]/IF(OR($E$2="Deployment",deployment_raw[[#This Row],[Column5]]=0),1,deployment_raw[[#This Row],[Column5]]),"")</f>
        <v>2</v>
      </c>
      <c r="H33" s="79">
        <f>IF(ISNUMBER(deployment_raw[[#This Row],[Column19]]), IF(I33&lt;&gt;0,(deployment_raw[[#This Row],[Column19]]/IF(OR($E$2="Deployment",deployment_raw[[#This Row],[Column5]]=0),1,deployment_raw[[#This Row],[Column5]]))/I33,0),"")</f>
        <v>0.02</v>
      </c>
      <c r="I33" s="69">
        <f>IF(ISNUMBER(deployment_raw[[#This Row],[Column6]]), (deployment_raw[[#This Row],[Column6]] * IF($E$2="Deployment",deployment_raw[[#This Row],[Column5]],1)),"")</f>
        <v>50</v>
      </c>
      <c r="J33" s="79">
        <f>IF(ISNUMBER(deployment_raw[[#This Row],[Column19]]), IF(K33&lt;&gt;0,(deployment_raw[[#This Row],[Column19]]/IF(OR($E$2="Deployment",deployment_raw[[#This Row],[Column5]]=0),1,deployment_raw[[#This Row],[Column5]]))/K33,0),"")</f>
        <v>0.01</v>
      </c>
      <c r="K33" s="72">
        <f>IF(ISNUMBER(deployment_raw[[#This Row],[Column8]]), (deployment_raw[[#This Row],[Column8]]  * IF($E$2="Deployment",deployment_raw[[#This Row],[Column5]],1)),"")</f>
        <v>100</v>
      </c>
      <c r="L33" s="36">
        <f>IF(ISNUMBER(deployment_raw[[#This Row],[Column18]]), deployment_raw[[#This Row],[Column18]]/IF(OR($E$2="Deployment",deployment_raw[[#This Row],[Column5]]=0),1,deployment_raw[[#This Row],[Column5]])/1048576,"")</f>
        <v>41.2578125</v>
      </c>
      <c r="M33" s="37">
        <f>IF(ISNUMBER(deployment_raw[[#This Row],[Column15]]), deployment_raw[[#This Row],[Column15]]/IF(OR($E$2="Deployment",deployment_raw[[#This Row],[Column5]]=0),1,deployment_raw[[#This Row],[Column5]])/1048576,"")</f>
        <v>41.3515625</v>
      </c>
      <c r="N33" s="81">
        <f>IF(ISNUMBER(deployment_raw[[#This Row],[Column20]]), IF(O33&lt;&gt;0,deployment_raw[[#This Row],[Column20]]/IF(OR($E$2="Deployment",deployment_raw[[#This Row],[Column5]]=0),1,deployment_raw[[#This Row],[Column5]])/1048576/O33,0),"")</f>
        <v>0.41306430816650391</v>
      </c>
      <c r="O33" s="74">
        <f>IF(ISNUMBER(deployment_raw[[#This Row],[Column7]]), (deployment_raw[[#This Row],[Column7]] * IF($E$2="Deployment",deployment_raw[[#This Row],[Column5]],1))/1048576,"")</f>
        <v>100</v>
      </c>
      <c r="P33" s="81">
        <f>IF(ISNUMBER(deployment_raw[[#This Row],[Column20]]), IF(Q33&lt;&gt;0,deployment_raw[[#This Row],[Column20]]/IF(OR($E$2="Deployment",deployment_raw[[#This Row],[Column5]]=0),1,deployment_raw[[#This Row],[Column5]])/1048576/Q33,0),"")</f>
        <v>0.41306430816650391</v>
      </c>
      <c r="Q33" s="76">
        <f>IF(ISNUMBER(deployment_raw[[#This Row],[Column9]]), (deployment_raw[[#This Row],[Column9]] * IF($E$2="Deployment",deployment_raw[[#This Row],[Column5]],1))/1048576,"")</f>
        <v>100</v>
      </c>
      <c r="R33" s="57">
        <f>IF(ISNUMBER(deployment_raw[[#This Row],[Column10]]), (deployment_raw[[#This Row],[Column10]] * IF($E$2="Deployment",deployment_raw[[#This Row],[Column5]],1)),"")</f>
        <v>10</v>
      </c>
      <c r="S33" s="48">
        <f>IF(ISNUMBER(deployment_raw[[#This Row],[Column11]]), (deployment_raw[[#This Row],[Column11]] * IF($E$2="Deployment",deployment_raw[[#This Row],[Column5]],1))/1048576,"")</f>
        <v>48</v>
      </c>
      <c r="T33" s="59">
        <f>IF(ISNUMBER(deployment_raw[[#This Row],[Column8]]),IF(OR(deployment_raw[[#This Row],[Column5]] &lt;&gt; 0,$E$2 &lt;&gt; "Deployment"), MAX(V33, ($T$2 * IF($E$2="Deployment",deployment_raw[[#This Row],[Column5]],1))), 0),"")</f>
        <v>50</v>
      </c>
      <c r="U33" s="50">
        <f>IF(ISNUMBER(deployment_raw[[#This Row],[Column9]]),IF(OR(deployment_raw[[#This Row],[Column5]] &lt;&gt; 0,$E$2&lt;&gt;"Deployment"), MAX(W33, ($U$2 * IF($E$2="Deployment",deployment_raw[[#This Row],[Column5]],1))), 0),"")</f>
        <v>48</v>
      </c>
      <c r="V33" s="15">
        <f>IF(ISNUMBER(deployment_raw[[#This Row],[Column12]]), (deployment_raw[[#This Row],[Column12]] * IF($E$2="Deployment",deployment_raw[[#This Row],[Column5]],1)*(1+$V$2)),"")</f>
        <v>10</v>
      </c>
      <c r="W33" s="14">
        <f>IF(ISNUMBER(deployment_raw[[#This Row],[Column13]]), (deployment_raw[[#This Row],[Column13]] * IF($E$2="Deployment",deployment_raw[[#This Row],[Column5]],1)*(1+$W$2))/1048576,"")</f>
        <v>48</v>
      </c>
    </row>
    <row r="34" spans="1:23" ht="15.75" customHeight="1" x14ac:dyDescent="0.25">
      <c r="A34" s="5" t="str">
        <f>IF(ISNONTEXT(deployment_raw[[#This Row],[Column1]]), "", deployment_raw[[#This Row],[Column1]])</f>
        <v>redis-ex-prometheus-redis-exporter</v>
      </c>
      <c r="B34" s="6" t="str">
        <f>IF(ISNONTEXT(deployment_raw[[#This Row],[Column2]]), "", deployment_raw[[#This Row],[Column2]])</f>
        <v>deployment</v>
      </c>
      <c r="C34" s="6" t="str">
        <f>IF(ISNONTEXT(deployment_raw[[#This Row],[Column3]]), "", deployment_raw[[#This Row],[Column3]])</f>
        <v>robot-shop</v>
      </c>
      <c r="D34" s="6" t="str">
        <f>IF(ISNONTEXT(deployment_raw[[#This Row],[Column4]]), "", deployment_raw[[#This Row],[Column4]])</f>
        <v>&lt;none&gt;</v>
      </c>
      <c r="E34" s="7">
        <f>IF(ISNUMBER(deployment_raw[[#This Row],[Column5]]), deployment_raw[[#This Row],[Column5]],"")</f>
        <v>1</v>
      </c>
      <c r="F34" s="32">
        <f>IF(ISNUMBER(deployment_raw[[#This Row],[Column17]]), deployment_raw[[#This Row],[Column17]]/IF(OR($E$2="Deployment",deployment_raw[[#This Row],[Column5]]=0),1,deployment_raw[[#This Row],[Column5]]),"")</f>
        <v>0</v>
      </c>
      <c r="G34" s="42">
        <f>IF(ISNUMBER(deployment_raw[[#This Row],[Column14]]), deployment_raw[[#This Row],[Column14]]/IF(OR($E$2="Deployment",deployment_raw[[#This Row],[Column5]]=0),1,deployment_raw[[#This Row],[Column5]]),"")</f>
        <v>0</v>
      </c>
      <c r="H34" s="79">
        <f>IF(ISNUMBER(deployment_raw[[#This Row],[Column19]]), IF(I34&lt;&gt;0,(deployment_raw[[#This Row],[Column19]]/IF(OR($E$2="Deployment",deployment_raw[[#This Row],[Column5]]=0),1,deployment_raw[[#This Row],[Column5]]))/I34,0),"")</f>
        <v>0</v>
      </c>
      <c r="I34" s="69">
        <f>IF(ISNUMBER(deployment_raw[[#This Row],[Column6]]), (deployment_raw[[#This Row],[Column6]] * IF($E$2="Deployment",deployment_raw[[#This Row],[Column5]],1)),"")</f>
        <v>0</v>
      </c>
      <c r="J34" s="79">
        <f>IF(ISNUMBER(deployment_raw[[#This Row],[Column19]]), IF(K34&lt;&gt;0,(deployment_raw[[#This Row],[Column19]]/IF(OR($E$2="Deployment",deployment_raw[[#This Row],[Column5]]=0),1,deployment_raw[[#This Row],[Column5]]))/K34,0),"")</f>
        <v>0</v>
      </c>
      <c r="K34" s="72">
        <f>IF(ISNUMBER(deployment_raw[[#This Row],[Column8]]), (deployment_raw[[#This Row],[Column8]]  * IF($E$2="Deployment",deployment_raw[[#This Row],[Column5]],1)),"")</f>
        <v>0</v>
      </c>
      <c r="L34" s="36">
        <f>IF(ISNUMBER(deployment_raw[[#This Row],[Column18]]), deployment_raw[[#This Row],[Column18]]/IF(OR($E$2="Deployment",deployment_raw[[#This Row],[Column5]]=0),1,deployment_raw[[#This Row],[Column5]])/1048576,"")</f>
        <v>0</v>
      </c>
      <c r="M34" s="37">
        <f>IF(ISNUMBER(deployment_raw[[#This Row],[Column15]]), deployment_raw[[#This Row],[Column15]]/IF(OR($E$2="Deployment",deployment_raw[[#This Row],[Column5]]=0),1,deployment_raw[[#This Row],[Column5]])/1048576,"")</f>
        <v>0</v>
      </c>
      <c r="N34" s="81">
        <f>IF(ISNUMBER(deployment_raw[[#This Row],[Column20]]), IF(O34&lt;&gt;0,deployment_raw[[#This Row],[Column20]]/IF(OR($E$2="Deployment",deployment_raw[[#This Row],[Column5]]=0),1,deployment_raw[[#This Row],[Column5]])/1048576/O34,0),"")</f>
        <v>0</v>
      </c>
      <c r="O34" s="74">
        <f>IF(ISNUMBER(deployment_raw[[#This Row],[Column7]]), (deployment_raw[[#This Row],[Column7]] * IF($E$2="Deployment",deployment_raw[[#This Row],[Column5]],1))/1048576,"")</f>
        <v>0</v>
      </c>
      <c r="P34" s="81">
        <f>IF(ISNUMBER(deployment_raw[[#This Row],[Column20]]), IF(Q34&lt;&gt;0,deployment_raw[[#This Row],[Column20]]/IF(OR($E$2="Deployment",deployment_raw[[#This Row],[Column5]]=0),1,deployment_raw[[#This Row],[Column5]])/1048576/Q34,0),"")</f>
        <v>0</v>
      </c>
      <c r="Q34" s="76">
        <f>IF(ISNUMBER(deployment_raw[[#This Row],[Column9]]), (deployment_raw[[#This Row],[Column9]] * IF($E$2="Deployment",deployment_raw[[#This Row],[Column5]],1))/1048576,"")</f>
        <v>0</v>
      </c>
      <c r="R34" s="57">
        <f>IF(ISNUMBER(deployment_raw[[#This Row],[Column10]]), (deployment_raw[[#This Row],[Column10]] * IF($E$2="Deployment",deployment_raw[[#This Row],[Column5]],1)),"")</f>
        <v>0</v>
      </c>
      <c r="S34" s="48">
        <f>IF(ISNUMBER(deployment_raw[[#This Row],[Column11]]), (deployment_raw[[#This Row],[Column11]] * IF($E$2="Deployment",deployment_raw[[#This Row],[Column5]],1))/1048576,"")</f>
        <v>0</v>
      </c>
      <c r="T34" s="59">
        <f>IF(ISNUMBER(deployment_raw[[#This Row],[Column8]]),IF(OR(deployment_raw[[#This Row],[Column5]] &lt;&gt; 0,$E$2 &lt;&gt; "Deployment"), MAX(V34, ($T$2 * IF($E$2="Deployment",deployment_raw[[#This Row],[Column5]],1))), 0),"")</f>
        <v>50</v>
      </c>
      <c r="U34" s="50">
        <f>IF(ISNUMBER(deployment_raw[[#This Row],[Column9]]),IF(OR(deployment_raw[[#This Row],[Column5]] &lt;&gt; 0,$E$2&lt;&gt;"Deployment"), MAX(W34, ($U$2 * IF($E$2="Deployment",deployment_raw[[#This Row],[Column5]],1))), 0),"")</f>
        <v>25</v>
      </c>
      <c r="V34" s="15">
        <f>IF(ISNUMBER(deployment_raw[[#This Row],[Column12]]), (deployment_raw[[#This Row],[Column12]] * IF($E$2="Deployment",deployment_raw[[#This Row],[Column5]],1)*(1+$V$2)),"")</f>
        <v>0</v>
      </c>
      <c r="W34" s="14">
        <f>IF(ISNUMBER(deployment_raw[[#This Row],[Column13]]), (deployment_raw[[#This Row],[Column13]] * IF($E$2="Deployment",deployment_raw[[#This Row],[Column5]],1)*(1+$W$2))/1048576,"")</f>
        <v>0</v>
      </c>
    </row>
    <row r="35" spans="1:23" ht="15.75" customHeight="1" x14ac:dyDescent="0.25">
      <c r="A35" s="5" t="str">
        <f>IF(ISNONTEXT(deployment_raw[[#This Row],[Column1]]), "", deployment_raw[[#This Row],[Column1]])</f>
        <v>shipping</v>
      </c>
      <c r="B35" s="6" t="str">
        <f>IF(ISNONTEXT(deployment_raw[[#This Row],[Column2]]), "", deployment_raw[[#This Row],[Column2]])</f>
        <v>deployment</v>
      </c>
      <c r="C35" s="6" t="str">
        <f>IF(ISNONTEXT(deployment_raw[[#This Row],[Column3]]), "", deployment_raw[[#This Row],[Column3]])</f>
        <v>robot-shop</v>
      </c>
      <c r="D35" s="6" t="str">
        <f>IF(ISNONTEXT(deployment_raw[[#This Row],[Column4]]), "", deployment_raw[[#This Row],[Column4]])</f>
        <v>&lt;none&gt;</v>
      </c>
      <c r="E35" s="7">
        <f>IF(ISNUMBER(deployment_raw[[#This Row],[Column5]]), deployment_raw[[#This Row],[Column5]],"")</f>
        <v>1</v>
      </c>
      <c r="F35" s="32">
        <f>IF(ISNUMBER(deployment_raw[[#This Row],[Column17]]), deployment_raw[[#This Row],[Column17]]/IF(OR($E$2="Deployment",deployment_raw[[#This Row],[Column5]]=0),1,deployment_raw[[#This Row],[Column5]]),"")</f>
        <v>1</v>
      </c>
      <c r="G35" s="42">
        <f>IF(ISNUMBER(deployment_raw[[#This Row],[Column14]]), deployment_raw[[#This Row],[Column14]]/IF(OR($E$2="Deployment",deployment_raw[[#This Row],[Column5]]=0),1,deployment_raw[[#This Row],[Column5]]),"")</f>
        <v>963</v>
      </c>
      <c r="H35" s="79">
        <f>IF(ISNUMBER(deployment_raw[[#This Row],[Column19]]), IF(I35&lt;&gt;0,(deployment_raw[[#This Row],[Column19]]/IF(OR($E$2="Deployment",deployment_raw[[#This Row],[Column5]]=0),1,deployment_raw[[#This Row],[Column5]]))/I35,0),"")</f>
        <v>2.375</v>
      </c>
      <c r="I35" s="69">
        <f>IF(ISNUMBER(deployment_raw[[#This Row],[Column6]]), (deployment_raw[[#This Row],[Column6]] * IF($E$2="Deployment",deployment_raw[[#This Row],[Column5]],1)),"")</f>
        <v>200</v>
      </c>
      <c r="J35" s="79">
        <f>IF(ISNUMBER(deployment_raw[[#This Row],[Column19]]), IF(K35&lt;&gt;0,(deployment_raw[[#This Row],[Column19]]/IF(OR($E$2="Deployment",deployment_raw[[#This Row],[Column5]]=0),1,deployment_raw[[#This Row],[Column5]]))/K35,0),"")</f>
        <v>0.47499999999999998</v>
      </c>
      <c r="K35" s="72">
        <f>IF(ISNUMBER(deployment_raw[[#This Row],[Column8]]), (deployment_raw[[#This Row],[Column8]]  * IF($E$2="Deployment",deployment_raw[[#This Row],[Column5]],1)),"")</f>
        <v>1000</v>
      </c>
      <c r="L35" s="36">
        <f>IF(ISNUMBER(deployment_raw[[#This Row],[Column18]]), deployment_raw[[#This Row],[Column18]]/IF(OR($E$2="Deployment",deployment_raw[[#This Row],[Column5]]=0),1,deployment_raw[[#This Row],[Column5]])/1048576,"")</f>
        <v>875.12656211853027</v>
      </c>
      <c r="M35" s="37">
        <f>IF(ISNUMBER(deployment_raw[[#This Row],[Column15]]), deployment_raw[[#This Row],[Column15]]/IF(OR($E$2="Deployment",deployment_raw[[#This Row],[Column5]]=0),1,deployment_raw[[#This Row],[Column5]])/1048576,"")</f>
        <v>889.515625</v>
      </c>
      <c r="N35" s="81">
        <f>IF(ISNUMBER(deployment_raw[[#This Row],[Column20]]), IF(O35&lt;&gt;0,deployment_raw[[#This Row],[Column20]]/IF(OR($E$2="Deployment",deployment_raw[[#This Row],[Column5]]=0),1,deployment_raw[[#This Row],[Column5]])/1048576/O35,0),"")</f>
        <v>0.88310389041900639</v>
      </c>
      <c r="O35" s="74">
        <f>IF(ISNUMBER(deployment_raw[[#This Row],[Column7]]), (deployment_raw[[#This Row],[Column7]] * IF($E$2="Deployment",deployment_raw[[#This Row],[Column5]],1))/1048576,"")</f>
        <v>1000</v>
      </c>
      <c r="P35" s="81">
        <f>IF(ISNUMBER(deployment_raw[[#This Row],[Column20]]), IF(Q35&lt;&gt;0,deployment_raw[[#This Row],[Column20]]/IF(OR($E$2="Deployment",deployment_raw[[#This Row],[Column5]]=0),1,deployment_raw[[#This Row],[Column5]])/1048576/Q35,0),"")</f>
        <v>0.88310389041900639</v>
      </c>
      <c r="Q35" s="76">
        <f>IF(ISNUMBER(deployment_raw[[#This Row],[Column9]]), (deployment_raw[[#This Row],[Column9]] * IF($E$2="Deployment",deployment_raw[[#This Row],[Column5]],1))/1048576,"")</f>
        <v>1000</v>
      </c>
      <c r="R35" s="57">
        <f>IF(ISNUMBER(deployment_raw[[#This Row],[Column10]]), (deployment_raw[[#This Row],[Column10]] * IF($E$2="Deployment",deployment_raw[[#This Row],[Column5]],1)),"")</f>
        <v>850</v>
      </c>
      <c r="S35" s="48">
        <f>IF(ISNUMBER(deployment_raw[[#This Row],[Column11]]), (deployment_raw[[#This Row],[Column11]] * IF($E$2="Deployment",deployment_raw[[#This Row],[Column5]],1))/1048576,"")</f>
        <v>896</v>
      </c>
      <c r="T35" s="59">
        <f>IF(ISNUMBER(deployment_raw[[#This Row],[Column8]]),IF(OR(deployment_raw[[#This Row],[Column5]] &lt;&gt; 0,$E$2 &lt;&gt; "Deployment"), MAX(V35, ($T$2 * IF($E$2="Deployment",deployment_raw[[#This Row],[Column5]],1))), 0),"")</f>
        <v>1700</v>
      </c>
      <c r="U35" s="50">
        <f>IF(ISNUMBER(deployment_raw[[#This Row],[Column9]]),IF(OR(deployment_raw[[#This Row],[Column5]] &lt;&gt; 0,$E$2&lt;&gt;"Deployment"), MAX(W35, ($U$2 * IF($E$2="Deployment",deployment_raw[[#This Row],[Column5]],1))), 0),"")</f>
        <v>1024</v>
      </c>
      <c r="V35" s="15">
        <f>IF(ISNUMBER(deployment_raw[[#This Row],[Column12]]), (deployment_raw[[#This Row],[Column12]] * IF($E$2="Deployment",deployment_raw[[#This Row],[Column5]],1)*(1+$V$2)),"")</f>
        <v>1700</v>
      </c>
      <c r="W35" s="14">
        <f>IF(ISNUMBER(deployment_raw[[#This Row],[Column13]]), (deployment_raw[[#This Row],[Column13]] * IF($E$2="Deployment",deployment_raw[[#This Row],[Column5]],1)*(1+$W$2))/1048576,"")</f>
        <v>1024</v>
      </c>
    </row>
    <row r="36" spans="1:23" ht="15.75" customHeight="1" x14ac:dyDescent="0.25">
      <c r="A36" s="5" t="str">
        <f>IF(ISNONTEXT(deployment_raw[[#This Row],[Column1]]), "", deployment_raw[[#This Row],[Column1]])</f>
        <v>user</v>
      </c>
      <c r="B36" s="6" t="str">
        <f>IF(ISNONTEXT(deployment_raw[[#This Row],[Column2]]), "", deployment_raw[[#This Row],[Column2]])</f>
        <v>deployment</v>
      </c>
      <c r="C36" s="6" t="str">
        <f>IF(ISNONTEXT(deployment_raw[[#This Row],[Column3]]), "", deployment_raw[[#This Row],[Column3]])</f>
        <v>robot-shop</v>
      </c>
      <c r="D36" s="6" t="str">
        <f>IF(ISNONTEXT(deployment_raw[[#This Row],[Column4]]), "", deployment_raw[[#This Row],[Column4]])</f>
        <v>&lt;none&gt;</v>
      </c>
      <c r="E36" s="7">
        <f>IF(ISNUMBER(deployment_raw[[#This Row],[Column5]]), deployment_raw[[#This Row],[Column5]],"")</f>
        <v>1</v>
      </c>
      <c r="F36" s="32">
        <f>IF(ISNUMBER(deployment_raw[[#This Row],[Column17]]), deployment_raw[[#This Row],[Column17]]/IF(OR($E$2="Deployment",deployment_raw[[#This Row],[Column5]]=0),1,deployment_raw[[#This Row],[Column5]]),"")</f>
        <v>0</v>
      </c>
      <c r="G36" s="42">
        <f>IF(ISNUMBER(deployment_raw[[#This Row],[Column14]]), deployment_raw[[#This Row],[Column14]]/IF(OR($E$2="Deployment",deployment_raw[[#This Row],[Column5]]=0),1,deployment_raw[[#This Row],[Column5]]),"")</f>
        <v>793</v>
      </c>
      <c r="H36" s="79">
        <f>IF(ISNUMBER(deployment_raw[[#This Row],[Column19]]), IF(I36&lt;&gt;0,(deployment_raw[[#This Row],[Column19]]/IF(OR($E$2="Deployment",deployment_raw[[#This Row],[Column5]]=0),1,deployment_raw[[#This Row],[Column5]]))/I36,0),"")</f>
        <v>1.825</v>
      </c>
      <c r="I36" s="69">
        <f>IF(ISNUMBER(deployment_raw[[#This Row],[Column6]]), (deployment_raw[[#This Row],[Column6]] * IF($E$2="Deployment",deployment_raw[[#This Row],[Column5]],1)),"")</f>
        <v>200</v>
      </c>
      <c r="J36" s="79">
        <f>IF(ISNUMBER(deployment_raw[[#This Row],[Column19]]), IF(K36&lt;&gt;0,(deployment_raw[[#This Row],[Column19]]/IF(OR($E$2="Deployment",deployment_raw[[#This Row],[Column5]]=0),1,deployment_raw[[#This Row],[Column5]]))/K36,0),"")</f>
        <v>0.1825</v>
      </c>
      <c r="K36" s="72">
        <f>IF(ISNUMBER(deployment_raw[[#This Row],[Column8]]), (deployment_raw[[#This Row],[Column8]]  * IF($E$2="Deployment",deployment_raw[[#This Row],[Column5]],1)),"")</f>
        <v>2000</v>
      </c>
      <c r="L36" s="36">
        <f>IF(ISNUMBER(deployment_raw[[#This Row],[Column18]]), deployment_raw[[#This Row],[Column18]]/IF(OR($E$2="Deployment",deployment_raw[[#This Row],[Column5]]=0),1,deployment_raw[[#This Row],[Column5]])/1048576,"")</f>
        <v>62.893391609191895</v>
      </c>
      <c r="M36" s="37">
        <f>IF(ISNUMBER(deployment_raw[[#This Row],[Column15]]), deployment_raw[[#This Row],[Column15]]/IF(OR($E$2="Deployment",deployment_raw[[#This Row],[Column5]]=0),1,deployment_raw[[#This Row],[Column5]])/1048576,"")</f>
        <v>99.91796875</v>
      </c>
      <c r="N36" s="81">
        <f>IF(ISNUMBER(deployment_raw[[#This Row],[Column20]]), IF(O36&lt;&gt;0,deployment_raw[[#This Row],[Column20]]/IF(OR($E$2="Deployment",deployment_raw[[#This Row],[Column5]]=0),1,deployment_raw[[#This Row],[Column5]])/1048576/O36,0),"")</f>
        <v>0.94318611145019526</v>
      </c>
      <c r="O36" s="74">
        <f>IF(ISNUMBER(deployment_raw[[#This Row],[Column7]]), (deployment_raw[[#This Row],[Column7]] * IF($E$2="Deployment",deployment_raw[[#This Row],[Column5]],1))/1048576,"")</f>
        <v>100</v>
      </c>
      <c r="P36" s="81">
        <f>IF(ISNUMBER(deployment_raw[[#This Row],[Column20]]), IF(Q36&lt;&gt;0,deployment_raw[[#This Row],[Column20]]/IF(OR($E$2="Deployment",deployment_raw[[#This Row],[Column5]]=0),1,deployment_raw[[#This Row],[Column5]])/1048576/Q36,0),"")</f>
        <v>9.2108018696308136E-2</v>
      </c>
      <c r="Q36" s="76">
        <f>IF(ISNUMBER(deployment_raw[[#This Row],[Column9]]), (deployment_raw[[#This Row],[Column9]] * IF($E$2="Deployment",deployment_raw[[#This Row],[Column5]],1))/1048576,"")</f>
        <v>1024</v>
      </c>
      <c r="R36" s="57">
        <f>IF(ISNUMBER(deployment_raw[[#This Row],[Column10]]), (deployment_raw[[#This Row],[Column10]] * IF($E$2="Deployment",deployment_raw[[#This Row],[Column5]],1)),"")</f>
        <v>800</v>
      </c>
      <c r="S36" s="48">
        <f>IF(ISNUMBER(deployment_raw[[#This Row],[Column11]]), (deployment_raw[[#This Row],[Column11]] * IF($E$2="Deployment",deployment_raw[[#This Row],[Column5]],1))/1048576,"")</f>
        <v>112</v>
      </c>
      <c r="T36" s="59">
        <f>IF(ISNUMBER(deployment_raw[[#This Row],[Column8]]),IF(OR(deployment_raw[[#This Row],[Column5]] &lt;&gt; 0,$E$2 &lt;&gt; "Deployment"), MAX(V36, ($T$2 * IF($E$2="Deployment",deployment_raw[[#This Row],[Column5]],1))), 0),"")</f>
        <v>1400</v>
      </c>
      <c r="U36" s="50">
        <f>IF(ISNUMBER(deployment_raw[[#This Row],[Column9]]),IF(OR(deployment_raw[[#This Row],[Column5]] &lt;&gt; 0,$E$2&lt;&gt;"Deployment"), MAX(W36, ($U$2 * IF($E$2="Deployment",deployment_raw[[#This Row],[Column5]],1))), 0),"")</f>
        <v>128</v>
      </c>
      <c r="V36" s="15">
        <f>IF(ISNUMBER(deployment_raw[[#This Row],[Column12]]), (deployment_raw[[#This Row],[Column12]] * IF($E$2="Deployment",deployment_raw[[#This Row],[Column5]],1)*(1+$V$2)),"")</f>
        <v>1400</v>
      </c>
      <c r="W36" s="14">
        <f>IF(ISNUMBER(deployment_raw[[#This Row],[Column13]]), (deployment_raw[[#This Row],[Column13]] * IF($E$2="Deployment",deployment_raw[[#This Row],[Column5]],1)*(1+$W$2))/1048576,"")</f>
        <v>128</v>
      </c>
    </row>
    <row r="37" spans="1:23" ht="15.75" customHeight="1" x14ac:dyDescent="0.25">
      <c r="A37" s="5" t="str">
        <f>IF(ISNONTEXT(deployment_raw[[#This Row],[Column1]]), "", deployment_raw[[#This Row],[Column1]])</f>
        <v>web</v>
      </c>
      <c r="B37" s="6" t="str">
        <f>IF(ISNONTEXT(deployment_raw[[#This Row],[Column2]]), "", deployment_raw[[#This Row],[Column2]])</f>
        <v>deployment</v>
      </c>
      <c r="C37" s="6" t="str">
        <f>IF(ISNONTEXT(deployment_raw[[#This Row],[Column3]]), "", deployment_raw[[#This Row],[Column3]])</f>
        <v>robot-shop</v>
      </c>
      <c r="D37" s="6" t="str">
        <f>IF(ISNONTEXT(deployment_raw[[#This Row],[Column4]]), "", deployment_raw[[#This Row],[Column4]])</f>
        <v>&lt;none&gt;</v>
      </c>
      <c r="E37" s="7">
        <f>IF(ISNUMBER(deployment_raw[[#This Row],[Column5]]), deployment_raw[[#This Row],[Column5]],"")</f>
        <v>1</v>
      </c>
      <c r="F37" s="32">
        <f>IF(ISNUMBER(deployment_raw[[#This Row],[Column17]]), deployment_raw[[#This Row],[Column17]]/IF(OR($E$2="Deployment",deployment_raw[[#This Row],[Column5]]=0),1,deployment_raw[[#This Row],[Column5]]),"")</f>
        <v>0</v>
      </c>
      <c r="G37" s="42">
        <f>IF(ISNUMBER(deployment_raw[[#This Row],[Column14]]), deployment_raw[[#This Row],[Column14]]/IF(OR($E$2="Deployment",deployment_raw[[#This Row],[Column5]]=0),1,deployment_raw[[#This Row],[Column5]]),"")</f>
        <v>835</v>
      </c>
      <c r="H37" s="79">
        <f>IF(ISNUMBER(deployment_raw[[#This Row],[Column19]]), IF(I37&lt;&gt;0,(deployment_raw[[#This Row],[Column19]]/IF(OR($E$2="Deployment",deployment_raw[[#This Row],[Column5]]=0),1,deployment_raw[[#This Row],[Column5]]))/I37,0),"")</f>
        <v>2.2949999999999999</v>
      </c>
      <c r="I37" s="69">
        <f>IF(ISNUMBER(deployment_raw[[#This Row],[Column6]]), (deployment_raw[[#This Row],[Column6]] * IF($E$2="Deployment",deployment_raw[[#This Row],[Column5]],1)),"")</f>
        <v>200</v>
      </c>
      <c r="J37" s="79">
        <f>IF(ISNUMBER(deployment_raw[[#This Row],[Column19]]), IF(K37&lt;&gt;0,(deployment_raw[[#This Row],[Column19]]/IF(OR($E$2="Deployment",deployment_raw[[#This Row],[Column5]]=0),1,deployment_raw[[#This Row],[Column5]]))/K37,0),"")</f>
        <v>0.22950000000000001</v>
      </c>
      <c r="K37" s="72">
        <f>IF(ISNUMBER(deployment_raw[[#This Row],[Column8]]), (deployment_raw[[#This Row],[Column8]]  * IF($E$2="Deployment",deployment_raw[[#This Row],[Column5]],1)),"")</f>
        <v>2000</v>
      </c>
      <c r="L37" s="36">
        <f>IF(ISNUMBER(deployment_raw[[#This Row],[Column18]]), deployment_raw[[#This Row],[Column18]]/IF(OR($E$2="Deployment",deployment_raw[[#This Row],[Column5]]=0),1,deployment_raw[[#This Row],[Column5]])/1048576,"")</f>
        <v>75.925945281982422</v>
      </c>
      <c r="M37" s="37">
        <f>IF(ISNUMBER(deployment_raw[[#This Row],[Column15]]), deployment_raw[[#This Row],[Column15]]/IF(OR($E$2="Deployment",deployment_raw[[#This Row],[Column5]]=0),1,deployment_raw[[#This Row],[Column5]])/1048576,"")</f>
        <v>80.279296875</v>
      </c>
      <c r="N37" s="81">
        <f>IF(ISNUMBER(deployment_raw[[#This Row],[Column20]]), IF(O37&lt;&gt;0,deployment_raw[[#This Row],[Column20]]/IF(OR($E$2="Deployment",deployment_raw[[#This Row],[Column5]]=0),1,deployment_raw[[#This Row],[Column5]])/1048576/O37,0),"")</f>
        <v>0.78111075401306151</v>
      </c>
      <c r="O37" s="74">
        <f>IF(ISNUMBER(deployment_raw[[#This Row],[Column7]]), (deployment_raw[[#This Row],[Column7]] * IF($E$2="Deployment",deployment_raw[[#This Row],[Column5]],1))/1048576,"")</f>
        <v>100</v>
      </c>
      <c r="P37" s="81">
        <f>IF(ISNUMBER(deployment_raw[[#This Row],[Column20]]), IF(Q37&lt;&gt;0,deployment_raw[[#This Row],[Column20]]/IF(OR($E$2="Deployment",deployment_raw[[#This Row],[Column5]]=0),1,deployment_raw[[#This Row],[Column5]])/1048576/Q37,0),"")</f>
        <v>7.6280347071588039E-2</v>
      </c>
      <c r="Q37" s="76">
        <f>IF(ISNUMBER(deployment_raw[[#This Row],[Column9]]), (deployment_raw[[#This Row],[Column9]] * IF($E$2="Deployment",deployment_raw[[#This Row],[Column5]],1))/1048576,"")</f>
        <v>1024</v>
      </c>
      <c r="R37" s="57">
        <f>IF(ISNUMBER(deployment_raw[[#This Row],[Column10]]), (deployment_raw[[#This Row],[Column10]] * IF($E$2="Deployment",deployment_raw[[#This Row],[Column5]],1)),"")</f>
        <v>1100</v>
      </c>
      <c r="S37" s="48">
        <f>IF(ISNUMBER(deployment_raw[[#This Row],[Column11]]), (deployment_raw[[#This Row],[Column11]] * IF($E$2="Deployment",deployment_raw[[#This Row],[Column5]],1))/1048576,"")</f>
        <v>96</v>
      </c>
      <c r="T37" s="59">
        <f>IF(ISNUMBER(deployment_raw[[#This Row],[Column8]]),IF(OR(deployment_raw[[#This Row],[Column5]] &lt;&gt; 0,$E$2 &lt;&gt; "Deployment"), MAX(V37, ($T$2 * IF($E$2="Deployment",deployment_raw[[#This Row],[Column5]],1))), 0),"")</f>
        <v>1600</v>
      </c>
      <c r="U37" s="50">
        <f>IF(ISNUMBER(deployment_raw[[#This Row],[Column9]]),IF(OR(deployment_raw[[#This Row],[Column5]] &lt;&gt; 0,$E$2&lt;&gt;"Deployment"), MAX(W37, ($U$2 * IF($E$2="Deployment",deployment_raw[[#This Row],[Column5]],1))), 0),"")</f>
        <v>96</v>
      </c>
      <c r="V37" s="15">
        <f>IF(ISNUMBER(deployment_raw[[#This Row],[Column12]]), (deployment_raw[[#This Row],[Column12]] * IF($E$2="Deployment",deployment_raw[[#This Row],[Column5]],1)*(1+$V$2)),"")</f>
        <v>1600</v>
      </c>
      <c r="W37" s="14">
        <f>IF(ISNUMBER(deployment_raw[[#This Row],[Column13]]), (deployment_raw[[#This Row],[Column13]] * IF($E$2="Deployment",deployment_raw[[#This Row],[Column5]],1)*(1+$W$2))/1048576,"")</f>
        <v>96</v>
      </c>
    </row>
    <row r="38" spans="1:23" ht="15.75" customHeight="1" x14ac:dyDescent="0.25">
      <c r="A38" s="5" t="str">
        <f>IF(ISNONTEXT(deployment_raw[[#This Row],[Column1]]), "", deployment_raw[[#This Row],[Column1]])</f>
        <v>stable-ingress-nginx-ingress-controller</v>
      </c>
      <c r="B38" s="6" t="str">
        <f>IF(ISNONTEXT(deployment_raw[[#This Row],[Column2]]), "", deployment_raw[[#This Row],[Column2]])</f>
        <v>deployment</v>
      </c>
      <c r="C38" s="6" t="str">
        <f>IF(ISNONTEXT(deployment_raw[[#This Row],[Column3]]), "", deployment_raw[[#This Row],[Column3]])</f>
        <v>stable-ingress</v>
      </c>
      <c r="D38" s="6" t="str">
        <f>IF(ISNONTEXT(deployment_raw[[#This Row],[Column4]]), "", deployment_raw[[#This Row],[Column4]])</f>
        <v>&lt;none&gt;</v>
      </c>
      <c r="E38" s="7">
        <f>IF(ISNUMBER(deployment_raw[[#This Row],[Column5]]), deployment_raw[[#This Row],[Column5]],"")</f>
        <v>1</v>
      </c>
      <c r="F38" s="32">
        <f>IF(ISNUMBER(deployment_raw[[#This Row],[Column17]]), deployment_raw[[#This Row],[Column17]]/IF(OR($E$2="Deployment",deployment_raw[[#This Row],[Column5]]=0),1,deployment_raw[[#This Row],[Column5]]),"")</f>
        <v>0</v>
      </c>
      <c r="G38" s="42">
        <f>IF(ISNUMBER(deployment_raw[[#This Row],[Column14]]), deployment_raw[[#This Row],[Column14]]/IF(OR($E$2="Deployment",deployment_raw[[#This Row],[Column5]]=0),1,deployment_raw[[#This Row],[Column5]]),"")</f>
        <v>0</v>
      </c>
      <c r="H38" s="79">
        <f>IF(ISNUMBER(deployment_raw[[#This Row],[Column19]]), IF(I38&lt;&gt;0,(deployment_raw[[#This Row],[Column19]]/IF(OR($E$2="Deployment",deployment_raw[[#This Row],[Column5]]=0),1,deployment_raw[[#This Row],[Column5]]))/I38,0),"")</f>
        <v>0</v>
      </c>
      <c r="I38" s="69">
        <f>IF(ISNUMBER(deployment_raw[[#This Row],[Column6]]), (deployment_raw[[#This Row],[Column6]] * IF($E$2="Deployment",deployment_raw[[#This Row],[Column5]],1)),"")</f>
        <v>0</v>
      </c>
      <c r="J38" s="79">
        <f>IF(ISNUMBER(deployment_raw[[#This Row],[Column19]]), IF(K38&lt;&gt;0,(deployment_raw[[#This Row],[Column19]]/IF(OR($E$2="Deployment",deployment_raw[[#This Row],[Column5]]=0),1,deployment_raw[[#This Row],[Column5]]))/K38,0),"")</f>
        <v>0</v>
      </c>
      <c r="K38" s="72">
        <f>IF(ISNUMBER(deployment_raw[[#This Row],[Column8]]), (deployment_raw[[#This Row],[Column8]]  * IF($E$2="Deployment",deployment_raw[[#This Row],[Column5]],1)),"")</f>
        <v>0</v>
      </c>
      <c r="L38" s="36">
        <f>IF(ISNUMBER(deployment_raw[[#This Row],[Column18]]), deployment_raw[[#This Row],[Column18]]/IF(OR($E$2="Deployment",deployment_raw[[#This Row],[Column5]]=0),1,deployment_raw[[#This Row],[Column5]])/1048576,"")</f>
        <v>0</v>
      </c>
      <c r="M38" s="37">
        <f>IF(ISNUMBER(deployment_raw[[#This Row],[Column15]]), deployment_raw[[#This Row],[Column15]]/IF(OR($E$2="Deployment",deployment_raw[[#This Row],[Column5]]=0),1,deployment_raw[[#This Row],[Column5]])/1048576,"")</f>
        <v>0</v>
      </c>
      <c r="N38" s="81">
        <f>IF(ISNUMBER(deployment_raw[[#This Row],[Column20]]), IF(O38&lt;&gt;0,deployment_raw[[#This Row],[Column20]]/IF(OR($E$2="Deployment",deployment_raw[[#This Row],[Column5]]=0),1,deployment_raw[[#This Row],[Column5]])/1048576/O38,0),"")</f>
        <v>0</v>
      </c>
      <c r="O38" s="74">
        <f>IF(ISNUMBER(deployment_raw[[#This Row],[Column7]]), (deployment_raw[[#This Row],[Column7]] * IF($E$2="Deployment",deployment_raw[[#This Row],[Column5]],1))/1048576,"")</f>
        <v>0</v>
      </c>
      <c r="P38" s="81">
        <f>IF(ISNUMBER(deployment_raw[[#This Row],[Column20]]), IF(Q38&lt;&gt;0,deployment_raw[[#This Row],[Column20]]/IF(OR($E$2="Deployment",deployment_raw[[#This Row],[Column5]]=0),1,deployment_raw[[#This Row],[Column5]])/1048576/Q38,0),"")</f>
        <v>0</v>
      </c>
      <c r="Q38" s="76">
        <f>IF(ISNUMBER(deployment_raw[[#This Row],[Column9]]), (deployment_raw[[#This Row],[Column9]] * IF($E$2="Deployment",deployment_raw[[#This Row],[Column5]],1))/1048576,"")</f>
        <v>0</v>
      </c>
      <c r="R38" s="57">
        <f>IF(ISNUMBER(deployment_raw[[#This Row],[Column10]]), (deployment_raw[[#This Row],[Column10]] * IF($E$2="Deployment",deployment_raw[[#This Row],[Column5]],1)),"")</f>
        <v>0</v>
      </c>
      <c r="S38" s="48">
        <f>IF(ISNUMBER(deployment_raw[[#This Row],[Column11]]), (deployment_raw[[#This Row],[Column11]] * IF($E$2="Deployment",deployment_raw[[#This Row],[Column5]],1))/1048576,"")</f>
        <v>0</v>
      </c>
      <c r="T38" s="59">
        <f>IF(ISNUMBER(deployment_raw[[#This Row],[Column8]]),IF(OR(deployment_raw[[#This Row],[Column5]] &lt;&gt; 0,$E$2 &lt;&gt; "Deployment"), MAX(V38, ($T$2 * IF($E$2="Deployment",deployment_raw[[#This Row],[Column5]],1))), 0),"")</f>
        <v>50</v>
      </c>
      <c r="U38" s="50">
        <f>IF(ISNUMBER(deployment_raw[[#This Row],[Column9]]),IF(OR(deployment_raw[[#This Row],[Column5]] &lt;&gt; 0,$E$2&lt;&gt;"Deployment"), MAX(W38, ($U$2 * IF($E$2="Deployment",deployment_raw[[#This Row],[Column5]],1))), 0),"")</f>
        <v>25</v>
      </c>
      <c r="V38" s="15">
        <f>IF(ISNUMBER(deployment_raw[[#This Row],[Column12]]), (deployment_raw[[#This Row],[Column12]] * IF($E$2="Deployment",deployment_raw[[#This Row],[Column5]],1)*(1+$V$2)),"")</f>
        <v>0</v>
      </c>
      <c r="W38" s="14">
        <f>IF(ISNUMBER(deployment_raw[[#This Row],[Column13]]), (deployment_raw[[#This Row],[Column13]] * IF($E$2="Deployment",deployment_raw[[#This Row],[Column5]],1)*(1+$W$2))/1048576,"")</f>
        <v>0</v>
      </c>
    </row>
    <row r="39" spans="1:23" ht="15.75" customHeight="1" x14ac:dyDescent="0.25">
      <c r="A39" s="5" t="str">
        <f>IF(ISNONTEXT(deployment_raw[[#This Row],[Column1]]), "", deployment_raw[[#This Row],[Column1]])</f>
        <v>stable-ingress-nginx-ingress-default-backend</v>
      </c>
      <c r="B39" s="6" t="str">
        <f>IF(ISNONTEXT(deployment_raw[[#This Row],[Column2]]), "", deployment_raw[[#This Row],[Column2]])</f>
        <v>deployment</v>
      </c>
      <c r="C39" s="6" t="str">
        <f>IF(ISNONTEXT(deployment_raw[[#This Row],[Column3]]), "", deployment_raw[[#This Row],[Column3]])</f>
        <v>stable-ingress</v>
      </c>
      <c r="D39" s="6" t="str">
        <f>IF(ISNONTEXT(deployment_raw[[#This Row],[Column4]]), "", deployment_raw[[#This Row],[Column4]])</f>
        <v>&lt;none&gt;</v>
      </c>
      <c r="E39" s="7">
        <f>IF(ISNUMBER(deployment_raw[[#This Row],[Column5]]), deployment_raw[[#This Row],[Column5]],"")</f>
        <v>1</v>
      </c>
      <c r="F39" s="32">
        <f>IF(ISNUMBER(deployment_raw[[#This Row],[Column17]]), deployment_raw[[#This Row],[Column17]]/IF(OR($E$2="Deployment",deployment_raw[[#This Row],[Column5]]=0),1,deployment_raw[[#This Row],[Column5]]),"")</f>
        <v>0</v>
      </c>
      <c r="G39" s="42">
        <f>IF(ISNUMBER(deployment_raw[[#This Row],[Column14]]), deployment_raw[[#This Row],[Column14]]/IF(OR($E$2="Deployment",deployment_raw[[#This Row],[Column5]]=0),1,deployment_raw[[#This Row],[Column5]]),"")</f>
        <v>0</v>
      </c>
      <c r="H39" s="79">
        <f>IF(ISNUMBER(deployment_raw[[#This Row],[Column19]]), IF(I39&lt;&gt;0,(deployment_raw[[#This Row],[Column19]]/IF(OR($E$2="Deployment",deployment_raw[[#This Row],[Column5]]=0),1,deployment_raw[[#This Row],[Column5]]))/I39,0),"")</f>
        <v>0</v>
      </c>
      <c r="I39" s="69">
        <f>IF(ISNUMBER(deployment_raw[[#This Row],[Column6]]), (deployment_raw[[#This Row],[Column6]] * IF($E$2="Deployment",deployment_raw[[#This Row],[Column5]],1)),"")</f>
        <v>0</v>
      </c>
      <c r="J39" s="79">
        <f>IF(ISNUMBER(deployment_raw[[#This Row],[Column19]]), IF(K39&lt;&gt;0,(deployment_raw[[#This Row],[Column19]]/IF(OR($E$2="Deployment",deployment_raw[[#This Row],[Column5]]=0),1,deployment_raw[[#This Row],[Column5]]))/K39,0),"")</f>
        <v>0</v>
      </c>
      <c r="K39" s="72">
        <f>IF(ISNUMBER(deployment_raw[[#This Row],[Column8]]), (deployment_raw[[#This Row],[Column8]]  * IF($E$2="Deployment",deployment_raw[[#This Row],[Column5]],1)),"")</f>
        <v>0</v>
      </c>
      <c r="L39" s="36">
        <f>IF(ISNUMBER(deployment_raw[[#This Row],[Column18]]), deployment_raw[[#This Row],[Column18]]/IF(OR($E$2="Deployment",deployment_raw[[#This Row],[Column5]]=0),1,deployment_raw[[#This Row],[Column5]])/1048576,"")</f>
        <v>0</v>
      </c>
      <c r="M39" s="37">
        <f>IF(ISNUMBER(deployment_raw[[#This Row],[Column15]]), deployment_raw[[#This Row],[Column15]]/IF(OR($E$2="Deployment",deployment_raw[[#This Row],[Column5]]=0),1,deployment_raw[[#This Row],[Column5]])/1048576,"")</f>
        <v>0</v>
      </c>
      <c r="N39" s="81">
        <f>IF(ISNUMBER(deployment_raw[[#This Row],[Column20]]), IF(O39&lt;&gt;0,deployment_raw[[#This Row],[Column20]]/IF(OR($E$2="Deployment",deployment_raw[[#This Row],[Column5]]=0),1,deployment_raw[[#This Row],[Column5]])/1048576/O39,0),"")</f>
        <v>0</v>
      </c>
      <c r="O39" s="74">
        <f>IF(ISNUMBER(deployment_raw[[#This Row],[Column7]]), (deployment_raw[[#This Row],[Column7]] * IF($E$2="Deployment",deployment_raw[[#This Row],[Column5]],1))/1048576,"")</f>
        <v>0</v>
      </c>
      <c r="P39" s="81">
        <f>IF(ISNUMBER(deployment_raw[[#This Row],[Column20]]), IF(Q39&lt;&gt;0,deployment_raw[[#This Row],[Column20]]/IF(OR($E$2="Deployment",deployment_raw[[#This Row],[Column5]]=0),1,deployment_raw[[#This Row],[Column5]])/1048576/Q39,0),"")</f>
        <v>0</v>
      </c>
      <c r="Q39" s="76">
        <f>IF(ISNUMBER(deployment_raw[[#This Row],[Column9]]), (deployment_raw[[#This Row],[Column9]] * IF($E$2="Deployment",deployment_raw[[#This Row],[Column5]],1))/1048576,"")</f>
        <v>0</v>
      </c>
      <c r="R39" s="57">
        <f>IF(ISNUMBER(deployment_raw[[#This Row],[Column10]]), (deployment_raw[[#This Row],[Column10]] * IF($E$2="Deployment",deployment_raw[[#This Row],[Column5]],1)),"")</f>
        <v>0</v>
      </c>
      <c r="S39" s="48">
        <f>IF(ISNUMBER(deployment_raw[[#This Row],[Column11]]), (deployment_raw[[#This Row],[Column11]] * IF($E$2="Deployment",deployment_raw[[#This Row],[Column5]],1))/1048576,"")</f>
        <v>0</v>
      </c>
      <c r="T39" s="59">
        <f>IF(ISNUMBER(deployment_raw[[#This Row],[Column8]]),IF(OR(deployment_raw[[#This Row],[Column5]] &lt;&gt; 0,$E$2 &lt;&gt; "Deployment"), MAX(V39, ($T$2 * IF($E$2="Deployment",deployment_raw[[#This Row],[Column5]],1))), 0),"")</f>
        <v>50</v>
      </c>
      <c r="U39" s="50">
        <f>IF(ISNUMBER(deployment_raw[[#This Row],[Column9]]),IF(OR(deployment_raw[[#This Row],[Column5]] &lt;&gt; 0,$E$2&lt;&gt;"Deployment"), MAX(W39, ($U$2 * IF($E$2="Deployment",deployment_raw[[#This Row],[Column5]],1))), 0),"")</f>
        <v>25</v>
      </c>
      <c r="V39" s="15">
        <f>IF(ISNUMBER(deployment_raw[[#This Row],[Column12]]), (deployment_raw[[#This Row],[Column12]] * IF($E$2="Deployment",deployment_raw[[#This Row],[Column5]],1)*(1+$V$2)),"")</f>
        <v>0</v>
      </c>
      <c r="W39" s="14">
        <f>IF(ISNUMBER(deployment_raw[[#This Row],[Column13]]), (deployment_raw[[#This Row],[Column13]] * IF($E$2="Deployment",deployment_raw[[#This Row],[Column5]],1)*(1+$W$2))/1048576,"")</f>
        <v>0</v>
      </c>
    </row>
    <row r="40" spans="1:23" ht="15.75" customHeight="1" x14ac:dyDescent="0.25">
      <c r="A40" s="5" t="str">
        <f>IF(ISNONTEXT(deployment_raw[[#This Row],[Column1]]), "", deployment_raw[[#This Row],[Column1]])</f>
        <v>example-deployment</v>
      </c>
      <c r="B40" s="6" t="str">
        <f>IF(ISNONTEXT(deployment_raw[[#This Row],[Column2]]), "", deployment_raw[[#This Row],[Column2]])</f>
        <v>deployment</v>
      </c>
      <c r="C40" s="6" t="str">
        <f>IF(ISNONTEXT(deployment_raw[[#This Row],[Column3]]), "", deployment_raw[[#This Row],[Column3]])</f>
        <v>test-ns</v>
      </c>
      <c r="D40" s="6" t="str">
        <f>IF(ISNONTEXT(deployment_raw[[#This Row],[Column4]]), "", deployment_raw[[#This Row],[Column4]])</f>
        <v>&lt;none&gt;</v>
      </c>
      <c r="E40" s="7">
        <f>IF(ISNUMBER(deployment_raw[[#This Row],[Column5]]), deployment_raw[[#This Row],[Column5]],"")</f>
        <v>1</v>
      </c>
      <c r="F40" s="32">
        <f>IF(ISNUMBER(deployment_raw[[#This Row],[Column17]]), deployment_raw[[#This Row],[Column17]]/IF(OR($E$2="Deployment",deployment_raw[[#This Row],[Column5]]=0),1,deployment_raw[[#This Row],[Column5]]),"")</f>
        <v>0</v>
      </c>
      <c r="G40" s="42">
        <f>IF(ISNUMBER(deployment_raw[[#This Row],[Column14]]), deployment_raw[[#This Row],[Column14]]/IF(OR($E$2="Deployment",deployment_raw[[#This Row],[Column5]]=0),1,deployment_raw[[#This Row],[Column5]]),"")</f>
        <v>0</v>
      </c>
      <c r="H40" s="79">
        <f>IF(ISNUMBER(deployment_raw[[#This Row],[Column19]]), IF(I40&lt;&gt;0,(deployment_raw[[#This Row],[Column19]]/IF(OR($E$2="Deployment",deployment_raw[[#This Row],[Column5]]=0),1,deployment_raw[[#This Row],[Column5]]))/I40,0),"")</f>
        <v>0</v>
      </c>
      <c r="I40" s="69">
        <f>IF(ISNUMBER(deployment_raw[[#This Row],[Column6]]), (deployment_raw[[#This Row],[Column6]] * IF($E$2="Deployment",deployment_raw[[#This Row],[Column5]],1)),"")</f>
        <v>0</v>
      </c>
      <c r="J40" s="79">
        <f>IF(ISNUMBER(deployment_raw[[#This Row],[Column19]]), IF(K40&lt;&gt;0,(deployment_raw[[#This Row],[Column19]]/IF(OR($E$2="Deployment",deployment_raw[[#This Row],[Column5]]=0),1,deployment_raw[[#This Row],[Column5]]))/K40,0),"")</f>
        <v>0</v>
      </c>
      <c r="K40" s="72">
        <f>IF(ISNUMBER(deployment_raw[[#This Row],[Column8]]), (deployment_raw[[#This Row],[Column8]]  * IF($E$2="Deployment",deployment_raw[[#This Row],[Column5]],1)),"")</f>
        <v>0</v>
      </c>
      <c r="L40" s="36">
        <f>IF(ISNUMBER(deployment_raw[[#This Row],[Column18]]), deployment_raw[[#This Row],[Column18]]/IF(OR($E$2="Deployment",deployment_raw[[#This Row],[Column5]]=0),1,deployment_raw[[#This Row],[Column5]])/1048576,"")</f>
        <v>0</v>
      </c>
      <c r="M40" s="37">
        <f>IF(ISNUMBER(deployment_raw[[#This Row],[Column15]]), deployment_raw[[#This Row],[Column15]]/IF(OR($E$2="Deployment",deployment_raw[[#This Row],[Column5]]=0),1,deployment_raw[[#This Row],[Column5]])/1048576,"")</f>
        <v>0</v>
      </c>
      <c r="N40" s="81">
        <f>IF(ISNUMBER(deployment_raw[[#This Row],[Column20]]), IF(O40&lt;&gt;0,deployment_raw[[#This Row],[Column20]]/IF(OR($E$2="Deployment",deployment_raw[[#This Row],[Column5]]=0),1,deployment_raw[[#This Row],[Column5]])/1048576/O40,0),"")</f>
        <v>0</v>
      </c>
      <c r="O40" s="74">
        <f>IF(ISNUMBER(deployment_raw[[#This Row],[Column7]]), (deployment_raw[[#This Row],[Column7]] * IF($E$2="Deployment",deployment_raw[[#This Row],[Column5]],1))/1048576,"")</f>
        <v>0</v>
      </c>
      <c r="P40" s="81">
        <f>IF(ISNUMBER(deployment_raw[[#This Row],[Column20]]), IF(Q40&lt;&gt;0,deployment_raw[[#This Row],[Column20]]/IF(OR($E$2="Deployment",deployment_raw[[#This Row],[Column5]]=0),1,deployment_raw[[#This Row],[Column5]])/1048576/Q40,0),"")</f>
        <v>0</v>
      </c>
      <c r="Q40" s="76">
        <f>IF(ISNUMBER(deployment_raw[[#This Row],[Column9]]), (deployment_raw[[#This Row],[Column9]] * IF($E$2="Deployment",deployment_raw[[#This Row],[Column5]],1))/1048576,"")</f>
        <v>0</v>
      </c>
      <c r="R40" s="57">
        <f>IF(ISNUMBER(deployment_raw[[#This Row],[Column10]]), (deployment_raw[[#This Row],[Column10]] * IF($E$2="Deployment",deployment_raw[[#This Row],[Column5]],1)),"")</f>
        <v>0</v>
      </c>
      <c r="S40" s="48">
        <f>IF(ISNUMBER(deployment_raw[[#This Row],[Column11]]), (deployment_raw[[#This Row],[Column11]] * IF($E$2="Deployment",deployment_raw[[#This Row],[Column5]],1))/1048576,"")</f>
        <v>0</v>
      </c>
      <c r="T40" s="59">
        <f>IF(ISNUMBER(deployment_raw[[#This Row],[Column8]]),IF(OR(deployment_raw[[#This Row],[Column5]] &lt;&gt; 0,$E$2 &lt;&gt; "Deployment"), MAX(V40, ($T$2 * IF($E$2="Deployment",deployment_raw[[#This Row],[Column5]],1))), 0),"")</f>
        <v>50</v>
      </c>
      <c r="U40" s="50">
        <f>IF(ISNUMBER(deployment_raw[[#This Row],[Column9]]),IF(OR(deployment_raw[[#This Row],[Column5]] &lt;&gt; 0,$E$2&lt;&gt;"Deployment"), MAX(W40, ($U$2 * IF($E$2="Deployment",deployment_raw[[#This Row],[Column5]],1))), 0),"")</f>
        <v>25</v>
      </c>
      <c r="V40" s="15">
        <f>IF(ISNUMBER(deployment_raw[[#This Row],[Column12]]), (deployment_raw[[#This Row],[Column12]] * IF($E$2="Deployment",deployment_raw[[#This Row],[Column5]],1)*(1+$V$2)),"")</f>
        <v>0</v>
      </c>
      <c r="W40" s="14">
        <f>IF(ISNUMBER(deployment_raw[[#This Row],[Column13]]), (deployment_raw[[#This Row],[Column13]] * IF($E$2="Deployment",deployment_raw[[#This Row],[Column5]],1)*(1+$W$2))/1048576,"")</f>
        <v>0</v>
      </c>
    </row>
    <row r="41" spans="1:23" ht="15.75" customHeight="1" x14ac:dyDescent="0.25">
      <c r="A41" s="5" t="str">
        <f>IF(ISNONTEXT(deployment_raw[[#This Row],[Column1]]), "", deployment_raw[[#This Row],[Column1]])</f>
        <v>tomcathost</v>
      </c>
      <c r="B41" s="6" t="str">
        <f>IF(ISNONTEXT(deployment_raw[[#This Row],[Column2]]), "", deployment_raw[[#This Row],[Column2]])</f>
        <v>deployment</v>
      </c>
      <c r="C41" s="6" t="str">
        <f>IF(ISNONTEXT(deployment_raw[[#This Row],[Column3]]), "", deployment_raw[[#This Row],[Column3]])</f>
        <v>tomcat</v>
      </c>
      <c r="D41" s="6" t="str">
        <f>IF(ISNONTEXT(deployment_raw[[#This Row],[Column4]]), "", deployment_raw[[#This Row],[Column4]])</f>
        <v>&lt;none&gt;</v>
      </c>
      <c r="E41" s="7">
        <f>IF(ISNUMBER(deployment_raw[[#This Row],[Column5]]), deployment_raw[[#This Row],[Column5]],"")</f>
        <v>4</v>
      </c>
      <c r="F41" s="32">
        <f>IF(ISNUMBER(deployment_raw[[#This Row],[Column17]]), deployment_raw[[#This Row],[Column17]]/IF(OR($E$2="Deployment",deployment_raw[[#This Row],[Column5]]=0),1,deployment_raw[[#This Row],[Column5]]),"")</f>
        <v>0</v>
      </c>
      <c r="G41" s="42">
        <f>IF(ISNUMBER(deployment_raw[[#This Row],[Column14]]), deployment_raw[[#This Row],[Column14]]/IF(OR($E$2="Deployment",deployment_raw[[#This Row],[Column5]]=0),1,deployment_raw[[#This Row],[Column5]]),"")</f>
        <v>0</v>
      </c>
      <c r="H41" s="79">
        <f>IF(ISNUMBER(deployment_raw[[#This Row],[Column19]]), IF(I41&lt;&gt;0,(deployment_raw[[#This Row],[Column19]]/IF(OR($E$2="Deployment",deployment_raw[[#This Row],[Column5]]=0),1,deployment_raw[[#This Row],[Column5]]))/I41,0),"")</f>
        <v>0</v>
      </c>
      <c r="I41" s="69">
        <f>IF(ISNUMBER(deployment_raw[[#This Row],[Column6]]), (deployment_raw[[#This Row],[Column6]] * IF($E$2="Deployment",deployment_raw[[#This Row],[Column5]],1)),"")</f>
        <v>100</v>
      </c>
      <c r="J41" s="79">
        <f>IF(ISNUMBER(deployment_raw[[#This Row],[Column19]]), IF(K41&lt;&gt;0,(deployment_raw[[#This Row],[Column19]]/IF(OR($E$2="Deployment",deployment_raw[[#This Row],[Column5]]=0),1,deployment_raw[[#This Row],[Column5]]))/K41,0),"")</f>
        <v>0</v>
      </c>
      <c r="K41" s="72">
        <f>IF(ISNUMBER(deployment_raw[[#This Row],[Column8]]), (deployment_raw[[#This Row],[Column8]]  * IF($E$2="Deployment",deployment_raw[[#This Row],[Column5]],1)),"")</f>
        <v>100</v>
      </c>
      <c r="L41" s="36">
        <f>IF(ISNUMBER(deployment_raw[[#This Row],[Column18]]), deployment_raw[[#This Row],[Column18]]/IF(OR($E$2="Deployment",deployment_raw[[#This Row],[Column5]]=0),1,deployment_raw[[#This Row],[Column5]])/1048576,"")</f>
        <v>0</v>
      </c>
      <c r="M41" s="37">
        <f>IF(ISNUMBER(deployment_raw[[#This Row],[Column15]]), deployment_raw[[#This Row],[Column15]]/IF(OR($E$2="Deployment",deployment_raw[[#This Row],[Column5]]=0),1,deployment_raw[[#This Row],[Column5]])/1048576,"")</f>
        <v>0</v>
      </c>
      <c r="N41" s="81">
        <f>IF(ISNUMBER(deployment_raw[[#This Row],[Column20]]), IF(O41&lt;&gt;0,deployment_raw[[#This Row],[Column20]]/IF(OR($E$2="Deployment",deployment_raw[[#This Row],[Column5]]=0),1,deployment_raw[[#This Row],[Column5]])/1048576/O41,0),"")</f>
        <v>0</v>
      </c>
      <c r="O41" s="74">
        <f>IF(ISNUMBER(deployment_raw[[#This Row],[Column7]]), (deployment_raw[[#This Row],[Column7]] * IF($E$2="Deployment",deployment_raw[[#This Row],[Column5]],1))/1048576,"")</f>
        <v>100</v>
      </c>
      <c r="P41" s="81">
        <f>IF(ISNUMBER(deployment_raw[[#This Row],[Column20]]), IF(Q41&lt;&gt;0,deployment_raw[[#This Row],[Column20]]/IF(OR($E$2="Deployment",deployment_raw[[#This Row],[Column5]]=0),1,deployment_raw[[#This Row],[Column5]])/1048576/Q41,0),"")</f>
        <v>0</v>
      </c>
      <c r="Q41" s="76">
        <f>IF(ISNUMBER(deployment_raw[[#This Row],[Column9]]), (deployment_raw[[#This Row],[Column9]] * IF($E$2="Deployment",deployment_raw[[#This Row],[Column5]],1))/1048576,"")</f>
        <v>100</v>
      </c>
      <c r="R41" s="57">
        <f>IF(ISNUMBER(deployment_raw[[#This Row],[Column10]]), (deployment_raw[[#This Row],[Column10]] * IF($E$2="Deployment",deployment_raw[[#This Row],[Column5]],1)),"")</f>
        <v>100</v>
      </c>
      <c r="S41" s="48">
        <f>IF(ISNUMBER(deployment_raw[[#This Row],[Column11]]), (deployment_raw[[#This Row],[Column11]] * IF($E$2="Deployment",deployment_raw[[#This Row],[Column5]],1))/1048576,"")</f>
        <v>100</v>
      </c>
      <c r="T41" s="59">
        <f>IF(ISNUMBER(deployment_raw[[#This Row],[Column8]]),IF(OR(deployment_raw[[#This Row],[Column5]] &lt;&gt; 0,$E$2 &lt;&gt; "Deployment"), MAX(V41, ($T$2 * IF($E$2="Deployment",deployment_raw[[#This Row],[Column5]],1))), 0),"")</f>
        <v>100</v>
      </c>
      <c r="U41" s="50">
        <f>IF(ISNUMBER(deployment_raw[[#This Row],[Column9]]),IF(OR(deployment_raw[[#This Row],[Column5]] &lt;&gt; 0,$E$2&lt;&gt;"Deployment"), MAX(W41, ($U$2 * IF($E$2="Deployment",deployment_raw[[#This Row],[Column5]],1))), 0),"")</f>
        <v>100</v>
      </c>
      <c r="V41" s="15">
        <f>IF(ISNUMBER(deployment_raw[[#This Row],[Column12]]), (deployment_raw[[#This Row],[Column12]] * IF($E$2="Deployment",deployment_raw[[#This Row],[Column5]],1)*(1+$V$2)),"")</f>
        <v>100</v>
      </c>
      <c r="W41" s="14">
        <f>IF(ISNUMBER(deployment_raw[[#This Row],[Column13]]), (deployment_raw[[#This Row],[Column13]] * IF($E$2="Deployment",deployment_raw[[#This Row],[Column5]],1)*(1+$W$2))/1048576,"")</f>
        <v>100</v>
      </c>
    </row>
    <row r="42" spans="1:23" ht="15.75" customHeight="1" x14ac:dyDescent="0.25">
      <c r="A42" s="5" t="str">
        <f>IF(ISNONTEXT(deployment_raw[[#This Row],[Column1]]), "", deployment_raw[[#This Row],[Column1]])</f>
        <v>tomcathost2</v>
      </c>
      <c r="B42" s="6" t="str">
        <f>IF(ISNONTEXT(deployment_raw[[#This Row],[Column2]]), "", deployment_raw[[#This Row],[Column2]])</f>
        <v>deployment</v>
      </c>
      <c r="C42" s="6" t="str">
        <f>IF(ISNONTEXT(deployment_raw[[#This Row],[Column3]]), "", deployment_raw[[#This Row],[Column3]])</f>
        <v>tomcat2</v>
      </c>
      <c r="D42" s="6" t="str">
        <f>IF(ISNONTEXT(deployment_raw[[#This Row],[Column4]]), "", deployment_raw[[#This Row],[Column4]])</f>
        <v>&lt;none&gt;</v>
      </c>
      <c r="E42" s="7">
        <f>IF(ISNUMBER(deployment_raw[[#This Row],[Column5]]), deployment_raw[[#This Row],[Column5]],"")</f>
        <v>5</v>
      </c>
      <c r="F42" s="32">
        <f>IF(ISNUMBER(deployment_raw[[#This Row],[Column17]]), deployment_raw[[#This Row],[Column17]]/IF(OR($E$2="Deployment",deployment_raw[[#This Row],[Column5]]=0),1,deployment_raw[[#This Row],[Column5]]),"")</f>
        <v>0</v>
      </c>
      <c r="G42" s="42">
        <f>IF(ISNUMBER(deployment_raw[[#This Row],[Column14]]), deployment_raw[[#This Row],[Column14]]/IF(OR($E$2="Deployment",deployment_raw[[#This Row],[Column5]]=0),1,deployment_raw[[#This Row],[Column5]]),"")</f>
        <v>0</v>
      </c>
      <c r="H42" s="79">
        <f>IF(ISNUMBER(deployment_raw[[#This Row],[Column19]]), IF(I42&lt;&gt;0,(deployment_raw[[#This Row],[Column19]]/IF(OR($E$2="Deployment",deployment_raw[[#This Row],[Column5]]=0),1,deployment_raw[[#This Row],[Column5]]))/I42,0),"")</f>
        <v>0</v>
      </c>
      <c r="I42" s="69">
        <f>IF(ISNUMBER(deployment_raw[[#This Row],[Column6]]), (deployment_raw[[#This Row],[Column6]] * IF($E$2="Deployment",deployment_raw[[#This Row],[Column5]],1)),"")</f>
        <v>50</v>
      </c>
      <c r="J42" s="79">
        <f>IF(ISNUMBER(deployment_raw[[#This Row],[Column19]]), IF(K42&lt;&gt;0,(deployment_raw[[#This Row],[Column19]]/IF(OR($E$2="Deployment",deployment_raw[[#This Row],[Column5]]=0),1,deployment_raw[[#This Row],[Column5]]))/K42,0),"")</f>
        <v>0</v>
      </c>
      <c r="K42" s="72">
        <f>IF(ISNUMBER(deployment_raw[[#This Row],[Column8]]), (deployment_raw[[#This Row],[Column8]]  * IF($E$2="Deployment",deployment_raw[[#This Row],[Column5]],1)),"")</f>
        <v>50</v>
      </c>
      <c r="L42" s="36">
        <f>IF(ISNUMBER(deployment_raw[[#This Row],[Column18]]), deployment_raw[[#This Row],[Column18]]/IF(OR($E$2="Deployment",deployment_raw[[#This Row],[Column5]]=0),1,deployment_raw[[#This Row],[Column5]])/1048576,"")</f>
        <v>0</v>
      </c>
      <c r="M42" s="37">
        <f>IF(ISNUMBER(deployment_raw[[#This Row],[Column15]]), deployment_raw[[#This Row],[Column15]]/IF(OR($E$2="Deployment",deployment_raw[[#This Row],[Column5]]=0),1,deployment_raw[[#This Row],[Column5]])/1048576,"")</f>
        <v>0</v>
      </c>
      <c r="N42" s="81">
        <f>IF(ISNUMBER(deployment_raw[[#This Row],[Column20]]), IF(O42&lt;&gt;0,deployment_raw[[#This Row],[Column20]]/IF(OR($E$2="Deployment",deployment_raw[[#This Row],[Column5]]=0),1,deployment_raw[[#This Row],[Column5]])/1048576/O42,0),"")</f>
        <v>0</v>
      </c>
      <c r="O42" s="74">
        <f>IF(ISNUMBER(deployment_raw[[#This Row],[Column7]]), (deployment_raw[[#This Row],[Column7]] * IF($E$2="Deployment",deployment_raw[[#This Row],[Column5]],1))/1048576,"")</f>
        <v>51.200000762939453</v>
      </c>
      <c r="P42" s="81">
        <f>IF(ISNUMBER(deployment_raw[[#This Row],[Column20]]), IF(Q42&lt;&gt;0,deployment_raw[[#This Row],[Column20]]/IF(OR($E$2="Deployment",deployment_raw[[#This Row],[Column5]]=0),1,deployment_raw[[#This Row],[Column5]])/1048576/Q42,0),"")</f>
        <v>0</v>
      </c>
      <c r="Q42" s="76">
        <f>IF(ISNUMBER(deployment_raw[[#This Row],[Column9]]), (deployment_raw[[#This Row],[Column9]] * IF($E$2="Deployment",deployment_raw[[#This Row],[Column5]],1))/1048576,"")</f>
        <v>51.200000762939453</v>
      </c>
      <c r="R42" s="57">
        <f>IF(ISNUMBER(deployment_raw[[#This Row],[Column10]]), (deployment_raw[[#This Row],[Column10]] * IF($E$2="Deployment",deployment_raw[[#This Row],[Column5]],1)),"")</f>
        <v>50</v>
      </c>
      <c r="S42" s="48">
        <f>IF(ISNUMBER(deployment_raw[[#This Row],[Column11]]), (deployment_raw[[#This Row],[Column11]] * IF($E$2="Deployment",deployment_raw[[#This Row],[Column5]],1))/1048576,"")</f>
        <v>51.200000762939453</v>
      </c>
      <c r="T42" s="59">
        <f>IF(ISNUMBER(deployment_raw[[#This Row],[Column8]]),IF(OR(deployment_raw[[#This Row],[Column5]] &lt;&gt; 0,$E$2 &lt;&gt; "Deployment"), MAX(V42, ($T$2 * IF($E$2="Deployment",deployment_raw[[#This Row],[Column5]],1))), 0),"")</f>
        <v>50</v>
      </c>
      <c r="U42" s="50">
        <f>IF(ISNUMBER(deployment_raw[[#This Row],[Column9]]),IF(OR(deployment_raw[[#This Row],[Column5]] &lt;&gt; 0,$E$2&lt;&gt;"Deployment"), MAX(W42, ($U$2 * IF($E$2="Deployment",deployment_raw[[#This Row],[Column5]],1))), 0),"")</f>
        <v>51.200000762939453</v>
      </c>
      <c r="V42" s="15">
        <f>IF(ISNUMBER(deployment_raw[[#This Row],[Column12]]), (deployment_raw[[#This Row],[Column12]] * IF($E$2="Deployment",deployment_raw[[#This Row],[Column5]],1)*(1+$V$2)),"")</f>
        <v>50</v>
      </c>
      <c r="W42" s="14">
        <f>IF(ISNUMBER(deployment_raw[[#This Row],[Column13]]), (deployment_raw[[#This Row],[Column13]] * IF($E$2="Deployment",deployment_raw[[#This Row],[Column5]],1)*(1+$W$2))/1048576,"")</f>
        <v>51.200000762939453</v>
      </c>
    </row>
    <row r="43" spans="1:23" ht="15.75" customHeight="1" x14ac:dyDescent="0.25">
      <c r="A43" s="5" t="str">
        <f>IF(ISNONTEXT(deployment_raw[[#This Row],[Column1]]), "", deployment_raw[[#This Row],[Column1]])</f>
        <v>tomcathost3</v>
      </c>
      <c r="B43" s="6" t="str">
        <f>IF(ISNONTEXT(deployment_raw[[#This Row],[Column2]]), "", deployment_raw[[#This Row],[Column2]])</f>
        <v>deployment</v>
      </c>
      <c r="C43" s="6" t="str">
        <f>IF(ISNONTEXT(deployment_raw[[#This Row],[Column3]]), "", deployment_raw[[#This Row],[Column3]])</f>
        <v>tomcat3</v>
      </c>
      <c r="D43" s="6" t="str">
        <f>IF(ISNONTEXT(deployment_raw[[#This Row],[Column4]]), "", deployment_raw[[#This Row],[Column4]])</f>
        <v>&lt;none&gt;</v>
      </c>
      <c r="E43" s="7">
        <f>IF(ISNUMBER(deployment_raw[[#This Row],[Column5]]), deployment_raw[[#This Row],[Column5]],"")</f>
        <v>1</v>
      </c>
      <c r="F43" s="32">
        <f>IF(ISNUMBER(deployment_raw[[#This Row],[Column17]]), deployment_raw[[#This Row],[Column17]]/IF(OR($E$2="Deployment",deployment_raw[[#This Row],[Column5]]=0),1,deployment_raw[[#This Row],[Column5]]),"")</f>
        <v>0</v>
      </c>
      <c r="G43" s="42">
        <f>IF(ISNUMBER(deployment_raw[[#This Row],[Column14]]), deployment_raw[[#This Row],[Column14]]/IF(OR($E$2="Deployment",deployment_raw[[#This Row],[Column5]]=0),1,deployment_raw[[#This Row],[Column5]]),"")</f>
        <v>0</v>
      </c>
      <c r="H43" s="79">
        <f>IF(ISNUMBER(deployment_raw[[#This Row],[Column19]]), IF(I43&lt;&gt;0,(deployment_raw[[#This Row],[Column19]]/IF(OR($E$2="Deployment",deployment_raw[[#This Row],[Column5]]=0),1,deployment_raw[[#This Row],[Column5]]))/I43,0),"")</f>
        <v>0</v>
      </c>
      <c r="I43" s="69">
        <f>IF(ISNUMBER(deployment_raw[[#This Row],[Column6]]), (deployment_raw[[#This Row],[Column6]] * IF($E$2="Deployment",deployment_raw[[#This Row],[Column5]],1)),"")</f>
        <v>100</v>
      </c>
      <c r="J43" s="79">
        <f>IF(ISNUMBER(deployment_raw[[#This Row],[Column19]]), IF(K43&lt;&gt;0,(deployment_raw[[#This Row],[Column19]]/IF(OR($E$2="Deployment",deployment_raw[[#This Row],[Column5]]=0),1,deployment_raw[[#This Row],[Column5]]))/K43,0),"")</f>
        <v>0</v>
      </c>
      <c r="K43" s="72">
        <f>IF(ISNUMBER(deployment_raw[[#This Row],[Column8]]), (deployment_raw[[#This Row],[Column8]]  * IF($E$2="Deployment",deployment_raw[[#This Row],[Column5]],1)),"")</f>
        <v>250</v>
      </c>
      <c r="L43" s="36">
        <f>IF(ISNUMBER(deployment_raw[[#This Row],[Column18]]), deployment_raw[[#This Row],[Column18]]/IF(OR($E$2="Deployment",deployment_raw[[#This Row],[Column5]]=0),1,deployment_raw[[#This Row],[Column5]])/1048576,"")</f>
        <v>0</v>
      </c>
      <c r="M43" s="37">
        <f>IF(ISNUMBER(deployment_raw[[#This Row],[Column15]]), deployment_raw[[#This Row],[Column15]]/IF(OR($E$2="Deployment",deployment_raw[[#This Row],[Column5]]=0),1,deployment_raw[[#This Row],[Column5]])/1048576,"")</f>
        <v>0</v>
      </c>
      <c r="N43" s="81">
        <f>IF(ISNUMBER(deployment_raw[[#This Row],[Column20]]), IF(O43&lt;&gt;0,deployment_raw[[#This Row],[Column20]]/IF(OR($E$2="Deployment",deployment_raw[[#This Row],[Column5]]=0),1,deployment_raw[[#This Row],[Column5]])/1048576/O43,0),"")</f>
        <v>0</v>
      </c>
      <c r="O43" s="74">
        <f>IF(ISNUMBER(deployment_raw[[#This Row],[Column7]]), (deployment_raw[[#This Row],[Column7]] * IF($E$2="Deployment",deployment_raw[[#This Row],[Column5]],1))/1048576,"")</f>
        <v>128</v>
      </c>
      <c r="P43" s="81">
        <f>IF(ISNUMBER(deployment_raw[[#This Row],[Column20]]), IF(Q43&lt;&gt;0,deployment_raw[[#This Row],[Column20]]/IF(OR($E$2="Deployment",deployment_raw[[#This Row],[Column5]]=0),1,deployment_raw[[#This Row],[Column5]])/1048576/Q43,0),"")</f>
        <v>0</v>
      </c>
      <c r="Q43" s="76">
        <f>IF(ISNUMBER(deployment_raw[[#This Row],[Column9]]), (deployment_raw[[#This Row],[Column9]] * IF($E$2="Deployment",deployment_raw[[#This Row],[Column5]],1))/1048576,"")</f>
        <v>256</v>
      </c>
      <c r="R43" s="57">
        <f>IF(ISNUMBER(deployment_raw[[#This Row],[Column10]]), (deployment_raw[[#This Row],[Column10]] * IF($E$2="Deployment",deployment_raw[[#This Row],[Column5]],1)),"")</f>
        <v>100</v>
      </c>
      <c r="S43" s="48">
        <f>IF(ISNUMBER(deployment_raw[[#This Row],[Column11]]), (deployment_raw[[#This Row],[Column11]] * IF($E$2="Deployment",deployment_raw[[#This Row],[Column5]],1))/1048576,"")</f>
        <v>128</v>
      </c>
      <c r="T43" s="59">
        <f>IF(ISNUMBER(deployment_raw[[#This Row],[Column8]]),IF(OR(deployment_raw[[#This Row],[Column5]] &lt;&gt; 0,$E$2 &lt;&gt; "Deployment"), MAX(V43, ($T$2 * IF($E$2="Deployment",deployment_raw[[#This Row],[Column5]],1))), 0),"")</f>
        <v>250</v>
      </c>
      <c r="U43" s="50">
        <f>IF(ISNUMBER(deployment_raw[[#This Row],[Column9]]),IF(OR(deployment_raw[[#This Row],[Column5]] &lt;&gt; 0,$E$2&lt;&gt;"Deployment"), MAX(W43, ($U$2 * IF($E$2="Deployment",deployment_raw[[#This Row],[Column5]],1))), 0),"")</f>
        <v>256</v>
      </c>
      <c r="V43" s="15">
        <f>IF(ISNUMBER(deployment_raw[[#This Row],[Column12]]), (deployment_raw[[#This Row],[Column12]] * IF($E$2="Deployment",deployment_raw[[#This Row],[Column5]],1)*(1+$V$2)),"")</f>
        <v>250</v>
      </c>
      <c r="W43" s="14">
        <f>IF(ISNUMBER(deployment_raw[[#This Row],[Column13]]), (deployment_raw[[#This Row],[Column13]] * IF($E$2="Deployment",deployment_raw[[#This Row],[Column5]],1)*(1+$W$2))/1048576,"")</f>
        <v>256</v>
      </c>
    </row>
    <row r="44" spans="1:23" ht="15.75" customHeight="1" x14ac:dyDescent="0.25">
      <c r="A44" s="5" t="str">
        <f>IF(ISNONTEXT(deployment_raw[[#This Row],[Column1]]), "", deployment_raw[[#This Row],[Column1]])</f>
        <v>tomcathost4</v>
      </c>
      <c r="B44" s="6" t="str">
        <f>IF(ISNONTEXT(deployment_raw[[#This Row],[Column2]]), "", deployment_raw[[#This Row],[Column2]])</f>
        <v>deployment</v>
      </c>
      <c r="C44" s="6" t="str">
        <f>IF(ISNONTEXT(deployment_raw[[#This Row],[Column3]]), "", deployment_raw[[#This Row],[Column3]])</f>
        <v>tomcat4</v>
      </c>
      <c r="D44" s="6" t="str">
        <f>IF(ISNONTEXT(deployment_raw[[#This Row],[Column4]]), "", deployment_raw[[#This Row],[Column4]])</f>
        <v>&lt;none&gt;</v>
      </c>
      <c r="E44" s="7">
        <f>IF(ISNUMBER(deployment_raw[[#This Row],[Column5]]), deployment_raw[[#This Row],[Column5]],"")</f>
        <v>1</v>
      </c>
      <c r="F44" s="32">
        <f>IF(ISNUMBER(deployment_raw[[#This Row],[Column17]]), deployment_raw[[#This Row],[Column17]]/IF(OR($E$2="Deployment",deployment_raw[[#This Row],[Column5]]=0),1,deployment_raw[[#This Row],[Column5]]),"")</f>
        <v>0</v>
      </c>
      <c r="G44" s="42">
        <f>IF(ISNUMBER(deployment_raw[[#This Row],[Column14]]), deployment_raw[[#This Row],[Column14]]/IF(OR($E$2="Deployment",deployment_raw[[#This Row],[Column5]]=0),1,deployment_raw[[#This Row],[Column5]]),"")</f>
        <v>0</v>
      </c>
      <c r="H44" s="79">
        <f>IF(ISNUMBER(deployment_raw[[#This Row],[Column19]]), IF(I44&lt;&gt;0,(deployment_raw[[#This Row],[Column19]]/IF(OR($E$2="Deployment",deployment_raw[[#This Row],[Column5]]=0),1,deployment_raw[[#This Row],[Column5]]))/I44,0),"")</f>
        <v>0</v>
      </c>
      <c r="I44" s="69">
        <f>IF(ISNUMBER(deployment_raw[[#This Row],[Column6]]), (deployment_raw[[#This Row],[Column6]] * IF($E$2="Deployment",deployment_raw[[#This Row],[Column5]],1)),"")</f>
        <v>0</v>
      </c>
      <c r="J44" s="79">
        <f>IF(ISNUMBER(deployment_raw[[#This Row],[Column19]]), IF(K44&lt;&gt;0,(deployment_raw[[#This Row],[Column19]]/IF(OR($E$2="Deployment",deployment_raw[[#This Row],[Column5]]=0),1,deployment_raw[[#This Row],[Column5]]))/K44,0),"")</f>
        <v>0</v>
      </c>
      <c r="K44" s="72">
        <f>IF(ISNUMBER(deployment_raw[[#This Row],[Column8]]), (deployment_raw[[#This Row],[Column8]]  * IF($E$2="Deployment",deployment_raw[[#This Row],[Column5]],1)),"")</f>
        <v>0</v>
      </c>
      <c r="L44" s="36">
        <f>IF(ISNUMBER(deployment_raw[[#This Row],[Column18]]), deployment_raw[[#This Row],[Column18]]/IF(OR($E$2="Deployment",deployment_raw[[#This Row],[Column5]]=0),1,deployment_raw[[#This Row],[Column5]])/1048576,"")</f>
        <v>0</v>
      </c>
      <c r="M44" s="37">
        <f>IF(ISNUMBER(deployment_raw[[#This Row],[Column15]]), deployment_raw[[#This Row],[Column15]]/IF(OR($E$2="Deployment",deployment_raw[[#This Row],[Column5]]=0),1,deployment_raw[[#This Row],[Column5]])/1048576,"")</f>
        <v>0</v>
      </c>
      <c r="N44" s="81">
        <f>IF(ISNUMBER(deployment_raw[[#This Row],[Column20]]), IF(O44&lt;&gt;0,deployment_raw[[#This Row],[Column20]]/IF(OR($E$2="Deployment",deployment_raw[[#This Row],[Column5]]=0),1,deployment_raw[[#This Row],[Column5]])/1048576/O44,0),"")</f>
        <v>0</v>
      </c>
      <c r="O44" s="74">
        <f>IF(ISNUMBER(deployment_raw[[#This Row],[Column7]]), (deployment_raw[[#This Row],[Column7]] * IF($E$2="Deployment",deployment_raw[[#This Row],[Column5]],1))/1048576,"")</f>
        <v>0</v>
      </c>
      <c r="P44" s="81">
        <f>IF(ISNUMBER(deployment_raw[[#This Row],[Column20]]), IF(Q44&lt;&gt;0,deployment_raw[[#This Row],[Column20]]/IF(OR($E$2="Deployment",deployment_raw[[#This Row],[Column5]]=0),1,deployment_raw[[#This Row],[Column5]])/1048576/Q44,0),"")</f>
        <v>0</v>
      </c>
      <c r="Q44" s="76">
        <f>IF(ISNUMBER(deployment_raw[[#This Row],[Column9]]), (deployment_raw[[#This Row],[Column9]] * IF($E$2="Deployment",deployment_raw[[#This Row],[Column5]],1))/1048576,"")</f>
        <v>0</v>
      </c>
      <c r="R44" s="57">
        <f>IF(ISNUMBER(deployment_raw[[#This Row],[Column10]]), (deployment_raw[[#This Row],[Column10]] * IF($E$2="Deployment",deployment_raw[[#This Row],[Column5]],1)),"")</f>
        <v>0</v>
      </c>
      <c r="S44" s="48">
        <f>IF(ISNUMBER(deployment_raw[[#This Row],[Column11]]), (deployment_raw[[#This Row],[Column11]] * IF($E$2="Deployment",deployment_raw[[#This Row],[Column5]],1))/1048576,"")</f>
        <v>0</v>
      </c>
      <c r="T44" s="59">
        <f>IF(ISNUMBER(deployment_raw[[#This Row],[Column8]]),IF(OR(deployment_raw[[#This Row],[Column5]] &lt;&gt; 0,$E$2 &lt;&gt; "Deployment"), MAX(V44, ($T$2 * IF($E$2="Deployment",deployment_raw[[#This Row],[Column5]],1))), 0),"")</f>
        <v>50</v>
      </c>
      <c r="U44" s="50">
        <f>IF(ISNUMBER(deployment_raw[[#This Row],[Column9]]),IF(OR(deployment_raw[[#This Row],[Column5]] &lt;&gt; 0,$E$2&lt;&gt;"Deployment"), MAX(W44, ($U$2 * IF($E$2="Deployment",deployment_raw[[#This Row],[Column5]],1))), 0),"")</f>
        <v>25</v>
      </c>
      <c r="V44" s="15">
        <f>IF(ISNUMBER(deployment_raw[[#This Row],[Column12]]), (deployment_raw[[#This Row],[Column12]] * IF($E$2="Deployment",deployment_raw[[#This Row],[Column5]],1)*(1+$V$2)),"")</f>
        <v>0</v>
      </c>
      <c r="W44" s="14">
        <f>IF(ISNUMBER(deployment_raw[[#This Row],[Column13]]), (deployment_raw[[#This Row],[Column13]] * IF($E$2="Deployment",deployment_raw[[#This Row],[Column5]],1)*(1+$W$2))/1048576,"")</f>
        <v>0</v>
      </c>
    </row>
    <row r="45" spans="1:23" ht="15.75" customHeight="1" x14ac:dyDescent="0.25">
      <c r="A45" s="5" t="str">
        <f>IF(ISNONTEXT(deployment_raw[[#This Row],[Column1]]), "", deployment_raw[[#This Row],[Column1]])</f>
        <v>tomcathost5</v>
      </c>
      <c r="B45" s="6" t="str">
        <f>IF(ISNONTEXT(deployment_raw[[#This Row],[Column2]]), "", deployment_raw[[#This Row],[Column2]])</f>
        <v>deployment</v>
      </c>
      <c r="C45" s="6" t="str">
        <f>IF(ISNONTEXT(deployment_raw[[#This Row],[Column3]]), "", deployment_raw[[#This Row],[Column3]])</f>
        <v>tomcat5</v>
      </c>
      <c r="D45" s="6" t="str">
        <f>IF(ISNONTEXT(deployment_raw[[#This Row],[Column4]]), "", deployment_raw[[#This Row],[Column4]])</f>
        <v>&lt;none&gt;</v>
      </c>
      <c r="E45" s="7">
        <f>IF(ISNUMBER(deployment_raw[[#This Row],[Column5]]), deployment_raw[[#This Row],[Column5]],"")</f>
        <v>1</v>
      </c>
      <c r="F45" s="32">
        <f>IF(ISNUMBER(deployment_raw[[#This Row],[Column17]]), deployment_raw[[#This Row],[Column17]]/IF(OR($E$2="Deployment",deployment_raw[[#This Row],[Column5]]=0),1,deployment_raw[[#This Row],[Column5]]),"")</f>
        <v>0</v>
      </c>
      <c r="G45" s="42">
        <f>IF(ISNUMBER(deployment_raw[[#This Row],[Column14]]), deployment_raw[[#This Row],[Column14]]/IF(OR($E$2="Deployment",deployment_raw[[#This Row],[Column5]]=0),1,deployment_raw[[#This Row],[Column5]]),"")</f>
        <v>0</v>
      </c>
      <c r="H45" s="79">
        <f>IF(ISNUMBER(deployment_raw[[#This Row],[Column19]]), IF(I45&lt;&gt;0,(deployment_raw[[#This Row],[Column19]]/IF(OR($E$2="Deployment",deployment_raw[[#This Row],[Column5]]=0),1,deployment_raw[[#This Row],[Column5]]))/I45,0),"")</f>
        <v>0</v>
      </c>
      <c r="I45" s="69">
        <f>IF(ISNUMBER(deployment_raw[[#This Row],[Column6]]), (deployment_raw[[#This Row],[Column6]] * IF($E$2="Deployment",deployment_raw[[#This Row],[Column5]],1)),"")</f>
        <v>0</v>
      </c>
      <c r="J45" s="79">
        <f>IF(ISNUMBER(deployment_raw[[#This Row],[Column19]]), IF(K45&lt;&gt;0,(deployment_raw[[#This Row],[Column19]]/IF(OR($E$2="Deployment",deployment_raw[[#This Row],[Column5]]=0),1,deployment_raw[[#This Row],[Column5]]))/K45,0),"")</f>
        <v>0</v>
      </c>
      <c r="K45" s="72">
        <f>IF(ISNUMBER(deployment_raw[[#This Row],[Column8]]), (deployment_raw[[#This Row],[Column8]]  * IF($E$2="Deployment",deployment_raw[[#This Row],[Column5]],1)),"")</f>
        <v>0</v>
      </c>
      <c r="L45" s="36">
        <f>IF(ISNUMBER(deployment_raw[[#This Row],[Column18]]), deployment_raw[[#This Row],[Column18]]/IF(OR($E$2="Deployment",deployment_raw[[#This Row],[Column5]]=0),1,deployment_raw[[#This Row],[Column5]])/1048576,"")</f>
        <v>0</v>
      </c>
      <c r="M45" s="37">
        <f>IF(ISNUMBER(deployment_raw[[#This Row],[Column15]]), deployment_raw[[#This Row],[Column15]]/IF(OR($E$2="Deployment",deployment_raw[[#This Row],[Column5]]=0),1,deployment_raw[[#This Row],[Column5]])/1048576,"")</f>
        <v>0</v>
      </c>
      <c r="N45" s="81">
        <f>IF(ISNUMBER(deployment_raw[[#This Row],[Column20]]), IF(O45&lt;&gt;0,deployment_raw[[#This Row],[Column20]]/IF(OR($E$2="Deployment",deployment_raw[[#This Row],[Column5]]=0),1,deployment_raw[[#This Row],[Column5]])/1048576/O45,0),"")</f>
        <v>0</v>
      </c>
      <c r="O45" s="74">
        <f>IF(ISNUMBER(deployment_raw[[#This Row],[Column7]]), (deployment_raw[[#This Row],[Column7]] * IF($E$2="Deployment",deployment_raw[[#This Row],[Column5]],1))/1048576,"")</f>
        <v>0</v>
      </c>
      <c r="P45" s="81">
        <f>IF(ISNUMBER(deployment_raw[[#This Row],[Column20]]), IF(Q45&lt;&gt;0,deployment_raw[[#This Row],[Column20]]/IF(OR($E$2="Deployment",deployment_raw[[#This Row],[Column5]]=0),1,deployment_raw[[#This Row],[Column5]])/1048576/Q45,0),"")</f>
        <v>0</v>
      </c>
      <c r="Q45" s="76">
        <f>IF(ISNUMBER(deployment_raw[[#This Row],[Column9]]), (deployment_raw[[#This Row],[Column9]] * IF($E$2="Deployment",deployment_raw[[#This Row],[Column5]],1))/1048576,"")</f>
        <v>0</v>
      </c>
      <c r="R45" s="57">
        <f>IF(ISNUMBER(deployment_raw[[#This Row],[Column10]]), (deployment_raw[[#This Row],[Column10]] * IF($E$2="Deployment",deployment_raw[[#This Row],[Column5]],1)),"")</f>
        <v>0</v>
      </c>
      <c r="S45" s="48">
        <f>IF(ISNUMBER(deployment_raw[[#This Row],[Column11]]), (deployment_raw[[#This Row],[Column11]] * IF($E$2="Deployment",deployment_raw[[#This Row],[Column5]],1))/1048576,"")</f>
        <v>0</v>
      </c>
      <c r="T45" s="59">
        <f>IF(ISNUMBER(deployment_raw[[#This Row],[Column8]]),IF(OR(deployment_raw[[#This Row],[Column5]] &lt;&gt; 0,$E$2 &lt;&gt; "Deployment"), MAX(V45, ($T$2 * IF($E$2="Deployment",deployment_raw[[#This Row],[Column5]],1))), 0),"")</f>
        <v>50</v>
      </c>
      <c r="U45" s="50">
        <f>IF(ISNUMBER(deployment_raw[[#This Row],[Column9]]),IF(OR(deployment_raw[[#This Row],[Column5]] &lt;&gt; 0,$E$2&lt;&gt;"Deployment"), MAX(W45, ($U$2 * IF($E$2="Deployment",deployment_raw[[#This Row],[Column5]],1))), 0),"")</f>
        <v>25</v>
      </c>
      <c r="V45" s="15">
        <f>IF(ISNUMBER(deployment_raw[[#This Row],[Column12]]), (deployment_raw[[#This Row],[Column12]] * IF($E$2="Deployment",deployment_raw[[#This Row],[Column5]],1)*(1+$V$2)),"")</f>
        <v>0</v>
      </c>
      <c r="W45" s="14">
        <f>IF(ISNUMBER(deployment_raw[[#This Row],[Column13]]), (deployment_raw[[#This Row],[Column13]] * IF($E$2="Deployment",deployment_raw[[#This Row],[Column5]],1)*(1+$W$2))/1048576,"")</f>
        <v>0</v>
      </c>
    </row>
    <row r="46" spans="1:23" ht="15.75" customHeight="1" x14ac:dyDescent="0.25">
      <c r="A46" s="5" t="str">
        <f>IF(ISNONTEXT(deployment_raw[[#This Row],[Column1]]), "", deployment_raw[[#This Row],[Column1]])</f>
        <v>alertmanager-my-prometheus-operator-kub-alertmanager</v>
      </c>
      <c r="B46" s="6" t="str">
        <f>IF(ISNONTEXT(deployment_raw[[#This Row],[Column2]]), "", deployment_raw[[#This Row],[Column2]])</f>
        <v>statefulset</v>
      </c>
      <c r="C46" s="6" t="str">
        <f>IF(ISNONTEXT(deployment_raw[[#This Row],[Column3]]), "", deployment_raw[[#This Row],[Column3]])</f>
        <v>monitoring</v>
      </c>
      <c r="D46" s="6" t="str">
        <f>IF(ISNONTEXT(deployment_raw[[#This Row],[Column4]]), "", deployment_raw[[#This Row],[Column4]])</f>
        <v>&lt;none&gt;</v>
      </c>
      <c r="E46" s="7">
        <f>IF(ISNUMBER(deployment_raw[[#This Row],[Column5]]), deployment_raw[[#This Row],[Column5]],"")</f>
        <v>1</v>
      </c>
      <c r="F46" s="32">
        <f>IF(ISNUMBER(deployment_raw[[#This Row],[Column17]]), deployment_raw[[#This Row],[Column17]]/IF(OR($E$2="Deployment",deployment_raw[[#This Row],[Column5]]=0),1,deployment_raw[[#This Row],[Column5]]),"")</f>
        <v>0</v>
      </c>
      <c r="G46" s="42">
        <f>IF(ISNUMBER(deployment_raw[[#This Row],[Column14]]), deployment_raw[[#This Row],[Column14]]/IF(OR($E$2="Deployment",deployment_raw[[#This Row],[Column5]]=0),1,deployment_raw[[#This Row],[Column5]]),"")</f>
        <v>0</v>
      </c>
      <c r="H46" s="79">
        <f>IF(ISNUMBER(deployment_raw[[#This Row],[Column19]]), IF(I46&lt;&gt;0,(deployment_raw[[#This Row],[Column19]]/IF(OR($E$2="Deployment",deployment_raw[[#This Row],[Column5]]=0),1,deployment_raw[[#This Row],[Column5]]))/I46,0),"")</f>
        <v>0</v>
      </c>
      <c r="I46" s="69">
        <f>IF(ISNUMBER(deployment_raw[[#This Row],[Column6]]), (deployment_raw[[#This Row],[Column6]] * IF($E$2="Deployment",deployment_raw[[#This Row],[Column5]],1)),"")</f>
        <v>100</v>
      </c>
      <c r="J46" s="79">
        <f>IF(ISNUMBER(deployment_raw[[#This Row],[Column19]]), IF(K46&lt;&gt;0,(deployment_raw[[#This Row],[Column19]]/IF(OR($E$2="Deployment",deployment_raw[[#This Row],[Column5]]=0),1,deployment_raw[[#This Row],[Column5]]))/K46,0),"")</f>
        <v>0</v>
      </c>
      <c r="K46" s="72">
        <f>IF(ISNUMBER(deployment_raw[[#This Row],[Column8]]), (deployment_raw[[#This Row],[Column8]]  * IF($E$2="Deployment",deployment_raw[[#This Row],[Column5]],1)),"")</f>
        <v>100</v>
      </c>
      <c r="L46" s="36">
        <f>IF(ISNUMBER(deployment_raw[[#This Row],[Column18]]), deployment_raw[[#This Row],[Column18]]/IF(OR($E$2="Deployment",deployment_raw[[#This Row],[Column5]]=0),1,deployment_raw[[#This Row],[Column5]])/1048576,"")</f>
        <v>0</v>
      </c>
      <c r="M46" s="37">
        <f>IF(ISNUMBER(deployment_raw[[#This Row],[Column15]]), deployment_raw[[#This Row],[Column15]]/IF(OR($E$2="Deployment",deployment_raw[[#This Row],[Column5]]=0),1,deployment_raw[[#This Row],[Column5]])/1048576,"")</f>
        <v>0</v>
      </c>
      <c r="N46" s="81">
        <f>IF(ISNUMBER(deployment_raw[[#This Row],[Column20]]), IF(O46&lt;&gt;0,deployment_raw[[#This Row],[Column20]]/IF(OR($E$2="Deployment",deployment_raw[[#This Row],[Column5]]=0),1,deployment_raw[[#This Row],[Column5]])/1048576/O46,0),"")</f>
        <v>0</v>
      </c>
      <c r="O46" s="74">
        <f>IF(ISNUMBER(deployment_raw[[#This Row],[Column7]]), (deployment_raw[[#This Row],[Column7]] * IF($E$2="Deployment",deployment_raw[[#This Row],[Column5]],1))/1048576,"")</f>
        <v>250</v>
      </c>
      <c r="P46" s="81">
        <f>IF(ISNUMBER(deployment_raw[[#This Row],[Column20]]), IF(Q46&lt;&gt;0,deployment_raw[[#This Row],[Column20]]/IF(OR($E$2="Deployment",deployment_raw[[#This Row],[Column5]]=0),1,deployment_raw[[#This Row],[Column5]])/1048576/Q46,0),"")</f>
        <v>0</v>
      </c>
      <c r="Q46" s="76">
        <f>IF(ISNUMBER(deployment_raw[[#This Row],[Column9]]), (deployment_raw[[#This Row],[Column9]] * IF($E$2="Deployment",deployment_raw[[#This Row],[Column5]],1))/1048576,"")</f>
        <v>50</v>
      </c>
      <c r="R46" s="57">
        <f>IF(ISNUMBER(deployment_raw[[#This Row],[Column10]]), (deployment_raw[[#This Row],[Column10]] * IF($E$2="Deployment",deployment_raw[[#This Row],[Column5]],1)),"")</f>
        <v>100</v>
      </c>
      <c r="S46" s="48">
        <f>IF(ISNUMBER(deployment_raw[[#This Row],[Column11]]), (deployment_raw[[#This Row],[Column11]] * IF($E$2="Deployment",deployment_raw[[#This Row],[Column5]],1))/1048576,"")</f>
        <v>250</v>
      </c>
      <c r="T46" s="59">
        <f>IF(ISNUMBER(deployment_raw[[#This Row],[Column8]]),IF(OR(deployment_raw[[#This Row],[Column5]] &lt;&gt; 0,$E$2 &lt;&gt; "Deployment"), MAX(V46, ($T$2 * IF($E$2="Deployment",deployment_raw[[#This Row],[Column5]],1))), 0),"")</f>
        <v>100</v>
      </c>
      <c r="U46" s="50">
        <f>IF(ISNUMBER(deployment_raw[[#This Row],[Column9]]),IF(OR(deployment_raw[[#This Row],[Column5]] &lt;&gt; 0,$E$2&lt;&gt;"Deployment"), MAX(W46, ($U$2 * IF($E$2="Deployment",deployment_raw[[#This Row],[Column5]],1))), 0),"")</f>
        <v>50</v>
      </c>
      <c r="V46" s="15">
        <f>IF(ISNUMBER(deployment_raw[[#This Row],[Column12]]), (deployment_raw[[#This Row],[Column12]] * IF($E$2="Deployment",deployment_raw[[#This Row],[Column5]],1)*(1+$V$2)),"")</f>
        <v>100</v>
      </c>
      <c r="W46" s="14">
        <f>IF(ISNUMBER(deployment_raw[[#This Row],[Column13]]), (deployment_raw[[#This Row],[Column13]] * IF($E$2="Deployment",deployment_raw[[#This Row],[Column5]],1)*(1+$W$2))/1048576,"")</f>
        <v>50</v>
      </c>
    </row>
    <row r="47" spans="1:23" ht="15.75" customHeight="1" x14ac:dyDescent="0.25">
      <c r="A47" s="5" t="str">
        <f>IF(ISNONTEXT(deployment_raw[[#This Row],[Column1]]), "", deployment_raw[[#This Row],[Column1]])</f>
        <v>prometheus-my-prometheus-operator-kub-prometheus</v>
      </c>
      <c r="B47" s="6" t="str">
        <f>IF(ISNONTEXT(deployment_raw[[#This Row],[Column2]]), "", deployment_raw[[#This Row],[Column2]])</f>
        <v>statefulset</v>
      </c>
      <c r="C47" s="6" t="str">
        <f>IF(ISNONTEXT(deployment_raw[[#This Row],[Column3]]), "", deployment_raw[[#This Row],[Column3]])</f>
        <v>monitoring</v>
      </c>
      <c r="D47" s="6" t="str">
        <f>IF(ISNONTEXT(deployment_raw[[#This Row],[Column4]]), "", deployment_raw[[#This Row],[Column4]])</f>
        <v>&lt;none&gt;</v>
      </c>
      <c r="E47" s="7">
        <f>IF(ISNUMBER(deployment_raw[[#This Row],[Column5]]), deployment_raw[[#This Row],[Column5]],"")</f>
        <v>1</v>
      </c>
      <c r="F47" s="32">
        <f>IF(ISNUMBER(deployment_raw[[#This Row],[Column17]]), deployment_raw[[#This Row],[Column17]]/IF(OR($E$2="Deployment",deployment_raw[[#This Row],[Column5]]=0),1,deployment_raw[[#This Row],[Column5]]),"")</f>
        <v>0</v>
      </c>
      <c r="G47" s="42">
        <f>IF(ISNUMBER(deployment_raw[[#This Row],[Column14]]), deployment_raw[[#This Row],[Column14]]/IF(OR($E$2="Deployment",deployment_raw[[#This Row],[Column5]]=0),1,deployment_raw[[#This Row],[Column5]]),"")</f>
        <v>0</v>
      </c>
      <c r="H47" s="79">
        <f>IF(ISNUMBER(deployment_raw[[#This Row],[Column19]]), IF(I47&lt;&gt;0,(deployment_raw[[#This Row],[Column19]]/IF(OR($E$2="Deployment",deployment_raw[[#This Row],[Column5]]=0),1,deployment_raw[[#This Row],[Column5]]))/I47,0),"")</f>
        <v>0</v>
      </c>
      <c r="I47" s="69">
        <f>IF(ISNUMBER(deployment_raw[[#This Row],[Column6]]), (deployment_raw[[#This Row],[Column6]] * IF($E$2="Deployment",deployment_raw[[#This Row],[Column5]],1)),"")</f>
        <v>100</v>
      </c>
      <c r="J47" s="79">
        <f>IF(ISNUMBER(deployment_raw[[#This Row],[Column19]]), IF(K47&lt;&gt;0,(deployment_raw[[#This Row],[Column19]]/IF(OR($E$2="Deployment",deployment_raw[[#This Row],[Column5]]=0),1,deployment_raw[[#This Row],[Column5]]))/K47,0),"")</f>
        <v>0</v>
      </c>
      <c r="K47" s="72">
        <f>IF(ISNUMBER(deployment_raw[[#This Row],[Column8]]), (deployment_raw[[#This Row],[Column8]]  * IF($E$2="Deployment",deployment_raw[[#This Row],[Column5]],1)),"")</f>
        <v>100</v>
      </c>
      <c r="L47" s="36">
        <f>IF(ISNUMBER(deployment_raw[[#This Row],[Column18]]), deployment_raw[[#This Row],[Column18]]/IF(OR($E$2="Deployment",deployment_raw[[#This Row],[Column5]]=0),1,deployment_raw[[#This Row],[Column5]])/1048576,"")</f>
        <v>0</v>
      </c>
      <c r="M47" s="37">
        <f>IF(ISNUMBER(deployment_raw[[#This Row],[Column15]]), deployment_raw[[#This Row],[Column15]]/IF(OR($E$2="Deployment",deployment_raw[[#This Row],[Column5]]=0),1,deployment_raw[[#This Row],[Column5]])/1048576,"")</f>
        <v>0</v>
      </c>
      <c r="N47" s="81">
        <f>IF(ISNUMBER(deployment_raw[[#This Row],[Column20]]), IF(O47&lt;&gt;0,deployment_raw[[#This Row],[Column20]]/IF(OR($E$2="Deployment",deployment_raw[[#This Row],[Column5]]=0),1,deployment_raw[[#This Row],[Column5]])/1048576/O47,0),"")</f>
        <v>0</v>
      </c>
      <c r="O47" s="74">
        <f>IF(ISNUMBER(deployment_raw[[#This Row],[Column7]]), (deployment_raw[[#This Row],[Column7]] * IF($E$2="Deployment",deployment_raw[[#This Row],[Column5]],1))/1048576,"")</f>
        <v>50</v>
      </c>
      <c r="P47" s="81">
        <f>IF(ISNUMBER(deployment_raw[[#This Row],[Column20]]), IF(Q47&lt;&gt;0,deployment_raw[[#This Row],[Column20]]/IF(OR($E$2="Deployment",deployment_raw[[#This Row],[Column5]]=0),1,deployment_raw[[#This Row],[Column5]])/1048576/Q47,0),"")</f>
        <v>0</v>
      </c>
      <c r="Q47" s="76">
        <f>IF(ISNUMBER(deployment_raw[[#This Row],[Column9]]), (deployment_raw[[#This Row],[Column9]] * IF($E$2="Deployment",deployment_raw[[#This Row],[Column5]],1))/1048576,"")</f>
        <v>50</v>
      </c>
      <c r="R47" s="57">
        <f>IF(ISNUMBER(deployment_raw[[#This Row],[Column10]]), (deployment_raw[[#This Row],[Column10]] * IF($E$2="Deployment",deployment_raw[[#This Row],[Column5]],1)),"")</f>
        <v>100</v>
      </c>
      <c r="S47" s="48">
        <f>IF(ISNUMBER(deployment_raw[[#This Row],[Column11]]), (deployment_raw[[#This Row],[Column11]] * IF($E$2="Deployment",deployment_raw[[#This Row],[Column5]],1))/1048576,"")</f>
        <v>50</v>
      </c>
      <c r="T47" s="59">
        <f>IF(ISNUMBER(deployment_raw[[#This Row],[Column8]]),IF(OR(deployment_raw[[#This Row],[Column5]] &lt;&gt; 0,$E$2 &lt;&gt; "Deployment"), MAX(V47, ($T$2 * IF($E$2="Deployment",deployment_raw[[#This Row],[Column5]],1))), 0),"")</f>
        <v>100</v>
      </c>
      <c r="U47" s="50">
        <f>IF(ISNUMBER(deployment_raw[[#This Row],[Column9]]),IF(OR(deployment_raw[[#This Row],[Column5]] &lt;&gt; 0,$E$2&lt;&gt;"Deployment"), MAX(W47, ($U$2 * IF($E$2="Deployment",deployment_raw[[#This Row],[Column5]],1))), 0),"")</f>
        <v>50</v>
      </c>
      <c r="V47" s="15">
        <f>IF(ISNUMBER(deployment_raw[[#This Row],[Column12]]), (deployment_raw[[#This Row],[Column12]] * IF($E$2="Deployment",deployment_raw[[#This Row],[Column5]],1)*(1+$V$2)),"")</f>
        <v>100</v>
      </c>
      <c r="W47" s="14">
        <f>IF(ISNUMBER(deployment_raw[[#This Row],[Column13]]), (deployment_raw[[#This Row],[Column13]] * IF($E$2="Deployment",deployment_raw[[#This Row],[Column5]],1)*(1+$W$2))/1048576,"")</f>
        <v>50</v>
      </c>
    </row>
    <row r="48" spans="1:23" ht="15.75" customHeight="1" x14ac:dyDescent="0.25">
      <c r="A48" s="5" t="str">
        <f>IF(ISNONTEXT(deployment_raw[[#This Row],[Column1]]), "", deployment_raw[[#This Row],[Column1]])</f>
        <v>my-cluster-kafka</v>
      </c>
      <c r="B48" s="6" t="str">
        <f>IF(ISNONTEXT(deployment_raw[[#This Row],[Column2]]), "", deployment_raw[[#This Row],[Column2]])</f>
        <v>statefulset</v>
      </c>
      <c r="C48" s="6" t="str">
        <f>IF(ISNONTEXT(deployment_raw[[#This Row],[Column3]]), "", deployment_raw[[#This Row],[Column3]])</f>
        <v>myproject</v>
      </c>
      <c r="D48" s="6" t="str">
        <f>IF(ISNONTEXT(deployment_raw[[#This Row],[Column4]]), "", deployment_raw[[#This Row],[Column4]])</f>
        <v>&lt;none&gt;</v>
      </c>
      <c r="E48" s="7">
        <f>IF(ISNUMBER(deployment_raw[[#This Row],[Column5]]), deployment_raw[[#This Row],[Column5]],"")</f>
        <v>3</v>
      </c>
      <c r="F48" s="32">
        <f>IF(ISNUMBER(deployment_raw[[#This Row],[Column17]]), deployment_raw[[#This Row],[Column17]]/IF(OR($E$2="Deployment",deployment_raw[[#This Row],[Column5]]=0),1,deployment_raw[[#This Row],[Column5]]),"")</f>
        <v>0</v>
      </c>
      <c r="G48" s="42">
        <f>IF(ISNUMBER(deployment_raw[[#This Row],[Column14]]), deployment_raw[[#This Row],[Column14]]/IF(OR($E$2="Deployment",deployment_raw[[#This Row],[Column5]]=0),1,deployment_raw[[#This Row],[Column5]]),"")</f>
        <v>0</v>
      </c>
      <c r="H48" s="79">
        <f>IF(ISNUMBER(deployment_raw[[#This Row],[Column19]]), IF(I48&lt;&gt;0,(deployment_raw[[#This Row],[Column19]]/IF(OR($E$2="Deployment",deployment_raw[[#This Row],[Column5]]=0),1,deployment_raw[[#This Row],[Column5]]))/I48,0),"")</f>
        <v>0</v>
      </c>
      <c r="I48" s="69">
        <f>IF(ISNUMBER(deployment_raw[[#This Row],[Column6]]), (deployment_raw[[#This Row],[Column6]] * IF($E$2="Deployment",deployment_raw[[#This Row],[Column5]],1)),"")</f>
        <v>0</v>
      </c>
      <c r="J48" s="79">
        <f>IF(ISNUMBER(deployment_raw[[#This Row],[Column19]]), IF(K48&lt;&gt;0,(deployment_raw[[#This Row],[Column19]]/IF(OR($E$2="Deployment",deployment_raw[[#This Row],[Column5]]=0),1,deployment_raw[[#This Row],[Column5]]))/K48,0),"")</f>
        <v>0</v>
      </c>
      <c r="K48" s="72">
        <f>IF(ISNUMBER(deployment_raw[[#This Row],[Column8]]), (deployment_raw[[#This Row],[Column8]]  * IF($E$2="Deployment",deployment_raw[[#This Row],[Column5]],1)),"")</f>
        <v>0</v>
      </c>
      <c r="L48" s="36">
        <f>IF(ISNUMBER(deployment_raw[[#This Row],[Column18]]), deployment_raw[[#This Row],[Column18]]/IF(OR($E$2="Deployment",deployment_raw[[#This Row],[Column5]]=0),1,deployment_raw[[#This Row],[Column5]])/1048576,"")</f>
        <v>0</v>
      </c>
      <c r="M48" s="37">
        <f>IF(ISNUMBER(deployment_raw[[#This Row],[Column15]]), deployment_raw[[#This Row],[Column15]]/IF(OR($E$2="Deployment",deployment_raw[[#This Row],[Column5]]=0),1,deployment_raw[[#This Row],[Column5]])/1048576,"")</f>
        <v>0</v>
      </c>
      <c r="N48" s="81">
        <f>IF(ISNUMBER(deployment_raw[[#This Row],[Column20]]), IF(O48&lt;&gt;0,deployment_raw[[#This Row],[Column20]]/IF(OR($E$2="Deployment",deployment_raw[[#This Row],[Column5]]=0),1,deployment_raw[[#This Row],[Column5]])/1048576/O48,0),"")</f>
        <v>0</v>
      </c>
      <c r="O48" s="74">
        <f>IF(ISNUMBER(deployment_raw[[#This Row],[Column7]]), (deployment_raw[[#This Row],[Column7]] * IF($E$2="Deployment",deployment_raw[[#This Row],[Column5]],1))/1048576,"")</f>
        <v>0</v>
      </c>
      <c r="P48" s="81">
        <f>IF(ISNUMBER(deployment_raw[[#This Row],[Column20]]), IF(Q48&lt;&gt;0,deployment_raw[[#This Row],[Column20]]/IF(OR($E$2="Deployment",deployment_raw[[#This Row],[Column5]]=0),1,deployment_raw[[#This Row],[Column5]])/1048576/Q48,0),"")</f>
        <v>0</v>
      </c>
      <c r="Q48" s="76">
        <f>IF(ISNUMBER(deployment_raw[[#This Row],[Column9]]), (deployment_raw[[#This Row],[Column9]] * IF($E$2="Deployment",deployment_raw[[#This Row],[Column5]],1))/1048576,"")</f>
        <v>0</v>
      </c>
      <c r="R48" s="57">
        <f>IF(ISNUMBER(deployment_raw[[#This Row],[Column10]]), (deployment_raw[[#This Row],[Column10]] * IF($E$2="Deployment",deployment_raw[[#This Row],[Column5]],1)),"")</f>
        <v>0</v>
      </c>
      <c r="S48" s="48">
        <f>IF(ISNUMBER(deployment_raw[[#This Row],[Column11]]), (deployment_raw[[#This Row],[Column11]] * IF($E$2="Deployment",deployment_raw[[#This Row],[Column5]],1))/1048576,"")</f>
        <v>0</v>
      </c>
      <c r="T48" s="59">
        <f>IF(ISNUMBER(deployment_raw[[#This Row],[Column8]]),IF(OR(deployment_raw[[#This Row],[Column5]] &lt;&gt; 0,$E$2 &lt;&gt; "Deployment"), MAX(V48, ($T$2 * IF($E$2="Deployment",deployment_raw[[#This Row],[Column5]],1))), 0),"")</f>
        <v>50</v>
      </c>
      <c r="U48" s="50">
        <f>IF(ISNUMBER(deployment_raw[[#This Row],[Column9]]),IF(OR(deployment_raw[[#This Row],[Column5]] &lt;&gt; 0,$E$2&lt;&gt;"Deployment"), MAX(W48, ($U$2 * IF($E$2="Deployment",deployment_raw[[#This Row],[Column5]],1))), 0),"")</f>
        <v>25</v>
      </c>
      <c r="V48" s="15">
        <f>IF(ISNUMBER(deployment_raw[[#This Row],[Column12]]), (deployment_raw[[#This Row],[Column12]] * IF($E$2="Deployment",deployment_raw[[#This Row],[Column5]],1)*(1+$V$2)),"")</f>
        <v>0</v>
      </c>
      <c r="W48" s="14">
        <f>IF(ISNUMBER(deployment_raw[[#This Row],[Column13]]), (deployment_raw[[#This Row],[Column13]] * IF($E$2="Deployment",deployment_raw[[#This Row],[Column5]],1)*(1+$W$2))/1048576,"")</f>
        <v>0</v>
      </c>
    </row>
    <row r="49" spans="1:23" ht="15.75" customHeight="1" x14ac:dyDescent="0.25">
      <c r="A49" s="5" t="str">
        <f>IF(ISNONTEXT(deployment_raw[[#This Row],[Column1]]), "", deployment_raw[[#This Row],[Column1]])</f>
        <v>my-cluster-zookeeper</v>
      </c>
      <c r="B49" s="6" t="str">
        <f>IF(ISNONTEXT(deployment_raw[[#This Row],[Column2]]), "", deployment_raw[[#This Row],[Column2]])</f>
        <v>statefulset</v>
      </c>
      <c r="C49" s="6" t="str">
        <f>IF(ISNONTEXT(deployment_raw[[#This Row],[Column3]]), "", deployment_raw[[#This Row],[Column3]])</f>
        <v>myproject</v>
      </c>
      <c r="D49" s="6" t="str">
        <f>IF(ISNONTEXT(deployment_raw[[#This Row],[Column4]]), "", deployment_raw[[#This Row],[Column4]])</f>
        <v>&lt;none&gt;</v>
      </c>
      <c r="E49" s="7">
        <f>IF(ISNUMBER(deployment_raw[[#This Row],[Column5]]), deployment_raw[[#This Row],[Column5]],"")</f>
        <v>3</v>
      </c>
      <c r="F49" s="32">
        <f>IF(ISNUMBER(deployment_raw[[#This Row],[Column17]]), deployment_raw[[#This Row],[Column17]]/IF(OR($E$2="Deployment",deployment_raw[[#This Row],[Column5]]=0),1,deployment_raw[[#This Row],[Column5]]),"")</f>
        <v>0</v>
      </c>
      <c r="G49" s="42">
        <f>IF(ISNUMBER(deployment_raw[[#This Row],[Column14]]), deployment_raw[[#This Row],[Column14]]/IF(OR($E$2="Deployment",deployment_raw[[#This Row],[Column5]]=0),1,deployment_raw[[#This Row],[Column5]]),"")</f>
        <v>0</v>
      </c>
      <c r="H49" s="79">
        <f>IF(ISNUMBER(deployment_raw[[#This Row],[Column19]]), IF(I49&lt;&gt;0,(deployment_raw[[#This Row],[Column19]]/IF(OR($E$2="Deployment",deployment_raw[[#This Row],[Column5]]=0),1,deployment_raw[[#This Row],[Column5]]))/I49,0),"")</f>
        <v>0</v>
      </c>
      <c r="I49" s="69">
        <f>IF(ISNUMBER(deployment_raw[[#This Row],[Column6]]), (deployment_raw[[#This Row],[Column6]] * IF($E$2="Deployment",deployment_raw[[#This Row],[Column5]],1)),"")</f>
        <v>0</v>
      </c>
      <c r="J49" s="79">
        <f>IF(ISNUMBER(deployment_raw[[#This Row],[Column19]]), IF(K49&lt;&gt;0,(deployment_raw[[#This Row],[Column19]]/IF(OR($E$2="Deployment",deployment_raw[[#This Row],[Column5]]=0),1,deployment_raw[[#This Row],[Column5]]))/K49,0),"")</f>
        <v>0</v>
      </c>
      <c r="K49" s="72">
        <f>IF(ISNUMBER(deployment_raw[[#This Row],[Column8]]), (deployment_raw[[#This Row],[Column8]]  * IF($E$2="Deployment",deployment_raw[[#This Row],[Column5]],1)),"")</f>
        <v>0</v>
      </c>
      <c r="L49" s="36">
        <f>IF(ISNUMBER(deployment_raw[[#This Row],[Column18]]), deployment_raw[[#This Row],[Column18]]/IF(OR($E$2="Deployment",deployment_raw[[#This Row],[Column5]]=0),1,deployment_raw[[#This Row],[Column5]])/1048576,"")</f>
        <v>0</v>
      </c>
      <c r="M49" s="37">
        <f>IF(ISNUMBER(deployment_raw[[#This Row],[Column15]]), deployment_raw[[#This Row],[Column15]]/IF(OR($E$2="Deployment",deployment_raw[[#This Row],[Column5]]=0),1,deployment_raw[[#This Row],[Column5]])/1048576,"")</f>
        <v>0</v>
      </c>
      <c r="N49" s="81">
        <f>IF(ISNUMBER(deployment_raw[[#This Row],[Column20]]), IF(O49&lt;&gt;0,deployment_raw[[#This Row],[Column20]]/IF(OR($E$2="Deployment",deployment_raw[[#This Row],[Column5]]=0),1,deployment_raw[[#This Row],[Column5]])/1048576/O49,0),"")</f>
        <v>0</v>
      </c>
      <c r="O49" s="74">
        <f>IF(ISNUMBER(deployment_raw[[#This Row],[Column7]]), (deployment_raw[[#This Row],[Column7]] * IF($E$2="Deployment",deployment_raw[[#This Row],[Column5]],1))/1048576,"")</f>
        <v>0</v>
      </c>
      <c r="P49" s="81">
        <f>IF(ISNUMBER(deployment_raw[[#This Row],[Column20]]), IF(Q49&lt;&gt;0,deployment_raw[[#This Row],[Column20]]/IF(OR($E$2="Deployment",deployment_raw[[#This Row],[Column5]]=0),1,deployment_raw[[#This Row],[Column5]])/1048576/Q49,0),"")</f>
        <v>0</v>
      </c>
      <c r="Q49" s="76">
        <f>IF(ISNUMBER(deployment_raw[[#This Row],[Column9]]), (deployment_raw[[#This Row],[Column9]] * IF($E$2="Deployment",deployment_raw[[#This Row],[Column5]],1))/1048576,"")</f>
        <v>0</v>
      </c>
      <c r="R49" s="57">
        <f>IF(ISNUMBER(deployment_raw[[#This Row],[Column10]]), (deployment_raw[[#This Row],[Column10]] * IF($E$2="Deployment",deployment_raw[[#This Row],[Column5]],1)),"")</f>
        <v>0</v>
      </c>
      <c r="S49" s="48">
        <f>IF(ISNUMBER(deployment_raw[[#This Row],[Column11]]), (deployment_raw[[#This Row],[Column11]] * IF($E$2="Deployment",deployment_raw[[#This Row],[Column5]],1))/1048576,"")</f>
        <v>0</v>
      </c>
      <c r="T49" s="59">
        <f>IF(ISNUMBER(deployment_raw[[#This Row],[Column8]]),IF(OR(deployment_raw[[#This Row],[Column5]] &lt;&gt; 0,$E$2 &lt;&gt; "Deployment"), MAX(V49, ($T$2 * IF($E$2="Deployment",deployment_raw[[#This Row],[Column5]],1))), 0),"")</f>
        <v>50</v>
      </c>
      <c r="U49" s="50">
        <f>IF(ISNUMBER(deployment_raw[[#This Row],[Column9]]),IF(OR(deployment_raw[[#This Row],[Column5]] &lt;&gt; 0,$E$2&lt;&gt;"Deployment"), MAX(W49, ($U$2 * IF($E$2="Deployment",deployment_raw[[#This Row],[Column5]],1))), 0),"")</f>
        <v>25</v>
      </c>
      <c r="V49" s="15">
        <f>IF(ISNUMBER(deployment_raw[[#This Row],[Column12]]), (deployment_raw[[#This Row],[Column12]] * IF($E$2="Deployment",deployment_raw[[#This Row],[Column5]],1)*(1+$V$2)),"")</f>
        <v>0</v>
      </c>
      <c r="W49" s="14">
        <f>IF(ISNUMBER(deployment_raw[[#This Row],[Column13]]), (deployment_raw[[#This Row],[Column13]] * IF($E$2="Deployment",deployment_raw[[#This Row],[Column5]],1)*(1+$W$2))/1048576,"")</f>
        <v>0</v>
      </c>
    </row>
    <row r="50" spans="1:23" ht="15.75" customHeight="1" x14ac:dyDescent="0.25">
      <c r="A50" s="5" t="str">
        <f>IF(ISNONTEXT(deployment_raw[[#This Row],[Column1]]), "", deployment_raw[[#This Row],[Column1]])</f>
        <v>web</v>
      </c>
      <c r="B50" s="6" t="str">
        <f>IF(ISNONTEXT(deployment_raw[[#This Row],[Column2]]), "", deployment_raw[[#This Row],[Column2]])</f>
        <v>statefulset</v>
      </c>
      <c r="C50" s="6" t="str">
        <f>IF(ISNONTEXT(deployment_raw[[#This Row],[Column3]]), "", deployment_raw[[#This Row],[Column3]])</f>
        <v>nginx-web-sts</v>
      </c>
      <c r="D50" s="6" t="str">
        <f>IF(ISNONTEXT(deployment_raw[[#This Row],[Column4]]), "", deployment_raw[[#This Row],[Column4]])</f>
        <v>&lt;none&gt;</v>
      </c>
      <c r="E50" s="7">
        <f>IF(ISNUMBER(deployment_raw[[#This Row],[Column5]]), deployment_raw[[#This Row],[Column5]],"")</f>
        <v>1</v>
      </c>
      <c r="F50" s="32">
        <f>IF(ISNUMBER(deployment_raw[[#This Row],[Column17]]), deployment_raw[[#This Row],[Column17]]/IF(OR($E$2="Deployment",deployment_raw[[#This Row],[Column5]]=0),1,deployment_raw[[#This Row],[Column5]]),"")</f>
        <v>0</v>
      </c>
      <c r="G50" s="42">
        <f>IF(ISNUMBER(deployment_raw[[#This Row],[Column14]]), deployment_raw[[#This Row],[Column14]]/IF(OR($E$2="Deployment",deployment_raw[[#This Row],[Column5]]=0),1,deployment_raw[[#This Row],[Column5]]),"")</f>
        <v>0</v>
      </c>
      <c r="H50" s="79">
        <f>IF(ISNUMBER(deployment_raw[[#This Row],[Column19]]), IF(I50&lt;&gt;0,(deployment_raw[[#This Row],[Column19]]/IF(OR($E$2="Deployment",deployment_raw[[#This Row],[Column5]]=0),1,deployment_raw[[#This Row],[Column5]]))/I50,0),"")</f>
        <v>0</v>
      </c>
      <c r="I50" s="69">
        <f>IF(ISNUMBER(deployment_raw[[#This Row],[Column6]]), (deployment_raw[[#This Row],[Column6]] * IF($E$2="Deployment",deployment_raw[[#This Row],[Column5]],1)),"")</f>
        <v>100</v>
      </c>
      <c r="J50" s="79">
        <f>IF(ISNUMBER(deployment_raw[[#This Row],[Column19]]), IF(K50&lt;&gt;0,(deployment_raw[[#This Row],[Column19]]/IF(OR($E$2="Deployment",deployment_raw[[#This Row],[Column5]]=0),1,deployment_raw[[#This Row],[Column5]]))/K50,0),"")</f>
        <v>0</v>
      </c>
      <c r="K50" s="72">
        <f>IF(ISNUMBER(deployment_raw[[#This Row],[Column8]]), (deployment_raw[[#This Row],[Column8]]  * IF($E$2="Deployment",deployment_raw[[#This Row],[Column5]],1)),"")</f>
        <v>250</v>
      </c>
      <c r="L50" s="36">
        <f>IF(ISNUMBER(deployment_raw[[#This Row],[Column18]]), deployment_raw[[#This Row],[Column18]]/IF(OR($E$2="Deployment",deployment_raw[[#This Row],[Column5]]=0),1,deployment_raw[[#This Row],[Column5]])/1048576,"")</f>
        <v>0</v>
      </c>
      <c r="M50" s="37">
        <f>IF(ISNUMBER(deployment_raw[[#This Row],[Column15]]), deployment_raw[[#This Row],[Column15]]/IF(OR($E$2="Deployment",deployment_raw[[#This Row],[Column5]]=0),1,deployment_raw[[#This Row],[Column5]])/1048576,"")</f>
        <v>0</v>
      </c>
      <c r="N50" s="81">
        <f>IF(ISNUMBER(deployment_raw[[#This Row],[Column20]]), IF(O50&lt;&gt;0,deployment_raw[[#This Row],[Column20]]/IF(OR($E$2="Deployment",deployment_raw[[#This Row],[Column5]]=0),1,deployment_raw[[#This Row],[Column5]])/1048576/O50,0),"")</f>
        <v>0</v>
      </c>
      <c r="O50" s="74">
        <f>IF(ISNUMBER(deployment_raw[[#This Row],[Column7]]), (deployment_raw[[#This Row],[Column7]] * IF($E$2="Deployment",deployment_raw[[#This Row],[Column5]],1))/1048576,"")</f>
        <v>128</v>
      </c>
      <c r="P50" s="81">
        <f>IF(ISNUMBER(deployment_raw[[#This Row],[Column20]]), IF(Q50&lt;&gt;0,deployment_raw[[#This Row],[Column20]]/IF(OR($E$2="Deployment",deployment_raw[[#This Row],[Column5]]=0),1,deployment_raw[[#This Row],[Column5]])/1048576/Q50,0),"")</f>
        <v>0</v>
      </c>
      <c r="Q50" s="76">
        <f>IF(ISNUMBER(deployment_raw[[#This Row],[Column9]]), (deployment_raw[[#This Row],[Column9]] * IF($E$2="Deployment",deployment_raw[[#This Row],[Column5]],1))/1048576,"")</f>
        <v>256</v>
      </c>
      <c r="R50" s="57">
        <f>IF(ISNUMBER(deployment_raw[[#This Row],[Column10]]), (deployment_raw[[#This Row],[Column10]] * IF($E$2="Deployment",deployment_raw[[#This Row],[Column5]],1)),"")</f>
        <v>100</v>
      </c>
      <c r="S50" s="48">
        <f>IF(ISNUMBER(deployment_raw[[#This Row],[Column11]]), (deployment_raw[[#This Row],[Column11]] * IF($E$2="Deployment",deployment_raw[[#This Row],[Column5]],1))/1048576,"")</f>
        <v>128</v>
      </c>
      <c r="T50" s="59">
        <f>IF(ISNUMBER(deployment_raw[[#This Row],[Column8]]),IF(OR(deployment_raw[[#This Row],[Column5]] &lt;&gt; 0,$E$2 &lt;&gt; "Deployment"), MAX(V50, ($T$2 * IF($E$2="Deployment",deployment_raw[[#This Row],[Column5]],1))), 0),"")</f>
        <v>250</v>
      </c>
      <c r="U50" s="50">
        <f>IF(ISNUMBER(deployment_raw[[#This Row],[Column9]]),IF(OR(deployment_raw[[#This Row],[Column5]] &lt;&gt; 0,$E$2&lt;&gt;"Deployment"), MAX(W50, ($U$2 * IF($E$2="Deployment",deployment_raw[[#This Row],[Column5]],1))), 0),"")</f>
        <v>256</v>
      </c>
      <c r="V50" s="15">
        <f>IF(ISNUMBER(deployment_raw[[#This Row],[Column12]]), (deployment_raw[[#This Row],[Column12]] * IF($E$2="Deployment",deployment_raw[[#This Row],[Column5]],1)*(1+$V$2)),"")</f>
        <v>250</v>
      </c>
      <c r="W50" s="14">
        <f>IF(ISNUMBER(deployment_raw[[#This Row],[Column13]]), (deployment_raw[[#This Row],[Column13]] * IF($E$2="Deployment",deployment_raw[[#This Row],[Column5]],1)*(1+$W$2))/1048576,"")</f>
        <v>256</v>
      </c>
    </row>
    <row r="51" spans="1:23" ht="15.75" customHeight="1" x14ac:dyDescent="0.25">
      <c r="A51" s="5" t="str">
        <f>IF(ISNONTEXT(deployment_raw[[#This Row],[Column1]]), "", deployment_raw[[#This Row],[Column1]])</f>
        <v>web2</v>
      </c>
      <c r="B51" s="6" t="str">
        <f>IF(ISNONTEXT(deployment_raw[[#This Row],[Column2]]), "", deployment_raw[[#This Row],[Column2]])</f>
        <v>statefulset</v>
      </c>
      <c r="C51" s="6" t="str">
        <f>IF(ISNONTEXT(deployment_raw[[#This Row],[Column3]]), "", deployment_raw[[#This Row],[Column3]])</f>
        <v>nginx-web2-sts</v>
      </c>
      <c r="D51" s="6" t="str">
        <f>IF(ISNONTEXT(deployment_raw[[#This Row],[Column4]]), "", deployment_raw[[#This Row],[Column4]])</f>
        <v>&lt;none&gt;</v>
      </c>
      <c r="E51" s="7">
        <f>IF(ISNUMBER(deployment_raw[[#This Row],[Column5]]), deployment_raw[[#This Row],[Column5]],"")</f>
        <v>1</v>
      </c>
      <c r="F51" s="32">
        <f>IF(ISNUMBER(deployment_raw[[#This Row],[Column17]]), deployment_raw[[#This Row],[Column17]]/IF(OR($E$2="Deployment",deployment_raw[[#This Row],[Column5]]=0),1,deployment_raw[[#This Row],[Column5]]),"")</f>
        <v>0</v>
      </c>
      <c r="G51" s="42">
        <f>IF(ISNUMBER(deployment_raw[[#This Row],[Column14]]), deployment_raw[[#This Row],[Column14]]/IF(OR($E$2="Deployment",deployment_raw[[#This Row],[Column5]]=0),1,deployment_raw[[#This Row],[Column5]]),"")</f>
        <v>0</v>
      </c>
      <c r="H51" s="79">
        <f>IF(ISNUMBER(deployment_raw[[#This Row],[Column19]]), IF(I51&lt;&gt;0,(deployment_raw[[#This Row],[Column19]]/IF(OR($E$2="Deployment",deployment_raw[[#This Row],[Column5]]=0),1,deployment_raw[[#This Row],[Column5]]))/I51,0),"")</f>
        <v>0</v>
      </c>
      <c r="I51" s="69">
        <f>IF(ISNUMBER(deployment_raw[[#This Row],[Column6]]), (deployment_raw[[#This Row],[Column6]] * IF($E$2="Deployment",deployment_raw[[#This Row],[Column5]],1)),"")</f>
        <v>50</v>
      </c>
      <c r="J51" s="79">
        <f>IF(ISNUMBER(deployment_raw[[#This Row],[Column19]]), IF(K51&lt;&gt;0,(deployment_raw[[#This Row],[Column19]]/IF(OR($E$2="Deployment",deployment_raw[[#This Row],[Column5]]=0),1,deployment_raw[[#This Row],[Column5]]))/K51,0),"")</f>
        <v>0</v>
      </c>
      <c r="K51" s="72">
        <f>IF(ISNUMBER(deployment_raw[[#This Row],[Column8]]), (deployment_raw[[#This Row],[Column8]]  * IF($E$2="Deployment",deployment_raw[[#This Row],[Column5]],1)),"")</f>
        <v>50</v>
      </c>
      <c r="L51" s="36">
        <f>IF(ISNUMBER(deployment_raw[[#This Row],[Column18]]), deployment_raw[[#This Row],[Column18]]/IF(OR($E$2="Deployment",deployment_raw[[#This Row],[Column5]]=0),1,deployment_raw[[#This Row],[Column5]])/1048576,"")</f>
        <v>0</v>
      </c>
      <c r="M51" s="37">
        <f>IF(ISNUMBER(deployment_raw[[#This Row],[Column15]]), deployment_raw[[#This Row],[Column15]]/IF(OR($E$2="Deployment",deployment_raw[[#This Row],[Column5]]=0),1,deployment_raw[[#This Row],[Column5]])/1048576,"")</f>
        <v>0</v>
      </c>
      <c r="N51" s="81">
        <f>IF(ISNUMBER(deployment_raw[[#This Row],[Column20]]), IF(O51&lt;&gt;0,deployment_raw[[#This Row],[Column20]]/IF(OR($E$2="Deployment",deployment_raw[[#This Row],[Column5]]=0),1,deployment_raw[[#This Row],[Column5]])/1048576/O51,0),"")</f>
        <v>0</v>
      </c>
      <c r="O51" s="74">
        <f>IF(ISNUMBER(deployment_raw[[#This Row],[Column7]]), (deployment_raw[[#This Row],[Column7]] * IF($E$2="Deployment",deployment_raw[[#This Row],[Column5]],1))/1048576,"")</f>
        <v>64</v>
      </c>
      <c r="P51" s="81">
        <f>IF(ISNUMBER(deployment_raw[[#This Row],[Column20]]), IF(Q51&lt;&gt;0,deployment_raw[[#This Row],[Column20]]/IF(OR($E$2="Deployment",deployment_raw[[#This Row],[Column5]]=0),1,deployment_raw[[#This Row],[Column5]])/1048576/Q51,0),"")</f>
        <v>0</v>
      </c>
      <c r="Q51" s="76">
        <f>IF(ISNUMBER(deployment_raw[[#This Row],[Column9]]), (deployment_raw[[#This Row],[Column9]] * IF($E$2="Deployment",deployment_raw[[#This Row],[Column5]],1))/1048576,"")</f>
        <v>64</v>
      </c>
      <c r="R51" s="57">
        <f>IF(ISNUMBER(deployment_raw[[#This Row],[Column10]]), (deployment_raw[[#This Row],[Column10]] * IF($E$2="Deployment",deployment_raw[[#This Row],[Column5]],1)),"")</f>
        <v>50</v>
      </c>
      <c r="S51" s="48">
        <f>IF(ISNUMBER(deployment_raw[[#This Row],[Column11]]), (deployment_raw[[#This Row],[Column11]] * IF($E$2="Deployment",deployment_raw[[#This Row],[Column5]],1))/1048576,"")</f>
        <v>64</v>
      </c>
      <c r="T51" s="59">
        <f>IF(ISNUMBER(deployment_raw[[#This Row],[Column8]]),IF(OR(deployment_raw[[#This Row],[Column5]] &lt;&gt; 0,$E$2 &lt;&gt; "Deployment"), MAX(V51, ($T$2 * IF($E$2="Deployment",deployment_raw[[#This Row],[Column5]],1))), 0),"")</f>
        <v>50</v>
      </c>
      <c r="U51" s="50">
        <f>IF(ISNUMBER(deployment_raw[[#This Row],[Column9]]),IF(OR(deployment_raw[[#This Row],[Column5]] &lt;&gt; 0,$E$2&lt;&gt;"Deployment"), MAX(W51, ($U$2 * IF($E$2="Deployment",deployment_raw[[#This Row],[Column5]],1))), 0),"")</f>
        <v>64</v>
      </c>
      <c r="V51" s="15">
        <f>IF(ISNUMBER(deployment_raw[[#This Row],[Column12]]), (deployment_raw[[#This Row],[Column12]] * IF($E$2="Deployment",deployment_raw[[#This Row],[Column5]],1)*(1+$V$2)),"")</f>
        <v>50</v>
      </c>
      <c r="W51" s="14">
        <f>IF(ISNUMBER(deployment_raw[[#This Row],[Column13]]), (deployment_raw[[#This Row],[Column13]] * IF($E$2="Deployment",deployment_raw[[#This Row],[Column5]],1)*(1+$W$2))/1048576,"")</f>
        <v>64</v>
      </c>
    </row>
    <row r="52" spans="1:23" ht="15.75" customHeight="1" x14ac:dyDescent="0.25">
      <c r="A52" s="5" t="str">
        <f>IF(ISNONTEXT(deployment_raw[[#This Row],[Column1]]), "", deployment_raw[[#This Row],[Column1]])</f>
        <v>web3</v>
      </c>
      <c r="B52" s="6" t="str">
        <f>IF(ISNONTEXT(deployment_raw[[#This Row],[Column2]]), "", deployment_raw[[#This Row],[Column2]])</f>
        <v>statefulset</v>
      </c>
      <c r="C52" s="6" t="str">
        <f>IF(ISNONTEXT(deployment_raw[[#This Row],[Column3]]), "", deployment_raw[[#This Row],[Column3]])</f>
        <v>nginx-web3-sts</v>
      </c>
      <c r="D52" s="6" t="str">
        <f>IF(ISNONTEXT(deployment_raw[[#This Row],[Column4]]), "", deployment_raw[[#This Row],[Column4]])</f>
        <v>&lt;none&gt;</v>
      </c>
      <c r="E52" s="7">
        <f>IF(ISNUMBER(deployment_raw[[#This Row],[Column5]]), deployment_raw[[#This Row],[Column5]],"")</f>
        <v>1</v>
      </c>
      <c r="F52" s="32">
        <f>IF(ISNUMBER(deployment_raw[[#This Row],[Column17]]), deployment_raw[[#This Row],[Column17]]/IF(OR($E$2="Deployment",deployment_raw[[#This Row],[Column5]]=0),1,deployment_raw[[#This Row],[Column5]]),"")</f>
        <v>0</v>
      </c>
      <c r="G52" s="42">
        <f>IF(ISNUMBER(deployment_raw[[#This Row],[Column14]]), deployment_raw[[#This Row],[Column14]]/IF(OR($E$2="Deployment",deployment_raw[[#This Row],[Column5]]=0),1,deployment_raw[[#This Row],[Column5]]),"")</f>
        <v>0</v>
      </c>
      <c r="H52" s="79">
        <f>IF(ISNUMBER(deployment_raw[[#This Row],[Column19]]), IF(I52&lt;&gt;0,(deployment_raw[[#This Row],[Column19]]/IF(OR($E$2="Deployment",deployment_raw[[#This Row],[Column5]]=0),1,deployment_raw[[#This Row],[Column5]]))/I52,0),"")</f>
        <v>0</v>
      </c>
      <c r="I52" s="69">
        <f>IF(ISNUMBER(deployment_raw[[#This Row],[Column6]]), (deployment_raw[[#This Row],[Column6]] * IF($E$2="Deployment",deployment_raw[[#This Row],[Column5]],1)),"")</f>
        <v>100</v>
      </c>
      <c r="J52" s="79">
        <f>IF(ISNUMBER(deployment_raw[[#This Row],[Column19]]), IF(K52&lt;&gt;0,(deployment_raw[[#This Row],[Column19]]/IF(OR($E$2="Deployment",deployment_raw[[#This Row],[Column5]]=0),1,deployment_raw[[#This Row],[Column5]]))/K52,0),"")</f>
        <v>0</v>
      </c>
      <c r="K52" s="72">
        <f>IF(ISNUMBER(deployment_raw[[#This Row],[Column8]]), (deployment_raw[[#This Row],[Column8]]  * IF($E$2="Deployment",deployment_raw[[#This Row],[Column5]],1)),"")</f>
        <v>250</v>
      </c>
      <c r="L52" s="36">
        <f>IF(ISNUMBER(deployment_raw[[#This Row],[Column18]]), deployment_raw[[#This Row],[Column18]]/IF(OR($E$2="Deployment",deployment_raw[[#This Row],[Column5]]=0),1,deployment_raw[[#This Row],[Column5]])/1048576,"")</f>
        <v>0</v>
      </c>
      <c r="M52" s="37">
        <f>IF(ISNUMBER(deployment_raw[[#This Row],[Column15]]), deployment_raw[[#This Row],[Column15]]/IF(OR($E$2="Deployment",deployment_raw[[#This Row],[Column5]]=0),1,deployment_raw[[#This Row],[Column5]])/1048576,"")</f>
        <v>0</v>
      </c>
      <c r="N52" s="81">
        <f>IF(ISNUMBER(deployment_raw[[#This Row],[Column20]]), IF(O52&lt;&gt;0,deployment_raw[[#This Row],[Column20]]/IF(OR($E$2="Deployment",deployment_raw[[#This Row],[Column5]]=0),1,deployment_raw[[#This Row],[Column5]])/1048576/O52,0),"")</f>
        <v>0</v>
      </c>
      <c r="O52" s="74">
        <f>IF(ISNUMBER(deployment_raw[[#This Row],[Column7]]), (deployment_raw[[#This Row],[Column7]] * IF($E$2="Deployment",deployment_raw[[#This Row],[Column5]],1))/1048576,"")</f>
        <v>128</v>
      </c>
      <c r="P52" s="81">
        <f>IF(ISNUMBER(deployment_raw[[#This Row],[Column20]]), IF(Q52&lt;&gt;0,deployment_raw[[#This Row],[Column20]]/IF(OR($E$2="Deployment",deployment_raw[[#This Row],[Column5]]=0),1,deployment_raw[[#This Row],[Column5]])/1048576/Q52,0),"")</f>
        <v>0</v>
      </c>
      <c r="Q52" s="76">
        <f>IF(ISNUMBER(deployment_raw[[#This Row],[Column9]]), (deployment_raw[[#This Row],[Column9]] * IF($E$2="Deployment",deployment_raw[[#This Row],[Column5]],1))/1048576,"")</f>
        <v>256</v>
      </c>
      <c r="R52" s="57">
        <f>IF(ISNUMBER(deployment_raw[[#This Row],[Column10]]), (deployment_raw[[#This Row],[Column10]] * IF($E$2="Deployment",deployment_raw[[#This Row],[Column5]],1)),"")</f>
        <v>100</v>
      </c>
      <c r="S52" s="48">
        <f>IF(ISNUMBER(deployment_raw[[#This Row],[Column11]]), (deployment_raw[[#This Row],[Column11]] * IF($E$2="Deployment",deployment_raw[[#This Row],[Column5]],1))/1048576,"")</f>
        <v>128</v>
      </c>
      <c r="T52" s="59">
        <f>IF(ISNUMBER(deployment_raw[[#This Row],[Column8]]),IF(OR(deployment_raw[[#This Row],[Column5]] &lt;&gt; 0,$E$2 &lt;&gt; "Deployment"), MAX(V52, ($T$2 * IF($E$2="Deployment",deployment_raw[[#This Row],[Column5]],1))), 0),"")</f>
        <v>250</v>
      </c>
      <c r="U52" s="50">
        <f>IF(ISNUMBER(deployment_raw[[#This Row],[Column9]]),IF(OR(deployment_raw[[#This Row],[Column5]] &lt;&gt; 0,$E$2&lt;&gt;"Deployment"), MAX(W52, ($U$2 * IF($E$2="Deployment",deployment_raw[[#This Row],[Column5]],1))), 0),"")</f>
        <v>256</v>
      </c>
      <c r="V52" s="15">
        <f>IF(ISNUMBER(deployment_raw[[#This Row],[Column12]]), (deployment_raw[[#This Row],[Column12]] * IF($E$2="Deployment",deployment_raw[[#This Row],[Column5]],1)*(1+$V$2)),"")</f>
        <v>250</v>
      </c>
      <c r="W52" s="14">
        <f>IF(ISNUMBER(deployment_raw[[#This Row],[Column13]]), (deployment_raw[[#This Row],[Column13]] * IF($E$2="Deployment",deployment_raw[[#This Row],[Column5]],1)*(1+$W$2))/1048576,"")</f>
        <v>256</v>
      </c>
    </row>
    <row r="53" spans="1:23" ht="15.75" customHeight="1" x14ac:dyDescent="0.25">
      <c r="A53" s="5" t="str">
        <f>IF(ISNONTEXT(deployment_raw[[#This Row],[Column1]]), "", deployment_raw[[#This Row],[Column1]])</f>
        <v>redis</v>
      </c>
      <c r="B53" s="6" t="str">
        <f>IF(ISNONTEXT(deployment_raw[[#This Row],[Column2]]), "", deployment_raw[[#This Row],[Column2]])</f>
        <v>statefulset</v>
      </c>
      <c r="C53" s="6" t="str">
        <f>IF(ISNONTEXT(deployment_raw[[#This Row],[Column3]]), "", deployment_raw[[#This Row],[Column3]])</f>
        <v>robot-shop</v>
      </c>
      <c r="D53" s="6" t="str">
        <f>IF(ISNONTEXT(deployment_raw[[#This Row],[Column4]]), "", deployment_raw[[#This Row],[Column4]])</f>
        <v>&lt;none&gt;</v>
      </c>
      <c r="E53" s="7">
        <f>IF(ISNUMBER(deployment_raw[[#This Row],[Column5]]), deployment_raw[[#This Row],[Column5]],"")</f>
        <v>1</v>
      </c>
      <c r="F53" s="32">
        <f>IF(ISNUMBER(deployment_raw[[#This Row],[Column17]]), deployment_raw[[#This Row],[Column17]]/IF(OR($E$2="Deployment",deployment_raw[[#This Row],[Column5]]=0),1,deployment_raw[[#This Row],[Column5]]),"")</f>
        <v>1</v>
      </c>
      <c r="G53" s="42">
        <f>IF(ISNUMBER(deployment_raw[[#This Row],[Column14]]), deployment_raw[[#This Row],[Column14]]/IF(OR($E$2="Deployment",deployment_raw[[#This Row],[Column5]]=0),1,deployment_raw[[#This Row],[Column5]]),"")</f>
        <v>64</v>
      </c>
      <c r="H53" s="79">
        <f>IF(ISNUMBER(deployment_raw[[#This Row],[Column19]]), IF(I53&lt;&gt;0,(deployment_raw[[#This Row],[Column19]]/IF(OR($E$2="Deployment",deployment_raw[[#This Row],[Column5]]=0),1,deployment_raw[[#This Row],[Column5]]))/I53,0),"")</f>
        <v>0.185</v>
      </c>
      <c r="I53" s="69">
        <f>IF(ISNUMBER(deployment_raw[[#This Row],[Column6]]), (deployment_raw[[#This Row],[Column6]] * IF($E$2="Deployment",deployment_raw[[#This Row],[Column5]],1)),"")</f>
        <v>200</v>
      </c>
      <c r="J53" s="79">
        <f>IF(ISNUMBER(deployment_raw[[#This Row],[Column19]]), IF(K53&lt;&gt;0,(deployment_raw[[#This Row],[Column19]]/IF(OR($E$2="Deployment",deployment_raw[[#This Row],[Column5]]=0),1,deployment_raw[[#This Row],[Column5]]))/K53,0),"")</f>
        <v>3.6999999999999998E-2</v>
      </c>
      <c r="K53" s="72">
        <f>IF(ISNUMBER(deployment_raw[[#This Row],[Column8]]), (deployment_raw[[#This Row],[Column8]]  * IF($E$2="Deployment",deployment_raw[[#This Row],[Column5]],1)),"")</f>
        <v>1000</v>
      </c>
      <c r="L53" s="36">
        <f>IF(ISNUMBER(deployment_raw[[#This Row],[Column18]]), deployment_raw[[#This Row],[Column18]]/IF(OR($E$2="Deployment",deployment_raw[[#This Row],[Column5]]=0),1,deployment_raw[[#This Row],[Column5]])/1048576,"")</f>
        <v>8.3671875</v>
      </c>
      <c r="M53" s="37">
        <f>IF(ISNUMBER(deployment_raw[[#This Row],[Column15]]), deployment_raw[[#This Row],[Column15]]/IF(OR($E$2="Deployment",deployment_raw[[#This Row],[Column5]]=0),1,deployment_raw[[#This Row],[Column5]])/1048576,"")</f>
        <v>8.3875970840454102</v>
      </c>
      <c r="N53" s="81">
        <f>IF(ISNUMBER(deployment_raw[[#This Row],[Column20]]), IF(O53&lt;&gt;0,deployment_raw[[#This Row],[Column20]]/IF(OR($E$2="Deployment",deployment_raw[[#This Row],[Column5]]=0),1,deployment_raw[[#This Row],[Column5]])/1048576/O53,0),"")</f>
        <v>8.3682546615600581E-2</v>
      </c>
      <c r="O53" s="74">
        <f>IF(ISNUMBER(deployment_raw[[#This Row],[Column7]]), (deployment_raw[[#This Row],[Column7]] * IF($E$2="Deployment",deployment_raw[[#This Row],[Column5]],1))/1048576,"")</f>
        <v>100</v>
      </c>
      <c r="P53" s="81">
        <f>IF(ISNUMBER(deployment_raw[[#This Row],[Column20]]), IF(Q53&lt;&gt;0,deployment_raw[[#This Row],[Column20]]/IF(OR($E$2="Deployment",deployment_raw[[#This Row],[Column5]]=0),1,deployment_raw[[#This Row],[Column5]])/1048576/Q53,0),"")</f>
        <v>4.0860618464648724E-3</v>
      </c>
      <c r="Q53" s="76">
        <f>IF(ISNUMBER(deployment_raw[[#This Row],[Column9]]), (deployment_raw[[#This Row],[Column9]] * IF($E$2="Deployment",deployment_raw[[#This Row],[Column5]],1))/1048576,"")</f>
        <v>2048</v>
      </c>
      <c r="R53" s="57">
        <f>IF(ISNUMBER(deployment_raw[[#This Row],[Column10]]), (deployment_raw[[#This Row],[Column10]] * IF($E$2="Deployment",deployment_raw[[#This Row],[Column5]],1)),"")</f>
        <v>90</v>
      </c>
      <c r="S53" s="48">
        <f>IF(ISNUMBER(deployment_raw[[#This Row],[Column11]]), (deployment_raw[[#This Row],[Column11]] * IF($E$2="Deployment",deployment_raw[[#This Row],[Column5]],1))/1048576,"")</f>
        <v>16</v>
      </c>
      <c r="T53" s="59">
        <f>IF(ISNUMBER(deployment_raw[[#This Row],[Column8]]),IF(OR(deployment_raw[[#This Row],[Column5]] &lt;&gt; 0,$E$2 &lt;&gt; "Deployment"), MAX(V53, ($T$2 * IF($E$2="Deployment",deployment_raw[[#This Row],[Column5]],1))), 0),"")</f>
        <v>120</v>
      </c>
      <c r="U53" s="50">
        <f>IF(ISNUMBER(deployment_raw[[#This Row],[Column9]]),IF(OR(deployment_raw[[#This Row],[Column5]] &lt;&gt; 0,$E$2&lt;&gt;"Deployment"), MAX(W53, ($U$2 * IF($E$2="Deployment",deployment_raw[[#This Row],[Column5]],1))), 0),"")</f>
        <v>25</v>
      </c>
      <c r="V53" s="15">
        <f>IF(ISNUMBER(deployment_raw[[#This Row],[Column12]]), (deployment_raw[[#This Row],[Column12]] * IF($E$2="Deployment",deployment_raw[[#This Row],[Column5]],1)*(1+$V$2)),"")</f>
        <v>120</v>
      </c>
      <c r="W53" s="14">
        <f>IF(ISNUMBER(deployment_raw[[#This Row],[Column13]]), (deployment_raw[[#This Row],[Column13]] * IF($E$2="Deployment",deployment_raw[[#This Row],[Column5]],1)*(1+$W$2))/1048576,"")</f>
        <v>16</v>
      </c>
    </row>
    <row r="54" spans="1:23" ht="15.75" customHeight="1" x14ac:dyDescent="0.25">
      <c r="A54" s="5" t="str">
        <f>IF(ISNONTEXT(deployment_raw[[#This Row],[Column1]]), "", deployment_raw[[#This Row],[Column1]])</f>
        <v/>
      </c>
      <c r="B54" s="6" t="str">
        <f>IF(ISNONTEXT(deployment_raw[[#This Row],[Column2]]), "", deployment_raw[[#This Row],[Column2]])</f>
        <v/>
      </c>
      <c r="C54" s="6" t="str">
        <f>IF(ISNONTEXT(deployment_raw[[#This Row],[Column3]]), "", deployment_raw[[#This Row],[Column3]])</f>
        <v/>
      </c>
      <c r="D54" s="6" t="str">
        <f>IF(ISNONTEXT(deployment_raw[[#This Row],[Column4]]), "", deployment_raw[[#This Row],[Column4]])</f>
        <v/>
      </c>
      <c r="E54" s="7" t="str">
        <f>IF(ISNUMBER(deployment_raw[[#This Row],[Column5]]), deployment_raw[[#This Row],[Column5]],"")</f>
        <v/>
      </c>
      <c r="F54" s="32" t="str">
        <f>IF(ISNUMBER(deployment_raw[[#This Row],[Column17]]), deployment_raw[[#This Row],[Column17]]/IF(OR($E$2="Deployment",deployment_raw[[#This Row],[Column5]]=0),1,deployment_raw[[#This Row],[Column5]]),"")</f>
        <v/>
      </c>
      <c r="G54" s="42" t="str">
        <f>IF(ISNUMBER(deployment_raw[[#This Row],[Column14]]), deployment_raw[[#This Row],[Column14]]/IF(OR($E$2="Deployment",deployment_raw[[#This Row],[Column5]]=0),1,deployment_raw[[#This Row],[Column5]]),"")</f>
        <v/>
      </c>
      <c r="H54" s="79" t="str">
        <f>IF(ISNUMBER(deployment_raw[[#This Row],[Column19]]), IF(I54&lt;&gt;0,(deployment_raw[[#This Row],[Column19]]/IF(OR($E$2="Deployment",deployment_raw[[#This Row],[Column5]]=0),1,deployment_raw[[#This Row],[Column5]]))/I54,0),"")</f>
        <v/>
      </c>
      <c r="I54" s="69" t="str">
        <f>IF(ISNUMBER(deployment_raw[[#This Row],[Column6]]), (deployment_raw[[#This Row],[Column6]] * IF($E$2="Deployment",deployment_raw[[#This Row],[Column5]],1)),"")</f>
        <v/>
      </c>
      <c r="J54" s="79" t="str">
        <f>IF(ISNUMBER(deployment_raw[[#This Row],[Column19]]), IF(K54&lt;&gt;0,(deployment_raw[[#This Row],[Column19]]/IF(OR($E$2="Deployment",deployment_raw[[#This Row],[Column5]]=0),1,deployment_raw[[#This Row],[Column5]]))/K54,0),"")</f>
        <v/>
      </c>
      <c r="K54" s="72" t="str">
        <f>IF(ISNUMBER(deployment_raw[[#This Row],[Column8]]), (deployment_raw[[#This Row],[Column8]]  * IF($E$2="Deployment",deployment_raw[[#This Row],[Column5]],1)),"")</f>
        <v/>
      </c>
      <c r="L5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4" s="81" t="str">
        <f>IF(ISNUMBER(deployment_raw[[#This Row],[Column20]]), IF(O54&lt;&gt;0,deployment_raw[[#This Row],[Column20]]/IF(OR($E$2="Deployment",deployment_raw[[#This Row],[Column5]]=0),1,deployment_raw[[#This Row],[Column5]])/1048576/O54,0),"")</f>
        <v/>
      </c>
      <c r="O54" s="74" t="str">
        <f>IF(ISNUMBER(deployment_raw[[#This Row],[Column7]]), (deployment_raw[[#This Row],[Column7]] * IF($E$2="Deployment",deployment_raw[[#This Row],[Column5]],1))/1048576,"")</f>
        <v/>
      </c>
      <c r="P54" s="81" t="str">
        <f>IF(ISNUMBER(deployment_raw[[#This Row],[Column20]]), IF(Q54&lt;&gt;0,deployment_raw[[#This Row],[Column20]]/IF(OR($E$2="Deployment",deployment_raw[[#This Row],[Column5]]=0),1,deployment_raw[[#This Row],[Column5]])/1048576/Q54,0),"")</f>
        <v/>
      </c>
      <c r="Q54" s="76" t="str">
        <f>IF(ISNUMBER(deployment_raw[[#This Row],[Column9]]), (deployment_raw[[#This Row],[Column9]] * IF($E$2="Deployment",deployment_raw[[#This Row],[Column5]],1))/1048576,"")</f>
        <v/>
      </c>
      <c r="R54" s="57" t="str">
        <f>IF(ISNUMBER(deployment_raw[[#This Row],[Column10]]), (deployment_raw[[#This Row],[Column10]] * IF($E$2="Deployment",deployment_raw[[#This Row],[Column5]],1)),"")</f>
        <v/>
      </c>
      <c r="S54" s="48" t="str">
        <f>IF(ISNUMBER(deployment_raw[[#This Row],[Column11]]), (deployment_raw[[#This Row],[Column11]] * IF($E$2="Deployment",deployment_raw[[#This Row],[Column5]],1))/1048576,"")</f>
        <v/>
      </c>
      <c r="T54" s="59" t="str">
        <f>IF(ISNUMBER(deployment_raw[[#This Row],[Column8]]),IF(OR(deployment_raw[[#This Row],[Column5]] &lt;&gt; 0,$E$2 &lt;&gt; "Deployment"), MAX(V54, ($T$2 * IF($E$2="Deployment",deployment_raw[[#This Row],[Column5]],1))), 0),"")</f>
        <v/>
      </c>
      <c r="U54" s="50" t="str">
        <f>IF(ISNUMBER(deployment_raw[[#This Row],[Column9]]),IF(OR(deployment_raw[[#This Row],[Column5]] &lt;&gt; 0,$E$2&lt;&gt;"Deployment"), MAX(W54, ($U$2 * IF($E$2="Deployment",deployment_raw[[#This Row],[Column5]],1))), 0),"")</f>
        <v/>
      </c>
      <c r="V54" s="15" t="str">
        <f>IF(ISNUMBER(deployment_raw[[#This Row],[Column12]]), (deployment_raw[[#This Row],[Column12]] * IF($E$2="Deployment",deployment_raw[[#This Row],[Column5]],1)*(1+$V$2)),"")</f>
        <v/>
      </c>
      <c r="W54" s="14" t="str">
        <f>IF(ISNUMBER(deployment_raw[[#This Row],[Column13]]), (deployment_raw[[#This Row],[Column13]] * IF($E$2="Deployment",deployment_raw[[#This Row],[Column5]],1)*(1+$W$2))/1048576,"")</f>
        <v/>
      </c>
    </row>
    <row r="55" spans="1:23" ht="15.75" customHeight="1" x14ac:dyDescent="0.25">
      <c r="A55" s="5" t="str">
        <f>IF(ISNONTEXT(deployment_raw[[#This Row],[Column1]]), "", deployment_raw[[#This Row],[Column1]])</f>
        <v/>
      </c>
      <c r="B55" s="6" t="str">
        <f>IF(ISNONTEXT(deployment_raw[[#This Row],[Column2]]), "", deployment_raw[[#This Row],[Column2]])</f>
        <v/>
      </c>
      <c r="C55" s="6" t="str">
        <f>IF(ISNONTEXT(deployment_raw[[#This Row],[Column3]]), "", deployment_raw[[#This Row],[Column3]])</f>
        <v/>
      </c>
      <c r="D55" s="6" t="str">
        <f>IF(ISNONTEXT(deployment_raw[[#This Row],[Column4]]), "", deployment_raw[[#This Row],[Column4]])</f>
        <v/>
      </c>
      <c r="E55" s="7" t="str">
        <f>IF(ISNUMBER(deployment_raw[[#This Row],[Column5]]), deployment_raw[[#This Row],[Column5]],"")</f>
        <v/>
      </c>
      <c r="F55" s="32" t="str">
        <f>IF(ISNUMBER(deployment_raw[[#This Row],[Column17]]), deployment_raw[[#This Row],[Column17]]/IF(OR($E$2="Deployment",deployment_raw[[#This Row],[Column5]]=0),1,deployment_raw[[#This Row],[Column5]]),"")</f>
        <v/>
      </c>
      <c r="G55" s="42" t="str">
        <f>IF(ISNUMBER(deployment_raw[[#This Row],[Column14]]), deployment_raw[[#This Row],[Column14]]/IF(OR($E$2="Deployment",deployment_raw[[#This Row],[Column5]]=0),1,deployment_raw[[#This Row],[Column5]]),"")</f>
        <v/>
      </c>
      <c r="H55" s="79" t="str">
        <f>IF(ISNUMBER(deployment_raw[[#This Row],[Column19]]), IF(I55&lt;&gt;0,(deployment_raw[[#This Row],[Column19]]/IF(OR($E$2="Deployment",deployment_raw[[#This Row],[Column5]]=0),1,deployment_raw[[#This Row],[Column5]]))/I55,0),"")</f>
        <v/>
      </c>
      <c r="I55" s="69" t="str">
        <f>IF(ISNUMBER(deployment_raw[[#This Row],[Column6]]), (deployment_raw[[#This Row],[Column6]] * IF($E$2="Deployment",deployment_raw[[#This Row],[Column5]],1)),"")</f>
        <v/>
      </c>
      <c r="J55" s="79" t="str">
        <f>IF(ISNUMBER(deployment_raw[[#This Row],[Column19]]), IF(K55&lt;&gt;0,(deployment_raw[[#This Row],[Column19]]/IF(OR($E$2="Deployment",deployment_raw[[#This Row],[Column5]]=0),1,deployment_raw[[#This Row],[Column5]]))/K55,0),"")</f>
        <v/>
      </c>
      <c r="K55" s="72" t="str">
        <f>IF(ISNUMBER(deployment_raw[[#This Row],[Column8]]), (deployment_raw[[#This Row],[Column8]]  * IF($E$2="Deployment",deployment_raw[[#This Row],[Column5]],1)),"")</f>
        <v/>
      </c>
      <c r="L5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5" s="81" t="str">
        <f>IF(ISNUMBER(deployment_raw[[#This Row],[Column20]]), IF(O55&lt;&gt;0,deployment_raw[[#This Row],[Column20]]/IF(OR($E$2="Deployment",deployment_raw[[#This Row],[Column5]]=0),1,deployment_raw[[#This Row],[Column5]])/1048576/O55,0),"")</f>
        <v/>
      </c>
      <c r="O55" s="74" t="str">
        <f>IF(ISNUMBER(deployment_raw[[#This Row],[Column7]]), (deployment_raw[[#This Row],[Column7]] * IF($E$2="Deployment",deployment_raw[[#This Row],[Column5]],1))/1048576,"")</f>
        <v/>
      </c>
      <c r="P55" s="81" t="str">
        <f>IF(ISNUMBER(deployment_raw[[#This Row],[Column20]]), IF(Q55&lt;&gt;0,deployment_raw[[#This Row],[Column20]]/IF(OR($E$2="Deployment",deployment_raw[[#This Row],[Column5]]=0),1,deployment_raw[[#This Row],[Column5]])/1048576/Q55,0),"")</f>
        <v/>
      </c>
      <c r="Q55" s="76" t="str">
        <f>IF(ISNUMBER(deployment_raw[[#This Row],[Column9]]), (deployment_raw[[#This Row],[Column9]] * IF($E$2="Deployment",deployment_raw[[#This Row],[Column5]],1))/1048576,"")</f>
        <v/>
      </c>
      <c r="R55" s="57" t="str">
        <f>IF(ISNUMBER(deployment_raw[[#This Row],[Column10]]), (deployment_raw[[#This Row],[Column10]] * IF($E$2="Deployment",deployment_raw[[#This Row],[Column5]],1)),"")</f>
        <v/>
      </c>
      <c r="S55" s="48" t="str">
        <f>IF(ISNUMBER(deployment_raw[[#This Row],[Column11]]), (deployment_raw[[#This Row],[Column11]] * IF($E$2="Deployment",deployment_raw[[#This Row],[Column5]],1))/1048576,"")</f>
        <v/>
      </c>
      <c r="T55" s="59" t="str">
        <f>IF(ISNUMBER(deployment_raw[[#This Row],[Column8]]),IF(OR(deployment_raw[[#This Row],[Column5]] &lt;&gt; 0,$E$2 &lt;&gt; "Deployment"), MAX(V55, ($T$2 * IF($E$2="Deployment",deployment_raw[[#This Row],[Column5]],1))), 0),"")</f>
        <v/>
      </c>
      <c r="U55" s="50" t="str">
        <f>IF(ISNUMBER(deployment_raw[[#This Row],[Column9]]),IF(OR(deployment_raw[[#This Row],[Column5]] &lt;&gt; 0,$E$2&lt;&gt;"Deployment"), MAX(W55, ($U$2 * IF($E$2="Deployment",deployment_raw[[#This Row],[Column5]],1))), 0),"")</f>
        <v/>
      </c>
      <c r="V55" s="15" t="str">
        <f>IF(ISNUMBER(deployment_raw[[#This Row],[Column12]]), (deployment_raw[[#This Row],[Column12]] * IF($E$2="Deployment",deployment_raw[[#This Row],[Column5]],1)*(1+$V$2)),"")</f>
        <v/>
      </c>
      <c r="W55" s="14" t="str">
        <f>IF(ISNUMBER(deployment_raw[[#This Row],[Column13]]), (deployment_raw[[#This Row],[Column13]] * IF($E$2="Deployment",deployment_raw[[#This Row],[Column5]],1)*(1+$W$2))/1048576,"")</f>
        <v/>
      </c>
    </row>
    <row r="56" spans="1:23" ht="15.75" customHeight="1" x14ac:dyDescent="0.25">
      <c r="A56" s="5" t="str">
        <f>IF(ISNONTEXT(deployment_raw[[#This Row],[Column1]]), "", deployment_raw[[#This Row],[Column1]])</f>
        <v/>
      </c>
      <c r="B56" s="6" t="str">
        <f>IF(ISNONTEXT(deployment_raw[[#This Row],[Column2]]), "", deployment_raw[[#This Row],[Column2]])</f>
        <v/>
      </c>
      <c r="C56" s="6" t="str">
        <f>IF(ISNONTEXT(deployment_raw[[#This Row],[Column3]]), "", deployment_raw[[#This Row],[Column3]])</f>
        <v/>
      </c>
      <c r="D56" s="6" t="str">
        <f>IF(ISNONTEXT(deployment_raw[[#This Row],[Column4]]), "", deployment_raw[[#This Row],[Column4]])</f>
        <v/>
      </c>
      <c r="E56" s="7" t="str">
        <f>IF(ISNUMBER(deployment_raw[[#This Row],[Column5]]), deployment_raw[[#This Row],[Column5]],"")</f>
        <v/>
      </c>
      <c r="F56" s="32" t="str">
        <f>IF(ISNUMBER(deployment_raw[[#This Row],[Column17]]), deployment_raw[[#This Row],[Column17]]/IF(OR($E$2="Deployment",deployment_raw[[#This Row],[Column5]]=0),1,deployment_raw[[#This Row],[Column5]]),"")</f>
        <v/>
      </c>
      <c r="G56" s="42" t="str">
        <f>IF(ISNUMBER(deployment_raw[[#This Row],[Column14]]), deployment_raw[[#This Row],[Column14]]/IF(OR($E$2="Deployment",deployment_raw[[#This Row],[Column5]]=0),1,deployment_raw[[#This Row],[Column5]]),"")</f>
        <v/>
      </c>
      <c r="H56" s="79" t="str">
        <f>IF(ISNUMBER(deployment_raw[[#This Row],[Column19]]), IF(I56&lt;&gt;0,(deployment_raw[[#This Row],[Column19]]/IF(OR($E$2="Deployment",deployment_raw[[#This Row],[Column5]]=0),1,deployment_raw[[#This Row],[Column5]]))/I56,0),"")</f>
        <v/>
      </c>
      <c r="I56" s="69" t="str">
        <f>IF(ISNUMBER(deployment_raw[[#This Row],[Column6]]), (deployment_raw[[#This Row],[Column6]] * IF($E$2="Deployment",deployment_raw[[#This Row],[Column5]],1)),"")</f>
        <v/>
      </c>
      <c r="J56" s="79" t="str">
        <f>IF(ISNUMBER(deployment_raw[[#This Row],[Column19]]), IF(K56&lt;&gt;0,(deployment_raw[[#This Row],[Column19]]/IF(OR($E$2="Deployment",deployment_raw[[#This Row],[Column5]]=0),1,deployment_raw[[#This Row],[Column5]]))/K56,0),"")</f>
        <v/>
      </c>
      <c r="K56" s="72" t="str">
        <f>IF(ISNUMBER(deployment_raw[[#This Row],[Column8]]), (deployment_raw[[#This Row],[Column8]]  * IF($E$2="Deployment",deployment_raw[[#This Row],[Column5]],1)),"")</f>
        <v/>
      </c>
      <c r="L5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6" s="81" t="str">
        <f>IF(ISNUMBER(deployment_raw[[#This Row],[Column20]]), IF(O56&lt;&gt;0,deployment_raw[[#This Row],[Column20]]/IF(OR($E$2="Deployment",deployment_raw[[#This Row],[Column5]]=0),1,deployment_raw[[#This Row],[Column5]])/1048576/O56,0),"")</f>
        <v/>
      </c>
      <c r="O56" s="74" t="str">
        <f>IF(ISNUMBER(deployment_raw[[#This Row],[Column7]]), (deployment_raw[[#This Row],[Column7]] * IF($E$2="Deployment",deployment_raw[[#This Row],[Column5]],1))/1048576,"")</f>
        <v/>
      </c>
      <c r="P56" s="81" t="str">
        <f>IF(ISNUMBER(deployment_raw[[#This Row],[Column20]]), IF(Q56&lt;&gt;0,deployment_raw[[#This Row],[Column20]]/IF(OR($E$2="Deployment",deployment_raw[[#This Row],[Column5]]=0),1,deployment_raw[[#This Row],[Column5]])/1048576/Q56,0),"")</f>
        <v/>
      </c>
      <c r="Q56" s="76" t="str">
        <f>IF(ISNUMBER(deployment_raw[[#This Row],[Column9]]), (deployment_raw[[#This Row],[Column9]] * IF($E$2="Deployment",deployment_raw[[#This Row],[Column5]],1))/1048576,"")</f>
        <v/>
      </c>
      <c r="R56" s="57" t="str">
        <f>IF(ISNUMBER(deployment_raw[[#This Row],[Column10]]), (deployment_raw[[#This Row],[Column10]] * IF($E$2="Deployment",deployment_raw[[#This Row],[Column5]],1)),"")</f>
        <v/>
      </c>
      <c r="S56" s="48" t="str">
        <f>IF(ISNUMBER(deployment_raw[[#This Row],[Column11]]), (deployment_raw[[#This Row],[Column11]] * IF($E$2="Deployment",deployment_raw[[#This Row],[Column5]],1))/1048576,"")</f>
        <v/>
      </c>
      <c r="T56" s="59" t="str">
        <f>IF(ISNUMBER(deployment_raw[[#This Row],[Column8]]),IF(OR(deployment_raw[[#This Row],[Column5]] &lt;&gt; 0,$E$2 &lt;&gt; "Deployment"), MAX(V56, ($T$2 * IF($E$2="Deployment",deployment_raw[[#This Row],[Column5]],1))), 0),"")</f>
        <v/>
      </c>
      <c r="U56" s="50" t="str">
        <f>IF(ISNUMBER(deployment_raw[[#This Row],[Column9]]),IF(OR(deployment_raw[[#This Row],[Column5]] &lt;&gt; 0,$E$2&lt;&gt;"Deployment"), MAX(W56, ($U$2 * IF($E$2="Deployment",deployment_raw[[#This Row],[Column5]],1))), 0),"")</f>
        <v/>
      </c>
      <c r="V56" s="15" t="str">
        <f>IF(ISNUMBER(deployment_raw[[#This Row],[Column12]]), (deployment_raw[[#This Row],[Column12]] * IF($E$2="Deployment",deployment_raw[[#This Row],[Column5]],1)*(1+$V$2)),"")</f>
        <v/>
      </c>
      <c r="W56" s="14" t="str">
        <f>IF(ISNUMBER(deployment_raw[[#This Row],[Column13]]), (deployment_raw[[#This Row],[Column13]] * IF($E$2="Deployment",deployment_raw[[#This Row],[Column5]],1)*(1+$W$2))/1048576,"")</f>
        <v/>
      </c>
    </row>
    <row r="57" spans="1:23" ht="15.75" customHeight="1" x14ac:dyDescent="0.25">
      <c r="A57" s="5" t="str">
        <f>IF(ISNONTEXT(deployment_raw[[#This Row],[Column1]]), "", deployment_raw[[#This Row],[Column1]])</f>
        <v/>
      </c>
      <c r="B57" s="6" t="str">
        <f>IF(ISNONTEXT(deployment_raw[[#This Row],[Column2]]), "", deployment_raw[[#This Row],[Column2]])</f>
        <v/>
      </c>
      <c r="C57" s="6" t="str">
        <f>IF(ISNONTEXT(deployment_raw[[#This Row],[Column3]]), "", deployment_raw[[#This Row],[Column3]])</f>
        <v/>
      </c>
      <c r="D57" s="6" t="str">
        <f>IF(ISNONTEXT(deployment_raw[[#This Row],[Column4]]), "", deployment_raw[[#This Row],[Column4]])</f>
        <v/>
      </c>
      <c r="E57" s="7" t="str">
        <f>IF(ISNUMBER(deployment_raw[[#This Row],[Column5]]), deployment_raw[[#This Row],[Column5]],"")</f>
        <v/>
      </c>
      <c r="F57" s="32" t="str">
        <f>IF(ISNUMBER(deployment_raw[[#This Row],[Column17]]), deployment_raw[[#This Row],[Column17]]/IF(OR($E$2="Deployment",deployment_raw[[#This Row],[Column5]]=0),1,deployment_raw[[#This Row],[Column5]]),"")</f>
        <v/>
      </c>
      <c r="G57" s="42" t="str">
        <f>IF(ISNUMBER(deployment_raw[[#This Row],[Column14]]), deployment_raw[[#This Row],[Column14]]/IF(OR($E$2="Deployment",deployment_raw[[#This Row],[Column5]]=0),1,deployment_raw[[#This Row],[Column5]]),"")</f>
        <v/>
      </c>
      <c r="H57" s="79" t="str">
        <f>IF(ISNUMBER(deployment_raw[[#This Row],[Column19]]), IF(I57&lt;&gt;0,(deployment_raw[[#This Row],[Column19]]/IF(OR($E$2="Deployment",deployment_raw[[#This Row],[Column5]]=0),1,deployment_raw[[#This Row],[Column5]]))/I57,0),"")</f>
        <v/>
      </c>
      <c r="I57" s="69" t="str">
        <f>IF(ISNUMBER(deployment_raw[[#This Row],[Column6]]), (deployment_raw[[#This Row],[Column6]] * IF($E$2="Deployment",deployment_raw[[#This Row],[Column5]],1)),"")</f>
        <v/>
      </c>
      <c r="J57" s="79" t="str">
        <f>IF(ISNUMBER(deployment_raw[[#This Row],[Column19]]), IF(K57&lt;&gt;0,(deployment_raw[[#This Row],[Column19]]/IF(OR($E$2="Deployment",deployment_raw[[#This Row],[Column5]]=0),1,deployment_raw[[#This Row],[Column5]]))/K57,0),"")</f>
        <v/>
      </c>
      <c r="K57" s="72" t="str">
        <f>IF(ISNUMBER(deployment_raw[[#This Row],[Column8]]), (deployment_raw[[#This Row],[Column8]]  * IF($E$2="Deployment",deployment_raw[[#This Row],[Column5]],1)),"")</f>
        <v/>
      </c>
      <c r="L5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7" s="81" t="str">
        <f>IF(ISNUMBER(deployment_raw[[#This Row],[Column20]]), IF(O57&lt;&gt;0,deployment_raw[[#This Row],[Column20]]/IF(OR($E$2="Deployment",deployment_raw[[#This Row],[Column5]]=0),1,deployment_raw[[#This Row],[Column5]])/1048576/O57,0),"")</f>
        <v/>
      </c>
      <c r="O57" s="74" t="str">
        <f>IF(ISNUMBER(deployment_raw[[#This Row],[Column7]]), (deployment_raw[[#This Row],[Column7]] * IF($E$2="Deployment",deployment_raw[[#This Row],[Column5]],1))/1048576,"")</f>
        <v/>
      </c>
      <c r="P57" s="81" t="str">
        <f>IF(ISNUMBER(deployment_raw[[#This Row],[Column20]]), IF(Q57&lt;&gt;0,deployment_raw[[#This Row],[Column20]]/IF(OR($E$2="Deployment",deployment_raw[[#This Row],[Column5]]=0),1,deployment_raw[[#This Row],[Column5]])/1048576/Q57,0),"")</f>
        <v/>
      </c>
      <c r="Q57" s="76" t="str">
        <f>IF(ISNUMBER(deployment_raw[[#This Row],[Column9]]), (deployment_raw[[#This Row],[Column9]] * IF($E$2="Deployment",deployment_raw[[#This Row],[Column5]],1))/1048576,"")</f>
        <v/>
      </c>
      <c r="R57" s="57" t="str">
        <f>IF(ISNUMBER(deployment_raw[[#This Row],[Column10]]), (deployment_raw[[#This Row],[Column10]] * IF($E$2="Deployment",deployment_raw[[#This Row],[Column5]],1)),"")</f>
        <v/>
      </c>
      <c r="S57" s="48" t="str">
        <f>IF(ISNUMBER(deployment_raw[[#This Row],[Column11]]), (deployment_raw[[#This Row],[Column11]] * IF($E$2="Deployment",deployment_raw[[#This Row],[Column5]],1))/1048576,"")</f>
        <v/>
      </c>
      <c r="T57" s="59" t="str">
        <f>IF(ISNUMBER(deployment_raw[[#This Row],[Column8]]),IF(OR(deployment_raw[[#This Row],[Column5]] &lt;&gt; 0,$E$2 &lt;&gt; "Deployment"), MAX(V57, ($T$2 * IF($E$2="Deployment",deployment_raw[[#This Row],[Column5]],1))), 0),"")</f>
        <v/>
      </c>
      <c r="U57" s="50" t="str">
        <f>IF(ISNUMBER(deployment_raw[[#This Row],[Column9]]),IF(OR(deployment_raw[[#This Row],[Column5]] &lt;&gt; 0,$E$2&lt;&gt;"Deployment"), MAX(W57, ($U$2 * IF($E$2="Deployment",deployment_raw[[#This Row],[Column5]],1))), 0),"")</f>
        <v/>
      </c>
      <c r="V57" s="15" t="str">
        <f>IF(ISNUMBER(deployment_raw[[#This Row],[Column12]]), (deployment_raw[[#This Row],[Column12]] * IF($E$2="Deployment",deployment_raw[[#This Row],[Column5]],1)*(1+$V$2)),"")</f>
        <v/>
      </c>
      <c r="W57" s="14" t="str">
        <f>IF(ISNUMBER(deployment_raw[[#This Row],[Column13]]), (deployment_raw[[#This Row],[Column13]] * IF($E$2="Deployment",deployment_raw[[#This Row],[Column5]],1)*(1+$W$2))/1048576,"")</f>
        <v/>
      </c>
    </row>
    <row r="58" spans="1:23" ht="15.75" customHeight="1" x14ac:dyDescent="0.25">
      <c r="A58" s="5" t="str">
        <f>IF(ISNONTEXT(deployment_raw[[#This Row],[Column1]]), "", deployment_raw[[#This Row],[Column1]])</f>
        <v/>
      </c>
      <c r="B58" s="6" t="str">
        <f>IF(ISNONTEXT(deployment_raw[[#This Row],[Column2]]), "", deployment_raw[[#This Row],[Column2]])</f>
        <v/>
      </c>
      <c r="C58" s="6" t="str">
        <f>IF(ISNONTEXT(deployment_raw[[#This Row],[Column3]]), "", deployment_raw[[#This Row],[Column3]])</f>
        <v/>
      </c>
      <c r="D58" s="6" t="str">
        <f>IF(ISNONTEXT(deployment_raw[[#This Row],[Column4]]), "", deployment_raw[[#This Row],[Column4]])</f>
        <v/>
      </c>
      <c r="E58" s="7" t="str">
        <f>IF(ISNUMBER(deployment_raw[[#This Row],[Column5]]), deployment_raw[[#This Row],[Column5]],"")</f>
        <v/>
      </c>
      <c r="F58" s="32" t="str">
        <f>IF(ISNUMBER(deployment_raw[[#This Row],[Column17]]), deployment_raw[[#This Row],[Column17]]/IF(OR($E$2="Deployment",deployment_raw[[#This Row],[Column5]]=0),1,deployment_raw[[#This Row],[Column5]]),"")</f>
        <v/>
      </c>
      <c r="G58" s="42" t="str">
        <f>IF(ISNUMBER(deployment_raw[[#This Row],[Column14]]), deployment_raw[[#This Row],[Column14]]/IF(OR($E$2="Deployment",deployment_raw[[#This Row],[Column5]]=0),1,deployment_raw[[#This Row],[Column5]]),"")</f>
        <v/>
      </c>
      <c r="H58" s="79" t="str">
        <f>IF(ISNUMBER(deployment_raw[[#This Row],[Column19]]), IF(I58&lt;&gt;0,(deployment_raw[[#This Row],[Column19]]/IF(OR($E$2="Deployment",deployment_raw[[#This Row],[Column5]]=0),1,deployment_raw[[#This Row],[Column5]]))/I58,0),"")</f>
        <v/>
      </c>
      <c r="I58" s="69" t="str">
        <f>IF(ISNUMBER(deployment_raw[[#This Row],[Column6]]), (deployment_raw[[#This Row],[Column6]] * IF($E$2="Deployment",deployment_raw[[#This Row],[Column5]],1)),"")</f>
        <v/>
      </c>
      <c r="J58" s="79" t="str">
        <f>IF(ISNUMBER(deployment_raw[[#This Row],[Column19]]), IF(K58&lt;&gt;0,(deployment_raw[[#This Row],[Column19]]/IF(OR($E$2="Deployment",deployment_raw[[#This Row],[Column5]]=0),1,deployment_raw[[#This Row],[Column5]]))/K58,0),"")</f>
        <v/>
      </c>
      <c r="K58" s="72" t="str">
        <f>IF(ISNUMBER(deployment_raw[[#This Row],[Column8]]), (deployment_raw[[#This Row],[Column8]]  * IF($E$2="Deployment",deployment_raw[[#This Row],[Column5]],1)),"")</f>
        <v/>
      </c>
      <c r="L5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8" s="81" t="str">
        <f>IF(ISNUMBER(deployment_raw[[#This Row],[Column20]]), IF(O58&lt;&gt;0,deployment_raw[[#This Row],[Column20]]/IF(OR($E$2="Deployment",deployment_raw[[#This Row],[Column5]]=0),1,deployment_raw[[#This Row],[Column5]])/1048576/O58,0),"")</f>
        <v/>
      </c>
      <c r="O58" s="74" t="str">
        <f>IF(ISNUMBER(deployment_raw[[#This Row],[Column7]]), (deployment_raw[[#This Row],[Column7]] * IF($E$2="Deployment",deployment_raw[[#This Row],[Column5]],1))/1048576,"")</f>
        <v/>
      </c>
      <c r="P58" s="81" t="str">
        <f>IF(ISNUMBER(deployment_raw[[#This Row],[Column20]]), IF(Q58&lt;&gt;0,deployment_raw[[#This Row],[Column20]]/IF(OR($E$2="Deployment",deployment_raw[[#This Row],[Column5]]=0),1,deployment_raw[[#This Row],[Column5]])/1048576/Q58,0),"")</f>
        <v/>
      </c>
      <c r="Q58" s="76" t="str">
        <f>IF(ISNUMBER(deployment_raw[[#This Row],[Column9]]), (deployment_raw[[#This Row],[Column9]] * IF($E$2="Deployment",deployment_raw[[#This Row],[Column5]],1))/1048576,"")</f>
        <v/>
      </c>
      <c r="R58" s="57" t="str">
        <f>IF(ISNUMBER(deployment_raw[[#This Row],[Column10]]), (deployment_raw[[#This Row],[Column10]] * IF($E$2="Deployment",deployment_raw[[#This Row],[Column5]],1)),"")</f>
        <v/>
      </c>
      <c r="S58" s="48" t="str">
        <f>IF(ISNUMBER(deployment_raw[[#This Row],[Column11]]), (deployment_raw[[#This Row],[Column11]] * IF($E$2="Deployment",deployment_raw[[#This Row],[Column5]],1))/1048576,"")</f>
        <v/>
      </c>
      <c r="T58" s="59" t="str">
        <f>IF(ISNUMBER(deployment_raw[[#This Row],[Column8]]),IF(OR(deployment_raw[[#This Row],[Column5]] &lt;&gt; 0,$E$2 &lt;&gt; "Deployment"), MAX(V58, ($T$2 * IF($E$2="Deployment",deployment_raw[[#This Row],[Column5]],1))), 0),"")</f>
        <v/>
      </c>
      <c r="U58" s="50" t="str">
        <f>IF(ISNUMBER(deployment_raw[[#This Row],[Column9]]),IF(OR(deployment_raw[[#This Row],[Column5]] &lt;&gt; 0,$E$2&lt;&gt;"Deployment"), MAX(W58, ($U$2 * IF($E$2="Deployment",deployment_raw[[#This Row],[Column5]],1))), 0),"")</f>
        <v/>
      </c>
      <c r="V58" s="15" t="str">
        <f>IF(ISNUMBER(deployment_raw[[#This Row],[Column12]]), (deployment_raw[[#This Row],[Column12]] * IF($E$2="Deployment",deployment_raw[[#This Row],[Column5]],1)*(1+$V$2)),"")</f>
        <v/>
      </c>
      <c r="W58" s="14" t="str">
        <f>IF(ISNUMBER(deployment_raw[[#This Row],[Column13]]), (deployment_raw[[#This Row],[Column13]] * IF($E$2="Deployment",deployment_raw[[#This Row],[Column5]],1)*(1+$W$2))/1048576,"")</f>
        <v/>
      </c>
    </row>
    <row r="59" spans="1:23" ht="15.75" customHeight="1" x14ac:dyDescent="0.25">
      <c r="A59" s="5" t="str">
        <f>IF(ISNONTEXT(deployment_raw[[#This Row],[Column1]]), "", deployment_raw[[#This Row],[Column1]])</f>
        <v/>
      </c>
      <c r="B59" s="6" t="str">
        <f>IF(ISNONTEXT(deployment_raw[[#This Row],[Column2]]), "", deployment_raw[[#This Row],[Column2]])</f>
        <v/>
      </c>
      <c r="C59" s="6" t="str">
        <f>IF(ISNONTEXT(deployment_raw[[#This Row],[Column3]]), "", deployment_raw[[#This Row],[Column3]])</f>
        <v/>
      </c>
      <c r="D59" s="6" t="str">
        <f>IF(ISNONTEXT(deployment_raw[[#This Row],[Column4]]), "", deployment_raw[[#This Row],[Column4]])</f>
        <v/>
      </c>
      <c r="E59" s="7" t="str">
        <f>IF(ISNUMBER(deployment_raw[[#This Row],[Column5]]), deployment_raw[[#This Row],[Column5]],"")</f>
        <v/>
      </c>
      <c r="F59" s="32" t="str">
        <f>IF(ISNUMBER(deployment_raw[[#This Row],[Column17]]), deployment_raw[[#This Row],[Column17]]/IF(OR($E$2="Deployment",deployment_raw[[#This Row],[Column5]]=0),1,deployment_raw[[#This Row],[Column5]]),"")</f>
        <v/>
      </c>
      <c r="G59" s="42" t="str">
        <f>IF(ISNUMBER(deployment_raw[[#This Row],[Column14]]), deployment_raw[[#This Row],[Column14]]/IF(OR($E$2="Deployment",deployment_raw[[#This Row],[Column5]]=0),1,deployment_raw[[#This Row],[Column5]]),"")</f>
        <v/>
      </c>
      <c r="H59" s="79" t="str">
        <f>IF(ISNUMBER(deployment_raw[[#This Row],[Column19]]), IF(I59&lt;&gt;0,(deployment_raw[[#This Row],[Column19]]/IF(OR($E$2="Deployment",deployment_raw[[#This Row],[Column5]]=0),1,deployment_raw[[#This Row],[Column5]]))/I59,0),"")</f>
        <v/>
      </c>
      <c r="I59" s="69" t="str">
        <f>IF(ISNUMBER(deployment_raw[[#This Row],[Column6]]), (deployment_raw[[#This Row],[Column6]] * IF($E$2="Deployment",deployment_raw[[#This Row],[Column5]],1)),"")</f>
        <v/>
      </c>
      <c r="J59" s="79" t="str">
        <f>IF(ISNUMBER(deployment_raw[[#This Row],[Column19]]), IF(K59&lt;&gt;0,(deployment_raw[[#This Row],[Column19]]/IF(OR($E$2="Deployment",deployment_raw[[#This Row],[Column5]]=0),1,deployment_raw[[#This Row],[Column5]]))/K59,0),"")</f>
        <v/>
      </c>
      <c r="K59" s="72" t="str">
        <f>IF(ISNUMBER(deployment_raw[[#This Row],[Column8]]), (deployment_raw[[#This Row],[Column8]]  * IF($E$2="Deployment",deployment_raw[[#This Row],[Column5]],1)),"")</f>
        <v/>
      </c>
      <c r="L5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9" s="81" t="str">
        <f>IF(ISNUMBER(deployment_raw[[#This Row],[Column20]]), IF(O59&lt;&gt;0,deployment_raw[[#This Row],[Column20]]/IF(OR($E$2="Deployment",deployment_raw[[#This Row],[Column5]]=0),1,deployment_raw[[#This Row],[Column5]])/1048576/O59,0),"")</f>
        <v/>
      </c>
      <c r="O59" s="74" t="str">
        <f>IF(ISNUMBER(deployment_raw[[#This Row],[Column7]]), (deployment_raw[[#This Row],[Column7]] * IF($E$2="Deployment",deployment_raw[[#This Row],[Column5]],1))/1048576,"")</f>
        <v/>
      </c>
      <c r="P59" s="81" t="str">
        <f>IF(ISNUMBER(deployment_raw[[#This Row],[Column20]]), IF(Q59&lt;&gt;0,deployment_raw[[#This Row],[Column20]]/IF(OR($E$2="Deployment",deployment_raw[[#This Row],[Column5]]=0),1,deployment_raw[[#This Row],[Column5]])/1048576/Q59,0),"")</f>
        <v/>
      </c>
      <c r="Q59" s="76" t="str">
        <f>IF(ISNUMBER(deployment_raw[[#This Row],[Column9]]), (deployment_raw[[#This Row],[Column9]] * IF($E$2="Deployment",deployment_raw[[#This Row],[Column5]],1))/1048576,"")</f>
        <v/>
      </c>
      <c r="R59" s="57" t="str">
        <f>IF(ISNUMBER(deployment_raw[[#This Row],[Column10]]), (deployment_raw[[#This Row],[Column10]] * IF($E$2="Deployment",deployment_raw[[#This Row],[Column5]],1)),"")</f>
        <v/>
      </c>
      <c r="S59" s="48" t="str">
        <f>IF(ISNUMBER(deployment_raw[[#This Row],[Column11]]), (deployment_raw[[#This Row],[Column11]] * IF($E$2="Deployment",deployment_raw[[#This Row],[Column5]],1))/1048576,"")</f>
        <v/>
      </c>
      <c r="T59" s="59" t="str">
        <f>IF(ISNUMBER(deployment_raw[[#This Row],[Column8]]),IF(OR(deployment_raw[[#This Row],[Column5]] &lt;&gt; 0,$E$2 &lt;&gt; "Deployment"), MAX(V59, ($T$2 * IF($E$2="Deployment",deployment_raw[[#This Row],[Column5]],1))), 0),"")</f>
        <v/>
      </c>
      <c r="U59" s="50" t="str">
        <f>IF(ISNUMBER(deployment_raw[[#This Row],[Column9]]),IF(OR(deployment_raw[[#This Row],[Column5]] &lt;&gt; 0,$E$2&lt;&gt;"Deployment"), MAX(W59, ($U$2 * IF($E$2="Deployment",deployment_raw[[#This Row],[Column5]],1))), 0),"")</f>
        <v/>
      </c>
      <c r="V59" s="15" t="str">
        <f>IF(ISNUMBER(deployment_raw[[#This Row],[Column12]]), (deployment_raw[[#This Row],[Column12]] * IF($E$2="Deployment",deployment_raw[[#This Row],[Column5]],1)*(1+$V$2)),"")</f>
        <v/>
      </c>
      <c r="W59" s="14" t="str">
        <f>IF(ISNUMBER(deployment_raw[[#This Row],[Column13]]), (deployment_raw[[#This Row],[Column13]] * IF($E$2="Deployment",deployment_raw[[#This Row],[Column5]],1)*(1+$W$2))/1048576,"")</f>
        <v/>
      </c>
    </row>
    <row r="60" spans="1:23" ht="15.75" customHeight="1" x14ac:dyDescent="0.25">
      <c r="A60" s="5" t="str">
        <f>IF(ISNONTEXT(deployment_raw[[#This Row],[Column1]]), "", deployment_raw[[#This Row],[Column1]])</f>
        <v/>
      </c>
      <c r="B60" s="6" t="str">
        <f>IF(ISNONTEXT(deployment_raw[[#This Row],[Column2]]), "", deployment_raw[[#This Row],[Column2]])</f>
        <v/>
      </c>
      <c r="C60" s="6" t="str">
        <f>IF(ISNONTEXT(deployment_raw[[#This Row],[Column3]]), "", deployment_raw[[#This Row],[Column3]])</f>
        <v/>
      </c>
      <c r="D60" s="6" t="str">
        <f>IF(ISNONTEXT(deployment_raw[[#This Row],[Column4]]), "", deployment_raw[[#This Row],[Column4]])</f>
        <v/>
      </c>
      <c r="E60" s="7" t="str">
        <f>IF(ISNUMBER(deployment_raw[[#This Row],[Column5]]), deployment_raw[[#This Row],[Column5]],"")</f>
        <v/>
      </c>
      <c r="F60" s="32" t="str">
        <f>IF(ISNUMBER(deployment_raw[[#This Row],[Column17]]), deployment_raw[[#This Row],[Column17]]/IF(OR($E$2="Deployment",deployment_raw[[#This Row],[Column5]]=0),1,deployment_raw[[#This Row],[Column5]]),"")</f>
        <v/>
      </c>
      <c r="G60" s="42" t="str">
        <f>IF(ISNUMBER(deployment_raw[[#This Row],[Column14]]), deployment_raw[[#This Row],[Column14]]/IF(OR($E$2="Deployment",deployment_raw[[#This Row],[Column5]]=0),1,deployment_raw[[#This Row],[Column5]]),"")</f>
        <v/>
      </c>
      <c r="H60" s="79" t="str">
        <f>IF(ISNUMBER(deployment_raw[[#This Row],[Column19]]), IF(I60&lt;&gt;0,(deployment_raw[[#This Row],[Column19]]/IF(OR($E$2="Deployment",deployment_raw[[#This Row],[Column5]]=0),1,deployment_raw[[#This Row],[Column5]]))/I60,0),"")</f>
        <v/>
      </c>
      <c r="I60" s="69" t="str">
        <f>IF(ISNUMBER(deployment_raw[[#This Row],[Column6]]), (deployment_raw[[#This Row],[Column6]] * IF($E$2="Deployment",deployment_raw[[#This Row],[Column5]],1)),"")</f>
        <v/>
      </c>
      <c r="J60" s="79" t="str">
        <f>IF(ISNUMBER(deployment_raw[[#This Row],[Column19]]), IF(K60&lt;&gt;0,(deployment_raw[[#This Row],[Column19]]/IF(OR($E$2="Deployment",deployment_raw[[#This Row],[Column5]]=0),1,deployment_raw[[#This Row],[Column5]]))/K60,0),"")</f>
        <v/>
      </c>
      <c r="K60" s="72" t="str">
        <f>IF(ISNUMBER(deployment_raw[[#This Row],[Column8]]), (deployment_raw[[#This Row],[Column8]]  * IF($E$2="Deployment",deployment_raw[[#This Row],[Column5]],1)),"")</f>
        <v/>
      </c>
      <c r="L6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0" s="81" t="str">
        <f>IF(ISNUMBER(deployment_raw[[#This Row],[Column20]]), IF(O60&lt;&gt;0,deployment_raw[[#This Row],[Column20]]/IF(OR($E$2="Deployment",deployment_raw[[#This Row],[Column5]]=0),1,deployment_raw[[#This Row],[Column5]])/1048576/O60,0),"")</f>
        <v/>
      </c>
      <c r="O60" s="74" t="str">
        <f>IF(ISNUMBER(deployment_raw[[#This Row],[Column7]]), (deployment_raw[[#This Row],[Column7]] * IF($E$2="Deployment",deployment_raw[[#This Row],[Column5]],1))/1048576,"")</f>
        <v/>
      </c>
      <c r="P60" s="81" t="str">
        <f>IF(ISNUMBER(deployment_raw[[#This Row],[Column20]]), IF(Q60&lt;&gt;0,deployment_raw[[#This Row],[Column20]]/IF(OR($E$2="Deployment",deployment_raw[[#This Row],[Column5]]=0),1,deployment_raw[[#This Row],[Column5]])/1048576/Q60,0),"")</f>
        <v/>
      </c>
      <c r="Q60" s="76" t="str">
        <f>IF(ISNUMBER(deployment_raw[[#This Row],[Column9]]), (deployment_raw[[#This Row],[Column9]] * IF($E$2="Deployment",deployment_raw[[#This Row],[Column5]],1))/1048576,"")</f>
        <v/>
      </c>
      <c r="R60" s="57" t="str">
        <f>IF(ISNUMBER(deployment_raw[[#This Row],[Column10]]), (deployment_raw[[#This Row],[Column10]] * IF($E$2="Deployment",deployment_raw[[#This Row],[Column5]],1)),"")</f>
        <v/>
      </c>
      <c r="S60" s="48" t="str">
        <f>IF(ISNUMBER(deployment_raw[[#This Row],[Column11]]), (deployment_raw[[#This Row],[Column11]] * IF($E$2="Deployment",deployment_raw[[#This Row],[Column5]],1))/1048576,"")</f>
        <v/>
      </c>
      <c r="T60" s="59" t="str">
        <f>IF(ISNUMBER(deployment_raw[[#This Row],[Column8]]),IF(OR(deployment_raw[[#This Row],[Column5]] &lt;&gt; 0,$E$2 &lt;&gt; "Deployment"), MAX(V60, ($T$2 * IF($E$2="Deployment",deployment_raw[[#This Row],[Column5]],1))), 0),"")</f>
        <v/>
      </c>
      <c r="U60" s="50" t="str">
        <f>IF(ISNUMBER(deployment_raw[[#This Row],[Column9]]),IF(OR(deployment_raw[[#This Row],[Column5]] &lt;&gt; 0,$E$2&lt;&gt;"Deployment"), MAX(W60, ($U$2 * IF($E$2="Deployment",deployment_raw[[#This Row],[Column5]],1))), 0),"")</f>
        <v/>
      </c>
      <c r="V60" s="15" t="str">
        <f>IF(ISNUMBER(deployment_raw[[#This Row],[Column12]]), (deployment_raw[[#This Row],[Column12]] * IF($E$2="Deployment",deployment_raw[[#This Row],[Column5]],1)*(1+$V$2)),"")</f>
        <v/>
      </c>
      <c r="W60" s="14" t="str">
        <f>IF(ISNUMBER(deployment_raw[[#This Row],[Column13]]), (deployment_raw[[#This Row],[Column13]] * IF($E$2="Deployment",deployment_raw[[#This Row],[Column5]],1)*(1+$W$2))/1048576,"")</f>
        <v/>
      </c>
    </row>
    <row r="61" spans="1:23" ht="15.75" customHeight="1" x14ac:dyDescent="0.25">
      <c r="A61" s="5" t="str">
        <f>IF(ISNONTEXT(deployment_raw[[#This Row],[Column1]]), "", deployment_raw[[#This Row],[Column1]])</f>
        <v/>
      </c>
      <c r="B61" s="6" t="str">
        <f>IF(ISNONTEXT(deployment_raw[[#This Row],[Column2]]), "", deployment_raw[[#This Row],[Column2]])</f>
        <v/>
      </c>
      <c r="C61" s="6" t="str">
        <f>IF(ISNONTEXT(deployment_raw[[#This Row],[Column3]]), "", deployment_raw[[#This Row],[Column3]])</f>
        <v/>
      </c>
      <c r="D61" s="6" t="str">
        <f>IF(ISNONTEXT(deployment_raw[[#This Row],[Column4]]), "", deployment_raw[[#This Row],[Column4]])</f>
        <v/>
      </c>
      <c r="E61" s="7" t="str">
        <f>IF(ISNUMBER(deployment_raw[[#This Row],[Column5]]), deployment_raw[[#This Row],[Column5]],"")</f>
        <v/>
      </c>
      <c r="F61" s="32" t="str">
        <f>IF(ISNUMBER(deployment_raw[[#This Row],[Column17]]), deployment_raw[[#This Row],[Column17]]/IF(OR($E$2="Deployment",deployment_raw[[#This Row],[Column5]]=0),1,deployment_raw[[#This Row],[Column5]]),"")</f>
        <v/>
      </c>
      <c r="G61" s="42" t="str">
        <f>IF(ISNUMBER(deployment_raw[[#This Row],[Column14]]), deployment_raw[[#This Row],[Column14]]/IF(OR($E$2="Deployment",deployment_raw[[#This Row],[Column5]]=0),1,deployment_raw[[#This Row],[Column5]]),"")</f>
        <v/>
      </c>
      <c r="H61" s="79" t="str">
        <f>IF(ISNUMBER(deployment_raw[[#This Row],[Column19]]), IF(I61&lt;&gt;0,(deployment_raw[[#This Row],[Column19]]/IF(OR($E$2="Deployment",deployment_raw[[#This Row],[Column5]]=0),1,deployment_raw[[#This Row],[Column5]]))/I61,0),"")</f>
        <v/>
      </c>
      <c r="I61" s="69" t="str">
        <f>IF(ISNUMBER(deployment_raw[[#This Row],[Column6]]), (deployment_raw[[#This Row],[Column6]] * IF($E$2="Deployment",deployment_raw[[#This Row],[Column5]],1)),"")</f>
        <v/>
      </c>
      <c r="J61" s="79" t="str">
        <f>IF(ISNUMBER(deployment_raw[[#This Row],[Column19]]), IF(K61&lt;&gt;0,(deployment_raw[[#This Row],[Column19]]/IF(OR($E$2="Deployment",deployment_raw[[#This Row],[Column5]]=0),1,deployment_raw[[#This Row],[Column5]]))/K61,0),"")</f>
        <v/>
      </c>
      <c r="K61" s="72" t="str">
        <f>IF(ISNUMBER(deployment_raw[[#This Row],[Column8]]), (deployment_raw[[#This Row],[Column8]]  * IF($E$2="Deployment",deployment_raw[[#This Row],[Column5]],1)),"")</f>
        <v/>
      </c>
      <c r="L6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1" s="81" t="str">
        <f>IF(ISNUMBER(deployment_raw[[#This Row],[Column20]]), IF(O61&lt;&gt;0,deployment_raw[[#This Row],[Column20]]/IF(OR($E$2="Deployment",deployment_raw[[#This Row],[Column5]]=0),1,deployment_raw[[#This Row],[Column5]])/1048576/O61,0),"")</f>
        <v/>
      </c>
      <c r="O61" s="74" t="str">
        <f>IF(ISNUMBER(deployment_raw[[#This Row],[Column7]]), (deployment_raw[[#This Row],[Column7]] * IF($E$2="Deployment",deployment_raw[[#This Row],[Column5]],1))/1048576,"")</f>
        <v/>
      </c>
      <c r="P61" s="81" t="str">
        <f>IF(ISNUMBER(deployment_raw[[#This Row],[Column20]]), IF(Q61&lt;&gt;0,deployment_raw[[#This Row],[Column20]]/IF(OR($E$2="Deployment",deployment_raw[[#This Row],[Column5]]=0),1,deployment_raw[[#This Row],[Column5]])/1048576/Q61,0),"")</f>
        <v/>
      </c>
      <c r="Q61" s="76" t="str">
        <f>IF(ISNUMBER(deployment_raw[[#This Row],[Column9]]), (deployment_raw[[#This Row],[Column9]] * IF($E$2="Deployment",deployment_raw[[#This Row],[Column5]],1))/1048576,"")</f>
        <v/>
      </c>
      <c r="R61" s="57" t="str">
        <f>IF(ISNUMBER(deployment_raw[[#This Row],[Column10]]), (deployment_raw[[#This Row],[Column10]] * IF($E$2="Deployment",deployment_raw[[#This Row],[Column5]],1)),"")</f>
        <v/>
      </c>
      <c r="S61" s="48" t="str">
        <f>IF(ISNUMBER(deployment_raw[[#This Row],[Column11]]), (deployment_raw[[#This Row],[Column11]] * IF($E$2="Deployment",deployment_raw[[#This Row],[Column5]],1))/1048576,"")</f>
        <v/>
      </c>
      <c r="T61" s="59" t="str">
        <f>IF(ISNUMBER(deployment_raw[[#This Row],[Column8]]),IF(OR(deployment_raw[[#This Row],[Column5]] &lt;&gt; 0,$E$2 &lt;&gt; "Deployment"), MAX(V61, ($T$2 * IF($E$2="Deployment",deployment_raw[[#This Row],[Column5]],1))), 0),"")</f>
        <v/>
      </c>
      <c r="U61" s="50" t="str">
        <f>IF(ISNUMBER(deployment_raw[[#This Row],[Column9]]),IF(OR(deployment_raw[[#This Row],[Column5]] &lt;&gt; 0,$E$2&lt;&gt;"Deployment"), MAX(W61, ($U$2 * IF($E$2="Deployment",deployment_raw[[#This Row],[Column5]],1))), 0),"")</f>
        <v/>
      </c>
      <c r="V61" s="15" t="str">
        <f>IF(ISNUMBER(deployment_raw[[#This Row],[Column12]]), (deployment_raw[[#This Row],[Column12]] * IF($E$2="Deployment",deployment_raw[[#This Row],[Column5]],1)*(1+$V$2)),"")</f>
        <v/>
      </c>
      <c r="W61" s="14" t="str">
        <f>IF(ISNUMBER(deployment_raw[[#This Row],[Column13]]), (deployment_raw[[#This Row],[Column13]] * IF($E$2="Deployment",deployment_raw[[#This Row],[Column5]],1)*(1+$W$2))/1048576,"")</f>
        <v/>
      </c>
    </row>
    <row r="62" spans="1:23" ht="15.75" customHeight="1" x14ac:dyDescent="0.25">
      <c r="A62" s="5" t="str">
        <f>IF(ISNONTEXT(deployment_raw[[#This Row],[Column1]]), "", deployment_raw[[#This Row],[Column1]])</f>
        <v/>
      </c>
      <c r="B62" s="6" t="str">
        <f>IF(ISNONTEXT(deployment_raw[[#This Row],[Column2]]), "", deployment_raw[[#This Row],[Column2]])</f>
        <v/>
      </c>
      <c r="C62" s="6" t="str">
        <f>IF(ISNONTEXT(deployment_raw[[#This Row],[Column3]]), "", deployment_raw[[#This Row],[Column3]])</f>
        <v/>
      </c>
      <c r="D62" s="6" t="str">
        <f>IF(ISNONTEXT(deployment_raw[[#This Row],[Column4]]), "", deployment_raw[[#This Row],[Column4]])</f>
        <v/>
      </c>
      <c r="E62" s="7" t="str">
        <f>IF(ISNUMBER(deployment_raw[[#This Row],[Column5]]), deployment_raw[[#This Row],[Column5]],"")</f>
        <v/>
      </c>
      <c r="F62" s="32" t="str">
        <f>IF(ISNUMBER(deployment_raw[[#This Row],[Column17]]), deployment_raw[[#This Row],[Column17]]/IF(OR($E$2="Deployment",deployment_raw[[#This Row],[Column5]]=0),1,deployment_raw[[#This Row],[Column5]]),"")</f>
        <v/>
      </c>
      <c r="G62" s="42" t="str">
        <f>IF(ISNUMBER(deployment_raw[[#This Row],[Column14]]), deployment_raw[[#This Row],[Column14]]/IF(OR($E$2="Deployment",deployment_raw[[#This Row],[Column5]]=0),1,deployment_raw[[#This Row],[Column5]]),"")</f>
        <v/>
      </c>
      <c r="H62" s="79" t="str">
        <f>IF(ISNUMBER(deployment_raw[[#This Row],[Column19]]), IF(I62&lt;&gt;0,(deployment_raw[[#This Row],[Column19]]/IF(OR($E$2="Deployment",deployment_raw[[#This Row],[Column5]]=0),1,deployment_raw[[#This Row],[Column5]]))/I62,0),"")</f>
        <v/>
      </c>
      <c r="I62" s="69" t="str">
        <f>IF(ISNUMBER(deployment_raw[[#This Row],[Column6]]), (deployment_raw[[#This Row],[Column6]] * IF($E$2="Deployment",deployment_raw[[#This Row],[Column5]],1)),"")</f>
        <v/>
      </c>
      <c r="J62" s="79" t="str">
        <f>IF(ISNUMBER(deployment_raw[[#This Row],[Column19]]), IF(K62&lt;&gt;0,(deployment_raw[[#This Row],[Column19]]/IF(OR($E$2="Deployment",deployment_raw[[#This Row],[Column5]]=0),1,deployment_raw[[#This Row],[Column5]]))/K62,0),"")</f>
        <v/>
      </c>
      <c r="K62" s="72" t="str">
        <f>IF(ISNUMBER(deployment_raw[[#This Row],[Column8]]), (deployment_raw[[#This Row],[Column8]]  * IF($E$2="Deployment",deployment_raw[[#This Row],[Column5]],1)),"")</f>
        <v/>
      </c>
      <c r="L6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2" s="81" t="str">
        <f>IF(ISNUMBER(deployment_raw[[#This Row],[Column20]]), IF(O62&lt;&gt;0,deployment_raw[[#This Row],[Column20]]/IF(OR($E$2="Deployment",deployment_raw[[#This Row],[Column5]]=0),1,deployment_raw[[#This Row],[Column5]])/1048576/O62,0),"")</f>
        <v/>
      </c>
      <c r="O62" s="74" t="str">
        <f>IF(ISNUMBER(deployment_raw[[#This Row],[Column7]]), (deployment_raw[[#This Row],[Column7]] * IF($E$2="Deployment",deployment_raw[[#This Row],[Column5]],1))/1048576,"")</f>
        <v/>
      </c>
      <c r="P62" s="81" t="str">
        <f>IF(ISNUMBER(deployment_raw[[#This Row],[Column20]]), IF(Q62&lt;&gt;0,deployment_raw[[#This Row],[Column20]]/IF(OR($E$2="Deployment",deployment_raw[[#This Row],[Column5]]=0),1,deployment_raw[[#This Row],[Column5]])/1048576/Q62,0),"")</f>
        <v/>
      </c>
      <c r="Q62" s="76" t="str">
        <f>IF(ISNUMBER(deployment_raw[[#This Row],[Column9]]), (deployment_raw[[#This Row],[Column9]] * IF($E$2="Deployment",deployment_raw[[#This Row],[Column5]],1))/1048576,"")</f>
        <v/>
      </c>
      <c r="R62" s="57" t="str">
        <f>IF(ISNUMBER(deployment_raw[[#This Row],[Column10]]), (deployment_raw[[#This Row],[Column10]] * IF($E$2="Deployment",deployment_raw[[#This Row],[Column5]],1)),"")</f>
        <v/>
      </c>
      <c r="S62" s="48" t="str">
        <f>IF(ISNUMBER(deployment_raw[[#This Row],[Column11]]), (deployment_raw[[#This Row],[Column11]] * IF($E$2="Deployment",deployment_raw[[#This Row],[Column5]],1))/1048576,"")</f>
        <v/>
      </c>
      <c r="T62" s="59" t="str">
        <f>IF(ISNUMBER(deployment_raw[[#This Row],[Column8]]),IF(OR(deployment_raw[[#This Row],[Column5]] &lt;&gt; 0,$E$2 &lt;&gt; "Deployment"), MAX(V62, ($T$2 * IF($E$2="Deployment",deployment_raw[[#This Row],[Column5]],1))), 0),"")</f>
        <v/>
      </c>
      <c r="U62" s="50" t="str">
        <f>IF(ISNUMBER(deployment_raw[[#This Row],[Column9]]),IF(OR(deployment_raw[[#This Row],[Column5]] &lt;&gt; 0,$E$2&lt;&gt;"Deployment"), MAX(W62, ($U$2 * IF($E$2="Deployment",deployment_raw[[#This Row],[Column5]],1))), 0),"")</f>
        <v/>
      </c>
      <c r="V62" s="15" t="str">
        <f>IF(ISNUMBER(deployment_raw[[#This Row],[Column12]]), (deployment_raw[[#This Row],[Column12]] * IF($E$2="Deployment",deployment_raw[[#This Row],[Column5]],1)*(1+$V$2)),"")</f>
        <v/>
      </c>
      <c r="W62" s="14" t="str">
        <f>IF(ISNUMBER(deployment_raw[[#This Row],[Column13]]), (deployment_raw[[#This Row],[Column13]] * IF($E$2="Deployment",deployment_raw[[#This Row],[Column5]],1)*(1+$W$2))/1048576,"")</f>
        <v/>
      </c>
    </row>
    <row r="63" spans="1:23" ht="15.75" customHeight="1" x14ac:dyDescent="0.25">
      <c r="A63" s="5" t="str">
        <f>IF(ISNONTEXT(deployment_raw[[#This Row],[Column1]]), "", deployment_raw[[#This Row],[Column1]])</f>
        <v/>
      </c>
      <c r="B63" s="6" t="str">
        <f>IF(ISNONTEXT(deployment_raw[[#This Row],[Column2]]), "", deployment_raw[[#This Row],[Column2]])</f>
        <v/>
      </c>
      <c r="C63" s="6" t="str">
        <f>IF(ISNONTEXT(deployment_raw[[#This Row],[Column3]]), "", deployment_raw[[#This Row],[Column3]])</f>
        <v/>
      </c>
      <c r="D63" s="6" t="str">
        <f>IF(ISNONTEXT(deployment_raw[[#This Row],[Column4]]), "", deployment_raw[[#This Row],[Column4]])</f>
        <v/>
      </c>
      <c r="E63" s="7" t="str">
        <f>IF(ISNUMBER(deployment_raw[[#This Row],[Column5]]), deployment_raw[[#This Row],[Column5]],"")</f>
        <v/>
      </c>
      <c r="F63" s="32" t="str">
        <f>IF(ISNUMBER(deployment_raw[[#This Row],[Column17]]), deployment_raw[[#This Row],[Column17]]/IF(OR($E$2="Deployment",deployment_raw[[#This Row],[Column5]]=0),1,deployment_raw[[#This Row],[Column5]]),"")</f>
        <v/>
      </c>
      <c r="G63" s="42" t="str">
        <f>IF(ISNUMBER(deployment_raw[[#This Row],[Column14]]), deployment_raw[[#This Row],[Column14]]/IF(OR($E$2="Deployment",deployment_raw[[#This Row],[Column5]]=0),1,deployment_raw[[#This Row],[Column5]]),"")</f>
        <v/>
      </c>
      <c r="H63" s="79" t="str">
        <f>IF(ISNUMBER(deployment_raw[[#This Row],[Column19]]), IF(I63&lt;&gt;0,(deployment_raw[[#This Row],[Column19]]/IF(OR($E$2="Deployment",deployment_raw[[#This Row],[Column5]]=0),1,deployment_raw[[#This Row],[Column5]]))/I63,0),"")</f>
        <v/>
      </c>
      <c r="I63" s="69" t="str">
        <f>IF(ISNUMBER(deployment_raw[[#This Row],[Column6]]), (deployment_raw[[#This Row],[Column6]] * IF($E$2="Deployment",deployment_raw[[#This Row],[Column5]],1)),"")</f>
        <v/>
      </c>
      <c r="J63" s="79" t="str">
        <f>IF(ISNUMBER(deployment_raw[[#This Row],[Column19]]), IF(K63&lt;&gt;0,(deployment_raw[[#This Row],[Column19]]/IF(OR($E$2="Deployment",deployment_raw[[#This Row],[Column5]]=0),1,deployment_raw[[#This Row],[Column5]]))/K63,0),"")</f>
        <v/>
      </c>
      <c r="K63" s="72" t="str">
        <f>IF(ISNUMBER(deployment_raw[[#This Row],[Column8]]), (deployment_raw[[#This Row],[Column8]]  * IF($E$2="Deployment",deployment_raw[[#This Row],[Column5]],1)),"")</f>
        <v/>
      </c>
      <c r="L6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3" s="81" t="str">
        <f>IF(ISNUMBER(deployment_raw[[#This Row],[Column20]]), IF(O63&lt;&gt;0,deployment_raw[[#This Row],[Column20]]/IF(OR($E$2="Deployment",deployment_raw[[#This Row],[Column5]]=0),1,deployment_raw[[#This Row],[Column5]])/1048576/O63,0),"")</f>
        <v/>
      </c>
      <c r="O63" s="74" t="str">
        <f>IF(ISNUMBER(deployment_raw[[#This Row],[Column7]]), (deployment_raw[[#This Row],[Column7]] * IF($E$2="Deployment",deployment_raw[[#This Row],[Column5]],1))/1048576,"")</f>
        <v/>
      </c>
      <c r="P63" s="81" t="str">
        <f>IF(ISNUMBER(deployment_raw[[#This Row],[Column20]]), IF(Q63&lt;&gt;0,deployment_raw[[#This Row],[Column20]]/IF(OR($E$2="Deployment",deployment_raw[[#This Row],[Column5]]=0),1,deployment_raw[[#This Row],[Column5]])/1048576/Q63,0),"")</f>
        <v/>
      </c>
      <c r="Q63" s="76" t="str">
        <f>IF(ISNUMBER(deployment_raw[[#This Row],[Column9]]), (deployment_raw[[#This Row],[Column9]] * IF($E$2="Deployment",deployment_raw[[#This Row],[Column5]],1))/1048576,"")</f>
        <v/>
      </c>
      <c r="R63" s="57" t="str">
        <f>IF(ISNUMBER(deployment_raw[[#This Row],[Column10]]), (deployment_raw[[#This Row],[Column10]] * IF($E$2="Deployment",deployment_raw[[#This Row],[Column5]],1)),"")</f>
        <v/>
      </c>
      <c r="S63" s="48" t="str">
        <f>IF(ISNUMBER(deployment_raw[[#This Row],[Column11]]), (deployment_raw[[#This Row],[Column11]] * IF($E$2="Deployment",deployment_raw[[#This Row],[Column5]],1))/1048576,"")</f>
        <v/>
      </c>
      <c r="T63" s="59" t="str">
        <f>IF(ISNUMBER(deployment_raw[[#This Row],[Column8]]),IF(OR(deployment_raw[[#This Row],[Column5]] &lt;&gt; 0,$E$2 &lt;&gt; "Deployment"), MAX(V63, ($T$2 * IF($E$2="Deployment",deployment_raw[[#This Row],[Column5]],1))), 0),"")</f>
        <v/>
      </c>
      <c r="U63" s="50" t="str">
        <f>IF(ISNUMBER(deployment_raw[[#This Row],[Column9]]),IF(OR(deployment_raw[[#This Row],[Column5]] &lt;&gt; 0,$E$2&lt;&gt;"Deployment"), MAX(W63, ($U$2 * IF($E$2="Deployment",deployment_raw[[#This Row],[Column5]],1))), 0),"")</f>
        <v/>
      </c>
      <c r="V63" s="15" t="str">
        <f>IF(ISNUMBER(deployment_raw[[#This Row],[Column12]]), (deployment_raw[[#This Row],[Column12]] * IF($E$2="Deployment",deployment_raw[[#This Row],[Column5]],1)*(1+$V$2)),"")</f>
        <v/>
      </c>
      <c r="W63" s="14" t="str">
        <f>IF(ISNUMBER(deployment_raw[[#This Row],[Column13]]), (deployment_raw[[#This Row],[Column13]] * IF($E$2="Deployment",deployment_raw[[#This Row],[Column5]],1)*(1+$W$2))/1048576,"")</f>
        <v/>
      </c>
    </row>
    <row r="64" spans="1:23" ht="15.75" customHeight="1" x14ac:dyDescent="0.25">
      <c r="A64" s="5" t="str">
        <f>IF(ISNONTEXT(deployment_raw[[#This Row],[Column1]]), "", deployment_raw[[#This Row],[Column1]])</f>
        <v/>
      </c>
      <c r="B64" s="6" t="str">
        <f>IF(ISNONTEXT(deployment_raw[[#This Row],[Column2]]), "", deployment_raw[[#This Row],[Column2]])</f>
        <v/>
      </c>
      <c r="C64" s="6" t="str">
        <f>IF(ISNONTEXT(deployment_raw[[#This Row],[Column3]]), "", deployment_raw[[#This Row],[Column3]])</f>
        <v/>
      </c>
      <c r="D64" s="6" t="str">
        <f>IF(ISNONTEXT(deployment_raw[[#This Row],[Column4]]), "", deployment_raw[[#This Row],[Column4]])</f>
        <v/>
      </c>
      <c r="E64" s="7" t="str">
        <f>IF(ISNUMBER(deployment_raw[[#This Row],[Column5]]), deployment_raw[[#This Row],[Column5]],"")</f>
        <v/>
      </c>
      <c r="F64" s="32" t="str">
        <f>IF(ISNUMBER(deployment_raw[[#This Row],[Column17]]), deployment_raw[[#This Row],[Column17]]/IF(OR($E$2="Deployment",deployment_raw[[#This Row],[Column5]]=0),1,deployment_raw[[#This Row],[Column5]]),"")</f>
        <v/>
      </c>
      <c r="G64" s="42" t="str">
        <f>IF(ISNUMBER(deployment_raw[[#This Row],[Column14]]), deployment_raw[[#This Row],[Column14]]/IF(OR($E$2="Deployment",deployment_raw[[#This Row],[Column5]]=0),1,deployment_raw[[#This Row],[Column5]]),"")</f>
        <v/>
      </c>
      <c r="H64" s="79" t="str">
        <f>IF(ISNUMBER(deployment_raw[[#This Row],[Column19]]), IF(I64&lt;&gt;0,(deployment_raw[[#This Row],[Column19]]/IF(OR($E$2="Deployment",deployment_raw[[#This Row],[Column5]]=0),1,deployment_raw[[#This Row],[Column5]]))/I64,0),"")</f>
        <v/>
      </c>
      <c r="I64" s="69" t="str">
        <f>IF(ISNUMBER(deployment_raw[[#This Row],[Column6]]), (deployment_raw[[#This Row],[Column6]] * IF($E$2="Deployment",deployment_raw[[#This Row],[Column5]],1)),"")</f>
        <v/>
      </c>
      <c r="J64" s="79" t="str">
        <f>IF(ISNUMBER(deployment_raw[[#This Row],[Column19]]), IF(K64&lt;&gt;0,(deployment_raw[[#This Row],[Column19]]/IF(OR($E$2="Deployment",deployment_raw[[#This Row],[Column5]]=0),1,deployment_raw[[#This Row],[Column5]]))/K64,0),"")</f>
        <v/>
      </c>
      <c r="K64" s="72" t="str">
        <f>IF(ISNUMBER(deployment_raw[[#This Row],[Column8]]), (deployment_raw[[#This Row],[Column8]]  * IF($E$2="Deployment",deployment_raw[[#This Row],[Column5]],1)),"")</f>
        <v/>
      </c>
      <c r="L6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4" s="81" t="str">
        <f>IF(ISNUMBER(deployment_raw[[#This Row],[Column20]]), IF(O64&lt;&gt;0,deployment_raw[[#This Row],[Column20]]/IF(OR($E$2="Deployment",deployment_raw[[#This Row],[Column5]]=0),1,deployment_raw[[#This Row],[Column5]])/1048576/O64,0),"")</f>
        <v/>
      </c>
      <c r="O64" s="74" t="str">
        <f>IF(ISNUMBER(deployment_raw[[#This Row],[Column7]]), (deployment_raw[[#This Row],[Column7]] * IF($E$2="Deployment",deployment_raw[[#This Row],[Column5]],1))/1048576,"")</f>
        <v/>
      </c>
      <c r="P64" s="81" t="str">
        <f>IF(ISNUMBER(deployment_raw[[#This Row],[Column20]]), IF(Q64&lt;&gt;0,deployment_raw[[#This Row],[Column20]]/IF(OR($E$2="Deployment",deployment_raw[[#This Row],[Column5]]=0),1,deployment_raw[[#This Row],[Column5]])/1048576/Q64,0),"")</f>
        <v/>
      </c>
      <c r="Q64" s="76" t="str">
        <f>IF(ISNUMBER(deployment_raw[[#This Row],[Column9]]), (deployment_raw[[#This Row],[Column9]] * IF($E$2="Deployment",deployment_raw[[#This Row],[Column5]],1))/1048576,"")</f>
        <v/>
      </c>
      <c r="R64" s="57" t="str">
        <f>IF(ISNUMBER(deployment_raw[[#This Row],[Column10]]), (deployment_raw[[#This Row],[Column10]] * IF($E$2="Deployment",deployment_raw[[#This Row],[Column5]],1)),"")</f>
        <v/>
      </c>
      <c r="S64" s="48" t="str">
        <f>IF(ISNUMBER(deployment_raw[[#This Row],[Column11]]), (deployment_raw[[#This Row],[Column11]] * IF($E$2="Deployment",deployment_raw[[#This Row],[Column5]],1))/1048576,"")</f>
        <v/>
      </c>
      <c r="T64" s="59" t="str">
        <f>IF(ISNUMBER(deployment_raw[[#This Row],[Column8]]),IF(OR(deployment_raw[[#This Row],[Column5]] &lt;&gt; 0,$E$2 &lt;&gt; "Deployment"), MAX(V64, ($T$2 * IF($E$2="Deployment",deployment_raw[[#This Row],[Column5]],1))), 0),"")</f>
        <v/>
      </c>
      <c r="U64" s="50" t="str">
        <f>IF(ISNUMBER(deployment_raw[[#This Row],[Column9]]),IF(OR(deployment_raw[[#This Row],[Column5]] &lt;&gt; 0,$E$2&lt;&gt;"Deployment"), MAX(W64, ($U$2 * IF($E$2="Deployment",deployment_raw[[#This Row],[Column5]],1))), 0),"")</f>
        <v/>
      </c>
      <c r="V64" s="15" t="str">
        <f>IF(ISNUMBER(deployment_raw[[#This Row],[Column12]]), (deployment_raw[[#This Row],[Column12]] * IF($E$2="Deployment",deployment_raw[[#This Row],[Column5]],1)*(1+$V$2)),"")</f>
        <v/>
      </c>
      <c r="W64" s="14" t="str">
        <f>IF(ISNUMBER(deployment_raw[[#This Row],[Column13]]), (deployment_raw[[#This Row],[Column13]] * IF($E$2="Deployment",deployment_raw[[#This Row],[Column5]],1)*(1+$W$2))/1048576,"")</f>
        <v/>
      </c>
    </row>
    <row r="65" spans="1:23" ht="15.75" customHeight="1" x14ac:dyDescent="0.25">
      <c r="A65" s="5" t="str">
        <f>IF(ISNONTEXT(deployment_raw[[#This Row],[Column1]]), "", deployment_raw[[#This Row],[Column1]])</f>
        <v/>
      </c>
      <c r="B65" s="6" t="str">
        <f>IF(ISNONTEXT(deployment_raw[[#This Row],[Column2]]), "", deployment_raw[[#This Row],[Column2]])</f>
        <v/>
      </c>
      <c r="C65" s="6" t="str">
        <f>IF(ISNONTEXT(deployment_raw[[#This Row],[Column3]]), "", deployment_raw[[#This Row],[Column3]])</f>
        <v/>
      </c>
      <c r="D65" s="6" t="str">
        <f>IF(ISNONTEXT(deployment_raw[[#This Row],[Column4]]), "", deployment_raw[[#This Row],[Column4]])</f>
        <v/>
      </c>
      <c r="E65" s="7" t="str">
        <f>IF(ISNUMBER(deployment_raw[[#This Row],[Column5]]), deployment_raw[[#This Row],[Column5]],"")</f>
        <v/>
      </c>
      <c r="F65" s="32" t="str">
        <f>IF(ISNUMBER(deployment_raw[[#This Row],[Column17]]), deployment_raw[[#This Row],[Column17]]/IF(OR($E$2="Deployment",deployment_raw[[#This Row],[Column5]]=0),1,deployment_raw[[#This Row],[Column5]]),"")</f>
        <v/>
      </c>
      <c r="G65" s="42" t="str">
        <f>IF(ISNUMBER(deployment_raw[[#This Row],[Column14]]), deployment_raw[[#This Row],[Column14]]/IF(OR($E$2="Deployment",deployment_raw[[#This Row],[Column5]]=0),1,deployment_raw[[#This Row],[Column5]]),"")</f>
        <v/>
      </c>
      <c r="H65" s="79" t="str">
        <f>IF(ISNUMBER(deployment_raw[[#This Row],[Column19]]), IF(I65&lt;&gt;0,(deployment_raw[[#This Row],[Column19]]/IF(OR($E$2="Deployment",deployment_raw[[#This Row],[Column5]]=0),1,deployment_raw[[#This Row],[Column5]]))/I65,0),"")</f>
        <v/>
      </c>
      <c r="I65" s="69" t="str">
        <f>IF(ISNUMBER(deployment_raw[[#This Row],[Column6]]), (deployment_raw[[#This Row],[Column6]] * IF($E$2="Deployment",deployment_raw[[#This Row],[Column5]],1)),"")</f>
        <v/>
      </c>
      <c r="J65" s="79" t="str">
        <f>IF(ISNUMBER(deployment_raw[[#This Row],[Column19]]), IF(K65&lt;&gt;0,(deployment_raw[[#This Row],[Column19]]/IF(OR($E$2="Deployment",deployment_raw[[#This Row],[Column5]]=0),1,deployment_raw[[#This Row],[Column5]]))/K65,0),"")</f>
        <v/>
      </c>
      <c r="K65" s="72" t="str">
        <f>IF(ISNUMBER(deployment_raw[[#This Row],[Column8]]), (deployment_raw[[#This Row],[Column8]]  * IF($E$2="Deployment",deployment_raw[[#This Row],[Column5]],1)),"")</f>
        <v/>
      </c>
      <c r="L6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5" s="81" t="str">
        <f>IF(ISNUMBER(deployment_raw[[#This Row],[Column20]]), IF(O65&lt;&gt;0,deployment_raw[[#This Row],[Column20]]/IF(OR($E$2="Deployment",deployment_raw[[#This Row],[Column5]]=0),1,deployment_raw[[#This Row],[Column5]])/1048576/O65,0),"")</f>
        <v/>
      </c>
      <c r="O65" s="74" t="str">
        <f>IF(ISNUMBER(deployment_raw[[#This Row],[Column7]]), (deployment_raw[[#This Row],[Column7]] * IF($E$2="Deployment",deployment_raw[[#This Row],[Column5]],1))/1048576,"")</f>
        <v/>
      </c>
      <c r="P65" s="81" t="str">
        <f>IF(ISNUMBER(deployment_raw[[#This Row],[Column20]]), IF(Q65&lt;&gt;0,deployment_raw[[#This Row],[Column20]]/IF(OR($E$2="Deployment",deployment_raw[[#This Row],[Column5]]=0),1,deployment_raw[[#This Row],[Column5]])/1048576/Q65,0),"")</f>
        <v/>
      </c>
      <c r="Q65" s="76" t="str">
        <f>IF(ISNUMBER(deployment_raw[[#This Row],[Column9]]), (deployment_raw[[#This Row],[Column9]] * IF($E$2="Deployment",deployment_raw[[#This Row],[Column5]],1))/1048576,"")</f>
        <v/>
      </c>
      <c r="R65" s="57" t="str">
        <f>IF(ISNUMBER(deployment_raw[[#This Row],[Column10]]), (deployment_raw[[#This Row],[Column10]] * IF($E$2="Deployment",deployment_raw[[#This Row],[Column5]],1)),"")</f>
        <v/>
      </c>
      <c r="S65" s="48" t="str">
        <f>IF(ISNUMBER(deployment_raw[[#This Row],[Column11]]), (deployment_raw[[#This Row],[Column11]] * IF($E$2="Deployment",deployment_raw[[#This Row],[Column5]],1))/1048576,"")</f>
        <v/>
      </c>
      <c r="T65" s="59" t="str">
        <f>IF(ISNUMBER(deployment_raw[[#This Row],[Column8]]),IF(OR(deployment_raw[[#This Row],[Column5]] &lt;&gt; 0,$E$2 &lt;&gt; "Deployment"), MAX(V65, ($T$2 * IF($E$2="Deployment",deployment_raw[[#This Row],[Column5]],1))), 0),"")</f>
        <v/>
      </c>
      <c r="U65" s="50" t="str">
        <f>IF(ISNUMBER(deployment_raw[[#This Row],[Column9]]),IF(OR(deployment_raw[[#This Row],[Column5]] &lt;&gt; 0,$E$2&lt;&gt;"Deployment"), MAX(W65, ($U$2 * IF($E$2="Deployment",deployment_raw[[#This Row],[Column5]],1))), 0),"")</f>
        <v/>
      </c>
      <c r="V65" s="15" t="str">
        <f>IF(ISNUMBER(deployment_raw[[#This Row],[Column12]]), (deployment_raw[[#This Row],[Column12]] * IF($E$2="Deployment",deployment_raw[[#This Row],[Column5]],1)*(1+$V$2)),"")</f>
        <v/>
      </c>
      <c r="W65" s="14" t="str">
        <f>IF(ISNUMBER(deployment_raw[[#This Row],[Column13]]), (deployment_raw[[#This Row],[Column13]] * IF($E$2="Deployment",deployment_raw[[#This Row],[Column5]],1)*(1+$W$2))/1048576,"")</f>
        <v/>
      </c>
    </row>
    <row r="66" spans="1:23" ht="15.75" customHeight="1" x14ac:dyDescent="0.25">
      <c r="A66" s="5" t="str">
        <f>IF(ISNONTEXT(deployment_raw[[#This Row],[Column1]]), "", deployment_raw[[#This Row],[Column1]])</f>
        <v/>
      </c>
      <c r="B66" s="6" t="str">
        <f>IF(ISNONTEXT(deployment_raw[[#This Row],[Column2]]), "", deployment_raw[[#This Row],[Column2]])</f>
        <v/>
      </c>
      <c r="C66" s="6" t="str">
        <f>IF(ISNONTEXT(deployment_raw[[#This Row],[Column3]]), "", deployment_raw[[#This Row],[Column3]])</f>
        <v/>
      </c>
      <c r="D66" s="6" t="str">
        <f>IF(ISNONTEXT(deployment_raw[[#This Row],[Column4]]), "", deployment_raw[[#This Row],[Column4]])</f>
        <v/>
      </c>
      <c r="E66" s="7" t="str">
        <f>IF(ISNUMBER(deployment_raw[[#This Row],[Column5]]), deployment_raw[[#This Row],[Column5]],"")</f>
        <v/>
      </c>
      <c r="F66" s="32" t="str">
        <f>IF(ISNUMBER(deployment_raw[[#This Row],[Column17]]), deployment_raw[[#This Row],[Column17]]/IF(OR($E$2="Deployment",deployment_raw[[#This Row],[Column5]]=0),1,deployment_raw[[#This Row],[Column5]]),"")</f>
        <v/>
      </c>
      <c r="G66" s="42" t="str">
        <f>IF(ISNUMBER(deployment_raw[[#This Row],[Column14]]), deployment_raw[[#This Row],[Column14]]/IF(OR($E$2="Deployment",deployment_raw[[#This Row],[Column5]]=0),1,deployment_raw[[#This Row],[Column5]]),"")</f>
        <v/>
      </c>
      <c r="H66" s="79" t="str">
        <f>IF(ISNUMBER(deployment_raw[[#This Row],[Column19]]), IF(I66&lt;&gt;0,(deployment_raw[[#This Row],[Column19]]/IF(OR($E$2="Deployment",deployment_raw[[#This Row],[Column5]]=0),1,deployment_raw[[#This Row],[Column5]]))/I66,0),"")</f>
        <v/>
      </c>
      <c r="I66" s="69" t="str">
        <f>IF(ISNUMBER(deployment_raw[[#This Row],[Column6]]), (deployment_raw[[#This Row],[Column6]] * IF($E$2="Deployment",deployment_raw[[#This Row],[Column5]],1)),"")</f>
        <v/>
      </c>
      <c r="J66" s="79" t="str">
        <f>IF(ISNUMBER(deployment_raw[[#This Row],[Column19]]), IF(K66&lt;&gt;0,(deployment_raw[[#This Row],[Column19]]/IF(OR($E$2="Deployment",deployment_raw[[#This Row],[Column5]]=0),1,deployment_raw[[#This Row],[Column5]]))/K66,0),"")</f>
        <v/>
      </c>
      <c r="K66" s="72" t="str">
        <f>IF(ISNUMBER(deployment_raw[[#This Row],[Column8]]), (deployment_raw[[#This Row],[Column8]]  * IF($E$2="Deployment",deployment_raw[[#This Row],[Column5]],1)),"")</f>
        <v/>
      </c>
      <c r="L6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6" s="81" t="str">
        <f>IF(ISNUMBER(deployment_raw[[#This Row],[Column20]]), IF(O66&lt;&gt;0,deployment_raw[[#This Row],[Column20]]/IF(OR($E$2="Deployment",deployment_raw[[#This Row],[Column5]]=0),1,deployment_raw[[#This Row],[Column5]])/1048576/O66,0),"")</f>
        <v/>
      </c>
      <c r="O66" s="74" t="str">
        <f>IF(ISNUMBER(deployment_raw[[#This Row],[Column7]]), (deployment_raw[[#This Row],[Column7]] * IF($E$2="Deployment",deployment_raw[[#This Row],[Column5]],1))/1048576,"")</f>
        <v/>
      </c>
      <c r="P66" s="81" t="str">
        <f>IF(ISNUMBER(deployment_raw[[#This Row],[Column20]]), IF(Q66&lt;&gt;0,deployment_raw[[#This Row],[Column20]]/IF(OR($E$2="Deployment",deployment_raw[[#This Row],[Column5]]=0),1,deployment_raw[[#This Row],[Column5]])/1048576/Q66,0),"")</f>
        <v/>
      </c>
      <c r="Q66" s="76" t="str">
        <f>IF(ISNUMBER(deployment_raw[[#This Row],[Column9]]), (deployment_raw[[#This Row],[Column9]] * IF($E$2="Deployment",deployment_raw[[#This Row],[Column5]],1))/1048576,"")</f>
        <v/>
      </c>
      <c r="R66" s="57" t="str">
        <f>IF(ISNUMBER(deployment_raw[[#This Row],[Column10]]), (deployment_raw[[#This Row],[Column10]] * IF($E$2="Deployment",deployment_raw[[#This Row],[Column5]],1)),"")</f>
        <v/>
      </c>
      <c r="S66" s="48" t="str">
        <f>IF(ISNUMBER(deployment_raw[[#This Row],[Column11]]), (deployment_raw[[#This Row],[Column11]] * IF($E$2="Deployment",deployment_raw[[#This Row],[Column5]],1))/1048576,"")</f>
        <v/>
      </c>
      <c r="T66" s="59" t="str">
        <f>IF(ISNUMBER(deployment_raw[[#This Row],[Column8]]),IF(OR(deployment_raw[[#This Row],[Column5]] &lt;&gt; 0,$E$2 &lt;&gt; "Deployment"), MAX(V66, ($T$2 * IF($E$2="Deployment",deployment_raw[[#This Row],[Column5]],1))), 0),"")</f>
        <v/>
      </c>
      <c r="U66" s="50" t="str">
        <f>IF(ISNUMBER(deployment_raw[[#This Row],[Column9]]),IF(OR(deployment_raw[[#This Row],[Column5]] &lt;&gt; 0,$E$2&lt;&gt;"Deployment"), MAX(W66, ($U$2 * IF($E$2="Deployment",deployment_raw[[#This Row],[Column5]],1))), 0),"")</f>
        <v/>
      </c>
      <c r="V66" s="15" t="str">
        <f>IF(ISNUMBER(deployment_raw[[#This Row],[Column12]]), (deployment_raw[[#This Row],[Column12]] * IF($E$2="Deployment",deployment_raw[[#This Row],[Column5]],1)*(1+$V$2)),"")</f>
        <v/>
      </c>
      <c r="W66" s="14" t="str">
        <f>IF(ISNUMBER(deployment_raw[[#This Row],[Column13]]), (deployment_raw[[#This Row],[Column13]] * IF($E$2="Deployment",deployment_raw[[#This Row],[Column5]],1)*(1+$W$2))/1048576,"")</f>
        <v/>
      </c>
    </row>
    <row r="67" spans="1:23" ht="15.75" customHeight="1" x14ac:dyDescent="0.25">
      <c r="A67" s="5" t="str">
        <f>IF(ISNONTEXT(deployment_raw[[#This Row],[Column1]]), "", deployment_raw[[#This Row],[Column1]])</f>
        <v/>
      </c>
      <c r="B67" s="6" t="str">
        <f>IF(ISNONTEXT(deployment_raw[[#This Row],[Column2]]), "", deployment_raw[[#This Row],[Column2]])</f>
        <v/>
      </c>
      <c r="C67" s="6" t="str">
        <f>IF(ISNONTEXT(deployment_raw[[#This Row],[Column3]]), "", deployment_raw[[#This Row],[Column3]])</f>
        <v/>
      </c>
      <c r="D67" s="6" t="str">
        <f>IF(ISNONTEXT(deployment_raw[[#This Row],[Column4]]), "", deployment_raw[[#This Row],[Column4]])</f>
        <v/>
      </c>
      <c r="E67" s="7" t="str">
        <f>IF(ISNUMBER(deployment_raw[[#This Row],[Column5]]), deployment_raw[[#This Row],[Column5]],"")</f>
        <v/>
      </c>
      <c r="F67" s="32" t="str">
        <f>IF(ISNUMBER(deployment_raw[[#This Row],[Column17]]), deployment_raw[[#This Row],[Column17]]/IF(OR($E$2="Deployment",deployment_raw[[#This Row],[Column5]]=0),1,deployment_raw[[#This Row],[Column5]]),"")</f>
        <v/>
      </c>
      <c r="G67" s="42" t="str">
        <f>IF(ISNUMBER(deployment_raw[[#This Row],[Column14]]), deployment_raw[[#This Row],[Column14]]/IF(OR($E$2="Deployment",deployment_raw[[#This Row],[Column5]]=0),1,deployment_raw[[#This Row],[Column5]]),"")</f>
        <v/>
      </c>
      <c r="H67" s="79" t="str">
        <f>IF(ISNUMBER(deployment_raw[[#This Row],[Column19]]), IF(I67&lt;&gt;0,(deployment_raw[[#This Row],[Column19]]/IF(OR($E$2="Deployment",deployment_raw[[#This Row],[Column5]]=0),1,deployment_raw[[#This Row],[Column5]]))/I67,0),"")</f>
        <v/>
      </c>
      <c r="I67" s="69" t="str">
        <f>IF(ISNUMBER(deployment_raw[[#This Row],[Column6]]), (deployment_raw[[#This Row],[Column6]] * IF($E$2="Deployment",deployment_raw[[#This Row],[Column5]],1)),"")</f>
        <v/>
      </c>
      <c r="J67" s="79" t="str">
        <f>IF(ISNUMBER(deployment_raw[[#This Row],[Column19]]), IF(K67&lt;&gt;0,(deployment_raw[[#This Row],[Column19]]/IF(OR($E$2="Deployment",deployment_raw[[#This Row],[Column5]]=0),1,deployment_raw[[#This Row],[Column5]]))/K67,0),"")</f>
        <v/>
      </c>
      <c r="K67" s="72" t="str">
        <f>IF(ISNUMBER(deployment_raw[[#This Row],[Column8]]), (deployment_raw[[#This Row],[Column8]]  * IF($E$2="Deployment",deployment_raw[[#This Row],[Column5]],1)),"")</f>
        <v/>
      </c>
      <c r="L6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7" s="81" t="str">
        <f>IF(ISNUMBER(deployment_raw[[#This Row],[Column20]]), IF(O67&lt;&gt;0,deployment_raw[[#This Row],[Column20]]/IF(OR($E$2="Deployment",deployment_raw[[#This Row],[Column5]]=0),1,deployment_raw[[#This Row],[Column5]])/1048576/O67,0),"")</f>
        <v/>
      </c>
      <c r="O67" s="74" t="str">
        <f>IF(ISNUMBER(deployment_raw[[#This Row],[Column7]]), (deployment_raw[[#This Row],[Column7]] * IF($E$2="Deployment",deployment_raw[[#This Row],[Column5]],1))/1048576,"")</f>
        <v/>
      </c>
      <c r="P67" s="81" t="str">
        <f>IF(ISNUMBER(deployment_raw[[#This Row],[Column20]]), IF(Q67&lt;&gt;0,deployment_raw[[#This Row],[Column20]]/IF(OR($E$2="Deployment",deployment_raw[[#This Row],[Column5]]=0),1,deployment_raw[[#This Row],[Column5]])/1048576/Q67,0),"")</f>
        <v/>
      </c>
      <c r="Q67" s="76" t="str">
        <f>IF(ISNUMBER(deployment_raw[[#This Row],[Column9]]), (deployment_raw[[#This Row],[Column9]] * IF($E$2="Deployment",deployment_raw[[#This Row],[Column5]],1))/1048576,"")</f>
        <v/>
      </c>
      <c r="R67" s="57" t="str">
        <f>IF(ISNUMBER(deployment_raw[[#This Row],[Column10]]), (deployment_raw[[#This Row],[Column10]] * IF($E$2="Deployment",deployment_raw[[#This Row],[Column5]],1)),"")</f>
        <v/>
      </c>
      <c r="S67" s="48" t="str">
        <f>IF(ISNUMBER(deployment_raw[[#This Row],[Column11]]), (deployment_raw[[#This Row],[Column11]] * IF($E$2="Deployment",deployment_raw[[#This Row],[Column5]],1))/1048576,"")</f>
        <v/>
      </c>
      <c r="T67" s="59" t="str">
        <f>IF(ISNUMBER(deployment_raw[[#This Row],[Column8]]),IF(OR(deployment_raw[[#This Row],[Column5]] &lt;&gt; 0,$E$2 &lt;&gt; "Deployment"), MAX(V67, ($T$2 * IF($E$2="Deployment",deployment_raw[[#This Row],[Column5]],1))), 0),"")</f>
        <v/>
      </c>
      <c r="U67" s="50" t="str">
        <f>IF(ISNUMBER(deployment_raw[[#This Row],[Column9]]),IF(OR(deployment_raw[[#This Row],[Column5]] &lt;&gt; 0,$E$2&lt;&gt;"Deployment"), MAX(W67, ($U$2 * IF($E$2="Deployment",deployment_raw[[#This Row],[Column5]],1))), 0),"")</f>
        <v/>
      </c>
      <c r="V67" s="15" t="str">
        <f>IF(ISNUMBER(deployment_raw[[#This Row],[Column12]]), (deployment_raw[[#This Row],[Column12]] * IF($E$2="Deployment",deployment_raw[[#This Row],[Column5]],1)*(1+$V$2)),"")</f>
        <v/>
      </c>
      <c r="W67" s="14" t="str">
        <f>IF(ISNUMBER(deployment_raw[[#This Row],[Column13]]), (deployment_raw[[#This Row],[Column13]] * IF($E$2="Deployment",deployment_raw[[#This Row],[Column5]],1)*(1+$W$2))/1048576,"")</f>
        <v/>
      </c>
    </row>
    <row r="68" spans="1:23" ht="15.75" customHeight="1" x14ac:dyDescent="0.25">
      <c r="A68" s="5" t="str">
        <f>IF(ISNONTEXT(deployment_raw[[#This Row],[Column1]]), "", deployment_raw[[#This Row],[Column1]])</f>
        <v/>
      </c>
      <c r="B68" s="6" t="str">
        <f>IF(ISNONTEXT(deployment_raw[[#This Row],[Column2]]), "", deployment_raw[[#This Row],[Column2]])</f>
        <v/>
      </c>
      <c r="C68" s="6" t="str">
        <f>IF(ISNONTEXT(deployment_raw[[#This Row],[Column3]]), "", deployment_raw[[#This Row],[Column3]])</f>
        <v/>
      </c>
      <c r="D68" s="6" t="str">
        <f>IF(ISNONTEXT(deployment_raw[[#This Row],[Column4]]), "", deployment_raw[[#This Row],[Column4]])</f>
        <v/>
      </c>
      <c r="E68" s="7" t="str">
        <f>IF(ISNUMBER(deployment_raw[[#This Row],[Column5]]), deployment_raw[[#This Row],[Column5]],"")</f>
        <v/>
      </c>
      <c r="F68" s="32" t="str">
        <f>IF(ISNUMBER(deployment_raw[[#This Row],[Column17]]), deployment_raw[[#This Row],[Column17]]/IF(OR($E$2="Deployment",deployment_raw[[#This Row],[Column5]]=0),1,deployment_raw[[#This Row],[Column5]]),"")</f>
        <v/>
      </c>
      <c r="G68" s="42" t="str">
        <f>IF(ISNUMBER(deployment_raw[[#This Row],[Column14]]), deployment_raw[[#This Row],[Column14]]/IF(OR($E$2="Deployment",deployment_raw[[#This Row],[Column5]]=0),1,deployment_raw[[#This Row],[Column5]]),"")</f>
        <v/>
      </c>
      <c r="H68" s="79" t="str">
        <f>IF(ISNUMBER(deployment_raw[[#This Row],[Column19]]), IF(I68&lt;&gt;0,(deployment_raw[[#This Row],[Column19]]/IF(OR($E$2="Deployment",deployment_raw[[#This Row],[Column5]]=0),1,deployment_raw[[#This Row],[Column5]]))/I68,0),"")</f>
        <v/>
      </c>
      <c r="I68" s="69" t="str">
        <f>IF(ISNUMBER(deployment_raw[[#This Row],[Column6]]), (deployment_raw[[#This Row],[Column6]] * IF($E$2="Deployment",deployment_raw[[#This Row],[Column5]],1)),"")</f>
        <v/>
      </c>
      <c r="J68" s="79" t="str">
        <f>IF(ISNUMBER(deployment_raw[[#This Row],[Column19]]), IF(K68&lt;&gt;0,(deployment_raw[[#This Row],[Column19]]/IF(OR($E$2="Deployment",deployment_raw[[#This Row],[Column5]]=0),1,deployment_raw[[#This Row],[Column5]]))/K68,0),"")</f>
        <v/>
      </c>
      <c r="K68" s="72" t="str">
        <f>IF(ISNUMBER(deployment_raw[[#This Row],[Column8]]), (deployment_raw[[#This Row],[Column8]]  * IF($E$2="Deployment",deployment_raw[[#This Row],[Column5]],1)),"")</f>
        <v/>
      </c>
      <c r="L6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8" s="81" t="str">
        <f>IF(ISNUMBER(deployment_raw[[#This Row],[Column20]]), IF(O68&lt;&gt;0,deployment_raw[[#This Row],[Column20]]/IF(OR($E$2="Deployment",deployment_raw[[#This Row],[Column5]]=0),1,deployment_raw[[#This Row],[Column5]])/1048576/O68,0),"")</f>
        <v/>
      </c>
      <c r="O68" s="74" t="str">
        <f>IF(ISNUMBER(deployment_raw[[#This Row],[Column7]]), (deployment_raw[[#This Row],[Column7]] * IF($E$2="Deployment",deployment_raw[[#This Row],[Column5]],1))/1048576,"")</f>
        <v/>
      </c>
      <c r="P68" s="81" t="str">
        <f>IF(ISNUMBER(deployment_raw[[#This Row],[Column20]]), IF(Q68&lt;&gt;0,deployment_raw[[#This Row],[Column20]]/IF(OR($E$2="Deployment",deployment_raw[[#This Row],[Column5]]=0),1,deployment_raw[[#This Row],[Column5]])/1048576/Q68,0),"")</f>
        <v/>
      </c>
      <c r="Q68" s="76" t="str">
        <f>IF(ISNUMBER(deployment_raw[[#This Row],[Column9]]), (deployment_raw[[#This Row],[Column9]] * IF($E$2="Deployment",deployment_raw[[#This Row],[Column5]],1))/1048576,"")</f>
        <v/>
      </c>
      <c r="R68" s="57" t="str">
        <f>IF(ISNUMBER(deployment_raw[[#This Row],[Column10]]), (deployment_raw[[#This Row],[Column10]] * IF($E$2="Deployment",deployment_raw[[#This Row],[Column5]],1)),"")</f>
        <v/>
      </c>
      <c r="S68" s="48" t="str">
        <f>IF(ISNUMBER(deployment_raw[[#This Row],[Column11]]), (deployment_raw[[#This Row],[Column11]] * IF($E$2="Deployment",deployment_raw[[#This Row],[Column5]],1))/1048576,"")</f>
        <v/>
      </c>
      <c r="T68" s="59" t="str">
        <f>IF(ISNUMBER(deployment_raw[[#This Row],[Column8]]),IF(OR(deployment_raw[[#This Row],[Column5]] &lt;&gt; 0,$E$2 &lt;&gt; "Deployment"), MAX(V68, ($T$2 * IF($E$2="Deployment",deployment_raw[[#This Row],[Column5]],1))), 0),"")</f>
        <v/>
      </c>
      <c r="U68" s="50" t="str">
        <f>IF(ISNUMBER(deployment_raw[[#This Row],[Column9]]),IF(OR(deployment_raw[[#This Row],[Column5]] &lt;&gt; 0,$E$2&lt;&gt;"Deployment"), MAX(W68, ($U$2 * IF($E$2="Deployment",deployment_raw[[#This Row],[Column5]],1))), 0),"")</f>
        <v/>
      </c>
      <c r="V68" s="15" t="str">
        <f>IF(ISNUMBER(deployment_raw[[#This Row],[Column12]]), (deployment_raw[[#This Row],[Column12]] * IF($E$2="Deployment",deployment_raw[[#This Row],[Column5]],1)*(1+$V$2)),"")</f>
        <v/>
      </c>
      <c r="W68" s="14" t="str">
        <f>IF(ISNUMBER(deployment_raw[[#This Row],[Column13]]), (deployment_raw[[#This Row],[Column13]] * IF($E$2="Deployment",deployment_raw[[#This Row],[Column5]],1)*(1+$W$2))/1048576,"")</f>
        <v/>
      </c>
    </row>
    <row r="69" spans="1:23" ht="15.75" customHeight="1" x14ac:dyDescent="0.25">
      <c r="A69" s="5" t="str">
        <f>IF(ISNONTEXT(deployment_raw[[#This Row],[Column1]]), "", deployment_raw[[#This Row],[Column1]])</f>
        <v/>
      </c>
      <c r="B69" s="6" t="str">
        <f>IF(ISNONTEXT(deployment_raw[[#This Row],[Column2]]), "", deployment_raw[[#This Row],[Column2]])</f>
        <v/>
      </c>
      <c r="C69" s="6" t="str">
        <f>IF(ISNONTEXT(deployment_raw[[#This Row],[Column3]]), "", deployment_raw[[#This Row],[Column3]])</f>
        <v/>
      </c>
      <c r="D69" s="6" t="str">
        <f>IF(ISNONTEXT(deployment_raw[[#This Row],[Column4]]), "", deployment_raw[[#This Row],[Column4]])</f>
        <v/>
      </c>
      <c r="E69" s="7" t="str">
        <f>IF(ISNUMBER(deployment_raw[[#This Row],[Column5]]), deployment_raw[[#This Row],[Column5]],"")</f>
        <v/>
      </c>
      <c r="F69" s="32" t="str">
        <f>IF(ISNUMBER(deployment_raw[[#This Row],[Column17]]), deployment_raw[[#This Row],[Column17]]/IF(OR($E$2="Deployment",deployment_raw[[#This Row],[Column5]]=0),1,deployment_raw[[#This Row],[Column5]]),"")</f>
        <v/>
      </c>
      <c r="G69" s="42" t="str">
        <f>IF(ISNUMBER(deployment_raw[[#This Row],[Column14]]), deployment_raw[[#This Row],[Column14]]/IF(OR($E$2="Deployment",deployment_raw[[#This Row],[Column5]]=0),1,deployment_raw[[#This Row],[Column5]]),"")</f>
        <v/>
      </c>
      <c r="H69" s="79" t="str">
        <f>IF(ISNUMBER(deployment_raw[[#This Row],[Column19]]), IF(I69&lt;&gt;0,(deployment_raw[[#This Row],[Column19]]/IF(OR($E$2="Deployment",deployment_raw[[#This Row],[Column5]]=0),1,deployment_raw[[#This Row],[Column5]]))/I69,0),"")</f>
        <v/>
      </c>
      <c r="I69" s="69" t="str">
        <f>IF(ISNUMBER(deployment_raw[[#This Row],[Column6]]), (deployment_raw[[#This Row],[Column6]] * IF($E$2="Deployment",deployment_raw[[#This Row],[Column5]],1)),"")</f>
        <v/>
      </c>
      <c r="J69" s="79" t="str">
        <f>IF(ISNUMBER(deployment_raw[[#This Row],[Column19]]), IF(K69&lt;&gt;0,(deployment_raw[[#This Row],[Column19]]/IF(OR($E$2="Deployment",deployment_raw[[#This Row],[Column5]]=0),1,deployment_raw[[#This Row],[Column5]]))/K69,0),"")</f>
        <v/>
      </c>
      <c r="K69" s="72" t="str">
        <f>IF(ISNUMBER(deployment_raw[[#This Row],[Column8]]), (deployment_raw[[#This Row],[Column8]]  * IF($E$2="Deployment",deployment_raw[[#This Row],[Column5]],1)),"")</f>
        <v/>
      </c>
      <c r="L6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9" s="81" t="str">
        <f>IF(ISNUMBER(deployment_raw[[#This Row],[Column20]]), IF(O69&lt;&gt;0,deployment_raw[[#This Row],[Column20]]/IF(OR($E$2="Deployment",deployment_raw[[#This Row],[Column5]]=0),1,deployment_raw[[#This Row],[Column5]])/1048576/O69,0),"")</f>
        <v/>
      </c>
      <c r="O69" s="74" t="str">
        <f>IF(ISNUMBER(deployment_raw[[#This Row],[Column7]]), (deployment_raw[[#This Row],[Column7]] * IF($E$2="Deployment",deployment_raw[[#This Row],[Column5]],1))/1048576,"")</f>
        <v/>
      </c>
      <c r="P69" s="81" t="str">
        <f>IF(ISNUMBER(deployment_raw[[#This Row],[Column20]]), IF(Q69&lt;&gt;0,deployment_raw[[#This Row],[Column20]]/IF(OR($E$2="Deployment",deployment_raw[[#This Row],[Column5]]=0),1,deployment_raw[[#This Row],[Column5]])/1048576/Q69,0),"")</f>
        <v/>
      </c>
      <c r="Q69" s="76" t="str">
        <f>IF(ISNUMBER(deployment_raw[[#This Row],[Column9]]), (deployment_raw[[#This Row],[Column9]] * IF($E$2="Deployment",deployment_raw[[#This Row],[Column5]],1))/1048576,"")</f>
        <v/>
      </c>
      <c r="R69" s="57" t="str">
        <f>IF(ISNUMBER(deployment_raw[[#This Row],[Column10]]), (deployment_raw[[#This Row],[Column10]] * IF($E$2="Deployment",deployment_raw[[#This Row],[Column5]],1)),"")</f>
        <v/>
      </c>
      <c r="S69" s="48" t="str">
        <f>IF(ISNUMBER(deployment_raw[[#This Row],[Column11]]), (deployment_raw[[#This Row],[Column11]] * IF($E$2="Deployment",deployment_raw[[#This Row],[Column5]],1))/1048576,"")</f>
        <v/>
      </c>
      <c r="T69" s="59" t="str">
        <f>IF(ISNUMBER(deployment_raw[[#This Row],[Column8]]),IF(OR(deployment_raw[[#This Row],[Column5]] &lt;&gt; 0,$E$2 &lt;&gt; "Deployment"), MAX(V69, ($T$2 * IF($E$2="Deployment",deployment_raw[[#This Row],[Column5]],1))), 0),"")</f>
        <v/>
      </c>
      <c r="U69" s="50" t="str">
        <f>IF(ISNUMBER(deployment_raw[[#This Row],[Column9]]),IF(OR(deployment_raw[[#This Row],[Column5]] &lt;&gt; 0,$E$2&lt;&gt;"Deployment"), MAX(W69, ($U$2 * IF($E$2="Deployment",deployment_raw[[#This Row],[Column5]],1))), 0),"")</f>
        <v/>
      </c>
      <c r="V69" s="15" t="str">
        <f>IF(ISNUMBER(deployment_raw[[#This Row],[Column12]]), (deployment_raw[[#This Row],[Column12]] * IF($E$2="Deployment",deployment_raw[[#This Row],[Column5]],1)*(1+$V$2)),"")</f>
        <v/>
      </c>
      <c r="W69" s="14" t="str">
        <f>IF(ISNUMBER(deployment_raw[[#This Row],[Column13]]), (deployment_raw[[#This Row],[Column13]] * IF($E$2="Deployment",deployment_raw[[#This Row],[Column5]],1)*(1+$W$2))/1048576,"")</f>
        <v/>
      </c>
    </row>
    <row r="70" spans="1:23" ht="15.75" customHeight="1" x14ac:dyDescent="0.25">
      <c r="A70" s="5" t="str">
        <f>IF(ISNONTEXT(deployment_raw[[#This Row],[Column1]]), "", deployment_raw[[#This Row],[Column1]])</f>
        <v/>
      </c>
      <c r="B70" s="6" t="str">
        <f>IF(ISNONTEXT(deployment_raw[[#This Row],[Column2]]), "", deployment_raw[[#This Row],[Column2]])</f>
        <v/>
      </c>
      <c r="C70" s="6" t="str">
        <f>IF(ISNONTEXT(deployment_raw[[#This Row],[Column3]]), "", deployment_raw[[#This Row],[Column3]])</f>
        <v/>
      </c>
      <c r="D70" s="6" t="str">
        <f>IF(ISNONTEXT(deployment_raw[[#This Row],[Column4]]), "", deployment_raw[[#This Row],[Column4]])</f>
        <v/>
      </c>
      <c r="E70" s="7" t="str">
        <f>IF(ISNUMBER(deployment_raw[[#This Row],[Column5]]), deployment_raw[[#This Row],[Column5]],"")</f>
        <v/>
      </c>
      <c r="F70" s="32" t="str">
        <f>IF(ISNUMBER(deployment_raw[[#This Row],[Column17]]), deployment_raw[[#This Row],[Column17]]/IF(OR($E$2="Deployment",deployment_raw[[#This Row],[Column5]]=0),1,deployment_raw[[#This Row],[Column5]]),"")</f>
        <v/>
      </c>
      <c r="G70" s="42" t="str">
        <f>IF(ISNUMBER(deployment_raw[[#This Row],[Column14]]), deployment_raw[[#This Row],[Column14]]/IF(OR($E$2="Deployment",deployment_raw[[#This Row],[Column5]]=0),1,deployment_raw[[#This Row],[Column5]]),"")</f>
        <v/>
      </c>
      <c r="H70" s="79" t="str">
        <f>IF(ISNUMBER(deployment_raw[[#This Row],[Column19]]), IF(I70&lt;&gt;0,(deployment_raw[[#This Row],[Column19]]/IF(OR($E$2="Deployment",deployment_raw[[#This Row],[Column5]]=0),1,deployment_raw[[#This Row],[Column5]]))/I70,0),"")</f>
        <v/>
      </c>
      <c r="I70" s="69" t="str">
        <f>IF(ISNUMBER(deployment_raw[[#This Row],[Column6]]), (deployment_raw[[#This Row],[Column6]] * IF($E$2="Deployment",deployment_raw[[#This Row],[Column5]],1)),"")</f>
        <v/>
      </c>
      <c r="J70" s="79" t="str">
        <f>IF(ISNUMBER(deployment_raw[[#This Row],[Column19]]), IF(K70&lt;&gt;0,(deployment_raw[[#This Row],[Column19]]/IF(OR($E$2="Deployment",deployment_raw[[#This Row],[Column5]]=0),1,deployment_raw[[#This Row],[Column5]]))/K70,0),"")</f>
        <v/>
      </c>
      <c r="K70" s="72" t="str">
        <f>IF(ISNUMBER(deployment_raw[[#This Row],[Column8]]), (deployment_raw[[#This Row],[Column8]]  * IF($E$2="Deployment",deployment_raw[[#This Row],[Column5]],1)),"")</f>
        <v/>
      </c>
      <c r="L7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0" s="81" t="str">
        <f>IF(ISNUMBER(deployment_raw[[#This Row],[Column20]]), IF(O70&lt;&gt;0,deployment_raw[[#This Row],[Column20]]/IF(OR($E$2="Deployment",deployment_raw[[#This Row],[Column5]]=0),1,deployment_raw[[#This Row],[Column5]])/1048576/O70,0),"")</f>
        <v/>
      </c>
      <c r="O70" s="74" t="str">
        <f>IF(ISNUMBER(deployment_raw[[#This Row],[Column7]]), (deployment_raw[[#This Row],[Column7]] * IF($E$2="Deployment",deployment_raw[[#This Row],[Column5]],1))/1048576,"")</f>
        <v/>
      </c>
      <c r="P70" s="81" t="str">
        <f>IF(ISNUMBER(deployment_raw[[#This Row],[Column20]]), IF(Q70&lt;&gt;0,deployment_raw[[#This Row],[Column20]]/IF(OR($E$2="Deployment",deployment_raw[[#This Row],[Column5]]=0),1,deployment_raw[[#This Row],[Column5]])/1048576/Q70,0),"")</f>
        <v/>
      </c>
      <c r="Q70" s="76" t="str">
        <f>IF(ISNUMBER(deployment_raw[[#This Row],[Column9]]), (deployment_raw[[#This Row],[Column9]] * IF($E$2="Deployment",deployment_raw[[#This Row],[Column5]],1))/1048576,"")</f>
        <v/>
      </c>
      <c r="R70" s="57" t="str">
        <f>IF(ISNUMBER(deployment_raw[[#This Row],[Column10]]), (deployment_raw[[#This Row],[Column10]] * IF($E$2="Deployment",deployment_raw[[#This Row],[Column5]],1)),"")</f>
        <v/>
      </c>
      <c r="S70" s="48" t="str">
        <f>IF(ISNUMBER(deployment_raw[[#This Row],[Column11]]), (deployment_raw[[#This Row],[Column11]] * IF($E$2="Deployment",deployment_raw[[#This Row],[Column5]],1))/1048576,"")</f>
        <v/>
      </c>
      <c r="T70" s="59" t="str">
        <f>IF(ISNUMBER(deployment_raw[[#This Row],[Column8]]),IF(OR(deployment_raw[[#This Row],[Column5]] &lt;&gt; 0,$E$2 &lt;&gt; "Deployment"), MAX(V70, ($T$2 * IF($E$2="Deployment",deployment_raw[[#This Row],[Column5]],1))), 0),"")</f>
        <v/>
      </c>
      <c r="U70" s="50" t="str">
        <f>IF(ISNUMBER(deployment_raw[[#This Row],[Column9]]),IF(OR(deployment_raw[[#This Row],[Column5]] &lt;&gt; 0,$E$2&lt;&gt;"Deployment"), MAX(W70, ($U$2 * IF($E$2="Deployment",deployment_raw[[#This Row],[Column5]],1))), 0),"")</f>
        <v/>
      </c>
      <c r="V70" s="15" t="str">
        <f>IF(ISNUMBER(deployment_raw[[#This Row],[Column12]]), (deployment_raw[[#This Row],[Column12]] * IF($E$2="Deployment",deployment_raw[[#This Row],[Column5]],1)*(1+$V$2)),"")</f>
        <v/>
      </c>
      <c r="W70" s="14" t="str">
        <f>IF(ISNUMBER(deployment_raw[[#This Row],[Column13]]), (deployment_raw[[#This Row],[Column13]] * IF($E$2="Deployment",deployment_raw[[#This Row],[Column5]],1)*(1+$W$2))/1048576,"")</f>
        <v/>
      </c>
    </row>
    <row r="71" spans="1:23" ht="15.75" customHeight="1" x14ac:dyDescent="0.25">
      <c r="A71" s="5" t="str">
        <f>IF(ISNONTEXT(deployment_raw[[#This Row],[Column1]]), "", deployment_raw[[#This Row],[Column1]])</f>
        <v/>
      </c>
      <c r="B71" s="6" t="str">
        <f>IF(ISNONTEXT(deployment_raw[[#This Row],[Column2]]), "", deployment_raw[[#This Row],[Column2]])</f>
        <v/>
      </c>
      <c r="C71" s="6" t="str">
        <f>IF(ISNONTEXT(deployment_raw[[#This Row],[Column3]]), "", deployment_raw[[#This Row],[Column3]])</f>
        <v/>
      </c>
      <c r="D71" s="6" t="str">
        <f>IF(ISNONTEXT(deployment_raw[[#This Row],[Column4]]), "", deployment_raw[[#This Row],[Column4]])</f>
        <v/>
      </c>
      <c r="E71" s="7" t="str">
        <f>IF(ISNUMBER(deployment_raw[[#This Row],[Column5]]), deployment_raw[[#This Row],[Column5]],"")</f>
        <v/>
      </c>
      <c r="F71" s="32" t="str">
        <f>IF(ISNUMBER(deployment_raw[[#This Row],[Column17]]), deployment_raw[[#This Row],[Column17]]/IF(OR($E$2="Deployment",deployment_raw[[#This Row],[Column5]]=0),1,deployment_raw[[#This Row],[Column5]]),"")</f>
        <v/>
      </c>
      <c r="G71" s="42" t="str">
        <f>IF(ISNUMBER(deployment_raw[[#This Row],[Column14]]), deployment_raw[[#This Row],[Column14]]/IF(OR($E$2="Deployment",deployment_raw[[#This Row],[Column5]]=0),1,deployment_raw[[#This Row],[Column5]]),"")</f>
        <v/>
      </c>
      <c r="H71" s="79" t="str">
        <f>IF(ISNUMBER(deployment_raw[[#This Row],[Column19]]), IF(I71&lt;&gt;0,(deployment_raw[[#This Row],[Column19]]/IF(OR($E$2="Deployment",deployment_raw[[#This Row],[Column5]]=0),1,deployment_raw[[#This Row],[Column5]]))/I71,0),"")</f>
        <v/>
      </c>
      <c r="I71" s="69" t="str">
        <f>IF(ISNUMBER(deployment_raw[[#This Row],[Column6]]), (deployment_raw[[#This Row],[Column6]] * IF($E$2="Deployment",deployment_raw[[#This Row],[Column5]],1)),"")</f>
        <v/>
      </c>
      <c r="J71" s="79" t="str">
        <f>IF(ISNUMBER(deployment_raw[[#This Row],[Column19]]), IF(K71&lt;&gt;0,(deployment_raw[[#This Row],[Column19]]/IF(OR($E$2="Deployment",deployment_raw[[#This Row],[Column5]]=0),1,deployment_raw[[#This Row],[Column5]]))/K71,0),"")</f>
        <v/>
      </c>
      <c r="K71" s="72" t="str">
        <f>IF(ISNUMBER(deployment_raw[[#This Row],[Column8]]), (deployment_raw[[#This Row],[Column8]]  * IF($E$2="Deployment",deployment_raw[[#This Row],[Column5]],1)),"")</f>
        <v/>
      </c>
      <c r="L7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1" s="81" t="str">
        <f>IF(ISNUMBER(deployment_raw[[#This Row],[Column20]]), IF(O71&lt;&gt;0,deployment_raw[[#This Row],[Column20]]/IF(OR($E$2="Deployment",deployment_raw[[#This Row],[Column5]]=0),1,deployment_raw[[#This Row],[Column5]])/1048576/O71,0),"")</f>
        <v/>
      </c>
      <c r="O71" s="74" t="str">
        <f>IF(ISNUMBER(deployment_raw[[#This Row],[Column7]]), (deployment_raw[[#This Row],[Column7]] * IF($E$2="Deployment",deployment_raw[[#This Row],[Column5]],1))/1048576,"")</f>
        <v/>
      </c>
      <c r="P71" s="81" t="str">
        <f>IF(ISNUMBER(deployment_raw[[#This Row],[Column20]]), IF(Q71&lt;&gt;0,deployment_raw[[#This Row],[Column20]]/IF(OR($E$2="Deployment",deployment_raw[[#This Row],[Column5]]=0),1,deployment_raw[[#This Row],[Column5]])/1048576/Q71,0),"")</f>
        <v/>
      </c>
      <c r="Q71" s="76" t="str">
        <f>IF(ISNUMBER(deployment_raw[[#This Row],[Column9]]), (deployment_raw[[#This Row],[Column9]] * IF($E$2="Deployment",deployment_raw[[#This Row],[Column5]],1))/1048576,"")</f>
        <v/>
      </c>
      <c r="R71" s="57" t="str">
        <f>IF(ISNUMBER(deployment_raw[[#This Row],[Column10]]), (deployment_raw[[#This Row],[Column10]] * IF($E$2="Deployment",deployment_raw[[#This Row],[Column5]],1)),"")</f>
        <v/>
      </c>
      <c r="S71" s="48" t="str">
        <f>IF(ISNUMBER(deployment_raw[[#This Row],[Column11]]), (deployment_raw[[#This Row],[Column11]] * IF($E$2="Deployment",deployment_raw[[#This Row],[Column5]],1))/1048576,"")</f>
        <v/>
      </c>
      <c r="T71" s="59" t="str">
        <f>IF(ISNUMBER(deployment_raw[[#This Row],[Column8]]),IF(OR(deployment_raw[[#This Row],[Column5]] &lt;&gt; 0,$E$2 &lt;&gt; "Deployment"), MAX(V71, ($T$2 * IF($E$2="Deployment",deployment_raw[[#This Row],[Column5]],1))), 0),"")</f>
        <v/>
      </c>
      <c r="U71" s="50" t="str">
        <f>IF(ISNUMBER(deployment_raw[[#This Row],[Column9]]),IF(OR(deployment_raw[[#This Row],[Column5]] &lt;&gt; 0,$E$2&lt;&gt;"Deployment"), MAX(W71, ($U$2 * IF($E$2="Deployment",deployment_raw[[#This Row],[Column5]],1))), 0),"")</f>
        <v/>
      </c>
      <c r="V71" s="15" t="str">
        <f>IF(ISNUMBER(deployment_raw[[#This Row],[Column12]]), (deployment_raw[[#This Row],[Column12]] * IF($E$2="Deployment",deployment_raw[[#This Row],[Column5]],1)*(1+$V$2)),"")</f>
        <v/>
      </c>
      <c r="W71" s="14" t="str">
        <f>IF(ISNUMBER(deployment_raw[[#This Row],[Column13]]), (deployment_raw[[#This Row],[Column13]] * IF($E$2="Deployment",deployment_raw[[#This Row],[Column5]],1)*(1+$W$2))/1048576,"")</f>
        <v/>
      </c>
    </row>
    <row r="72" spans="1:23" ht="15.75" customHeight="1" x14ac:dyDescent="0.25">
      <c r="A72" s="5" t="str">
        <f>IF(ISNONTEXT(deployment_raw[[#This Row],[Column1]]), "", deployment_raw[[#This Row],[Column1]])</f>
        <v/>
      </c>
      <c r="B72" s="6" t="str">
        <f>IF(ISNONTEXT(deployment_raw[[#This Row],[Column2]]), "", deployment_raw[[#This Row],[Column2]])</f>
        <v/>
      </c>
      <c r="C72" s="6" t="str">
        <f>IF(ISNONTEXT(deployment_raw[[#This Row],[Column3]]), "", deployment_raw[[#This Row],[Column3]])</f>
        <v/>
      </c>
      <c r="D72" s="6" t="str">
        <f>IF(ISNONTEXT(deployment_raw[[#This Row],[Column4]]), "", deployment_raw[[#This Row],[Column4]])</f>
        <v/>
      </c>
      <c r="E72" s="7" t="str">
        <f>IF(ISNUMBER(deployment_raw[[#This Row],[Column5]]), deployment_raw[[#This Row],[Column5]],"")</f>
        <v/>
      </c>
      <c r="F72" s="32" t="str">
        <f>IF(ISNUMBER(deployment_raw[[#This Row],[Column17]]), deployment_raw[[#This Row],[Column17]]/IF(OR($E$2="Deployment",deployment_raw[[#This Row],[Column5]]=0),1,deployment_raw[[#This Row],[Column5]]),"")</f>
        <v/>
      </c>
      <c r="G72" s="42" t="str">
        <f>IF(ISNUMBER(deployment_raw[[#This Row],[Column14]]), deployment_raw[[#This Row],[Column14]]/IF(OR($E$2="Deployment",deployment_raw[[#This Row],[Column5]]=0),1,deployment_raw[[#This Row],[Column5]]),"")</f>
        <v/>
      </c>
      <c r="H72" s="79" t="str">
        <f>IF(ISNUMBER(deployment_raw[[#This Row],[Column19]]), IF(I72&lt;&gt;0,(deployment_raw[[#This Row],[Column19]]/IF(OR($E$2="Deployment",deployment_raw[[#This Row],[Column5]]=0),1,deployment_raw[[#This Row],[Column5]]))/I72,0),"")</f>
        <v/>
      </c>
      <c r="I72" s="69" t="str">
        <f>IF(ISNUMBER(deployment_raw[[#This Row],[Column6]]), (deployment_raw[[#This Row],[Column6]] * IF($E$2="Deployment",deployment_raw[[#This Row],[Column5]],1)),"")</f>
        <v/>
      </c>
      <c r="J72" s="79" t="str">
        <f>IF(ISNUMBER(deployment_raw[[#This Row],[Column19]]), IF(K72&lt;&gt;0,(deployment_raw[[#This Row],[Column19]]/IF(OR($E$2="Deployment",deployment_raw[[#This Row],[Column5]]=0),1,deployment_raw[[#This Row],[Column5]]))/K72,0),"")</f>
        <v/>
      </c>
      <c r="K72" s="72" t="str">
        <f>IF(ISNUMBER(deployment_raw[[#This Row],[Column8]]), (deployment_raw[[#This Row],[Column8]]  * IF($E$2="Deployment",deployment_raw[[#This Row],[Column5]],1)),"")</f>
        <v/>
      </c>
      <c r="L7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2" s="81" t="str">
        <f>IF(ISNUMBER(deployment_raw[[#This Row],[Column20]]), IF(O72&lt;&gt;0,deployment_raw[[#This Row],[Column20]]/IF(OR($E$2="Deployment",deployment_raw[[#This Row],[Column5]]=0),1,deployment_raw[[#This Row],[Column5]])/1048576/O72,0),"")</f>
        <v/>
      </c>
      <c r="O72" s="74" t="str">
        <f>IF(ISNUMBER(deployment_raw[[#This Row],[Column7]]), (deployment_raw[[#This Row],[Column7]] * IF($E$2="Deployment",deployment_raw[[#This Row],[Column5]],1))/1048576,"")</f>
        <v/>
      </c>
      <c r="P72" s="81" t="str">
        <f>IF(ISNUMBER(deployment_raw[[#This Row],[Column20]]), IF(Q72&lt;&gt;0,deployment_raw[[#This Row],[Column20]]/IF(OR($E$2="Deployment",deployment_raw[[#This Row],[Column5]]=0),1,deployment_raw[[#This Row],[Column5]])/1048576/Q72,0),"")</f>
        <v/>
      </c>
      <c r="Q72" s="76" t="str">
        <f>IF(ISNUMBER(deployment_raw[[#This Row],[Column9]]), (deployment_raw[[#This Row],[Column9]] * IF($E$2="Deployment",deployment_raw[[#This Row],[Column5]],1))/1048576,"")</f>
        <v/>
      </c>
      <c r="R72" s="57" t="str">
        <f>IF(ISNUMBER(deployment_raw[[#This Row],[Column10]]), (deployment_raw[[#This Row],[Column10]] * IF($E$2="Deployment",deployment_raw[[#This Row],[Column5]],1)),"")</f>
        <v/>
      </c>
      <c r="S72" s="48" t="str">
        <f>IF(ISNUMBER(deployment_raw[[#This Row],[Column11]]), (deployment_raw[[#This Row],[Column11]] * IF($E$2="Deployment",deployment_raw[[#This Row],[Column5]],1))/1048576,"")</f>
        <v/>
      </c>
      <c r="T72" s="59" t="str">
        <f>IF(ISNUMBER(deployment_raw[[#This Row],[Column8]]),IF(OR(deployment_raw[[#This Row],[Column5]] &lt;&gt; 0,$E$2 &lt;&gt; "Deployment"), MAX(V72, ($T$2 * IF($E$2="Deployment",deployment_raw[[#This Row],[Column5]],1))), 0),"")</f>
        <v/>
      </c>
      <c r="U72" s="50" t="str">
        <f>IF(ISNUMBER(deployment_raw[[#This Row],[Column9]]),IF(OR(deployment_raw[[#This Row],[Column5]] &lt;&gt; 0,$E$2&lt;&gt;"Deployment"), MAX(W72, ($U$2 * IF($E$2="Deployment",deployment_raw[[#This Row],[Column5]],1))), 0),"")</f>
        <v/>
      </c>
      <c r="V72" s="15" t="str">
        <f>IF(ISNUMBER(deployment_raw[[#This Row],[Column12]]), (deployment_raw[[#This Row],[Column12]] * IF($E$2="Deployment",deployment_raw[[#This Row],[Column5]],1)*(1+$V$2)),"")</f>
        <v/>
      </c>
      <c r="W72" s="14" t="str">
        <f>IF(ISNUMBER(deployment_raw[[#This Row],[Column13]]), (deployment_raw[[#This Row],[Column13]] * IF($E$2="Deployment",deployment_raw[[#This Row],[Column5]],1)*(1+$W$2))/1048576,"")</f>
        <v/>
      </c>
    </row>
    <row r="73" spans="1:23" ht="15.75" customHeight="1" x14ac:dyDescent="0.25">
      <c r="A73" s="5" t="str">
        <f>IF(ISNONTEXT(deployment_raw[[#This Row],[Column1]]), "", deployment_raw[[#This Row],[Column1]])</f>
        <v/>
      </c>
      <c r="B73" s="6" t="str">
        <f>IF(ISNONTEXT(deployment_raw[[#This Row],[Column2]]), "", deployment_raw[[#This Row],[Column2]])</f>
        <v/>
      </c>
      <c r="C73" s="6" t="str">
        <f>IF(ISNONTEXT(deployment_raw[[#This Row],[Column3]]), "", deployment_raw[[#This Row],[Column3]])</f>
        <v/>
      </c>
      <c r="D73" s="6" t="str">
        <f>IF(ISNONTEXT(deployment_raw[[#This Row],[Column4]]), "", deployment_raw[[#This Row],[Column4]])</f>
        <v/>
      </c>
      <c r="E73" s="7" t="str">
        <f>IF(ISNUMBER(deployment_raw[[#This Row],[Column5]]), deployment_raw[[#This Row],[Column5]],"")</f>
        <v/>
      </c>
      <c r="F73" s="32" t="str">
        <f>IF(ISNUMBER(deployment_raw[[#This Row],[Column17]]), deployment_raw[[#This Row],[Column17]]/IF(OR($E$2="Deployment",deployment_raw[[#This Row],[Column5]]=0),1,deployment_raw[[#This Row],[Column5]]),"")</f>
        <v/>
      </c>
      <c r="G73" s="42" t="str">
        <f>IF(ISNUMBER(deployment_raw[[#This Row],[Column14]]), deployment_raw[[#This Row],[Column14]]/IF(OR($E$2="Deployment",deployment_raw[[#This Row],[Column5]]=0),1,deployment_raw[[#This Row],[Column5]]),"")</f>
        <v/>
      </c>
      <c r="H73" s="79" t="str">
        <f>IF(ISNUMBER(deployment_raw[[#This Row],[Column19]]), IF(I73&lt;&gt;0,(deployment_raw[[#This Row],[Column19]]/IF(OR($E$2="Deployment",deployment_raw[[#This Row],[Column5]]=0),1,deployment_raw[[#This Row],[Column5]]))/I73,0),"")</f>
        <v/>
      </c>
      <c r="I73" s="69" t="str">
        <f>IF(ISNUMBER(deployment_raw[[#This Row],[Column6]]), (deployment_raw[[#This Row],[Column6]] * IF($E$2="Deployment",deployment_raw[[#This Row],[Column5]],1)),"")</f>
        <v/>
      </c>
      <c r="J73" s="79" t="str">
        <f>IF(ISNUMBER(deployment_raw[[#This Row],[Column19]]), IF(K73&lt;&gt;0,(deployment_raw[[#This Row],[Column19]]/IF(OR($E$2="Deployment",deployment_raw[[#This Row],[Column5]]=0),1,deployment_raw[[#This Row],[Column5]]))/K73,0),"")</f>
        <v/>
      </c>
      <c r="K73" s="72" t="str">
        <f>IF(ISNUMBER(deployment_raw[[#This Row],[Column8]]), (deployment_raw[[#This Row],[Column8]]  * IF($E$2="Deployment",deployment_raw[[#This Row],[Column5]],1)),"")</f>
        <v/>
      </c>
      <c r="L7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3" s="81" t="str">
        <f>IF(ISNUMBER(deployment_raw[[#This Row],[Column20]]), IF(O73&lt;&gt;0,deployment_raw[[#This Row],[Column20]]/IF(OR($E$2="Deployment",deployment_raw[[#This Row],[Column5]]=0),1,deployment_raw[[#This Row],[Column5]])/1048576/O73,0),"")</f>
        <v/>
      </c>
      <c r="O73" s="74" t="str">
        <f>IF(ISNUMBER(deployment_raw[[#This Row],[Column7]]), (deployment_raw[[#This Row],[Column7]] * IF($E$2="Deployment",deployment_raw[[#This Row],[Column5]],1))/1048576,"")</f>
        <v/>
      </c>
      <c r="P73" s="81" t="str">
        <f>IF(ISNUMBER(deployment_raw[[#This Row],[Column20]]), IF(Q73&lt;&gt;0,deployment_raw[[#This Row],[Column20]]/IF(OR($E$2="Deployment",deployment_raw[[#This Row],[Column5]]=0),1,deployment_raw[[#This Row],[Column5]])/1048576/Q73,0),"")</f>
        <v/>
      </c>
      <c r="Q73" s="76" t="str">
        <f>IF(ISNUMBER(deployment_raw[[#This Row],[Column9]]), (deployment_raw[[#This Row],[Column9]] * IF($E$2="Deployment",deployment_raw[[#This Row],[Column5]],1))/1048576,"")</f>
        <v/>
      </c>
      <c r="R73" s="57" t="str">
        <f>IF(ISNUMBER(deployment_raw[[#This Row],[Column10]]), (deployment_raw[[#This Row],[Column10]] * IF($E$2="Deployment",deployment_raw[[#This Row],[Column5]],1)),"")</f>
        <v/>
      </c>
      <c r="S73" s="48" t="str">
        <f>IF(ISNUMBER(deployment_raw[[#This Row],[Column11]]), (deployment_raw[[#This Row],[Column11]] * IF($E$2="Deployment",deployment_raw[[#This Row],[Column5]],1))/1048576,"")</f>
        <v/>
      </c>
      <c r="T73" s="59" t="str">
        <f>IF(ISNUMBER(deployment_raw[[#This Row],[Column8]]),IF(OR(deployment_raw[[#This Row],[Column5]] &lt;&gt; 0,$E$2 &lt;&gt; "Deployment"), MAX(V73, ($T$2 * IF($E$2="Deployment",deployment_raw[[#This Row],[Column5]],1))), 0),"")</f>
        <v/>
      </c>
      <c r="U73" s="50" t="str">
        <f>IF(ISNUMBER(deployment_raw[[#This Row],[Column9]]),IF(OR(deployment_raw[[#This Row],[Column5]] &lt;&gt; 0,$E$2&lt;&gt;"Deployment"), MAX(W73, ($U$2 * IF($E$2="Deployment",deployment_raw[[#This Row],[Column5]],1))), 0),"")</f>
        <v/>
      </c>
      <c r="V73" s="15" t="str">
        <f>IF(ISNUMBER(deployment_raw[[#This Row],[Column12]]), (deployment_raw[[#This Row],[Column12]] * IF($E$2="Deployment",deployment_raw[[#This Row],[Column5]],1)*(1+$V$2)),"")</f>
        <v/>
      </c>
      <c r="W73" s="14" t="str">
        <f>IF(ISNUMBER(deployment_raw[[#This Row],[Column13]]), (deployment_raw[[#This Row],[Column13]] * IF($E$2="Deployment",deployment_raw[[#This Row],[Column5]],1)*(1+$W$2))/1048576,"")</f>
        <v/>
      </c>
    </row>
    <row r="74" spans="1:23" ht="15.75" customHeight="1" x14ac:dyDescent="0.25">
      <c r="A74" s="5" t="str">
        <f>IF(ISNONTEXT(deployment_raw[[#This Row],[Column1]]), "", deployment_raw[[#This Row],[Column1]])</f>
        <v/>
      </c>
      <c r="B74" s="6" t="str">
        <f>IF(ISNONTEXT(deployment_raw[[#This Row],[Column2]]), "", deployment_raw[[#This Row],[Column2]])</f>
        <v/>
      </c>
      <c r="C74" s="6" t="str">
        <f>IF(ISNONTEXT(deployment_raw[[#This Row],[Column3]]), "", deployment_raw[[#This Row],[Column3]])</f>
        <v/>
      </c>
      <c r="D74" s="6" t="str">
        <f>IF(ISNONTEXT(deployment_raw[[#This Row],[Column4]]), "", deployment_raw[[#This Row],[Column4]])</f>
        <v/>
      </c>
      <c r="E74" s="7" t="str">
        <f>IF(ISNUMBER(deployment_raw[[#This Row],[Column5]]), deployment_raw[[#This Row],[Column5]],"")</f>
        <v/>
      </c>
      <c r="F74" s="32" t="str">
        <f>IF(ISNUMBER(deployment_raw[[#This Row],[Column17]]), deployment_raw[[#This Row],[Column17]]/IF(OR($E$2="Deployment",deployment_raw[[#This Row],[Column5]]=0),1,deployment_raw[[#This Row],[Column5]]),"")</f>
        <v/>
      </c>
      <c r="G74" s="42" t="str">
        <f>IF(ISNUMBER(deployment_raw[[#This Row],[Column14]]), deployment_raw[[#This Row],[Column14]]/IF(OR($E$2="Deployment",deployment_raw[[#This Row],[Column5]]=0),1,deployment_raw[[#This Row],[Column5]]),"")</f>
        <v/>
      </c>
      <c r="H74" s="79" t="str">
        <f>IF(ISNUMBER(deployment_raw[[#This Row],[Column19]]), IF(I74&lt;&gt;0,(deployment_raw[[#This Row],[Column19]]/IF(OR($E$2="Deployment",deployment_raw[[#This Row],[Column5]]=0),1,deployment_raw[[#This Row],[Column5]]))/I74,0),"")</f>
        <v/>
      </c>
      <c r="I74" s="69" t="str">
        <f>IF(ISNUMBER(deployment_raw[[#This Row],[Column6]]), (deployment_raw[[#This Row],[Column6]] * IF($E$2="Deployment",deployment_raw[[#This Row],[Column5]],1)),"")</f>
        <v/>
      </c>
      <c r="J74" s="79" t="str">
        <f>IF(ISNUMBER(deployment_raw[[#This Row],[Column19]]), IF(K74&lt;&gt;0,(deployment_raw[[#This Row],[Column19]]/IF(OR($E$2="Deployment",deployment_raw[[#This Row],[Column5]]=0),1,deployment_raw[[#This Row],[Column5]]))/K74,0),"")</f>
        <v/>
      </c>
      <c r="K74" s="72" t="str">
        <f>IF(ISNUMBER(deployment_raw[[#This Row],[Column8]]), (deployment_raw[[#This Row],[Column8]]  * IF($E$2="Deployment",deployment_raw[[#This Row],[Column5]],1)),"")</f>
        <v/>
      </c>
      <c r="L7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4" s="81" t="str">
        <f>IF(ISNUMBER(deployment_raw[[#This Row],[Column20]]), IF(O74&lt;&gt;0,deployment_raw[[#This Row],[Column20]]/IF(OR($E$2="Deployment",deployment_raw[[#This Row],[Column5]]=0),1,deployment_raw[[#This Row],[Column5]])/1048576/O74,0),"")</f>
        <v/>
      </c>
      <c r="O74" s="74" t="str">
        <f>IF(ISNUMBER(deployment_raw[[#This Row],[Column7]]), (deployment_raw[[#This Row],[Column7]] * IF($E$2="Deployment",deployment_raw[[#This Row],[Column5]],1))/1048576,"")</f>
        <v/>
      </c>
      <c r="P74" s="81" t="str">
        <f>IF(ISNUMBER(deployment_raw[[#This Row],[Column20]]), IF(Q74&lt;&gt;0,deployment_raw[[#This Row],[Column20]]/IF(OR($E$2="Deployment",deployment_raw[[#This Row],[Column5]]=0),1,deployment_raw[[#This Row],[Column5]])/1048576/Q74,0),"")</f>
        <v/>
      </c>
      <c r="Q74" s="76" t="str">
        <f>IF(ISNUMBER(deployment_raw[[#This Row],[Column9]]), (deployment_raw[[#This Row],[Column9]] * IF($E$2="Deployment",deployment_raw[[#This Row],[Column5]],1))/1048576,"")</f>
        <v/>
      </c>
      <c r="R74" s="57" t="str">
        <f>IF(ISNUMBER(deployment_raw[[#This Row],[Column10]]), (deployment_raw[[#This Row],[Column10]] * IF($E$2="Deployment",deployment_raw[[#This Row],[Column5]],1)),"")</f>
        <v/>
      </c>
      <c r="S74" s="48" t="str">
        <f>IF(ISNUMBER(deployment_raw[[#This Row],[Column11]]), (deployment_raw[[#This Row],[Column11]] * IF($E$2="Deployment",deployment_raw[[#This Row],[Column5]],1))/1048576,"")</f>
        <v/>
      </c>
      <c r="T74" s="59" t="str">
        <f>IF(ISNUMBER(deployment_raw[[#This Row],[Column8]]),IF(OR(deployment_raw[[#This Row],[Column5]] &lt;&gt; 0,$E$2 &lt;&gt; "Deployment"), MAX(V74, ($T$2 * IF($E$2="Deployment",deployment_raw[[#This Row],[Column5]],1))), 0),"")</f>
        <v/>
      </c>
      <c r="U74" s="50" t="str">
        <f>IF(ISNUMBER(deployment_raw[[#This Row],[Column9]]),IF(OR(deployment_raw[[#This Row],[Column5]] &lt;&gt; 0,$E$2&lt;&gt;"Deployment"), MAX(W74, ($U$2 * IF($E$2="Deployment",deployment_raw[[#This Row],[Column5]],1))), 0),"")</f>
        <v/>
      </c>
      <c r="V74" s="15" t="str">
        <f>IF(ISNUMBER(deployment_raw[[#This Row],[Column12]]), (deployment_raw[[#This Row],[Column12]] * IF($E$2="Deployment",deployment_raw[[#This Row],[Column5]],1)*(1+$V$2)),"")</f>
        <v/>
      </c>
      <c r="W74" s="14" t="str">
        <f>IF(ISNUMBER(deployment_raw[[#This Row],[Column13]]), (deployment_raw[[#This Row],[Column13]] * IF($E$2="Deployment",deployment_raw[[#This Row],[Column5]],1)*(1+$W$2))/1048576,"")</f>
        <v/>
      </c>
    </row>
    <row r="75" spans="1:23" ht="15.75" customHeight="1" x14ac:dyDescent="0.25">
      <c r="A75" s="5" t="str">
        <f>IF(ISNONTEXT(deployment_raw[[#This Row],[Column1]]), "", deployment_raw[[#This Row],[Column1]])</f>
        <v/>
      </c>
      <c r="B75" s="6" t="str">
        <f>IF(ISNONTEXT(deployment_raw[[#This Row],[Column2]]), "", deployment_raw[[#This Row],[Column2]])</f>
        <v/>
      </c>
      <c r="C75" s="6" t="str">
        <f>IF(ISNONTEXT(deployment_raw[[#This Row],[Column3]]), "", deployment_raw[[#This Row],[Column3]])</f>
        <v/>
      </c>
      <c r="D75" s="6" t="str">
        <f>IF(ISNONTEXT(deployment_raw[[#This Row],[Column4]]), "", deployment_raw[[#This Row],[Column4]])</f>
        <v/>
      </c>
      <c r="E75" s="7" t="str">
        <f>IF(ISNUMBER(deployment_raw[[#This Row],[Column5]]), deployment_raw[[#This Row],[Column5]],"")</f>
        <v/>
      </c>
      <c r="F75" s="32" t="str">
        <f>IF(ISNUMBER(deployment_raw[[#This Row],[Column17]]), deployment_raw[[#This Row],[Column17]]/IF(OR($E$2="Deployment",deployment_raw[[#This Row],[Column5]]=0),1,deployment_raw[[#This Row],[Column5]]),"")</f>
        <v/>
      </c>
      <c r="G75" s="42" t="str">
        <f>IF(ISNUMBER(deployment_raw[[#This Row],[Column14]]), deployment_raw[[#This Row],[Column14]]/IF(OR($E$2="Deployment",deployment_raw[[#This Row],[Column5]]=0),1,deployment_raw[[#This Row],[Column5]]),"")</f>
        <v/>
      </c>
      <c r="H75" s="79" t="str">
        <f>IF(ISNUMBER(deployment_raw[[#This Row],[Column19]]), IF(I75&lt;&gt;0,(deployment_raw[[#This Row],[Column19]]/IF(OR($E$2="Deployment",deployment_raw[[#This Row],[Column5]]=0),1,deployment_raw[[#This Row],[Column5]]))/I75,0),"")</f>
        <v/>
      </c>
      <c r="I75" s="69" t="str">
        <f>IF(ISNUMBER(deployment_raw[[#This Row],[Column6]]), (deployment_raw[[#This Row],[Column6]] * IF($E$2="Deployment",deployment_raw[[#This Row],[Column5]],1)),"")</f>
        <v/>
      </c>
      <c r="J75" s="79" t="str">
        <f>IF(ISNUMBER(deployment_raw[[#This Row],[Column19]]), IF(K75&lt;&gt;0,(deployment_raw[[#This Row],[Column19]]/IF(OR($E$2="Deployment",deployment_raw[[#This Row],[Column5]]=0),1,deployment_raw[[#This Row],[Column5]]))/K75,0),"")</f>
        <v/>
      </c>
      <c r="K75" s="72" t="str">
        <f>IF(ISNUMBER(deployment_raw[[#This Row],[Column8]]), (deployment_raw[[#This Row],[Column8]]  * IF($E$2="Deployment",deployment_raw[[#This Row],[Column5]],1)),"")</f>
        <v/>
      </c>
      <c r="L7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5" s="81" t="str">
        <f>IF(ISNUMBER(deployment_raw[[#This Row],[Column20]]), IF(O75&lt;&gt;0,deployment_raw[[#This Row],[Column20]]/IF(OR($E$2="Deployment",deployment_raw[[#This Row],[Column5]]=0),1,deployment_raw[[#This Row],[Column5]])/1048576/O75,0),"")</f>
        <v/>
      </c>
      <c r="O75" s="74" t="str">
        <f>IF(ISNUMBER(deployment_raw[[#This Row],[Column7]]), (deployment_raw[[#This Row],[Column7]] * IF($E$2="Deployment",deployment_raw[[#This Row],[Column5]],1))/1048576,"")</f>
        <v/>
      </c>
      <c r="P75" s="81" t="str">
        <f>IF(ISNUMBER(deployment_raw[[#This Row],[Column20]]), IF(Q75&lt;&gt;0,deployment_raw[[#This Row],[Column20]]/IF(OR($E$2="Deployment",deployment_raw[[#This Row],[Column5]]=0),1,deployment_raw[[#This Row],[Column5]])/1048576/Q75,0),"")</f>
        <v/>
      </c>
      <c r="Q75" s="76" t="str">
        <f>IF(ISNUMBER(deployment_raw[[#This Row],[Column9]]), (deployment_raw[[#This Row],[Column9]] * IF($E$2="Deployment",deployment_raw[[#This Row],[Column5]],1))/1048576,"")</f>
        <v/>
      </c>
      <c r="R75" s="57" t="str">
        <f>IF(ISNUMBER(deployment_raw[[#This Row],[Column10]]), (deployment_raw[[#This Row],[Column10]] * IF($E$2="Deployment",deployment_raw[[#This Row],[Column5]],1)),"")</f>
        <v/>
      </c>
      <c r="S75" s="48" t="str">
        <f>IF(ISNUMBER(deployment_raw[[#This Row],[Column11]]), (deployment_raw[[#This Row],[Column11]] * IF($E$2="Deployment",deployment_raw[[#This Row],[Column5]],1))/1048576,"")</f>
        <v/>
      </c>
      <c r="T75" s="59" t="str">
        <f>IF(ISNUMBER(deployment_raw[[#This Row],[Column8]]),IF(OR(deployment_raw[[#This Row],[Column5]] &lt;&gt; 0,$E$2 &lt;&gt; "Deployment"), MAX(V75, ($T$2 * IF($E$2="Deployment",deployment_raw[[#This Row],[Column5]],1))), 0),"")</f>
        <v/>
      </c>
      <c r="U75" s="50" t="str">
        <f>IF(ISNUMBER(deployment_raw[[#This Row],[Column9]]),IF(OR(deployment_raw[[#This Row],[Column5]] &lt;&gt; 0,$E$2&lt;&gt;"Deployment"), MAX(W75, ($U$2 * IF($E$2="Deployment",deployment_raw[[#This Row],[Column5]],1))), 0),"")</f>
        <v/>
      </c>
      <c r="V75" s="15" t="str">
        <f>IF(ISNUMBER(deployment_raw[[#This Row],[Column12]]), (deployment_raw[[#This Row],[Column12]] * IF($E$2="Deployment",deployment_raw[[#This Row],[Column5]],1)*(1+$V$2)),"")</f>
        <v/>
      </c>
      <c r="W75" s="14" t="str">
        <f>IF(ISNUMBER(deployment_raw[[#This Row],[Column13]]), (deployment_raw[[#This Row],[Column13]] * IF($E$2="Deployment",deployment_raw[[#This Row],[Column5]],1)*(1+$W$2))/1048576,"")</f>
        <v/>
      </c>
    </row>
    <row r="76" spans="1:23" ht="15.75" customHeight="1" x14ac:dyDescent="0.25">
      <c r="A76" s="5" t="str">
        <f>IF(ISNONTEXT(deployment_raw[[#This Row],[Column1]]), "", deployment_raw[[#This Row],[Column1]])</f>
        <v/>
      </c>
      <c r="B76" s="6" t="str">
        <f>IF(ISNONTEXT(deployment_raw[[#This Row],[Column2]]), "", deployment_raw[[#This Row],[Column2]])</f>
        <v/>
      </c>
      <c r="C76" s="6" t="str">
        <f>IF(ISNONTEXT(deployment_raw[[#This Row],[Column3]]), "", deployment_raw[[#This Row],[Column3]])</f>
        <v/>
      </c>
      <c r="D76" s="6" t="str">
        <f>IF(ISNONTEXT(deployment_raw[[#This Row],[Column4]]), "", deployment_raw[[#This Row],[Column4]])</f>
        <v/>
      </c>
      <c r="E76" s="7" t="str">
        <f>IF(ISNUMBER(deployment_raw[[#This Row],[Column5]]), deployment_raw[[#This Row],[Column5]],"")</f>
        <v/>
      </c>
      <c r="F76" s="32" t="str">
        <f>IF(ISNUMBER(deployment_raw[[#This Row],[Column17]]), deployment_raw[[#This Row],[Column17]]/IF(OR($E$2="Deployment",deployment_raw[[#This Row],[Column5]]=0),1,deployment_raw[[#This Row],[Column5]]),"")</f>
        <v/>
      </c>
      <c r="G76" s="42" t="str">
        <f>IF(ISNUMBER(deployment_raw[[#This Row],[Column14]]), deployment_raw[[#This Row],[Column14]]/IF(OR($E$2="Deployment",deployment_raw[[#This Row],[Column5]]=0),1,deployment_raw[[#This Row],[Column5]]),"")</f>
        <v/>
      </c>
      <c r="H76" s="79" t="str">
        <f>IF(ISNUMBER(deployment_raw[[#This Row],[Column19]]), IF(I76&lt;&gt;0,(deployment_raw[[#This Row],[Column19]]/IF(OR($E$2="Deployment",deployment_raw[[#This Row],[Column5]]=0),1,deployment_raw[[#This Row],[Column5]]))/I76,0),"")</f>
        <v/>
      </c>
      <c r="I76" s="69" t="str">
        <f>IF(ISNUMBER(deployment_raw[[#This Row],[Column6]]), (deployment_raw[[#This Row],[Column6]] * IF($E$2="Deployment",deployment_raw[[#This Row],[Column5]],1)),"")</f>
        <v/>
      </c>
      <c r="J76" s="79" t="str">
        <f>IF(ISNUMBER(deployment_raw[[#This Row],[Column19]]), IF(K76&lt;&gt;0,(deployment_raw[[#This Row],[Column19]]/IF(OR($E$2="Deployment",deployment_raw[[#This Row],[Column5]]=0),1,deployment_raw[[#This Row],[Column5]]))/K76,0),"")</f>
        <v/>
      </c>
      <c r="K76" s="72" t="str">
        <f>IF(ISNUMBER(deployment_raw[[#This Row],[Column8]]), (deployment_raw[[#This Row],[Column8]]  * IF($E$2="Deployment",deployment_raw[[#This Row],[Column5]],1)),"")</f>
        <v/>
      </c>
      <c r="L7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6" s="81" t="str">
        <f>IF(ISNUMBER(deployment_raw[[#This Row],[Column20]]), IF(O76&lt;&gt;0,deployment_raw[[#This Row],[Column20]]/IF(OR($E$2="Deployment",deployment_raw[[#This Row],[Column5]]=0),1,deployment_raw[[#This Row],[Column5]])/1048576/O76,0),"")</f>
        <v/>
      </c>
      <c r="O76" s="74" t="str">
        <f>IF(ISNUMBER(deployment_raw[[#This Row],[Column7]]), (deployment_raw[[#This Row],[Column7]] * IF($E$2="Deployment",deployment_raw[[#This Row],[Column5]],1))/1048576,"")</f>
        <v/>
      </c>
      <c r="P76" s="81" t="str">
        <f>IF(ISNUMBER(deployment_raw[[#This Row],[Column20]]), IF(Q76&lt;&gt;0,deployment_raw[[#This Row],[Column20]]/IF(OR($E$2="Deployment",deployment_raw[[#This Row],[Column5]]=0),1,deployment_raw[[#This Row],[Column5]])/1048576/Q76,0),"")</f>
        <v/>
      </c>
      <c r="Q76" s="76" t="str">
        <f>IF(ISNUMBER(deployment_raw[[#This Row],[Column9]]), (deployment_raw[[#This Row],[Column9]] * IF($E$2="Deployment",deployment_raw[[#This Row],[Column5]],1))/1048576,"")</f>
        <v/>
      </c>
      <c r="R76" s="57" t="str">
        <f>IF(ISNUMBER(deployment_raw[[#This Row],[Column10]]), (deployment_raw[[#This Row],[Column10]] * IF($E$2="Deployment",deployment_raw[[#This Row],[Column5]],1)),"")</f>
        <v/>
      </c>
      <c r="S76" s="48" t="str">
        <f>IF(ISNUMBER(deployment_raw[[#This Row],[Column11]]), (deployment_raw[[#This Row],[Column11]] * IF($E$2="Deployment",deployment_raw[[#This Row],[Column5]],1))/1048576,"")</f>
        <v/>
      </c>
      <c r="T76" s="59" t="str">
        <f>IF(ISNUMBER(deployment_raw[[#This Row],[Column8]]),IF(OR(deployment_raw[[#This Row],[Column5]] &lt;&gt; 0,$E$2 &lt;&gt; "Deployment"), MAX(V76, ($T$2 * IF($E$2="Deployment",deployment_raw[[#This Row],[Column5]],1))), 0),"")</f>
        <v/>
      </c>
      <c r="U76" s="50" t="str">
        <f>IF(ISNUMBER(deployment_raw[[#This Row],[Column9]]),IF(OR(deployment_raw[[#This Row],[Column5]] &lt;&gt; 0,$E$2&lt;&gt;"Deployment"), MAX(W76, ($U$2 * IF($E$2="Deployment",deployment_raw[[#This Row],[Column5]],1))), 0),"")</f>
        <v/>
      </c>
      <c r="V76" s="15" t="str">
        <f>IF(ISNUMBER(deployment_raw[[#This Row],[Column12]]), (deployment_raw[[#This Row],[Column12]] * IF($E$2="Deployment",deployment_raw[[#This Row],[Column5]],1)*(1+$V$2)),"")</f>
        <v/>
      </c>
      <c r="W76" s="14" t="str">
        <f>IF(ISNUMBER(deployment_raw[[#This Row],[Column13]]), (deployment_raw[[#This Row],[Column13]] * IF($E$2="Deployment",deployment_raw[[#This Row],[Column5]],1)*(1+$W$2))/1048576,"")</f>
        <v/>
      </c>
    </row>
    <row r="77" spans="1:23" ht="15.75" customHeight="1" x14ac:dyDescent="0.25">
      <c r="A77" s="5" t="str">
        <f>IF(ISNONTEXT(deployment_raw[[#This Row],[Column1]]), "", deployment_raw[[#This Row],[Column1]])</f>
        <v/>
      </c>
      <c r="B77" s="6" t="str">
        <f>IF(ISNONTEXT(deployment_raw[[#This Row],[Column2]]), "", deployment_raw[[#This Row],[Column2]])</f>
        <v/>
      </c>
      <c r="C77" s="6" t="str">
        <f>IF(ISNONTEXT(deployment_raw[[#This Row],[Column3]]), "", deployment_raw[[#This Row],[Column3]])</f>
        <v/>
      </c>
      <c r="D77" s="6" t="str">
        <f>IF(ISNONTEXT(deployment_raw[[#This Row],[Column4]]), "", deployment_raw[[#This Row],[Column4]])</f>
        <v/>
      </c>
      <c r="E77" s="7" t="str">
        <f>IF(ISNUMBER(deployment_raw[[#This Row],[Column5]]), deployment_raw[[#This Row],[Column5]],"")</f>
        <v/>
      </c>
      <c r="F77" s="32" t="str">
        <f>IF(ISNUMBER(deployment_raw[[#This Row],[Column17]]), deployment_raw[[#This Row],[Column17]]/IF(OR($E$2="Deployment",deployment_raw[[#This Row],[Column5]]=0),1,deployment_raw[[#This Row],[Column5]]),"")</f>
        <v/>
      </c>
      <c r="G77" s="42" t="str">
        <f>IF(ISNUMBER(deployment_raw[[#This Row],[Column14]]), deployment_raw[[#This Row],[Column14]]/IF(OR($E$2="Deployment",deployment_raw[[#This Row],[Column5]]=0),1,deployment_raw[[#This Row],[Column5]]),"")</f>
        <v/>
      </c>
      <c r="H77" s="79" t="str">
        <f>IF(ISNUMBER(deployment_raw[[#This Row],[Column19]]), IF(I77&lt;&gt;0,(deployment_raw[[#This Row],[Column19]]/IF(OR($E$2="Deployment",deployment_raw[[#This Row],[Column5]]=0),1,deployment_raw[[#This Row],[Column5]]))/I77,0),"")</f>
        <v/>
      </c>
      <c r="I77" s="69" t="str">
        <f>IF(ISNUMBER(deployment_raw[[#This Row],[Column6]]), (deployment_raw[[#This Row],[Column6]] * IF($E$2="Deployment",deployment_raw[[#This Row],[Column5]],1)),"")</f>
        <v/>
      </c>
      <c r="J77" s="79" t="str">
        <f>IF(ISNUMBER(deployment_raw[[#This Row],[Column19]]), IF(K77&lt;&gt;0,(deployment_raw[[#This Row],[Column19]]/IF(OR($E$2="Deployment",deployment_raw[[#This Row],[Column5]]=0),1,deployment_raw[[#This Row],[Column5]]))/K77,0),"")</f>
        <v/>
      </c>
      <c r="K77" s="72" t="str">
        <f>IF(ISNUMBER(deployment_raw[[#This Row],[Column8]]), (deployment_raw[[#This Row],[Column8]]  * IF($E$2="Deployment",deployment_raw[[#This Row],[Column5]],1)),"")</f>
        <v/>
      </c>
      <c r="L7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7" s="81" t="str">
        <f>IF(ISNUMBER(deployment_raw[[#This Row],[Column20]]), IF(O77&lt;&gt;0,deployment_raw[[#This Row],[Column20]]/IF(OR($E$2="Deployment",deployment_raw[[#This Row],[Column5]]=0),1,deployment_raw[[#This Row],[Column5]])/1048576/O77,0),"")</f>
        <v/>
      </c>
      <c r="O77" s="74" t="str">
        <f>IF(ISNUMBER(deployment_raw[[#This Row],[Column7]]), (deployment_raw[[#This Row],[Column7]] * IF($E$2="Deployment",deployment_raw[[#This Row],[Column5]],1))/1048576,"")</f>
        <v/>
      </c>
      <c r="P77" s="81" t="str">
        <f>IF(ISNUMBER(deployment_raw[[#This Row],[Column20]]), IF(Q77&lt;&gt;0,deployment_raw[[#This Row],[Column20]]/IF(OR($E$2="Deployment",deployment_raw[[#This Row],[Column5]]=0),1,deployment_raw[[#This Row],[Column5]])/1048576/Q77,0),"")</f>
        <v/>
      </c>
      <c r="Q77" s="76" t="str">
        <f>IF(ISNUMBER(deployment_raw[[#This Row],[Column9]]), (deployment_raw[[#This Row],[Column9]] * IF($E$2="Deployment",deployment_raw[[#This Row],[Column5]],1))/1048576,"")</f>
        <v/>
      </c>
      <c r="R77" s="57" t="str">
        <f>IF(ISNUMBER(deployment_raw[[#This Row],[Column10]]), (deployment_raw[[#This Row],[Column10]] * IF($E$2="Deployment",deployment_raw[[#This Row],[Column5]],1)),"")</f>
        <v/>
      </c>
      <c r="S77" s="48" t="str">
        <f>IF(ISNUMBER(deployment_raw[[#This Row],[Column11]]), (deployment_raw[[#This Row],[Column11]] * IF($E$2="Deployment",deployment_raw[[#This Row],[Column5]],1))/1048576,"")</f>
        <v/>
      </c>
      <c r="T77" s="59" t="str">
        <f>IF(ISNUMBER(deployment_raw[[#This Row],[Column8]]),IF(OR(deployment_raw[[#This Row],[Column5]] &lt;&gt; 0,$E$2 &lt;&gt; "Deployment"), MAX(V77, ($T$2 * IF($E$2="Deployment",deployment_raw[[#This Row],[Column5]],1))), 0),"")</f>
        <v/>
      </c>
      <c r="U77" s="50" t="str">
        <f>IF(ISNUMBER(deployment_raw[[#This Row],[Column9]]),IF(OR(deployment_raw[[#This Row],[Column5]] &lt;&gt; 0,$E$2&lt;&gt;"Deployment"), MAX(W77, ($U$2 * IF($E$2="Deployment",deployment_raw[[#This Row],[Column5]],1))), 0),"")</f>
        <v/>
      </c>
      <c r="V77" s="15" t="str">
        <f>IF(ISNUMBER(deployment_raw[[#This Row],[Column12]]), (deployment_raw[[#This Row],[Column12]] * IF($E$2="Deployment",deployment_raw[[#This Row],[Column5]],1)*(1+$V$2)),"")</f>
        <v/>
      </c>
      <c r="W77" s="14" t="str">
        <f>IF(ISNUMBER(deployment_raw[[#This Row],[Column13]]), (deployment_raw[[#This Row],[Column13]] * IF($E$2="Deployment",deployment_raw[[#This Row],[Column5]],1)*(1+$W$2))/1048576,"")</f>
        <v/>
      </c>
    </row>
    <row r="78" spans="1:23" ht="15.75" customHeight="1" x14ac:dyDescent="0.25">
      <c r="A78" s="5" t="str">
        <f>IF(ISNONTEXT(deployment_raw[[#This Row],[Column1]]), "", deployment_raw[[#This Row],[Column1]])</f>
        <v/>
      </c>
      <c r="B78" s="6" t="str">
        <f>IF(ISNONTEXT(deployment_raw[[#This Row],[Column2]]), "", deployment_raw[[#This Row],[Column2]])</f>
        <v/>
      </c>
      <c r="C78" s="6" t="str">
        <f>IF(ISNONTEXT(deployment_raw[[#This Row],[Column3]]), "", deployment_raw[[#This Row],[Column3]])</f>
        <v/>
      </c>
      <c r="D78" s="6" t="str">
        <f>IF(ISNONTEXT(deployment_raw[[#This Row],[Column4]]), "", deployment_raw[[#This Row],[Column4]])</f>
        <v/>
      </c>
      <c r="E78" s="7" t="str">
        <f>IF(ISNUMBER(deployment_raw[[#This Row],[Column5]]), deployment_raw[[#This Row],[Column5]],"")</f>
        <v/>
      </c>
      <c r="F78" s="32" t="str">
        <f>IF(ISNUMBER(deployment_raw[[#This Row],[Column17]]), deployment_raw[[#This Row],[Column17]]/IF(OR($E$2="Deployment",deployment_raw[[#This Row],[Column5]]=0),1,deployment_raw[[#This Row],[Column5]]),"")</f>
        <v/>
      </c>
      <c r="G78" s="42" t="str">
        <f>IF(ISNUMBER(deployment_raw[[#This Row],[Column14]]), deployment_raw[[#This Row],[Column14]]/IF(OR($E$2="Deployment",deployment_raw[[#This Row],[Column5]]=0),1,deployment_raw[[#This Row],[Column5]]),"")</f>
        <v/>
      </c>
      <c r="H78" s="79" t="str">
        <f>IF(ISNUMBER(deployment_raw[[#This Row],[Column19]]), IF(I78&lt;&gt;0,(deployment_raw[[#This Row],[Column19]]/IF(OR($E$2="Deployment",deployment_raw[[#This Row],[Column5]]=0),1,deployment_raw[[#This Row],[Column5]]))/I78,0),"")</f>
        <v/>
      </c>
      <c r="I78" s="69" t="str">
        <f>IF(ISNUMBER(deployment_raw[[#This Row],[Column6]]), (deployment_raw[[#This Row],[Column6]] * IF($E$2="Deployment",deployment_raw[[#This Row],[Column5]],1)),"")</f>
        <v/>
      </c>
      <c r="J78" s="79" t="str">
        <f>IF(ISNUMBER(deployment_raw[[#This Row],[Column19]]), IF(K78&lt;&gt;0,(deployment_raw[[#This Row],[Column19]]/IF(OR($E$2="Deployment",deployment_raw[[#This Row],[Column5]]=0),1,deployment_raw[[#This Row],[Column5]]))/K78,0),"")</f>
        <v/>
      </c>
      <c r="K78" s="72" t="str">
        <f>IF(ISNUMBER(deployment_raw[[#This Row],[Column8]]), (deployment_raw[[#This Row],[Column8]]  * IF($E$2="Deployment",deployment_raw[[#This Row],[Column5]],1)),"")</f>
        <v/>
      </c>
      <c r="L7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8" s="81" t="str">
        <f>IF(ISNUMBER(deployment_raw[[#This Row],[Column20]]), IF(O78&lt;&gt;0,deployment_raw[[#This Row],[Column20]]/IF(OR($E$2="Deployment",deployment_raw[[#This Row],[Column5]]=0),1,deployment_raw[[#This Row],[Column5]])/1048576/O78,0),"")</f>
        <v/>
      </c>
      <c r="O78" s="74" t="str">
        <f>IF(ISNUMBER(deployment_raw[[#This Row],[Column7]]), (deployment_raw[[#This Row],[Column7]] * IF($E$2="Deployment",deployment_raw[[#This Row],[Column5]],1))/1048576,"")</f>
        <v/>
      </c>
      <c r="P78" s="81" t="str">
        <f>IF(ISNUMBER(deployment_raw[[#This Row],[Column20]]), IF(Q78&lt;&gt;0,deployment_raw[[#This Row],[Column20]]/IF(OR($E$2="Deployment",deployment_raw[[#This Row],[Column5]]=0),1,deployment_raw[[#This Row],[Column5]])/1048576/Q78,0),"")</f>
        <v/>
      </c>
      <c r="Q78" s="76" t="str">
        <f>IF(ISNUMBER(deployment_raw[[#This Row],[Column9]]), (deployment_raw[[#This Row],[Column9]] * IF($E$2="Deployment",deployment_raw[[#This Row],[Column5]],1))/1048576,"")</f>
        <v/>
      </c>
      <c r="R78" s="57" t="str">
        <f>IF(ISNUMBER(deployment_raw[[#This Row],[Column10]]), (deployment_raw[[#This Row],[Column10]] * IF($E$2="Deployment",deployment_raw[[#This Row],[Column5]],1)),"")</f>
        <v/>
      </c>
      <c r="S78" s="48" t="str">
        <f>IF(ISNUMBER(deployment_raw[[#This Row],[Column11]]), (deployment_raw[[#This Row],[Column11]] * IF($E$2="Deployment",deployment_raw[[#This Row],[Column5]],1))/1048576,"")</f>
        <v/>
      </c>
      <c r="T78" s="59" t="str">
        <f>IF(ISNUMBER(deployment_raw[[#This Row],[Column8]]),IF(OR(deployment_raw[[#This Row],[Column5]] &lt;&gt; 0,$E$2 &lt;&gt; "Deployment"), MAX(V78, ($T$2 * IF($E$2="Deployment",deployment_raw[[#This Row],[Column5]],1))), 0),"")</f>
        <v/>
      </c>
      <c r="U78" s="50" t="str">
        <f>IF(ISNUMBER(deployment_raw[[#This Row],[Column9]]),IF(OR(deployment_raw[[#This Row],[Column5]] &lt;&gt; 0,$E$2&lt;&gt;"Deployment"), MAX(W78, ($U$2 * IF($E$2="Deployment",deployment_raw[[#This Row],[Column5]],1))), 0),"")</f>
        <v/>
      </c>
      <c r="V78" s="15" t="str">
        <f>IF(ISNUMBER(deployment_raw[[#This Row],[Column12]]), (deployment_raw[[#This Row],[Column12]] * IF($E$2="Deployment",deployment_raw[[#This Row],[Column5]],1)*(1+$V$2)),"")</f>
        <v/>
      </c>
      <c r="W78" s="14" t="str">
        <f>IF(ISNUMBER(deployment_raw[[#This Row],[Column13]]), (deployment_raw[[#This Row],[Column13]] * IF($E$2="Deployment",deployment_raw[[#This Row],[Column5]],1)*(1+$W$2))/1048576,"")</f>
        <v/>
      </c>
    </row>
    <row r="79" spans="1:23" ht="15.75" customHeight="1" x14ac:dyDescent="0.25">
      <c r="A79" s="5" t="str">
        <f>IF(ISNONTEXT(deployment_raw[[#This Row],[Column1]]), "", deployment_raw[[#This Row],[Column1]])</f>
        <v/>
      </c>
      <c r="B79" s="6" t="str">
        <f>IF(ISNONTEXT(deployment_raw[[#This Row],[Column2]]), "", deployment_raw[[#This Row],[Column2]])</f>
        <v/>
      </c>
      <c r="C79" s="6" t="str">
        <f>IF(ISNONTEXT(deployment_raw[[#This Row],[Column3]]), "", deployment_raw[[#This Row],[Column3]])</f>
        <v/>
      </c>
      <c r="D79" s="6" t="str">
        <f>IF(ISNONTEXT(deployment_raw[[#This Row],[Column4]]), "", deployment_raw[[#This Row],[Column4]])</f>
        <v/>
      </c>
      <c r="E79" s="7" t="str">
        <f>IF(ISNUMBER(deployment_raw[[#This Row],[Column5]]), deployment_raw[[#This Row],[Column5]],"")</f>
        <v/>
      </c>
      <c r="F79" s="32" t="str">
        <f>IF(ISNUMBER(deployment_raw[[#This Row],[Column17]]), deployment_raw[[#This Row],[Column17]]/IF(OR($E$2="Deployment",deployment_raw[[#This Row],[Column5]]=0),1,deployment_raw[[#This Row],[Column5]]),"")</f>
        <v/>
      </c>
      <c r="G79" s="42" t="str">
        <f>IF(ISNUMBER(deployment_raw[[#This Row],[Column14]]), deployment_raw[[#This Row],[Column14]]/IF(OR($E$2="Deployment",deployment_raw[[#This Row],[Column5]]=0),1,deployment_raw[[#This Row],[Column5]]),"")</f>
        <v/>
      </c>
      <c r="H79" s="79" t="str">
        <f>IF(ISNUMBER(deployment_raw[[#This Row],[Column19]]), IF(I79&lt;&gt;0,(deployment_raw[[#This Row],[Column19]]/IF(OR($E$2="Deployment",deployment_raw[[#This Row],[Column5]]=0),1,deployment_raw[[#This Row],[Column5]]))/I79,0),"")</f>
        <v/>
      </c>
      <c r="I79" s="69" t="str">
        <f>IF(ISNUMBER(deployment_raw[[#This Row],[Column6]]), (deployment_raw[[#This Row],[Column6]] * IF($E$2="Deployment",deployment_raw[[#This Row],[Column5]],1)),"")</f>
        <v/>
      </c>
      <c r="J79" s="79" t="str">
        <f>IF(ISNUMBER(deployment_raw[[#This Row],[Column19]]), IF(K79&lt;&gt;0,(deployment_raw[[#This Row],[Column19]]/IF(OR($E$2="Deployment",deployment_raw[[#This Row],[Column5]]=0),1,deployment_raw[[#This Row],[Column5]]))/K79,0),"")</f>
        <v/>
      </c>
      <c r="K79" s="72" t="str">
        <f>IF(ISNUMBER(deployment_raw[[#This Row],[Column8]]), (deployment_raw[[#This Row],[Column8]]  * IF($E$2="Deployment",deployment_raw[[#This Row],[Column5]],1)),"")</f>
        <v/>
      </c>
      <c r="L7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9" s="81" t="str">
        <f>IF(ISNUMBER(deployment_raw[[#This Row],[Column20]]), IF(O79&lt;&gt;0,deployment_raw[[#This Row],[Column20]]/IF(OR($E$2="Deployment",deployment_raw[[#This Row],[Column5]]=0),1,deployment_raw[[#This Row],[Column5]])/1048576/O79,0),"")</f>
        <v/>
      </c>
      <c r="O79" s="74" t="str">
        <f>IF(ISNUMBER(deployment_raw[[#This Row],[Column7]]), (deployment_raw[[#This Row],[Column7]] * IF($E$2="Deployment",deployment_raw[[#This Row],[Column5]],1))/1048576,"")</f>
        <v/>
      </c>
      <c r="P79" s="81" t="str">
        <f>IF(ISNUMBER(deployment_raw[[#This Row],[Column20]]), IF(Q79&lt;&gt;0,deployment_raw[[#This Row],[Column20]]/IF(OR($E$2="Deployment",deployment_raw[[#This Row],[Column5]]=0),1,deployment_raw[[#This Row],[Column5]])/1048576/Q79,0),"")</f>
        <v/>
      </c>
      <c r="Q79" s="76" t="str">
        <f>IF(ISNUMBER(deployment_raw[[#This Row],[Column9]]), (deployment_raw[[#This Row],[Column9]] * IF($E$2="Deployment",deployment_raw[[#This Row],[Column5]],1))/1048576,"")</f>
        <v/>
      </c>
      <c r="R79" s="57" t="str">
        <f>IF(ISNUMBER(deployment_raw[[#This Row],[Column10]]), (deployment_raw[[#This Row],[Column10]] * IF($E$2="Deployment",deployment_raw[[#This Row],[Column5]],1)),"")</f>
        <v/>
      </c>
      <c r="S79" s="48" t="str">
        <f>IF(ISNUMBER(deployment_raw[[#This Row],[Column11]]), (deployment_raw[[#This Row],[Column11]] * IF($E$2="Deployment",deployment_raw[[#This Row],[Column5]],1))/1048576,"")</f>
        <v/>
      </c>
      <c r="T79" s="59" t="str">
        <f>IF(ISNUMBER(deployment_raw[[#This Row],[Column8]]),IF(OR(deployment_raw[[#This Row],[Column5]] &lt;&gt; 0,$E$2 &lt;&gt; "Deployment"), MAX(V79, ($T$2 * IF($E$2="Deployment",deployment_raw[[#This Row],[Column5]],1))), 0),"")</f>
        <v/>
      </c>
      <c r="U79" s="50" t="str">
        <f>IF(ISNUMBER(deployment_raw[[#This Row],[Column9]]),IF(OR(deployment_raw[[#This Row],[Column5]] &lt;&gt; 0,$E$2&lt;&gt;"Deployment"), MAX(W79, ($U$2 * IF($E$2="Deployment",deployment_raw[[#This Row],[Column5]],1))), 0),"")</f>
        <v/>
      </c>
      <c r="V79" s="15" t="str">
        <f>IF(ISNUMBER(deployment_raw[[#This Row],[Column12]]), (deployment_raw[[#This Row],[Column12]] * IF($E$2="Deployment",deployment_raw[[#This Row],[Column5]],1)*(1+$V$2)),"")</f>
        <v/>
      </c>
      <c r="W79" s="14" t="str">
        <f>IF(ISNUMBER(deployment_raw[[#This Row],[Column13]]), (deployment_raw[[#This Row],[Column13]] * IF($E$2="Deployment",deployment_raw[[#This Row],[Column5]],1)*(1+$W$2))/1048576,"")</f>
        <v/>
      </c>
    </row>
    <row r="80" spans="1:23" ht="15.75" customHeight="1" x14ac:dyDescent="0.25">
      <c r="A80" s="5" t="str">
        <f>IF(ISNONTEXT(deployment_raw[[#This Row],[Column1]]), "", deployment_raw[[#This Row],[Column1]])</f>
        <v/>
      </c>
      <c r="B80" s="6" t="str">
        <f>IF(ISNONTEXT(deployment_raw[[#This Row],[Column2]]), "", deployment_raw[[#This Row],[Column2]])</f>
        <v/>
      </c>
      <c r="C80" s="6" t="str">
        <f>IF(ISNONTEXT(deployment_raw[[#This Row],[Column3]]), "", deployment_raw[[#This Row],[Column3]])</f>
        <v/>
      </c>
      <c r="D80" s="6" t="str">
        <f>IF(ISNONTEXT(deployment_raw[[#This Row],[Column4]]), "", deployment_raw[[#This Row],[Column4]])</f>
        <v/>
      </c>
      <c r="E80" s="7" t="str">
        <f>IF(ISNUMBER(deployment_raw[[#This Row],[Column5]]), deployment_raw[[#This Row],[Column5]],"")</f>
        <v/>
      </c>
      <c r="F80" s="32" t="str">
        <f>IF(ISNUMBER(deployment_raw[[#This Row],[Column17]]), deployment_raw[[#This Row],[Column17]]/IF(OR($E$2="Deployment",deployment_raw[[#This Row],[Column5]]=0),1,deployment_raw[[#This Row],[Column5]]),"")</f>
        <v/>
      </c>
      <c r="G80" s="42" t="str">
        <f>IF(ISNUMBER(deployment_raw[[#This Row],[Column14]]), deployment_raw[[#This Row],[Column14]]/IF(OR($E$2="Deployment",deployment_raw[[#This Row],[Column5]]=0),1,deployment_raw[[#This Row],[Column5]]),"")</f>
        <v/>
      </c>
      <c r="H80" s="79" t="str">
        <f>IF(ISNUMBER(deployment_raw[[#This Row],[Column19]]), IF(I80&lt;&gt;0,(deployment_raw[[#This Row],[Column19]]/IF(OR($E$2="Deployment",deployment_raw[[#This Row],[Column5]]=0),1,deployment_raw[[#This Row],[Column5]]))/I80,0),"")</f>
        <v/>
      </c>
      <c r="I80" s="69" t="str">
        <f>IF(ISNUMBER(deployment_raw[[#This Row],[Column6]]), (deployment_raw[[#This Row],[Column6]] * IF($E$2="Deployment",deployment_raw[[#This Row],[Column5]],1)),"")</f>
        <v/>
      </c>
      <c r="J80" s="79" t="str">
        <f>IF(ISNUMBER(deployment_raw[[#This Row],[Column19]]), IF(K80&lt;&gt;0,(deployment_raw[[#This Row],[Column19]]/IF(OR($E$2="Deployment",deployment_raw[[#This Row],[Column5]]=0),1,deployment_raw[[#This Row],[Column5]]))/K80,0),"")</f>
        <v/>
      </c>
      <c r="K80" s="72" t="str">
        <f>IF(ISNUMBER(deployment_raw[[#This Row],[Column8]]), (deployment_raw[[#This Row],[Column8]]  * IF($E$2="Deployment",deployment_raw[[#This Row],[Column5]],1)),"")</f>
        <v/>
      </c>
      <c r="L8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0" s="81" t="str">
        <f>IF(ISNUMBER(deployment_raw[[#This Row],[Column20]]), IF(O80&lt;&gt;0,deployment_raw[[#This Row],[Column20]]/IF(OR($E$2="Deployment",deployment_raw[[#This Row],[Column5]]=0),1,deployment_raw[[#This Row],[Column5]])/1048576/O80,0),"")</f>
        <v/>
      </c>
      <c r="O80" s="74" t="str">
        <f>IF(ISNUMBER(deployment_raw[[#This Row],[Column7]]), (deployment_raw[[#This Row],[Column7]] * IF($E$2="Deployment",deployment_raw[[#This Row],[Column5]],1))/1048576,"")</f>
        <v/>
      </c>
      <c r="P80" s="81" t="str">
        <f>IF(ISNUMBER(deployment_raw[[#This Row],[Column20]]), IF(Q80&lt;&gt;0,deployment_raw[[#This Row],[Column20]]/IF(OR($E$2="Deployment",deployment_raw[[#This Row],[Column5]]=0),1,deployment_raw[[#This Row],[Column5]])/1048576/Q80,0),"")</f>
        <v/>
      </c>
      <c r="Q80" s="76" t="str">
        <f>IF(ISNUMBER(deployment_raw[[#This Row],[Column9]]), (deployment_raw[[#This Row],[Column9]] * IF($E$2="Deployment",deployment_raw[[#This Row],[Column5]],1))/1048576,"")</f>
        <v/>
      </c>
      <c r="R80" s="57" t="str">
        <f>IF(ISNUMBER(deployment_raw[[#This Row],[Column10]]), (deployment_raw[[#This Row],[Column10]] * IF($E$2="Deployment",deployment_raw[[#This Row],[Column5]],1)),"")</f>
        <v/>
      </c>
      <c r="S80" s="48" t="str">
        <f>IF(ISNUMBER(deployment_raw[[#This Row],[Column11]]), (deployment_raw[[#This Row],[Column11]] * IF($E$2="Deployment",deployment_raw[[#This Row],[Column5]],1))/1048576,"")</f>
        <v/>
      </c>
      <c r="T80" s="59" t="str">
        <f>IF(ISNUMBER(deployment_raw[[#This Row],[Column8]]),IF(OR(deployment_raw[[#This Row],[Column5]] &lt;&gt; 0,$E$2 &lt;&gt; "Deployment"), MAX(V80, ($T$2 * IF($E$2="Deployment",deployment_raw[[#This Row],[Column5]],1))), 0),"")</f>
        <v/>
      </c>
      <c r="U80" s="50" t="str">
        <f>IF(ISNUMBER(deployment_raw[[#This Row],[Column9]]),IF(OR(deployment_raw[[#This Row],[Column5]] &lt;&gt; 0,$E$2&lt;&gt;"Deployment"), MAX(W80, ($U$2 * IF($E$2="Deployment",deployment_raw[[#This Row],[Column5]],1))), 0),"")</f>
        <v/>
      </c>
      <c r="V80" s="15" t="str">
        <f>IF(ISNUMBER(deployment_raw[[#This Row],[Column12]]), (deployment_raw[[#This Row],[Column12]] * IF($E$2="Deployment",deployment_raw[[#This Row],[Column5]],1)*(1+$V$2)),"")</f>
        <v/>
      </c>
      <c r="W80" s="14" t="str">
        <f>IF(ISNUMBER(deployment_raw[[#This Row],[Column13]]), (deployment_raw[[#This Row],[Column13]] * IF($E$2="Deployment",deployment_raw[[#This Row],[Column5]],1)*(1+$W$2))/1048576,"")</f>
        <v/>
      </c>
    </row>
    <row r="81" spans="1:23" ht="15.75" customHeight="1" x14ac:dyDescent="0.25">
      <c r="A81" s="5" t="str">
        <f>IF(ISNONTEXT(deployment_raw[[#This Row],[Column1]]), "", deployment_raw[[#This Row],[Column1]])</f>
        <v/>
      </c>
      <c r="B81" s="6" t="str">
        <f>IF(ISNONTEXT(deployment_raw[[#This Row],[Column2]]), "", deployment_raw[[#This Row],[Column2]])</f>
        <v/>
      </c>
      <c r="C81" s="6" t="str">
        <f>IF(ISNONTEXT(deployment_raw[[#This Row],[Column3]]), "", deployment_raw[[#This Row],[Column3]])</f>
        <v/>
      </c>
      <c r="D81" s="6" t="str">
        <f>IF(ISNONTEXT(deployment_raw[[#This Row],[Column4]]), "", deployment_raw[[#This Row],[Column4]])</f>
        <v/>
      </c>
      <c r="E81" s="7" t="str">
        <f>IF(ISNUMBER(deployment_raw[[#This Row],[Column5]]), deployment_raw[[#This Row],[Column5]],"")</f>
        <v/>
      </c>
      <c r="F81" s="32" t="str">
        <f>IF(ISNUMBER(deployment_raw[[#This Row],[Column17]]), deployment_raw[[#This Row],[Column17]]/IF(OR($E$2="Deployment",deployment_raw[[#This Row],[Column5]]=0),1,deployment_raw[[#This Row],[Column5]]),"")</f>
        <v/>
      </c>
      <c r="G81" s="42" t="str">
        <f>IF(ISNUMBER(deployment_raw[[#This Row],[Column14]]), deployment_raw[[#This Row],[Column14]]/IF(OR($E$2="Deployment",deployment_raw[[#This Row],[Column5]]=0),1,deployment_raw[[#This Row],[Column5]]),"")</f>
        <v/>
      </c>
      <c r="H81" s="79" t="str">
        <f>IF(ISNUMBER(deployment_raw[[#This Row],[Column19]]), IF(I81&lt;&gt;0,(deployment_raw[[#This Row],[Column19]]/IF(OR($E$2="Deployment",deployment_raw[[#This Row],[Column5]]=0),1,deployment_raw[[#This Row],[Column5]]))/I81,0),"")</f>
        <v/>
      </c>
      <c r="I81" s="69" t="str">
        <f>IF(ISNUMBER(deployment_raw[[#This Row],[Column6]]), (deployment_raw[[#This Row],[Column6]] * IF($E$2="Deployment",deployment_raw[[#This Row],[Column5]],1)),"")</f>
        <v/>
      </c>
      <c r="J81" s="79" t="str">
        <f>IF(ISNUMBER(deployment_raw[[#This Row],[Column19]]), IF(K81&lt;&gt;0,(deployment_raw[[#This Row],[Column19]]/IF(OR($E$2="Deployment",deployment_raw[[#This Row],[Column5]]=0),1,deployment_raw[[#This Row],[Column5]]))/K81,0),"")</f>
        <v/>
      </c>
      <c r="K81" s="72" t="str">
        <f>IF(ISNUMBER(deployment_raw[[#This Row],[Column8]]), (deployment_raw[[#This Row],[Column8]]  * IF($E$2="Deployment",deployment_raw[[#This Row],[Column5]],1)),"")</f>
        <v/>
      </c>
      <c r="L8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1" s="81" t="str">
        <f>IF(ISNUMBER(deployment_raw[[#This Row],[Column20]]), IF(O81&lt;&gt;0,deployment_raw[[#This Row],[Column20]]/IF(OR($E$2="Deployment",deployment_raw[[#This Row],[Column5]]=0),1,deployment_raw[[#This Row],[Column5]])/1048576/O81,0),"")</f>
        <v/>
      </c>
      <c r="O81" s="74" t="str">
        <f>IF(ISNUMBER(deployment_raw[[#This Row],[Column7]]), (deployment_raw[[#This Row],[Column7]] * IF($E$2="Deployment",deployment_raw[[#This Row],[Column5]],1))/1048576,"")</f>
        <v/>
      </c>
      <c r="P81" s="81" t="str">
        <f>IF(ISNUMBER(deployment_raw[[#This Row],[Column20]]), IF(Q81&lt;&gt;0,deployment_raw[[#This Row],[Column20]]/IF(OR($E$2="Deployment",deployment_raw[[#This Row],[Column5]]=0),1,deployment_raw[[#This Row],[Column5]])/1048576/Q81,0),"")</f>
        <v/>
      </c>
      <c r="Q81" s="76" t="str">
        <f>IF(ISNUMBER(deployment_raw[[#This Row],[Column9]]), (deployment_raw[[#This Row],[Column9]] * IF($E$2="Deployment",deployment_raw[[#This Row],[Column5]],1))/1048576,"")</f>
        <v/>
      </c>
      <c r="R81" s="57" t="str">
        <f>IF(ISNUMBER(deployment_raw[[#This Row],[Column10]]), (deployment_raw[[#This Row],[Column10]] * IF($E$2="Deployment",deployment_raw[[#This Row],[Column5]],1)),"")</f>
        <v/>
      </c>
      <c r="S81" s="48" t="str">
        <f>IF(ISNUMBER(deployment_raw[[#This Row],[Column11]]), (deployment_raw[[#This Row],[Column11]] * IF($E$2="Deployment",deployment_raw[[#This Row],[Column5]],1))/1048576,"")</f>
        <v/>
      </c>
      <c r="T81" s="59" t="str">
        <f>IF(ISNUMBER(deployment_raw[[#This Row],[Column8]]),IF(OR(deployment_raw[[#This Row],[Column5]] &lt;&gt; 0,$E$2 &lt;&gt; "Deployment"), MAX(V81, ($T$2 * IF($E$2="Deployment",deployment_raw[[#This Row],[Column5]],1))), 0),"")</f>
        <v/>
      </c>
      <c r="U81" s="50" t="str">
        <f>IF(ISNUMBER(deployment_raw[[#This Row],[Column9]]),IF(OR(deployment_raw[[#This Row],[Column5]] &lt;&gt; 0,$E$2&lt;&gt;"Deployment"), MAX(W81, ($U$2 * IF($E$2="Deployment",deployment_raw[[#This Row],[Column5]],1))), 0),"")</f>
        <v/>
      </c>
      <c r="V81" s="15" t="str">
        <f>IF(ISNUMBER(deployment_raw[[#This Row],[Column12]]), (deployment_raw[[#This Row],[Column12]] * IF($E$2="Deployment",deployment_raw[[#This Row],[Column5]],1)*(1+$V$2)),"")</f>
        <v/>
      </c>
      <c r="W81" s="14" t="str">
        <f>IF(ISNUMBER(deployment_raw[[#This Row],[Column13]]), (deployment_raw[[#This Row],[Column13]] * IF($E$2="Deployment",deployment_raw[[#This Row],[Column5]],1)*(1+$W$2))/1048576,"")</f>
        <v/>
      </c>
    </row>
    <row r="82" spans="1:23" ht="15.75" customHeight="1" x14ac:dyDescent="0.25">
      <c r="A82" s="5" t="str">
        <f>IF(ISNONTEXT(deployment_raw[[#This Row],[Column1]]), "", deployment_raw[[#This Row],[Column1]])</f>
        <v/>
      </c>
      <c r="B82" s="6" t="str">
        <f>IF(ISNONTEXT(deployment_raw[[#This Row],[Column2]]), "", deployment_raw[[#This Row],[Column2]])</f>
        <v/>
      </c>
      <c r="C82" s="6" t="str">
        <f>IF(ISNONTEXT(deployment_raw[[#This Row],[Column3]]), "", deployment_raw[[#This Row],[Column3]])</f>
        <v/>
      </c>
      <c r="D82" s="6" t="str">
        <f>IF(ISNONTEXT(deployment_raw[[#This Row],[Column4]]), "", deployment_raw[[#This Row],[Column4]])</f>
        <v/>
      </c>
      <c r="E82" s="7" t="str">
        <f>IF(ISNUMBER(deployment_raw[[#This Row],[Column5]]), deployment_raw[[#This Row],[Column5]],"")</f>
        <v/>
      </c>
      <c r="F82" s="32" t="str">
        <f>IF(ISNUMBER(deployment_raw[[#This Row],[Column17]]), deployment_raw[[#This Row],[Column17]]/IF(OR($E$2="Deployment",deployment_raw[[#This Row],[Column5]]=0),1,deployment_raw[[#This Row],[Column5]]),"")</f>
        <v/>
      </c>
      <c r="G82" s="42" t="str">
        <f>IF(ISNUMBER(deployment_raw[[#This Row],[Column14]]), deployment_raw[[#This Row],[Column14]]/IF(OR($E$2="Deployment",deployment_raw[[#This Row],[Column5]]=0),1,deployment_raw[[#This Row],[Column5]]),"")</f>
        <v/>
      </c>
      <c r="H82" s="79" t="str">
        <f>IF(ISNUMBER(deployment_raw[[#This Row],[Column19]]), IF(I82&lt;&gt;0,(deployment_raw[[#This Row],[Column19]]/IF(OR($E$2="Deployment",deployment_raw[[#This Row],[Column5]]=0),1,deployment_raw[[#This Row],[Column5]]))/I82,0),"")</f>
        <v/>
      </c>
      <c r="I82" s="69" t="str">
        <f>IF(ISNUMBER(deployment_raw[[#This Row],[Column6]]), (deployment_raw[[#This Row],[Column6]] * IF($E$2="Deployment",deployment_raw[[#This Row],[Column5]],1)),"")</f>
        <v/>
      </c>
      <c r="J82" s="79" t="str">
        <f>IF(ISNUMBER(deployment_raw[[#This Row],[Column19]]), IF(K82&lt;&gt;0,(deployment_raw[[#This Row],[Column19]]/IF(OR($E$2="Deployment",deployment_raw[[#This Row],[Column5]]=0),1,deployment_raw[[#This Row],[Column5]]))/K82,0),"")</f>
        <v/>
      </c>
      <c r="K82" s="72" t="str">
        <f>IF(ISNUMBER(deployment_raw[[#This Row],[Column8]]), (deployment_raw[[#This Row],[Column8]]  * IF($E$2="Deployment",deployment_raw[[#This Row],[Column5]],1)),"")</f>
        <v/>
      </c>
      <c r="L8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2" s="81" t="str">
        <f>IF(ISNUMBER(deployment_raw[[#This Row],[Column20]]), IF(O82&lt;&gt;0,deployment_raw[[#This Row],[Column20]]/IF(OR($E$2="Deployment",deployment_raw[[#This Row],[Column5]]=0),1,deployment_raw[[#This Row],[Column5]])/1048576/O82,0),"")</f>
        <v/>
      </c>
      <c r="O82" s="74" t="str">
        <f>IF(ISNUMBER(deployment_raw[[#This Row],[Column7]]), (deployment_raw[[#This Row],[Column7]] * IF($E$2="Deployment",deployment_raw[[#This Row],[Column5]],1))/1048576,"")</f>
        <v/>
      </c>
      <c r="P82" s="81" t="str">
        <f>IF(ISNUMBER(deployment_raw[[#This Row],[Column20]]), IF(Q82&lt;&gt;0,deployment_raw[[#This Row],[Column20]]/IF(OR($E$2="Deployment",deployment_raw[[#This Row],[Column5]]=0),1,deployment_raw[[#This Row],[Column5]])/1048576/Q82,0),"")</f>
        <v/>
      </c>
      <c r="Q82" s="76" t="str">
        <f>IF(ISNUMBER(deployment_raw[[#This Row],[Column9]]), (deployment_raw[[#This Row],[Column9]] * IF($E$2="Deployment",deployment_raw[[#This Row],[Column5]],1))/1048576,"")</f>
        <v/>
      </c>
      <c r="R82" s="57" t="str">
        <f>IF(ISNUMBER(deployment_raw[[#This Row],[Column10]]), (deployment_raw[[#This Row],[Column10]] * IF($E$2="Deployment",deployment_raw[[#This Row],[Column5]],1)),"")</f>
        <v/>
      </c>
      <c r="S82" s="48" t="str">
        <f>IF(ISNUMBER(deployment_raw[[#This Row],[Column11]]), (deployment_raw[[#This Row],[Column11]] * IF($E$2="Deployment",deployment_raw[[#This Row],[Column5]],1))/1048576,"")</f>
        <v/>
      </c>
      <c r="T82" s="59" t="str">
        <f>IF(ISNUMBER(deployment_raw[[#This Row],[Column8]]),IF(OR(deployment_raw[[#This Row],[Column5]] &lt;&gt; 0,$E$2 &lt;&gt; "Deployment"), MAX(V82, ($T$2 * IF($E$2="Deployment",deployment_raw[[#This Row],[Column5]],1))), 0),"")</f>
        <v/>
      </c>
      <c r="U82" s="50" t="str">
        <f>IF(ISNUMBER(deployment_raw[[#This Row],[Column9]]),IF(OR(deployment_raw[[#This Row],[Column5]] &lt;&gt; 0,$E$2&lt;&gt;"Deployment"), MAX(W82, ($U$2 * IF($E$2="Deployment",deployment_raw[[#This Row],[Column5]],1))), 0),"")</f>
        <v/>
      </c>
      <c r="V82" s="15" t="str">
        <f>IF(ISNUMBER(deployment_raw[[#This Row],[Column12]]), (deployment_raw[[#This Row],[Column12]] * IF($E$2="Deployment",deployment_raw[[#This Row],[Column5]],1)*(1+$V$2)),"")</f>
        <v/>
      </c>
      <c r="W82" s="14" t="str">
        <f>IF(ISNUMBER(deployment_raw[[#This Row],[Column13]]), (deployment_raw[[#This Row],[Column13]] * IF($E$2="Deployment",deployment_raw[[#This Row],[Column5]],1)*(1+$W$2))/1048576,"")</f>
        <v/>
      </c>
    </row>
    <row r="83" spans="1:23" ht="15.75" customHeight="1" x14ac:dyDescent="0.25">
      <c r="A83" s="5" t="str">
        <f>IF(ISNONTEXT(deployment_raw[[#This Row],[Column1]]), "", deployment_raw[[#This Row],[Column1]])</f>
        <v/>
      </c>
      <c r="B83" s="6" t="str">
        <f>IF(ISNONTEXT(deployment_raw[[#This Row],[Column2]]), "", deployment_raw[[#This Row],[Column2]])</f>
        <v/>
      </c>
      <c r="C83" s="6" t="str">
        <f>IF(ISNONTEXT(deployment_raw[[#This Row],[Column3]]), "", deployment_raw[[#This Row],[Column3]])</f>
        <v/>
      </c>
      <c r="D83" s="6" t="str">
        <f>IF(ISNONTEXT(deployment_raw[[#This Row],[Column4]]), "", deployment_raw[[#This Row],[Column4]])</f>
        <v/>
      </c>
      <c r="E83" s="7" t="str">
        <f>IF(ISNUMBER(deployment_raw[[#This Row],[Column5]]), deployment_raw[[#This Row],[Column5]],"")</f>
        <v/>
      </c>
      <c r="F83" s="32" t="str">
        <f>IF(ISNUMBER(deployment_raw[[#This Row],[Column17]]), deployment_raw[[#This Row],[Column17]]/IF(OR($E$2="Deployment",deployment_raw[[#This Row],[Column5]]=0),1,deployment_raw[[#This Row],[Column5]]),"")</f>
        <v/>
      </c>
      <c r="G83" s="42" t="str">
        <f>IF(ISNUMBER(deployment_raw[[#This Row],[Column14]]), deployment_raw[[#This Row],[Column14]]/IF(OR($E$2="Deployment",deployment_raw[[#This Row],[Column5]]=0),1,deployment_raw[[#This Row],[Column5]]),"")</f>
        <v/>
      </c>
      <c r="H83" s="79" t="str">
        <f>IF(ISNUMBER(deployment_raw[[#This Row],[Column19]]), IF(I83&lt;&gt;0,(deployment_raw[[#This Row],[Column19]]/IF(OR($E$2="Deployment",deployment_raw[[#This Row],[Column5]]=0),1,deployment_raw[[#This Row],[Column5]]))/I83,0),"")</f>
        <v/>
      </c>
      <c r="I83" s="69" t="str">
        <f>IF(ISNUMBER(deployment_raw[[#This Row],[Column6]]), (deployment_raw[[#This Row],[Column6]] * IF($E$2="Deployment",deployment_raw[[#This Row],[Column5]],1)),"")</f>
        <v/>
      </c>
      <c r="J83" s="79" t="str">
        <f>IF(ISNUMBER(deployment_raw[[#This Row],[Column19]]), IF(K83&lt;&gt;0,(deployment_raw[[#This Row],[Column19]]/IF(OR($E$2="Deployment",deployment_raw[[#This Row],[Column5]]=0),1,deployment_raw[[#This Row],[Column5]]))/K83,0),"")</f>
        <v/>
      </c>
      <c r="K83" s="72" t="str">
        <f>IF(ISNUMBER(deployment_raw[[#This Row],[Column8]]), (deployment_raw[[#This Row],[Column8]]  * IF($E$2="Deployment",deployment_raw[[#This Row],[Column5]],1)),"")</f>
        <v/>
      </c>
      <c r="L8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3" s="81" t="str">
        <f>IF(ISNUMBER(deployment_raw[[#This Row],[Column20]]), IF(O83&lt;&gt;0,deployment_raw[[#This Row],[Column20]]/IF(OR($E$2="Deployment",deployment_raw[[#This Row],[Column5]]=0),1,deployment_raw[[#This Row],[Column5]])/1048576/O83,0),"")</f>
        <v/>
      </c>
      <c r="O83" s="74" t="str">
        <f>IF(ISNUMBER(deployment_raw[[#This Row],[Column7]]), (deployment_raw[[#This Row],[Column7]] * IF($E$2="Deployment",deployment_raw[[#This Row],[Column5]],1))/1048576,"")</f>
        <v/>
      </c>
      <c r="P83" s="81" t="str">
        <f>IF(ISNUMBER(deployment_raw[[#This Row],[Column20]]), IF(Q83&lt;&gt;0,deployment_raw[[#This Row],[Column20]]/IF(OR($E$2="Deployment",deployment_raw[[#This Row],[Column5]]=0),1,deployment_raw[[#This Row],[Column5]])/1048576/Q83,0),"")</f>
        <v/>
      </c>
      <c r="Q83" s="76" t="str">
        <f>IF(ISNUMBER(deployment_raw[[#This Row],[Column9]]), (deployment_raw[[#This Row],[Column9]] * IF($E$2="Deployment",deployment_raw[[#This Row],[Column5]],1))/1048576,"")</f>
        <v/>
      </c>
      <c r="R83" s="57" t="str">
        <f>IF(ISNUMBER(deployment_raw[[#This Row],[Column10]]), (deployment_raw[[#This Row],[Column10]] * IF($E$2="Deployment",deployment_raw[[#This Row],[Column5]],1)),"")</f>
        <v/>
      </c>
      <c r="S83" s="48" t="str">
        <f>IF(ISNUMBER(deployment_raw[[#This Row],[Column11]]), (deployment_raw[[#This Row],[Column11]] * IF($E$2="Deployment",deployment_raw[[#This Row],[Column5]],1))/1048576,"")</f>
        <v/>
      </c>
      <c r="T83" s="59" t="str">
        <f>IF(ISNUMBER(deployment_raw[[#This Row],[Column8]]),IF(OR(deployment_raw[[#This Row],[Column5]] &lt;&gt; 0,$E$2 &lt;&gt; "Deployment"), MAX(V83, ($T$2 * IF($E$2="Deployment",deployment_raw[[#This Row],[Column5]],1))), 0),"")</f>
        <v/>
      </c>
      <c r="U83" s="50" t="str">
        <f>IF(ISNUMBER(deployment_raw[[#This Row],[Column9]]),IF(OR(deployment_raw[[#This Row],[Column5]] &lt;&gt; 0,$E$2&lt;&gt;"Deployment"), MAX(W83, ($U$2 * IF($E$2="Deployment",deployment_raw[[#This Row],[Column5]],1))), 0),"")</f>
        <v/>
      </c>
      <c r="V83" s="15" t="str">
        <f>IF(ISNUMBER(deployment_raw[[#This Row],[Column12]]), (deployment_raw[[#This Row],[Column12]] * IF($E$2="Deployment",deployment_raw[[#This Row],[Column5]],1)*(1+$V$2)),"")</f>
        <v/>
      </c>
      <c r="W83" s="14" t="str">
        <f>IF(ISNUMBER(deployment_raw[[#This Row],[Column13]]), (deployment_raw[[#This Row],[Column13]] * IF($E$2="Deployment",deployment_raw[[#This Row],[Column5]],1)*(1+$W$2))/1048576,"")</f>
        <v/>
      </c>
    </row>
    <row r="84" spans="1:23" ht="15.75" customHeight="1" x14ac:dyDescent="0.25">
      <c r="A84" s="5" t="str">
        <f>IF(ISNONTEXT(deployment_raw[[#This Row],[Column1]]), "", deployment_raw[[#This Row],[Column1]])</f>
        <v/>
      </c>
      <c r="B84" s="6" t="str">
        <f>IF(ISNONTEXT(deployment_raw[[#This Row],[Column2]]), "", deployment_raw[[#This Row],[Column2]])</f>
        <v/>
      </c>
      <c r="C84" s="6" t="str">
        <f>IF(ISNONTEXT(deployment_raw[[#This Row],[Column3]]), "", deployment_raw[[#This Row],[Column3]])</f>
        <v/>
      </c>
      <c r="D84" s="6" t="str">
        <f>IF(ISNONTEXT(deployment_raw[[#This Row],[Column4]]), "", deployment_raw[[#This Row],[Column4]])</f>
        <v/>
      </c>
      <c r="E84" s="7" t="str">
        <f>IF(ISNUMBER(deployment_raw[[#This Row],[Column5]]), deployment_raw[[#This Row],[Column5]],"")</f>
        <v/>
      </c>
      <c r="F84" s="32" t="str">
        <f>IF(ISNUMBER(deployment_raw[[#This Row],[Column17]]), deployment_raw[[#This Row],[Column17]]/IF(OR($E$2="Deployment",deployment_raw[[#This Row],[Column5]]=0),1,deployment_raw[[#This Row],[Column5]]),"")</f>
        <v/>
      </c>
      <c r="G84" s="42" t="str">
        <f>IF(ISNUMBER(deployment_raw[[#This Row],[Column14]]), deployment_raw[[#This Row],[Column14]]/IF(OR($E$2="Deployment",deployment_raw[[#This Row],[Column5]]=0),1,deployment_raw[[#This Row],[Column5]]),"")</f>
        <v/>
      </c>
      <c r="H84" s="79" t="str">
        <f>IF(ISNUMBER(deployment_raw[[#This Row],[Column19]]), IF(I84&lt;&gt;0,(deployment_raw[[#This Row],[Column19]]/IF(OR($E$2="Deployment",deployment_raw[[#This Row],[Column5]]=0),1,deployment_raw[[#This Row],[Column5]]))/I84,0),"")</f>
        <v/>
      </c>
      <c r="I84" s="69" t="str">
        <f>IF(ISNUMBER(deployment_raw[[#This Row],[Column6]]), (deployment_raw[[#This Row],[Column6]] * IF($E$2="Deployment",deployment_raw[[#This Row],[Column5]],1)),"")</f>
        <v/>
      </c>
      <c r="J84" s="79" t="str">
        <f>IF(ISNUMBER(deployment_raw[[#This Row],[Column19]]), IF(K84&lt;&gt;0,(deployment_raw[[#This Row],[Column19]]/IF(OR($E$2="Deployment",deployment_raw[[#This Row],[Column5]]=0),1,deployment_raw[[#This Row],[Column5]]))/K84,0),"")</f>
        <v/>
      </c>
      <c r="K84" s="72" t="str">
        <f>IF(ISNUMBER(deployment_raw[[#This Row],[Column8]]), (deployment_raw[[#This Row],[Column8]]  * IF($E$2="Deployment",deployment_raw[[#This Row],[Column5]],1)),"")</f>
        <v/>
      </c>
      <c r="L8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4" s="81" t="str">
        <f>IF(ISNUMBER(deployment_raw[[#This Row],[Column20]]), IF(O84&lt;&gt;0,deployment_raw[[#This Row],[Column20]]/IF(OR($E$2="Deployment",deployment_raw[[#This Row],[Column5]]=0),1,deployment_raw[[#This Row],[Column5]])/1048576/O84,0),"")</f>
        <v/>
      </c>
      <c r="O84" s="74" t="str">
        <f>IF(ISNUMBER(deployment_raw[[#This Row],[Column7]]), (deployment_raw[[#This Row],[Column7]] * IF($E$2="Deployment",deployment_raw[[#This Row],[Column5]],1))/1048576,"")</f>
        <v/>
      </c>
      <c r="P84" s="81" t="str">
        <f>IF(ISNUMBER(deployment_raw[[#This Row],[Column20]]), IF(Q84&lt;&gt;0,deployment_raw[[#This Row],[Column20]]/IF(OR($E$2="Deployment",deployment_raw[[#This Row],[Column5]]=0),1,deployment_raw[[#This Row],[Column5]])/1048576/Q84,0),"")</f>
        <v/>
      </c>
      <c r="Q84" s="76" t="str">
        <f>IF(ISNUMBER(deployment_raw[[#This Row],[Column9]]), (deployment_raw[[#This Row],[Column9]] * IF($E$2="Deployment",deployment_raw[[#This Row],[Column5]],1))/1048576,"")</f>
        <v/>
      </c>
      <c r="R84" s="57" t="str">
        <f>IF(ISNUMBER(deployment_raw[[#This Row],[Column10]]), (deployment_raw[[#This Row],[Column10]] * IF($E$2="Deployment",deployment_raw[[#This Row],[Column5]],1)),"")</f>
        <v/>
      </c>
      <c r="S84" s="48" t="str">
        <f>IF(ISNUMBER(deployment_raw[[#This Row],[Column11]]), (deployment_raw[[#This Row],[Column11]] * IF($E$2="Deployment",deployment_raw[[#This Row],[Column5]],1))/1048576,"")</f>
        <v/>
      </c>
      <c r="T84" s="59" t="str">
        <f>IF(ISNUMBER(deployment_raw[[#This Row],[Column8]]),IF(OR(deployment_raw[[#This Row],[Column5]] &lt;&gt; 0,$E$2 &lt;&gt; "Deployment"), MAX(V84, ($T$2 * IF($E$2="Deployment",deployment_raw[[#This Row],[Column5]],1))), 0),"")</f>
        <v/>
      </c>
      <c r="U84" s="50" t="str">
        <f>IF(ISNUMBER(deployment_raw[[#This Row],[Column9]]),IF(OR(deployment_raw[[#This Row],[Column5]] &lt;&gt; 0,$E$2&lt;&gt;"Deployment"), MAX(W84, ($U$2 * IF($E$2="Deployment",deployment_raw[[#This Row],[Column5]],1))), 0),"")</f>
        <v/>
      </c>
      <c r="V84" s="15" t="str">
        <f>IF(ISNUMBER(deployment_raw[[#This Row],[Column12]]), (deployment_raw[[#This Row],[Column12]] * IF($E$2="Deployment",deployment_raw[[#This Row],[Column5]],1)*(1+$V$2)),"")</f>
        <v/>
      </c>
      <c r="W84" s="14" t="str">
        <f>IF(ISNUMBER(deployment_raw[[#This Row],[Column13]]), (deployment_raw[[#This Row],[Column13]] * IF($E$2="Deployment",deployment_raw[[#This Row],[Column5]],1)*(1+$W$2))/1048576,"")</f>
        <v/>
      </c>
    </row>
    <row r="85" spans="1:23" ht="15.75" customHeight="1" x14ac:dyDescent="0.25">
      <c r="A85" s="5" t="str">
        <f>IF(ISNONTEXT(deployment_raw[[#This Row],[Column1]]), "", deployment_raw[[#This Row],[Column1]])</f>
        <v/>
      </c>
      <c r="B85" s="6" t="str">
        <f>IF(ISNONTEXT(deployment_raw[[#This Row],[Column2]]), "", deployment_raw[[#This Row],[Column2]])</f>
        <v/>
      </c>
      <c r="C85" s="6" t="str">
        <f>IF(ISNONTEXT(deployment_raw[[#This Row],[Column3]]), "", deployment_raw[[#This Row],[Column3]])</f>
        <v/>
      </c>
      <c r="D85" s="6" t="str">
        <f>IF(ISNONTEXT(deployment_raw[[#This Row],[Column4]]), "", deployment_raw[[#This Row],[Column4]])</f>
        <v/>
      </c>
      <c r="E85" s="7" t="str">
        <f>IF(ISNUMBER(deployment_raw[[#This Row],[Column5]]), deployment_raw[[#This Row],[Column5]],"")</f>
        <v/>
      </c>
      <c r="F85" s="32" t="str">
        <f>IF(ISNUMBER(deployment_raw[[#This Row],[Column17]]), deployment_raw[[#This Row],[Column17]]/IF(OR($E$2="Deployment",deployment_raw[[#This Row],[Column5]]=0),1,deployment_raw[[#This Row],[Column5]]),"")</f>
        <v/>
      </c>
      <c r="G85" s="42" t="str">
        <f>IF(ISNUMBER(deployment_raw[[#This Row],[Column14]]), deployment_raw[[#This Row],[Column14]]/IF(OR($E$2="Deployment",deployment_raw[[#This Row],[Column5]]=0),1,deployment_raw[[#This Row],[Column5]]),"")</f>
        <v/>
      </c>
      <c r="H85" s="79" t="str">
        <f>IF(ISNUMBER(deployment_raw[[#This Row],[Column19]]), IF(I85&lt;&gt;0,(deployment_raw[[#This Row],[Column19]]/IF(OR($E$2="Deployment",deployment_raw[[#This Row],[Column5]]=0),1,deployment_raw[[#This Row],[Column5]]))/I85,0),"")</f>
        <v/>
      </c>
      <c r="I85" s="69" t="str">
        <f>IF(ISNUMBER(deployment_raw[[#This Row],[Column6]]), (deployment_raw[[#This Row],[Column6]] * IF($E$2="Deployment",deployment_raw[[#This Row],[Column5]],1)),"")</f>
        <v/>
      </c>
      <c r="J85" s="79" t="str">
        <f>IF(ISNUMBER(deployment_raw[[#This Row],[Column19]]), IF(K85&lt;&gt;0,(deployment_raw[[#This Row],[Column19]]/IF(OR($E$2="Deployment",deployment_raw[[#This Row],[Column5]]=0),1,deployment_raw[[#This Row],[Column5]]))/K85,0),"")</f>
        <v/>
      </c>
      <c r="K85" s="72" t="str">
        <f>IF(ISNUMBER(deployment_raw[[#This Row],[Column8]]), (deployment_raw[[#This Row],[Column8]]  * IF($E$2="Deployment",deployment_raw[[#This Row],[Column5]],1)),"")</f>
        <v/>
      </c>
      <c r="L8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5" s="81" t="str">
        <f>IF(ISNUMBER(deployment_raw[[#This Row],[Column20]]), IF(O85&lt;&gt;0,deployment_raw[[#This Row],[Column20]]/IF(OR($E$2="Deployment",deployment_raw[[#This Row],[Column5]]=0),1,deployment_raw[[#This Row],[Column5]])/1048576/O85,0),"")</f>
        <v/>
      </c>
      <c r="O85" s="74" t="str">
        <f>IF(ISNUMBER(deployment_raw[[#This Row],[Column7]]), (deployment_raw[[#This Row],[Column7]] * IF($E$2="Deployment",deployment_raw[[#This Row],[Column5]],1))/1048576,"")</f>
        <v/>
      </c>
      <c r="P85" s="81" t="str">
        <f>IF(ISNUMBER(deployment_raw[[#This Row],[Column20]]), IF(Q85&lt;&gt;0,deployment_raw[[#This Row],[Column20]]/IF(OR($E$2="Deployment",deployment_raw[[#This Row],[Column5]]=0),1,deployment_raw[[#This Row],[Column5]])/1048576/Q85,0),"")</f>
        <v/>
      </c>
      <c r="Q85" s="76" t="str">
        <f>IF(ISNUMBER(deployment_raw[[#This Row],[Column9]]), (deployment_raw[[#This Row],[Column9]] * IF($E$2="Deployment",deployment_raw[[#This Row],[Column5]],1))/1048576,"")</f>
        <v/>
      </c>
      <c r="R85" s="57" t="str">
        <f>IF(ISNUMBER(deployment_raw[[#This Row],[Column10]]), (deployment_raw[[#This Row],[Column10]] * IF($E$2="Deployment",deployment_raw[[#This Row],[Column5]],1)),"")</f>
        <v/>
      </c>
      <c r="S85" s="48" t="str">
        <f>IF(ISNUMBER(deployment_raw[[#This Row],[Column11]]), (deployment_raw[[#This Row],[Column11]] * IF($E$2="Deployment",deployment_raw[[#This Row],[Column5]],1))/1048576,"")</f>
        <v/>
      </c>
      <c r="T85" s="59" t="str">
        <f>IF(ISNUMBER(deployment_raw[[#This Row],[Column8]]),IF(OR(deployment_raw[[#This Row],[Column5]] &lt;&gt; 0,$E$2 &lt;&gt; "Deployment"), MAX(V85, ($T$2 * IF($E$2="Deployment",deployment_raw[[#This Row],[Column5]],1))), 0),"")</f>
        <v/>
      </c>
      <c r="U85" s="50" t="str">
        <f>IF(ISNUMBER(deployment_raw[[#This Row],[Column9]]),IF(OR(deployment_raw[[#This Row],[Column5]] &lt;&gt; 0,$E$2&lt;&gt;"Deployment"), MAX(W85, ($U$2 * IF($E$2="Deployment",deployment_raw[[#This Row],[Column5]],1))), 0),"")</f>
        <v/>
      </c>
      <c r="V85" s="15" t="str">
        <f>IF(ISNUMBER(deployment_raw[[#This Row],[Column12]]), (deployment_raw[[#This Row],[Column12]] * IF($E$2="Deployment",deployment_raw[[#This Row],[Column5]],1)*(1+$V$2)),"")</f>
        <v/>
      </c>
      <c r="W85" s="14" t="str">
        <f>IF(ISNUMBER(deployment_raw[[#This Row],[Column13]]), (deployment_raw[[#This Row],[Column13]] * IF($E$2="Deployment",deployment_raw[[#This Row],[Column5]],1)*(1+$W$2))/1048576,"")</f>
        <v/>
      </c>
    </row>
    <row r="86" spans="1:23" ht="15.75" customHeight="1" x14ac:dyDescent="0.25">
      <c r="A86" s="5" t="str">
        <f>IF(ISNONTEXT(deployment_raw[[#This Row],[Column1]]), "", deployment_raw[[#This Row],[Column1]])</f>
        <v/>
      </c>
      <c r="B86" s="6" t="str">
        <f>IF(ISNONTEXT(deployment_raw[[#This Row],[Column2]]), "", deployment_raw[[#This Row],[Column2]])</f>
        <v/>
      </c>
      <c r="C86" s="6" t="str">
        <f>IF(ISNONTEXT(deployment_raw[[#This Row],[Column3]]), "", deployment_raw[[#This Row],[Column3]])</f>
        <v/>
      </c>
      <c r="D86" s="6" t="str">
        <f>IF(ISNONTEXT(deployment_raw[[#This Row],[Column4]]), "", deployment_raw[[#This Row],[Column4]])</f>
        <v/>
      </c>
      <c r="E86" s="7" t="str">
        <f>IF(ISNUMBER(deployment_raw[[#This Row],[Column5]]), deployment_raw[[#This Row],[Column5]],"")</f>
        <v/>
      </c>
      <c r="F86" s="32" t="str">
        <f>IF(ISNUMBER(deployment_raw[[#This Row],[Column17]]), deployment_raw[[#This Row],[Column17]]/IF(OR($E$2="Deployment",deployment_raw[[#This Row],[Column5]]=0),1,deployment_raw[[#This Row],[Column5]]),"")</f>
        <v/>
      </c>
      <c r="G86" s="42" t="str">
        <f>IF(ISNUMBER(deployment_raw[[#This Row],[Column14]]), deployment_raw[[#This Row],[Column14]]/IF(OR($E$2="Deployment",deployment_raw[[#This Row],[Column5]]=0),1,deployment_raw[[#This Row],[Column5]]),"")</f>
        <v/>
      </c>
      <c r="H86" s="79" t="str">
        <f>IF(ISNUMBER(deployment_raw[[#This Row],[Column19]]), IF(I86&lt;&gt;0,(deployment_raw[[#This Row],[Column19]]/IF(OR($E$2="Deployment",deployment_raw[[#This Row],[Column5]]=0),1,deployment_raw[[#This Row],[Column5]]))/I86,0),"")</f>
        <v/>
      </c>
      <c r="I86" s="69" t="str">
        <f>IF(ISNUMBER(deployment_raw[[#This Row],[Column6]]), (deployment_raw[[#This Row],[Column6]] * IF($E$2="Deployment",deployment_raw[[#This Row],[Column5]],1)),"")</f>
        <v/>
      </c>
      <c r="J86" s="79" t="str">
        <f>IF(ISNUMBER(deployment_raw[[#This Row],[Column19]]), IF(K86&lt;&gt;0,(deployment_raw[[#This Row],[Column19]]/IF(OR($E$2="Deployment",deployment_raw[[#This Row],[Column5]]=0),1,deployment_raw[[#This Row],[Column5]]))/K86,0),"")</f>
        <v/>
      </c>
      <c r="K86" s="72" t="str">
        <f>IF(ISNUMBER(deployment_raw[[#This Row],[Column8]]), (deployment_raw[[#This Row],[Column8]]  * IF($E$2="Deployment",deployment_raw[[#This Row],[Column5]],1)),"")</f>
        <v/>
      </c>
      <c r="L8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6" s="81" t="str">
        <f>IF(ISNUMBER(deployment_raw[[#This Row],[Column20]]), IF(O86&lt;&gt;0,deployment_raw[[#This Row],[Column20]]/IF(OR($E$2="Deployment",deployment_raw[[#This Row],[Column5]]=0),1,deployment_raw[[#This Row],[Column5]])/1048576/O86,0),"")</f>
        <v/>
      </c>
      <c r="O86" s="74" t="str">
        <f>IF(ISNUMBER(deployment_raw[[#This Row],[Column7]]), (deployment_raw[[#This Row],[Column7]] * IF($E$2="Deployment",deployment_raw[[#This Row],[Column5]],1))/1048576,"")</f>
        <v/>
      </c>
      <c r="P86" s="81" t="str">
        <f>IF(ISNUMBER(deployment_raw[[#This Row],[Column20]]), IF(Q86&lt;&gt;0,deployment_raw[[#This Row],[Column20]]/IF(OR($E$2="Deployment",deployment_raw[[#This Row],[Column5]]=0),1,deployment_raw[[#This Row],[Column5]])/1048576/Q86,0),"")</f>
        <v/>
      </c>
      <c r="Q86" s="76" t="str">
        <f>IF(ISNUMBER(deployment_raw[[#This Row],[Column9]]), (deployment_raw[[#This Row],[Column9]] * IF($E$2="Deployment",deployment_raw[[#This Row],[Column5]],1))/1048576,"")</f>
        <v/>
      </c>
      <c r="R86" s="57" t="str">
        <f>IF(ISNUMBER(deployment_raw[[#This Row],[Column10]]), (deployment_raw[[#This Row],[Column10]] * IF($E$2="Deployment",deployment_raw[[#This Row],[Column5]],1)),"")</f>
        <v/>
      </c>
      <c r="S86" s="48" t="str">
        <f>IF(ISNUMBER(deployment_raw[[#This Row],[Column11]]), (deployment_raw[[#This Row],[Column11]] * IF($E$2="Deployment",deployment_raw[[#This Row],[Column5]],1))/1048576,"")</f>
        <v/>
      </c>
      <c r="T86" s="59" t="str">
        <f>IF(ISNUMBER(deployment_raw[[#This Row],[Column8]]),IF(OR(deployment_raw[[#This Row],[Column5]] &lt;&gt; 0,$E$2 &lt;&gt; "Deployment"), MAX(V86, ($T$2 * IF($E$2="Deployment",deployment_raw[[#This Row],[Column5]],1))), 0),"")</f>
        <v/>
      </c>
      <c r="U86" s="50" t="str">
        <f>IF(ISNUMBER(deployment_raw[[#This Row],[Column9]]),IF(OR(deployment_raw[[#This Row],[Column5]] &lt;&gt; 0,$E$2&lt;&gt;"Deployment"), MAX(W86, ($U$2 * IF($E$2="Deployment",deployment_raw[[#This Row],[Column5]],1))), 0),"")</f>
        <v/>
      </c>
      <c r="V86" s="15" t="str">
        <f>IF(ISNUMBER(deployment_raw[[#This Row],[Column12]]), (deployment_raw[[#This Row],[Column12]] * IF($E$2="Deployment",deployment_raw[[#This Row],[Column5]],1)*(1+$V$2)),"")</f>
        <v/>
      </c>
      <c r="W86" s="14" t="str">
        <f>IF(ISNUMBER(deployment_raw[[#This Row],[Column13]]), (deployment_raw[[#This Row],[Column13]] * IF($E$2="Deployment",deployment_raw[[#This Row],[Column5]],1)*(1+$W$2))/1048576,"")</f>
        <v/>
      </c>
    </row>
    <row r="87" spans="1:23" ht="15.75" customHeight="1" x14ac:dyDescent="0.25">
      <c r="A87" s="5" t="str">
        <f>IF(ISNONTEXT(deployment_raw[[#This Row],[Column1]]), "", deployment_raw[[#This Row],[Column1]])</f>
        <v/>
      </c>
      <c r="B87" s="6" t="str">
        <f>IF(ISNONTEXT(deployment_raw[[#This Row],[Column2]]), "", deployment_raw[[#This Row],[Column2]])</f>
        <v/>
      </c>
      <c r="C87" s="6" t="str">
        <f>IF(ISNONTEXT(deployment_raw[[#This Row],[Column3]]), "", deployment_raw[[#This Row],[Column3]])</f>
        <v/>
      </c>
      <c r="D87" s="6" t="str">
        <f>IF(ISNONTEXT(deployment_raw[[#This Row],[Column4]]), "", deployment_raw[[#This Row],[Column4]])</f>
        <v/>
      </c>
      <c r="E87" s="7" t="str">
        <f>IF(ISNUMBER(deployment_raw[[#This Row],[Column5]]), deployment_raw[[#This Row],[Column5]],"")</f>
        <v/>
      </c>
      <c r="F87" s="32" t="str">
        <f>IF(ISNUMBER(deployment_raw[[#This Row],[Column17]]), deployment_raw[[#This Row],[Column17]]/IF(OR($E$2="Deployment",deployment_raw[[#This Row],[Column5]]=0),1,deployment_raw[[#This Row],[Column5]]),"")</f>
        <v/>
      </c>
      <c r="G87" s="42" t="str">
        <f>IF(ISNUMBER(deployment_raw[[#This Row],[Column14]]), deployment_raw[[#This Row],[Column14]]/IF(OR($E$2="Deployment",deployment_raw[[#This Row],[Column5]]=0),1,deployment_raw[[#This Row],[Column5]]),"")</f>
        <v/>
      </c>
      <c r="H87" s="79" t="str">
        <f>IF(ISNUMBER(deployment_raw[[#This Row],[Column19]]), IF(I87&lt;&gt;0,(deployment_raw[[#This Row],[Column19]]/IF(OR($E$2="Deployment",deployment_raw[[#This Row],[Column5]]=0),1,deployment_raw[[#This Row],[Column5]]))/I87,0),"")</f>
        <v/>
      </c>
      <c r="I87" s="69" t="str">
        <f>IF(ISNUMBER(deployment_raw[[#This Row],[Column6]]), (deployment_raw[[#This Row],[Column6]] * IF($E$2="Deployment",deployment_raw[[#This Row],[Column5]],1)),"")</f>
        <v/>
      </c>
      <c r="J87" s="79" t="str">
        <f>IF(ISNUMBER(deployment_raw[[#This Row],[Column19]]), IF(K87&lt;&gt;0,(deployment_raw[[#This Row],[Column19]]/IF(OR($E$2="Deployment",deployment_raw[[#This Row],[Column5]]=0),1,deployment_raw[[#This Row],[Column5]]))/K87,0),"")</f>
        <v/>
      </c>
      <c r="K87" s="72" t="str">
        <f>IF(ISNUMBER(deployment_raw[[#This Row],[Column8]]), (deployment_raw[[#This Row],[Column8]]  * IF($E$2="Deployment",deployment_raw[[#This Row],[Column5]],1)),"")</f>
        <v/>
      </c>
      <c r="L8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7" s="81" t="str">
        <f>IF(ISNUMBER(deployment_raw[[#This Row],[Column20]]), IF(O87&lt;&gt;0,deployment_raw[[#This Row],[Column20]]/IF(OR($E$2="Deployment",deployment_raw[[#This Row],[Column5]]=0),1,deployment_raw[[#This Row],[Column5]])/1048576/O87,0),"")</f>
        <v/>
      </c>
      <c r="O87" s="74" t="str">
        <f>IF(ISNUMBER(deployment_raw[[#This Row],[Column7]]), (deployment_raw[[#This Row],[Column7]] * IF($E$2="Deployment",deployment_raw[[#This Row],[Column5]],1))/1048576,"")</f>
        <v/>
      </c>
      <c r="P87" s="81" t="str">
        <f>IF(ISNUMBER(deployment_raw[[#This Row],[Column20]]), IF(Q87&lt;&gt;0,deployment_raw[[#This Row],[Column20]]/IF(OR($E$2="Deployment",deployment_raw[[#This Row],[Column5]]=0),1,deployment_raw[[#This Row],[Column5]])/1048576/Q87,0),"")</f>
        <v/>
      </c>
      <c r="Q87" s="76" t="str">
        <f>IF(ISNUMBER(deployment_raw[[#This Row],[Column9]]), (deployment_raw[[#This Row],[Column9]] * IF($E$2="Deployment",deployment_raw[[#This Row],[Column5]],1))/1048576,"")</f>
        <v/>
      </c>
      <c r="R87" s="57" t="str">
        <f>IF(ISNUMBER(deployment_raw[[#This Row],[Column10]]), (deployment_raw[[#This Row],[Column10]] * IF($E$2="Deployment",deployment_raw[[#This Row],[Column5]],1)),"")</f>
        <v/>
      </c>
      <c r="S87" s="48" t="str">
        <f>IF(ISNUMBER(deployment_raw[[#This Row],[Column11]]), (deployment_raw[[#This Row],[Column11]] * IF($E$2="Deployment",deployment_raw[[#This Row],[Column5]],1))/1048576,"")</f>
        <v/>
      </c>
      <c r="T87" s="59" t="str">
        <f>IF(ISNUMBER(deployment_raw[[#This Row],[Column8]]),IF(OR(deployment_raw[[#This Row],[Column5]] &lt;&gt; 0,$E$2 &lt;&gt; "Deployment"), MAX(V87, ($T$2 * IF($E$2="Deployment",deployment_raw[[#This Row],[Column5]],1))), 0),"")</f>
        <v/>
      </c>
      <c r="U87" s="50" t="str">
        <f>IF(ISNUMBER(deployment_raw[[#This Row],[Column9]]),IF(OR(deployment_raw[[#This Row],[Column5]] &lt;&gt; 0,$E$2&lt;&gt;"Deployment"), MAX(W87, ($U$2 * IF($E$2="Deployment",deployment_raw[[#This Row],[Column5]],1))), 0),"")</f>
        <v/>
      </c>
      <c r="V87" s="15" t="str">
        <f>IF(ISNUMBER(deployment_raw[[#This Row],[Column12]]), (deployment_raw[[#This Row],[Column12]] * IF($E$2="Deployment",deployment_raw[[#This Row],[Column5]],1)*(1+$V$2)),"")</f>
        <v/>
      </c>
      <c r="W87" s="14" t="str">
        <f>IF(ISNUMBER(deployment_raw[[#This Row],[Column13]]), (deployment_raw[[#This Row],[Column13]] * IF($E$2="Deployment",deployment_raw[[#This Row],[Column5]],1)*(1+$W$2))/1048576,"")</f>
        <v/>
      </c>
    </row>
    <row r="88" spans="1:23" ht="15.75" customHeight="1" x14ac:dyDescent="0.25">
      <c r="A88" s="5" t="str">
        <f>IF(ISNONTEXT(deployment_raw[[#This Row],[Column1]]), "", deployment_raw[[#This Row],[Column1]])</f>
        <v/>
      </c>
      <c r="B88" s="6" t="str">
        <f>IF(ISNONTEXT(deployment_raw[[#This Row],[Column2]]), "", deployment_raw[[#This Row],[Column2]])</f>
        <v/>
      </c>
      <c r="C88" s="6" t="str">
        <f>IF(ISNONTEXT(deployment_raw[[#This Row],[Column3]]), "", deployment_raw[[#This Row],[Column3]])</f>
        <v/>
      </c>
      <c r="D88" s="6" t="str">
        <f>IF(ISNONTEXT(deployment_raw[[#This Row],[Column4]]), "", deployment_raw[[#This Row],[Column4]])</f>
        <v/>
      </c>
      <c r="E88" s="7" t="str">
        <f>IF(ISNUMBER(deployment_raw[[#This Row],[Column5]]), deployment_raw[[#This Row],[Column5]],"")</f>
        <v/>
      </c>
      <c r="F88" s="32" t="str">
        <f>IF(ISNUMBER(deployment_raw[[#This Row],[Column17]]), deployment_raw[[#This Row],[Column17]]/IF(OR($E$2="Deployment",deployment_raw[[#This Row],[Column5]]=0),1,deployment_raw[[#This Row],[Column5]]),"")</f>
        <v/>
      </c>
      <c r="G88" s="42" t="str">
        <f>IF(ISNUMBER(deployment_raw[[#This Row],[Column14]]), deployment_raw[[#This Row],[Column14]]/IF(OR($E$2="Deployment",deployment_raw[[#This Row],[Column5]]=0),1,deployment_raw[[#This Row],[Column5]]),"")</f>
        <v/>
      </c>
      <c r="H88" s="79" t="str">
        <f>IF(ISNUMBER(deployment_raw[[#This Row],[Column19]]), IF(I88&lt;&gt;0,(deployment_raw[[#This Row],[Column19]]/IF(OR($E$2="Deployment",deployment_raw[[#This Row],[Column5]]=0),1,deployment_raw[[#This Row],[Column5]]))/I88,0),"")</f>
        <v/>
      </c>
      <c r="I88" s="69" t="str">
        <f>IF(ISNUMBER(deployment_raw[[#This Row],[Column6]]), (deployment_raw[[#This Row],[Column6]] * IF($E$2="Deployment",deployment_raw[[#This Row],[Column5]],1)),"")</f>
        <v/>
      </c>
      <c r="J88" s="79" t="str">
        <f>IF(ISNUMBER(deployment_raw[[#This Row],[Column19]]), IF(K88&lt;&gt;0,(deployment_raw[[#This Row],[Column19]]/IF(OR($E$2="Deployment",deployment_raw[[#This Row],[Column5]]=0),1,deployment_raw[[#This Row],[Column5]]))/K88,0),"")</f>
        <v/>
      </c>
      <c r="K88" s="72" t="str">
        <f>IF(ISNUMBER(deployment_raw[[#This Row],[Column8]]), (deployment_raw[[#This Row],[Column8]]  * IF($E$2="Deployment",deployment_raw[[#This Row],[Column5]],1)),"")</f>
        <v/>
      </c>
      <c r="L8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8" s="81" t="str">
        <f>IF(ISNUMBER(deployment_raw[[#This Row],[Column20]]), IF(O88&lt;&gt;0,deployment_raw[[#This Row],[Column20]]/IF(OR($E$2="Deployment",deployment_raw[[#This Row],[Column5]]=0),1,deployment_raw[[#This Row],[Column5]])/1048576/O88,0),"")</f>
        <v/>
      </c>
      <c r="O88" s="74" t="str">
        <f>IF(ISNUMBER(deployment_raw[[#This Row],[Column7]]), (deployment_raw[[#This Row],[Column7]] * IF($E$2="Deployment",deployment_raw[[#This Row],[Column5]],1))/1048576,"")</f>
        <v/>
      </c>
      <c r="P88" s="81" t="str">
        <f>IF(ISNUMBER(deployment_raw[[#This Row],[Column20]]), IF(Q88&lt;&gt;0,deployment_raw[[#This Row],[Column20]]/IF(OR($E$2="Deployment",deployment_raw[[#This Row],[Column5]]=0),1,deployment_raw[[#This Row],[Column5]])/1048576/Q88,0),"")</f>
        <v/>
      </c>
      <c r="Q88" s="76" t="str">
        <f>IF(ISNUMBER(deployment_raw[[#This Row],[Column9]]), (deployment_raw[[#This Row],[Column9]] * IF($E$2="Deployment",deployment_raw[[#This Row],[Column5]],1))/1048576,"")</f>
        <v/>
      </c>
      <c r="R88" s="57" t="str">
        <f>IF(ISNUMBER(deployment_raw[[#This Row],[Column10]]), (deployment_raw[[#This Row],[Column10]] * IF($E$2="Deployment",deployment_raw[[#This Row],[Column5]],1)),"")</f>
        <v/>
      </c>
      <c r="S88" s="48" t="str">
        <f>IF(ISNUMBER(deployment_raw[[#This Row],[Column11]]), (deployment_raw[[#This Row],[Column11]] * IF($E$2="Deployment",deployment_raw[[#This Row],[Column5]],1))/1048576,"")</f>
        <v/>
      </c>
      <c r="T88" s="59" t="str">
        <f>IF(ISNUMBER(deployment_raw[[#This Row],[Column8]]),IF(OR(deployment_raw[[#This Row],[Column5]] &lt;&gt; 0,$E$2 &lt;&gt; "Deployment"), MAX(V88, ($T$2 * IF($E$2="Deployment",deployment_raw[[#This Row],[Column5]],1))), 0),"")</f>
        <v/>
      </c>
      <c r="U88" s="50" t="str">
        <f>IF(ISNUMBER(deployment_raw[[#This Row],[Column9]]),IF(OR(deployment_raw[[#This Row],[Column5]] &lt;&gt; 0,$E$2&lt;&gt;"Deployment"), MAX(W88, ($U$2 * IF($E$2="Deployment",deployment_raw[[#This Row],[Column5]],1))), 0),"")</f>
        <v/>
      </c>
      <c r="V88" s="15" t="str">
        <f>IF(ISNUMBER(deployment_raw[[#This Row],[Column12]]), (deployment_raw[[#This Row],[Column12]] * IF($E$2="Deployment",deployment_raw[[#This Row],[Column5]],1)*(1+$V$2)),"")</f>
        <v/>
      </c>
      <c r="W88" s="14" t="str">
        <f>IF(ISNUMBER(deployment_raw[[#This Row],[Column13]]), (deployment_raw[[#This Row],[Column13]] * IF($E$2="Deployment",deployment_raw[[#This Row],[Column5]],1)*(1+$W$2))/1048576,"")</f>
        <v/>
      </c>
    </row>
    <row r="89" spans="1:23" ht="15.75" customHeight="1" x14ac:dyDescent="0.25">
      <c r="A89" s="5" t="str">
        <f>IF(ISNONTEXT(deployment_raw[[#This Row],[Column1]]), "", deployment_raw[[#This Row],[Column1]])</f>
        <v/>
      </c>
      <c r="B89" s="6" t="str">
        <f>IF(ISNONTEXT(deployment_raw[[#This Row],[Column2]]), "", deployment_raw[[#This Row],[Column2]])</f>
        <v/>
      </c>
      <c r="C89" s="6" t="str">
        <f>IF(ISNONTEXT(deployment_raw[[#This Row],[Column3]]), "", deployment_raw[[#This Row],[Column3]])</f>
        <v/>
      </c>
      <c r="D89" s="6" t="str">
        <f>IF(ISNONTEXT(deployment_raw[[#This Row],[Column4]]), "", deployment_raw[[#This Row],[Column4]])</f>
        <v/>
      </c>
      <c r="E89" s="7" t="str">
        <f>IF(ISNUMBER(deployment_raw[[#This Row],[Column5]]), deployment_raw[[#This Row],[Column5]],"")</f>
        <v/>
      </c>
      <c r="F89" s="32" t="str">
        <f>IF(ISNUMBER(deployment_raw[[#This Row],[Column17]]), deployment_raw[[#This Row],[Column17]]/IF(OR($E$2="Deployment",deployment_raw[[#This Row],[Column5]]=0),1,deployment_raw[[#This Row],[Column5]]),"")</f>
        <v/>
      </c>
      <c r="G89" s="42" t="str">
        <f>IF(ISNUMBER(deployment_raw[[#This Row],[Column14]]), deployment_raw[[#This Row],[Column14]]/IF(OR($E$2="Deployment",deployment_raw[[#This Row],[Column5]]=0),1,deployment_raw[[#This Row],[Column5]]),"")</f>
        <v/>
      </c>
      <c r="H89" s="79" t="str">
        <f>IF(ISNUMBER(deployment_raw[[#This Row],[Column19]]), IF(I89&lt;&gt;0,(deployment_raw[[#This Row],[Column19]]/IF(OR($E$2="Deployment",deployment_raw[[#This Row],[Column5]]=0),1,deployment_raw[[#This Row],[Column5]]))/I89,0),"")</f>
        <v/>
      </c>
      <c r="I89" s="69" t="str">
        <f>IF(ISNUMBER(deployment_raw[[#This Row],[Column6]]), (deployment_raw[[#This Row],[Column6]] * IF($E$2="Deployment",deployment_raw[[#This Row],[Column5]],1)),"")</f>
        <v/>
      </c>
      <c r="J89" s="79" t="str">
        <f>IF(ISNUMBER(deployment_raw[[#This Row],[Column19]]), IF(K89&lt;&gt;0,(deployment_raw[[#This Row],[Column19]]/IF(OR($E$2="Deployment",deployment_raw[[#This Row],[Column5]]=0),1,deployment_raw[[#This Row],[Column5]]))/K89,0),"")</f>
        <v/>
      </c>
      <c r="K89" s="72" t="str">
        <f>IF(ISNUMBER(deployment_raw[[#This Row],[Column8]]), (deployment_raw[[#This Row],[Column8]]  * IF($E$2="Deployment",deployment_raw[[#This Row],[Column5]],1)),"")</f>
        <v/>
      </c>
      <c r="L8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9" s="81" t="str">
        <f>IF(ISNUMBER(deployment_raw[[#This Row],[Column20]]), IF(O89&lt;&gt;0,deployment_raw[[#This Row],[Column20]]/IF(OR($E$2="Deployment",deployment_raw[[#This Row],[Column5]]=0),1,deployment_raw[[#This Row],[Column5]])/1048576/O89,0),"")</f>
        <v/>
      </c>
      <c r="O89" s="74" t="str">
        <f>IF(ISNUMBER(deployment_raw[[#This Row],[Column7]]), (deployment_raw[[#This Row],[Column7]] * IF($E$2="Deployment",deployment_raw[[#This Row],[Column5]],1))/1048576,"")</f>
        <v/>
      </c>
      <c r="P89" s="81" t="str">
        <f>IF(ISNUMBER(deployment_raw[[#This Row],[Column20]]), IF(Q89&lt;&gt;0,deployment_raw[[#This Row],[Column20]]/IF(OR($E$2="Deployment",deployment_raw[[#This Row],[Column5]]=0),1,deployment_raw[[#This Row],[Column5]])/1048576/Q89,0),"")</f>
        <v/>
      </c>
      <c r="Q89" s="76" t="str">
        <f>IF(ISNUMBER(deployment_raw[[#This Row],[Column9]]), (deployment_raw[[#This Row],[Column9]] * IF($E$2="Deployment",deployment_raw[[#This Row],[Column5]],1))/1048576,"")</f>
        <v/>
      </c>
      <c r="R89" s="57" t="str">
        <f>IF(ISNUMBER(deployment_raw[[#This Row],[Column10]]), (deployment_raw[[#This Row],[Column10]] * IF($E$2="Deployment",deployment_raw[[#This Row],[Column5]],1)),"")</f>
        <v/>
      </c>
      <c r="S89" s="48" t="str">
        <f>IF(ISNUMBER(deployment_raw[[#This Row],[Column11]]), (deployment_raw[[#This Row],[Column11]] * IF($E$2="Deployment",deployment_raw[[#This Row],[Column5]],1))/1048576,"")</f>
        <v/>
      </c>
      <c r="T89" s="59" t="str">
        <f>IF(ISNUMBER(deployment_raw[[#This Row],[Column8]]),IF(OR(deployment_raw[[#This Row],[Column5]] &lt;&gt; 0,$E$2 &lt;&gt; "Deployment"), MAX(V89, ($T$2 * IF($E$2="Deployment",deployment_raw[[#This Row],[Column5]],1))), 0),"")</f>
        <v/>
      </c>
      <c r="U89" s="50" t="str">
        <f>IF(ISNUMBER(deployment_raw[[#This Row],[Column9]]),IF(OR(deployment_raw[[#This Row],[Column5]] &lt;&gt; 0,$E$2&lt;&gt;"Deployment"), MAX(W89, ($U$2 * IF($E$2="Deployment",deployment_raw[[#This Row],[Column5]],1))), 0),"")</f>
        <v/>
      </c>
      <c r="V89" s="15" t="str">
        <f>IF(ISNUMBER(deployment_raw[[#This Row],[Column12]]), (deployment_raw[[#This Row],[Column12]] * IF($E$2="Deployment",deployment_raw[[#This Row],[Column5]],1)*(1+$V$2)),"")</f>
        <v/>
      </c>
      <c r="W89" s="14" t="str">
        <f>IF(ISNUMBER(deployment_raw[[#This Row],[Column13]]), (deployment_raw[[#This Row],[Column13]] * IF($E$2="Deployment",deployment_raw[[#This Row],[Column5]],1)*(1+$W$2))/1048576,"")</f>
        <v/>
      </c>
    </row>
    <row r="90" spans="1:23" ht="15.75" customHeight="1" x14ac:dyDescent="0.25">
      <c r="A90" s="5" t="str">
        <f>IF(ISNONTEXT(deployment_raw[[#This Row],[Column1]]), "", deployment_raw[[#This Row],[Column1]])</f>
        <v/>
      </c>
      <c r="B90" s="6" t="str">
        <f>IF(ISNONTEXT(deployment_raw[[#This Row],[Column2]]), "", deployment_raw[[#This Row],[Column2]])</f>
        <v/>
      </c>
      <c r="C90" s="6" t="str">
        <f>IF(ISNONTEXT(deployment_raw[[#This Row],[Column3]]), "", deployment_raw[[#This Row],[Column3]])</f>
        <v/>
      </c>
      <c r="D90" s="6" t="str">
        <f>IF(ISNONTEXT(deployment_raw[[#This Row],[Column4]]), "", deployment_raw[[#This Row],[Column4]])</f>
        <v/>
      </c>
      <c r="E90" s="7" t="str">
        <f>IF(ISNUMBER(deployment_raw[[#This Row],[Column5]]), deployment_raw[[#This Row],[Column5]],"")</f>
        <v/>
      </c>
      <c r="F90" s="32" t="str">
        <f>IF(ISNUMBER(deployment_raw[[#This Row],[Column17]]), deployment_raw[[#This Row],[Column17]]/IF(OR($E$2="Deployment",deployment_raw[[#This Row],[Column5]]=0),1,deployment_raw[[#This Row],[Column5]]),"")</f>
        <v/>
      </c>
      <c r="G90" s="42" t="str">
        <f>IF(ISNUMBER(deployment_raw[[#This Row],[Column14]]), deployment_raw[[#This Row],[Column14]]/IF(OR($E$2="Deployment",deployment_raw[[#This Row],[Column5]]=0),1,deployment_raw[[#This Row],[Column5]]),"")</f>
        <v/>
      </c>
      <c r="H90" s="79" t="str">
        <f>IF(ISNUMBER(deployment_raw[[#This Row],[Column19]]), IF(I90&lt;&gt;0,(deployment_raw[[#This Row],[Column19]]/IF(OR($E$2="Deployment",deployment_raw[[#This Row],[Column5]]=0),1,deployment_raw[[#This Row],[Column5]]))/I90,0),"")</f>
        <v/>
      </c>
      <c r="I90" s="69" t="str">
        <f>IF(ISNUMBER(deployment_raw[[#This Row],[Column6]]), (deployment_raw[[#This Row],[Column6]] * IF($E$2="Deployment",deployment_raw[[#This Row],[Column5]],1)),"")</f>
        <v/>
      </c>
      <c r="J90" s="79" t="str">
        <f>IF(ISNUMBER(deployment_raw[[#This Row],[Column19]]), IF(K90&lt;&gt;0,(deployment_raw[[#This Row],[Column19]]/IF(OR($E$2="Deployment",deployment_raw[[#This Row],[Column5]]=0),1,deployment_raw[[#This Row],[Column5]]))/K90,0),"")</f>
        <v/>
      </c>
      <c r="K90" s="72" t="str">
        <f>IF(ISNUMBER(deployment_raw[[#This Row],[Column8]]), (deployment_raw[[#This Row],[Column8]]  * IF($E$2="Deployment",deployment_raw[[#This Row],[Column5]],1)),"")</f>
        <v/>
      </c>
      <c r="L9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0" s="81" t="str">
        <f>IF(ISNUMBER(deployment_raw[[#This Row],[Column20]]), IF(O90&lt;&gt;0,deployment_raw[[#This Row],[Column20]]/IF(OR($E$2="Deployment",deployment_raw[[#This Row],[Column5]]=0),1,deployment_raw[[#This Row],[Column5]])/1048576/O90,0),"")</f>
        <v/>
      </c>
      <c r="O90" s="74" t="str">
        <f>IF(ISNUMBER(deployment_raw[[#This Row],[Column7]]), (deployment_raw[[#This Row],[Column7]] * IF($E$2="Deployment",deployment_raw[[#This Row],[Column5]],1))/1048576,"")</f>
        <v/>
      </c>
      <c r="P90" s="81" t="str">
        <f>IF(ISNUMBER(deployment_raw[[#This Row],[Column20]]), IF(Q90&lt;&gt;0,deployment_raw[[#This Row],[Column20]]/IF(OR($E$2="Deployment",deployment_raw[[#This Row],[Column5]]=0),1,deployment_raw[[#This Row],[Column5]])/1048576/Q90,0),"")</f>
        <v/>
      </c>
      <c r="Q90" s="76" t="str">
        <f>IF(ISNUMBER(deployment_raw[[#This Row],[Column9]]), (deployment_raw[[#This Row],[Column9]] * IF($E$2="Deployment",deployment_raw[[#This Row],[Column5]],1))/1048576,"")</f>
        <v/>
      </c>
      <c r="R90" s="57" t="str">
        <f>IF(ISNUMBER(deployment_raw[[#This Row],[Column10]]), (deployment_raw[[#This Row],[Column10]] * IF($E$2="Deployment",deployment_raw[[#This Row],[Column5]],1)),"")</f>
        <v/>
      </c>
      <c r="S90" s="48" t="str">
        <f>IF(ISNUMBER(deployment_raw[[#This Row],[Column11]]), (deployment_raw[[#This Row],[Column11]] * IF($E$2="Deployment",deployment_raw[[#This Row],[Column5]],1))/1048576,"")</f>
        <v/>
      </c>
      <c r="T90" s="59" t="str">
        <f>IF(ISNUMBER(deployment_raw[[#This Row],[Column8]]),IF(OR(deployment_raw[[#This Row],[Column5]] &lt;&gt; 0,$E$2 &lt;&gt; "Deployment"), MAX(V90, ($T$2 * IF($E$2="Deployment",deployment_raw[[#This Row],[Column5]],1))), 0),"")</f>
        <v/>
      </c>
      <c r="U90" s="50" t="str">
        <f>IF(ISNUMBER(deployment_raw[[#This Row],[Column9]]),IF(OR(deployment_raw[[#This Row],[Column5]] &lt;&gt; 0,$E$2&lt;&gt;"Deployment"), MAX(W90, ($U$2 * IF($E$2="Deployment",deployment_raw[[#This Row],[Column5]],1))), 0),"")</f>
        <v/>
      </c>
      <c r="V90" s="15" t="str">
        <f>IF(ISNUMBER(deployment_raw[[#This Row],[Column12]]), (deployment_raw[[#This Row],[Column12]] * IF($E$2="Deployment",deployment_raw[[#This Row],[Column5]],1)*(1+$V$2)),"")</f>
        <v/>
      </c>
      <c r="W90" s="14" t="str">
        <f>IF(ISNUMBER(deployment_raw[[#This Row],[Column13]]), (deployment_raw[[#This Row],[Column13]] * IF($E$2="Deployment",deployment_raw[[#This Row],[Column5]],1)*(1+$W$2))/1048576,"")</f>
        <v/>
      </c>
    </row>
    <row r="91" spans="1:23" ht="15.75" customHeight="1" x14ac:dyDescent="0.25">
      <c r="A91" s="5" t="str">
        <f>IF(ISNONTEXT(deployment_raw[[#This Row],[Column1]]), "", deployment_raw[[#This Row],[Column1]])</f>
        <v/>
      </c>
      <c r="B91" s="6" t="str">
        <f>IF(ISNONTEXT(deployment_raw[[#This Row],[Column2]]), "", deployment_raw[[#This Row],[Column2]])</f>
        <v/>
      </c>
      <c r="C91" s="6" t="str">
        <f>IF(ISNONTEXT(deployment_raw[[#This Row],[Column3]]), "", deployment_raw[[#This Row],[Column3]])</f>
        <v/>
      </c>
      <c r="D91" s="6" t="str">
        <f>IF(ISNONTEXT(deployment_raw[[#This Row],[Column4]]), "", deployment_raw[[#This Row],[Column4]])</f>
        <v/>
      </c>
      <c r="E91" s="7" t="str">
        <f>IF(ISNUMBER(deployment_raw[[#This Row],[Column5]]), deployment_raw[[#This Row],[Column5]],"")</f>
        <v/>
      </c>
      <c r="F91" s="32" t="str">
        <f>IF(ISNUMBER(deployment_raw[[#This Row],[Column17]]), deployment_raw[[#This Row],[Column17]]/IF(OR($E$2="Deployment",deployment_raw[[#This Row],[Column5]]=0),1,deployment_raw[[#This Row],[Column5]]),"")</f>
        <v/>
      </c>
      <c r="G91" s="42" t="str">
        <f>IF(ISNUMBER(deployment_raw[[#This Row],[Column14]]), deployment_raw[[#This Row],[Column14]]/IF(OR($E$2="Deployment",deployment_raw[[#This Row],[Column5]]=0),1,deployment_raw[[#This Row],[Column5]]),"")</f>
        <v/>
      </c>
      <c r="H91" s="79" t="str">
        <f>IF(ISNUMBER(deployment_raw[[#This Row],[Column19]]), IF(I91&lt;&gt;0,(deployment_raw[[#This Row],[Column19]]/IF(OR($E$2="Deployment",deployment_raw[[#This Row],[Column5]]=0),1,deployment_raw[[#This Row],[Column5]]))/I91,0),"")</f>
        <v/>
      </c>
      <c r="I91" s="69" t="str">
        <f>IF(ISNUMBER(deployment_raw[[#This Row],[Column6]]), (deployment_raw[[#This Row],[Column6]] * IF($E$2="Deployment",deployment_raw[[#This Row],[Column5]],1)),"")</f>
        <v/>
      </c>
      <c r="J91" s="79" t="str">
        <f>IF(ISNUMBER(deployment_raw[[#This Row],[Column19]]), IF(K91&lt;&gt;0,(deployment_raw[[#This Row],[Column19]]/IF(OR($E$2="Deployment",deployment_raw[[#This Row],[Column5]]=0),1,deployment_raw[[#This Row],[Column5]]))/K91,0),"")</f>
        <v/>
      </c>
      <c r="K91" s="72" t="str">
        <f>IF(ISNUMBER(deployment_raw[[#This Row],[Column8]]), (deployment_raw[[#This Row],[Column8]]  * IF($E$2="Deployment",deployment_raw[[#This Row],[Column5]],1)),"")</f>
        <v/>
      </c>
      <c r="L9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1" s="81" t="str">
        <f>IF(ISNUMBER(deployment_raw[[#This Row],[Column20]]), IF(O91&lt;&gt;0,deployment_raw[[#This Row],[Column20]]/IF(OR($E$2="Deployment",deployment_raw[[#This Row],[Column5]]=0),1,deployment_raw[[#This Row],[Column5]])/1048576/O91,0),"")</f>
        <v/>
      </c>
      <c r="O91" s="74" t="str">
        <f>IF(ISNUMBER(deployment_raw[[#This Row],[Column7]]), (deployment_raw[[#This Row],[Column7]] * IF($E$2="Deployment",deployment_raw[[#This Row],[Column5]],1))/1048576,"")</f>
        <v/>
      </c>
      <c r="P91" s="81" t="str">
        <f>IF(ISNUMBER(deployment_raw[[#This Row],[Column20]]), IF(Q91&lt;&gt;0,deployment_raw[[#This Row],[Column20]]/IF(OR($E$2="Deployment",deployment_raw[[#This Row],[Column5]]=0),1,deployment_raw[[#This Row],[Column5]])/1048576/Q91,0),"")</f>
        <v/>
      </c>
      <c r="Q91" s="76" t="str">
        <f>IF(ISNUMBER(deployment_raw[[#This Row],[Column9]]), (deployment_raw[[#This Row],[Column9]] * IF($E$2="Deployment",deployment_raw[[#This Row],[Column5]],1))/1048576,"")</f>
        <v/>
      </c>
      <c r="R91" s="57" t="str">
        <f>IF(ISNUMBER(deployment_raw[[#This Row],[Column10]]), (deployment_raw[[#This Row],[Column10]] * IF($E$2="Deployment",deployment_raw[[#This Row],[Column5]],1)),"")</f>
        <v/>
      </c>
      <c r="S91" s="48" t="str">
        <f>IF(ISNUMBER(deployment_raw[[#This Row],[Column11]]), (deployment_raw[[#This Row],[Column11]] * IF($E$2="Deployment",deployment_raw[[#This Row],[Column5]],1))/1048576,"")</f>
        <v/>
      </c>
      <c r="T91" s="59" t="str">
        <f>IF(ISNUMBER(deployment_raw[[#This Row],[Column8]]),IF(OR(deployment_raw[[#This Row],[Column5]] &lt;&gt; 0,$E$2 &lt;&gt; "Deployment"), MAX(V91, ($T$2 * IF($E$2="Deployment",deployment_raw[[#This Row],[Column5]],1))), 0),"")</f>
        <v/>
      </c>
      <c r="U91" s="50" t="str">
        <f>IF(ISNUMBER(deployment_raw[[#This Row],[Column9]]),IF(OR(deployment_raw[[#This Row],[Column5]] &lt;&gt; 0,$E$2&lt;&gt;"Deployment"), MAX(W91, ($U$2 * IF($E$2="Deployment",deployment_raw[[#This Row],[Column5]],1))), 0),"")</f>
        <v/>
      </c>
      <c r="V91" s="15" t="str">
        <f>IF(ISNUMBER(deployment_raw[[#This Row],[Column12]]), (deployment_raw[[#This Row],[Column12]] * IF($E$2="Deployment",deployment_raw[[#This Row],[Column5]],1)*(1+$V$2)),"")</f>
        <v/>
      </c>
      <c r="W91" s="14" t="str">
        <f>IF(ISNUMBER(deployment_raw[[#This Row],[Column13]]), (deployment_raw[[#This Row],[Column13]] * IF($E$2="Deployment",deployment_raw[[#This Row],[Column5]],1)*(1+$W$2))/1048576,"")</f>
        <v/>
      </c>
    </row>
    <row r="92" spans="1:23" ht="15.75" customHeight="1" x14ac:dyDescent="0.25">
      <c r="A92" s="5" t="str">
        <f>IF(ISNONTEXT(deployment_raw[[#This Row],[Column1]]), "", deployment_raw[[#This Row],[Column1]])</f>
        <v/>
      </c>
      <c r="B92" s="6" t="str">
        <f>IF(ISNONTEXT(deployment_raw[[#This Row],[Column2]]), "", deployment_raw[[#This Row],[Column2]])</f>
        <v/>
      </c>
      <c r="C92" s="6" t="str">
        <f>IF(ISNONTEXT(deployment_raw[[#This Row],[Column3]]), "", deployment_raw[[#This Row],[Column3]])</f>
        <v/>
      </c>
      <c r="D92" s="6" t="str">
        <f>IF(ISNONTEXT(deployment_raw[[#This Row],[Column4]]), "", deployment_raw[[#This Row],[Column4]])</f>
        <v/>
      </c>
      <c r="E92" s="7" t="str">
        <f>IF(ISNUMBER(deployment_raw[[#This Row],[Column5]]), deployment_raw[[#This Row],[Column5]],"")</f>
        <v/>
      </c>
      <c r="F92" s="32" t="str">
        <f>IF(ISNUMBER(deployment_raw[[#This Row],[Column17]]), deployment_raw[[#This Row],[Column17]]/IF(OR($E$2="Deployment",deployment_raw[[#This Row],[Column5]]=0),1,deployment_raw[[#This Row],[Column5]]),"")</f>
        <v/>
      </c>
      <c r="G92" s="42" t="str">
        <f>IF(ISNUMBER(deployment_raw[[#This Row],[Column14]]), deployment_raw[[#This Row],[Column14]]/IF(OR($E$2="Deployment",deployment_raw[[#This Row],[Column5]]=0),1,deployment_raw[[#This Row],[Column5]]),"")</f>
        <v/>
      </c>
      <c r="H92" s="79" t="str">
        <f>IF(ISNUMBER(deployment_raw[[#This Row],[Column19]]), IF(I92&lt;&gt;0,(deployment_raw[[#This Row],[Column19]]/IF(OR($E$2="Deployment",deployment_raw[[#This Row],[Column5]]=0),1,deployment_raw[[#This Row],[Column5]]))/I92,0),"")</f>
        <v/>
      </c>
      <c r="I92" s="69" t="str">
        <f>IF(ISNUMBER(deployment_raw[[#This Row],[Column6]]), (deployment_raw[[#This Row],[Column6]] * IF($E$2="Deployment",deployment_raw[[#This Row],[Column5]],1)),"")</f>
        <v/>
      </c>
      <c r="J92" s="79" t="str">
        <f>IF(ISNUMBER(deployment_raw[[#This Row],[Column19]]), IF(K92&lt;&gt;0,(deployment_raw[[#This Row],[Column19]]/IF(OR($E$2="Deployment",deployment_raw[[#This Row],[Column5]]=0),1,deployment_raw[[#This Row],[Column5]]))/K92,0),"")</f>
        <v/>
      </c>
      <c r="K92" s="72" t="str">
        <f>IF(ISNUMBER(deployment_raw[[#This Row],[Column8]]), (deployment_raw[[#This Row],[Column8]]  * IF($E$2="Deployment",deployment_raw[[#This Row],[Column5]],1)),"")</f>
        <v/>
      </c>
      <c r="L9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2" s="81" t="str">
        <f>IF(ISNUMBER(deployment_raw[[#This Row],[Column20]]), IF(O92&lt;&gt;0,deployment_raw[[#This Row],[Column20]]/IF(OR($E$2="Deployment",deployment_raw[[#This Row],[Column5]]=0),1,deployment_raw[[#This Row],[Column5]])/1048576/O92,0),"")</f>
        <v/>
      </c>
      <c r="O92" s="74" t="str">
        <f>IF(ISNUMBER(deployment_raw[[#This Row],[Column7]]), (deployment_raw[[#This Row],[Column7]] * IF($E$2="Deployment",deployment_raw[[#This Row],[Column5]],1))/1048576,"")</f>
        <v/>
      </c>
      <c r="P92" s="81" t="str">
        <f>IF(ISNUMBER(deployment_raw[[#This Row],[Column20]]), IF(Q92&lt;&gt;0,deployment_raw[[#This Row],[Column20]]/IF(OR($E$2="Deployment",deployment_raw[[#This Row],[Column5]]=0),1,deployment_raw[[#This Row],[Column5]])/1048576/Q92,0),"")</f>
        <v/>
      </c>
      <c r="Q92" s="76" t="str">
        <f>IF(ISNUMBER(deployment_raw[[#This Row],[Column9]]), (deployment_raw[[#This Row],[Column9]] * IF($E$2="Deployment",deployment_raw[[#This Row],[Column5]],1))/1048576,"")</f>
        <v/>
      </c>
      <c r="R92" s="57" t="str">
        <f>IF(ISNUMBER(deployment_raw[[#This Row],[Column10]]), (deployment_raw[[#This Row],[Column10]] * IF($E$2="Deployment",deployment_raw[[#This Row],[Column5]],1)),"")</f>
        <v/>
      </c>
      <c r="S92" s="48" t="str">
        <f>IF(ISNUMBER(deployment_raw[[#This Row],[Column11]]), (deployment_raw[[#This Row],[Column11]] * IF($E$2="Deployment",deployment_raw[[#This Row],[Column5]],1))/1048576,"")</f>
        <v/>
      </c>
      <c r="T92" s="59" t="str">
        <f>IF(ISNUMBER(deployment_raw[[#This Row],[Column8]]),IF(OR(deployment_raw[[#This Row],[Column5]] &lt;&gt; 0,$E$2 &lt;&gt; "Deployment"), MAX(V92, ($T$2 * IF($E$2="Deployment",deployment_raw[[#This Row],[Column5]],1))), 0),"")</f>
        <v/>
      </c>
      <c r="U92" s="50" t="str">
        <f>IF(ISNUMBER(deployment_raw[[#This Row],[Column9]]),IF(OR(deployment_raw[[#This Row],[Column5]] &lt;&gt; 0,$E$2&lt;&gt;"Deployment"), MAX(W92, ($U$2 * IF($E$2="Deployment",deployment_raw[[#This Row],[Column5]],1))), 0),"")</f>
        <v/>
      </c>
      <c r="V92" s="15" t="str">
        <f>IF(ISNUMBER(deployment_raw[[#This Row],[Column12]]), (deployment_raw[[#This Row],[Column12]] * IF($E$2="Deployment",deployment_raw[[#This Row],[Column5]],1)*(1+$V$2)),"")</f>
        <v/>
      </c>
      <c r="W92" s="14" t="str">
        <f>IF(ISNUMBER(deployment_raw[[#This Row],[Column13]]), (deployment_raw[[#This Row],[Column13]] * IF($E$2="Deployment",deployment_raw[[#This Row],[Column5]],1)*(1+$W$2))/1048576,"")</f>
        <v/>
      </c>
    </row>
    <row r="93" spans="1:23" ht="15.75" customHeight="1" x14ac:dyDescent="0.25">
      <c r="A93" s="5" t="str">
        <f>IF(ISNONTEXT(deployment_raw[[#This Row],[Column1]]), "", deployment_raw[[#This Row],[Column1]])</f>
        <v/>
      </c>
      <c r="B93" s="6" t="str">
        <f>IF(ISNONTEXT(deployment_raw[[#This Row],[Column2]]), "", deployment_raw[[#This Row],[Column2]])</f>
        <v/>
      </c>
      <c r="C93" s="6" t="str">
        <f>IF(ISNONTEXT(deployment_raw[[#This Row],[Column3]]), "", deployment_raw[[#This Row],[Column3]])</f>
        <v/>
      </c>
      <c r="D93" s="6" t="str">
        <f>IF(ISNONTEXT(deployment_raw[[#This Row],[Column4]]), "", deployment_raw[[#This Row],[Column4]])</f>
        <v/>
      </c>
      <c r="E93" s="7" t="str">
        <f>IF(ISNUMBER(deployment_raw[[#This Row],[Column5]]), deployment_raw[[#This Row],[Column5]],"")</f>
        <v/>
      </c>
      <c r="F93" s="32" t="str">
        <f>IF(ISNUMBER(deployment_raw[[#This Row],[Column17]]), deployment_raw[[#This Row],[Column17]]/IF(OR($E$2="Deployment",deployment_raw[[#This Row],[Column5]]=0),1,deployment_raw[[#This Row],[Column5]]),"")</f>
        <v/>
      </c>
      <c r="G93" s="42" t="str">
        <f>IF(ISNUMBER(deployment_raw[[#This Row],[Column14]]), deployment_raw[[#This Row],[Column14]]/IF(OR($E$2="Deployment",deployment_raw[[#This Row],[Column5]]=0),1,deployment_raw[[#This Row],[Column5]]),"")</f>
        <v/>
      </c>
      <c r="H93" s="79" t="str">
        <f>IF(ISNUMBER(deployment_raw[[#This Row],[Column19]]), IF(I93&lt;&gt;0,(deployment_raw[[#This Row],[Column19]]/IF(OR($E$2="Deployment",deployment_raw[[#This Row],[Column5]]=0),1,deployment_raw[[#This Row],[Column5]]))/I93,0),"")</f>
        <v/>
      </c>
      <c r="I93" s="69" t="str">
        <f>IF(ISNUMBER(deployment_raw[[#This Row],[Column6]]), (deployment_raw[[#This Row],[Column6]] * IF($E$2="Deployment",deployment_raw[[#This Row],[Column5]],1)),"")</f>
        <v/>
      </c>
      <c r="J93" s="79" t="str">
        <f>IF(ISNUMBER(deployment_raw[[#This Row],[Column19]]), IF(K93&lt;&gt;0,(deployment_raw[[#This Row],[Column19]]/IF(OR($E$2="Deployment",deployment_raw[[#This Row],[Column5]]=0),1,deployment_raw[[#This Row],[Column5]]))/K93,0),"")</f>
        <v/>
      </c>
      <c r="K93" s="72" t="str">
        <f>IF(ISNUMBER(deployment_raw[[#This Row],[Column8]]), (deployment_raw[[#This Row],[Column8]]  * IF($E$2="Deployment",deployment_raw[[#This Row],[Column5]],1)),"")</f>
        <v/>
      </c>
      <c r="L9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3" s="81" t="str">
        <f>IF(ISNUMBER(deployment_raw[[#This Row],[Column20]]), IF(O93&lt;&gt;0,deployment_raw[[#This Row],[Column20]]/IF(OR($E$2="Deployment",deployment_raw[[#This Row],[Column5]]=0),1,deployment_raw[[#This Row],[Column5]])/1048576/O93,0),"")</f>
        <v/>
      </c>
      <c r="O93" s="74" t="str">
        <f>IF(ISNUMBER(deployment_raw[[#This Row],[Column7]]), (deployment_raw[[#This Row],[Column7]] * IF($E$2="Deployment",deployment_raw[[#This Row],[Column5]],1))/1048576,"")</f>
        <v/>
      </c>
      <c r="P93" s="81" t="str">
        <f>IF(ISNUMBER(deployment_raw[[#This Row],[Column20]]), IF(Q93&lt;&gt;0,deployment_raw[[#This Row],[Column20]]/IF(OR($E$2="Deployment",deployment_raw[[#This Row],[Column5]]=0),1,deployment_raw[[#This Row],[Column5]])/1048576/Q93,0),"")</f>
        <v/>
      </c>
      <c r="Q93" s="76" t="str">
        <f>IF(ISNUMBER(deployment_raw[[#This Row],[Column9]]), (deployment_raw[[#This Row],[Column9]] * IF($E$2="Deployment",deployment_raw[[#This Row],[Column5]],1))/1048576,"")</f>
        <v/>
      </c>
      <c r="R93" s="57" t="str">
        <f>IF(ISNUMBER(deployment_raw[[#This Row],[Column10]]), (deployment_raw[[#This Row],[Column10]] * IF($E$2="Deployment",deployment_raw[[#This Row],[Column5]],1)),"")</f>
        <v/>
      </c>
      <c r="S93" s="48" t="str">
        <f>IF(ISNUMBER(deployment_raw[[#This Row],[Column11]]), (deployment_raw[[#This Row],[Column11]] * IF($E$2="Deployment",deployment_raw[[#This Row],[Column5]],1))/1048576,"")</f>
        <v/>
      </c>
      <c r="T93" s="59" t="str">
        <f>IF(ISNUMBER(deployment_raw[[#This Row],[Column8]]),IF(OR(deployment_raw[[#This Row],[Column5]] &lt;&gt; 0,$E$2 &lt;&gt; "Deployment"), MAX(V93, ($T$2 * IF($E$2="Deployment",deployment_raw[[#This Row],[Column5]],1))), 0),"")</f>
        <v/>
      </c>
      <c r="U93" s="50" t="str">
        <f>IF(ISNUMBER(deployment_raw[[#This Row],[Column9]]),IF(OR(deployment_raw[[#This Row],[Column5]] &lt;&gt; 0,$E$2&lt;&gt;"Deployment"), MAX(W93, ($U$2 * IF($E$2="Deployment",deployment_raw[[#This Row],[Column5]],1))), 0),"")</f>
        <v/>
      </c>
      <c r="V93" s="15" t="str">
        <f>IF(ISNUMBER(deployment_raw[[#This Row],[Column12]]), (deployment_raw[[#This Row],[Column12]] * IF($E$2="Deployment",deployment_raw[[#This Row],[Column5]],1)*(1+$V$2)),"")</f>
        <v/>
      </c>
      <c r="W93" s="14" t="str">
        <f>IF(ISNUMBER(deployment_raw[[#This Row],[Column13]]), (deployment_raw[[#This Row],[Column13]] * IF($E$2="Deployment",deployment_raw[[#This Row],[Column5]],1)*(1+$W$2))/1048576,"")</f>
        <v/>
      </c>
    </row>
    <row r="94" spans="1:23" ht="15.75" customHeight="1" x14ac:dyDescent="0.25">
      <c r="A94" s="5" t="str">
        <f>IF(ISNONTEXT(deployment_raw[[#This Row],[Column1]]), "", deployment_raw[[#This Row],[Column1]])</f>
        <v/>
      </c>
      <c r="B94" s="6" t="str">
        <f>IF(ISNONTEXT(deployment_raw[[#This Row],[Column2]]), "", deployment_raw[[#This Row],[Column2]])</f>
        <v/>
      </c>
      <c r="C94" s="6" t="str">
        <f>IF(ISNONTEXT(deployment_raw[[#This Row],[Column3]]), "", deployment_raw[[#This Row],[Column3]])</f>
        <v/>
      </c>
      <c r="D94" s="6" t="str">
        <f>IF(ISNONTEXT(deployment_raw[[#This Row],[Column4]]), "", deployment_raw[[#This Row],[Column4]])</f>
        <v/>
      </c>
      <c r="E94" s="7" t="str">
        <f>IF(ISNUMBER(deployment_raw[[#This Row],[Column5]]), deployment_raw[[#This Row],[Column5]],"")</f>
        <v/>
      </c>
      <c r="F94" s="32" t="str">
        <f>IF(ISNUMBER(deployment_raw[[#This Row],[Column17]]), deployment_raw[[#This Row],[Column17]]/IF(OR($E$2="Deployment",deployment_raw[[#This Row],[Column5]]=0),1,deployment_raw[[#This Row],[Column5]]),"")</f>
        <v/>
      </c>
      <c r="G94" s="42" t="str">
        <f>IF(ISNUMBER(deployment_raw[[#This Row],[Column14]]), deployment_raw[[#This Row],[Column14]]/IF(OR($E$2="Deployment",deployment_raw[[#This Row],[Column5]]=0),1,deployment_raw[[#This Row],[Column5]]),"")</f>
        <v/>
      </c>
      <c r="H94" s="79" t="str">
        <f>IF(ISNUMBER(deployment_raw[[#This Row],[Column19]]), IF(I94&lt;&gt;0,(deployment_raw[[#This Row],[Column19]]/IF(OR($E$2="Deployment",deployment_raw[[#This Row],[Column5]]=0),1,deployment_raw[[#This Row],[Column5]]))/I94,0),"")</f>
        <v/>
      </c>
      <c r="I94" s="69" t="str">
        <f>IF(ISNUMBER(deployment_raw[[#This Row],[Column6]]), (deployment_raw[[#This Row],[Column6]] * IF($E$2="Deployment",deployment_raw[[#This Row],[Column5]],1)),"")</f>
        <v/>
      </c>
      <c r="J94" s="79" t="str">
        <f>IF(ISNUMBER(deployment_raw[[#This Row],[Column19]]), IF(K94&lt;&gt;0,(deployment_raw[[#This Row],[Column19]]/IF(OR($E$2="Deployment",deployment_raw[[#This Row],[Column5]]=0),1,deployment_raw[[#This Row],[Column5]]))/K94,0),"")</f>
        <v/>
      </c>
      <c r="K94" s="72" t="str">
        <f>IF(ISNUMBER(deployment_raw[[#This Row],[Column8]]), (deployment_raw[[#This Row],[Column8]]  * IF($E$2="Deployment",deployment_raw[[#This Row],[Column5]],1)),"")</f>
        <v/>
      </c>
      <c r="L9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4" s="81" t="str">
        <f>IF(ISNUMBER(deployment_raw[[#This Row],[Column20]]), IF(O94&lt;&gt;0,deployment_raw[[#This Row],[Column20]]/IF(OR($E$2="Deployment",deployment_raw[[#This Row],[Column5]]=0),1,deployment_raw[[#This Row],[Column5]])/1048576/O94,0),"")</f>
        <v/>
      </c>
      <c r="O94" s="74" t="str">
        <f>IF(ISNUMBER(deployment_raw[[#This Row],[Column7]]), (deployment_raw[[#This Row],[Column7]] * IF($E$2="Deployment",deployment_raw[[#This Row],[Column5]],1))/1048576,"")</f>
        <v/>
      </c>
      <c r="P94" s="81" t="str">
        <f>IF(ISNUMBER(deployment_raw[[#This Row],[Column20]]), IF(Q94&lt;&gt;0,deployment_raw[[#This Row],[Column20]]/IF(OR($E$2="Deployment",deployment_raw[[#This Row],[Column5]]=0),1,deployment_raw[[#This Row],[Column5]])/1048576/Q94,0),"")</f>
        <v/>
      </c>
      <c r="Q94" s="76" t="str">
        <f>IF(ISNUMBER(deployment_raw[[#This Row],[Column9]]), (deployment_raw[[#This Row],[Column9]] * IF($E$2="Deployment",deployment_raw[[#This Row],[Column5]],1))/1048576,"")</f>
        <v/>
      </c>
      <c r="R94" s="57" t="str">
        <f>IF(ISNUMBER(deployment_raw[[#This Row],[Column10]]), (deployment_raw[[#This Row],[Column10]] * IF($E$2="Deployment",deployment_raw[[#This Row],[Column5]],1)),"")</f>
        <v/>
      </c>
      <c r="S94" s="48" t="str">
        <f>IF(ISNUMBER(deployment_raw[[#This Row],[Column11]]), (deployment_raw[[#This Row],[Column11]] * IF($E$2="Deployment",deployment_raw[[#This Row],[Column5]],1))/1048576,"")</f>
        <v/>
      </c>
      <c r="T94" s="59" t="str">
        <f>IF(ISNUMBER(deployment_raw[[#This Row],[Column8]]),IF(OR(deployment_raw[[#This Row],[Column5]] &lt;&gt; 0,$E$2 &lt;&gt; "Deployment"), MAX(V94, ($T$2 * IF($E$2="Deployment",deployment_raw[[#This Row],[Column5]],1))), 0),"")</f>
        <v/>
      </c>
      <c r="U94" s="50" t="str">
        <f>IF(ISNUMBER(deployment_raw[[#This Row],[Column9]]),IF(OR(deployment_raw[[#This Row],[Column5]] &lt;&gt; 0,$E$2&lt;&gt;"Deployment"), MAX(W94, ($U$2 * IF($E$2="Deployment",deployment_raw[[#This Row],[Column5]],1))), 0),"")</f>
        <v/>
      </c>
      <c r="V94" s="15" t="str">
        <f>IF(ISNUMBER(deployment_raw[[#This Row],[Column12]]), (deployment_raw[[#This Row],[Column12]] * IF($E$2="Deployment",deployment_raw[[#This Row],[Column5]],1)*(1+$V$2)),"")</f>
        <v/>
      </c>
      <c r="W94" s="14" t="str">
        <f>IF(ISNUMBER(deployment_raw[[#This Row],[Column13]]), (deployment_raw[[#This Row],[Column13]] * IF($E$2="Deployment",deployment_raw[[#This Row],[Column5]],1)*(1+$W$2))/1048576,"")</f>
        <v/>
      </c>
    </row>
    <row r="95" spans="1:23" ht="15.75" customHeight="1" x14ac:dyDescent="0.25">
      <c r="A95" s="5" t="str">
        <f>IF(ISNONTEXT(deployment_raw[[#This Row],[Column1]]), "", deployment_raw[[#This Row],[Column1]])</f>
        <v/>
      </c>
      <c r="B95" s="6" t="str">
        <f>IF(ISNONTEXT(deployment_raw[[#This Row],[Column2]]), "", deployment_raw[[#This Row],[Column2]])</f>
        <v/>
      </c>
      <c r="C95" s="6" t="str">
        <f>IF(ISNONTEXT(deployment_raw[[#This Row],[Column3]]), "", deployment_raw[[#This Row],[Column3]])</f>
        <v/>
      </c>
      <c r="D95" s="6" t="str">
        <f>IF(ISNONTEXT(deployment_raw[[#This Row],[Column4]]), "", deployment_raw[[#This Row],[Column4]])</f>
        <v/>
      </c>
      <c r="E95" s="7" t="str">
        <f>IF(ISNUMBER(deployment_raw[[#This Row],[Column5]]), deployment_raw[[#This Row],[Column5]],"")</f>
        <v/>
      </c>
      <c r="F95" s="32" t="str">
        <f>IF(ISNUMBER(deployment_raw[[#This Row],[Column17]]), deployment_raw[[#This Row],[Column17]]/IF(OR($E$2="Deployment",deployment_raw[[#This Row],[Column5]]=0),1,deployment_raw[[#This Row],[Column5]]),"")</f>
        <v/>
      </c>
      <c r="G95" s="42" t="str">
        <f>IF(ISNUMBER(deployment_raw[[#This Row],[Column14]]), deployment_raw[[#This Row],[Column14]]/IF(OR($E$2="Deployment",deployment_raw[[#This Row],[Column5]]=0),1,deployment_raw[[#This Row],[Column5]]),"")</f>
        <v/>
      </c>
      <c r="H95" s="79" t="str">
        <f>IF(ISNUMBER(deployment_raw[[#This Row],[Column19]]), IF(I95&lt;&gt;0,(deployment_raw[[#This Row],[Column19]]/IF(OR($E$2="Deployment",deployment_raw[[#This Row],[Column5]]=0),1,deployment_raw[[#This Row],[Column5]]))/I95,0),"")</f>
        <v/>
      </c>
      <c r="I95" s="69" t="str">
        <f>IF(ISNUMBER(deployment_raw[[#This Row],[Column6]]), (deployment_raw[[#This Row],[Column6]] * IF($E$2="Deployment",deployment_raw[[#This Row],[Column5]],1)),"")</f>
        <v/>
      </c>
      <c r="J95" s="79" t="str">
        <f>IF(ISNUMBER(deployment_raw[[#This Row],[Column19]]), IF(K95&lt;&gt;0,(deployment_raw[[#This Row],[Column19]]/IF(OR($E$2="Deployment",deployment_raw[[#This Row],[Column5]]=0),1,deployment_raw[[#This Row],[Column5]]))/K95,0),"")</f>
        <v/>
      </c>
      <c r="K95" s="72" t="str">
        <f>IF(ISNUMBER(deployment_raw[[#This Row],[Column8]]), (deployment_raw[[#This Row],[Column8]]  * IF($E$2="Deployment",deployment_raw[[#This Row],[Column5]],1)),"")</f>
        <v/>
      </c>
      <c r="L9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5" s="81" t="str">
        <f>IF(ISNUMBER(deployment_raw[[#This Row],[Column20]]), IF(O95&lt;&gt;0,deployment_raw[[#This Row],[Column20]]/IF(OR($E$2="Deployment",deployment_raw[[#This Row],[Column5]]=0),1,deployment_raw[[#This Row],[Column5]])/1048576/O95,0),"")</f>
        <v/>
      </c>
      <c r="O95" s="74" t="str">
        <f>IF(ISNUMBER(deployment_raw[[#This Row],[Column7]]), (deployment_raw[[#This Row],[Column7]] * IF($E$2="Deployment",deployment_raw[[#This Row],[Column5]],1))/1048576,"")</f>
        <v/>
      </c>
      <c r="P95" s="81" t="str">
        <f>IF(ISNUMBER(deployment_raw[[#This Row],[Column20]]), IF(Q95&lt;&gt;0,deployment_raw[[#This Row],[Column20]]/IF(OR($E$2="Deployment",deployment_raw[[#This Row],[Column5]]=0),1,deployment_raw[[#This Row],[Column5]])/1048576/Q95,0),"")</f>
        <v/>
      </c>
      <c r="Q95" s="76" t="str">
        <f>IF(ISNUMBER(deployment_raw[[#This Row],[Column9]]), (deployment_raw[[#This Row],[Column9]] * IF($E$2="Deployment",deployment_raw[[#This Row],[Column5]],1))/1048576,"")</f>
        <v/>
      </c>
      <c r="R95" s="57" t="str">
        <f>IF(ISNUMBER(deployment_raw[[#This Row],[Column10]]), (deployment_raw[[#This Row],[Column10]] * IF($E$2="Deployment",deployment_raw[[#This Row],[Column5]],1)),"")</f>
        <v/>
      </c>
      <c r="S95" s="48" t="str">
        <f>IF(ISNUMBER(deployment_raw[[#This Row],[Column11]]), (deployment_raw[[#This Row],[Column11]] * IF($E$2="Deployment",deployment_raw[[#This Row],[Column5]],1))/1048576,"")</f>
        <v/>
      </c>
      <c r="T95" s="59" t="str">
        <f>IF(ISNUMBER(deployment_raw[[#This Row],[Column8]]),IF(OR(deployment_raw[[#This Row],[Column5]] &lt;&gt; 0,$E$2 &lt;&gt; "Deployment"), MAX(V95, ($T$2 * IF($E$2="Deployment",deployment_raw[[#This Row],[Column5]],1))), 0),"")</f>
        <v/>
      </c>
      <c r="U95" s="50" t="str">
        <f>IF(ISNUMBER(deployment_raw[[#This Row],[Column9]]),IF(OR(deployment_raw[[#This Row],[Column5]] &lt;&gt; 0,$E$2&lt;&gt;"Deployment"), MAX(W95, ($U$2 * IF($E$2="Deployment",deployment_raw[[#This Row],[Column5]],1))), 0),"")</f>
        <v/>
      </c>
      <c r="V95" s="15" t="str">
        <f>IF(ISNUMBER(deployment_raw[[#This Row],[Column12]]), (deployment_raw[[#This Row],[Column12]] * IF($E$2="Deployment",deployment_raw[[#This Row],[Column5]],1)*(1+$V$2)),"")</f>
        <v/>
      </c>
      <c r="W95" s="14" t="str">
        <f>IF(ISNUMBER(deployment_raw[[#This Row],[Column13]]), (deployment_raw[[#This Row],[Column13]] * IF($E$2="Deployment",deployment_raw[[#This Row],[Column5]],1)*(1+$W$2))/1048576,"")</f>
        <v/>
      </c>
    </row>
    <row r="96" spans="1:23" ht="15.75" customHeight="1" x14ac:dyDescent="0.25">
      <c r="A96" s="5" t="str">
        <f>IF(ISNONTEXT(deployment_raw[[#This Row],[Column1]]), "", deployment_raw[[#This Row],[Column1]])</f>
        <v/>
      </c>
      <c r="B96" s="6" t="str">
        <f>IF(ISNONTEXT(deployment_raw[[#This Row],[Column2]]), "", deployment_raw[[#This Row],[Column2]])</f>
        <v/>
      </c>
      <c r="C96" s="6" t="str">
        <f>IF(ISNONTEXT(deployment_raw[[#This Row],[Column3]]), "", deployment_raw[[#This Row],[Column3]])</f>
        <v/>
      </c>
      <c r="D96" s="6" t="str">
        <f>IF(ISNONTEXT(deployment_raw[[#This Row],[Column4]]), "", deployment_raw[[#This Row],[Column4]])</f>
        <v/>
      </c>
      <c r="E96" s="7" t="str">
        <f>IF(ISNUMBER(deployment_raw[[#This Row],[Column5]]), deployment_raw[[#This Row],[Column5]],"")</f>
        <v/>
      </c>
      <c r="F96" s="32" t="str">
        <f>IF(ISNUMBER(deployment_raw[[#This Row],[Column17]]), deployment_raw[[#This Row],[Column17]]/IF(OR($E$2="Deployment",deployment_raw[[#This Row],[Column5]]=0),1,deployment_raw[[#This Row],[Column5]]),"")</f>
        <v/>
      </c>
      <c r="G96" s="42" t="str">
        <f>IF(ISNUMBER(deployment_raw[[#This Row],[Column14]]), deployment_raw[[#This Row],[Column14]]/IF(OR($E$2="Deployment",deployment_raw[[#This Row],[Column5]]=0),1,deployment_raw[[#This Row],[Column5]]),"")</f>
        <v/>
      </c>
      <c r="H96" s="79" t="str">
        <f>IF(ISNUMBER(deployment_raw[[#This Row],[Column19]]), IF(I96&lt;&gt;0,(deployment_raw[[#This Row],[Column19]]/IF(OR($E$2="Deployment",deployment_raw[[#This Row],[Column5]]=0),1,deployment_raw[[#This Row],[Column5]]))/I96,0),"")</f>
        <v/>
      </c>
      <c r="I96" s="69" t="str">
        <f>IF(ISNUMBER(deployment_raw[[#This Row],[Column6]]), (deployment_raw[[#This Row],[Column6]] * IF($E$2="Deployment",deployment_raw[[#This Row],[Column5]],1)),"")</f>
        <v/>
      </c>
      <c r="J96" s="79" t="str">
        <f>IF(ISNUMBER(deployment_raw[[#This Row],[Column19]]), IF(K96&lt;&gt;0,(deployment_raw[[#This Row],[Column19]]/IF(OR($E$2="Deployment",deployment_raw[[#This Row],[Column5]]=0),1,deployment_raw[[#This Row],[Column5]]))/K96,0),"")</f>
        <v/>
      </c>
      <c r="K96" s="72" t="str">
        <f>IF(ISNUMBER(deployment_raw[[#This Row],[Column8]]), (deployment_raw[[#This Row],[Column8]]  * IF($E$2="Deployment",deployment_raw[[#This Row],[Column5]],1)),"")</f>
        <v/>
      </c>
      <c r="L9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6" s="81" t="str">
        <f>IF(ISNUMBER(deployment_raw[[#This Row],[Column20]]), IF(O96&lt;&gt;0,deployment_raw[[#This Row],[Column20]]/IF(OR($E$2="Deployment",deployment_raw[[#This Row],[Column5]]=0),1,deployment_raw[[#This Row],[Column5]])/1048576/O96,0),"")</f>
        <v/>
      </c>
      <c r="O96" s="74" t="str">
        <f>IF(ISNUMBER(deployment_raw[[#This Row],[Column7]]), (deployment_raw[[#This Row],[Column7]] * IF($E$2="Deployment",deployment_raw[[#This Row],[Column5]],1))/1048576,"")</f>
        <v/>
      </c>
      <c r="P96" s="81" t="str">
        <f>IF(ISNUMBER(deployment_raw[[#This Row],[Column20]]), IF(Q96&lt;&gt;0,deployment_raw[[#This Row],[Column20]]/IF(OR($E$2="Deployment",deployment_raw[[#This Row],[Column5]]=0),1,deployment_raw[[#This Row],[Column5]])/1048576/Q96,0),"")</f>
        <v/>
      </c>
      <c r="Q96" s="76" t="str">
        <f>IF(ISNUMBER(deployment_raw[[#This Row],[Column9]]), (deployment_raw[[#This Row],[Column9]] * IF($E$2="Deployment",deployment_raw[[#This Row],[Column5]],1))/1048576,"")</f>
        <v/>
      </c>
      <c r="R96" s="57" t="str">
        <f>IF(ISNUMBER(deployment_raw[[#This Row],[Column10]]), (deployment_raw[[#This Row],[Column10]] * IF($E$2="Deployment",deployment_raw[[#This Row],[Column5]],1)),"")</f>
        <v/>
      </c>
      <c r="S96" s="48" t="str">
        <f>IF(ISNUMBER(deployment_raw[[#This Row],[Column11]]), (deployment_raw[[#This Row],[Column11]] * IF($E$2="Deployment",deployment_raw[[#This Row],[Column5]],1))/1048576,"")</f>
        <v/>
      </c>
      <c r="T96" s="59" t="str">
        <f>IF(ISNUMBER(deployment_raw[[#This Row],[Column8]]),IF(OR(deployment_raw[[#This Row],[Column5]] &lt;&gt; 0,$E$2 &lt;&gt; "Deployment"), MAX(V96, ($T$2 * IF($E$2="Deployment",deployment_raw[[#This Row],[Column5]],1))), 0),"")</f>
        <v/>
      </c>
      <c r="U96" s="50" t="str">
        <f>IF(ISNUMBER(deployment_raw[[#This Row],[Column9]]),IF(OR(deployment_raw[[#This Row],[Column5]] &lt;&gt; 0,$E$2&lt;&gt;"Deployment"), MAX(W96, ($U$2 * IF($E$2="Deployment",deployment_raw[[#This Row],[Column5]],1))), 0),"")</f>
        <v/>
      </c>
      <c r="V96" s="15" t="str">
        <f>IF(ISNUMBER(deployment_raw[[#This Row],[Column12]]), (deployment_raw[[#This Row],[Column12]] * IF($E$2="Deployment",deployment_raw[[#This Row],[Column5]],1)*(1+$V$2)),"")</f>
        <v/>
      </c>
      <c r="W96" s="14" t="str">
        <f>IF(ISNUMBER(deployment_raw[[#This Row],[Column13]]), (deployment_raw[[#This Row],[Column13]] * IF($E$2="Deployment",deployment_raw[[#This Row],[Column5]],1)*(1+$W$2))/1048576,"")</f>
        <v/>
      </c>
    </row>
    <row r="97" spans="1:23" ht="15.75" customHeight="1" x14ac:dyDescent="0.25">
      <c r="A97" s="5" t="str">
        <f>IF(ISNONTEXT(deployment_raw[[#This Row],[Column1]]), "", deployment_raw[[#This Row],[Column1]])</f>
        <v/>
      </c>
      <c r="B97" s="6" t="str">
        <f>IF(ISNONTEXT(deployment_raw[[#This Row],[Column2]]), "", deployment_raw[[#This Row],[Column2]])</f>
        <v/>
      </c>
      <c r="C97" s="6" t="str">
        <f>IF(ISNONTEXT(deployment_raw[[#This Row],[Column3]]), "", deployment_raw[[#This Row],[Column3]])</f>
        <v/>
      </c>
      <c r="D97" s="6" t="str">
        <f>IF(ISNONTEXT(deployment_raw[[#This Row],[Column4]]), "", deployment_raw[[#This Row],[Column4]])</f>
        <v/>
      </c>
      <c r="E97" s="7" t="str">
        <f>IF(ISNUMBER(deployment_raw[[#This Row],[Column5]]), deployment_raw[[#This Row],[Column5]],"")</f>
        <v/>
      </c>
      <c r="F97" s="32" t="str">
        <f>IF(ISNUMBER(deployment_raw[[#This Row],[Column17]]), deployment_raw[[#This Row],[Column17]]/IF(OR($E$2="Deployment",deployment_raw[[#This Row],[Column5]]=0),1,deployment_raw[[#This Row],[Column5]]),"")</f>
        <v/>
      </c>
      <c r="G97" s="42" t="str">
        <f>IF(ISNUMBER(deployment_raw[[#This Row],[Column14]]), deployment_raw[[#This Row],[Column14]]/IF(OR($E$2="Deployment",deployment_raw[[#This Row],[Column5]]=0),1,deployment_raw[[#This Row],[Column5]]),"")</f>
        <v/>
      </c>
      <c r="H97" s="79" t="str">
        <f>IF(ISNUMBER(deployment_raw[[#This Row],[Column19]]), IF(I97&lt;&gt;0,(deployment_raw[[#This Row],[Column19]]/IF(OR($E$2="Deployment",deployment_raw[[#This Row],[Column5]]=0),1,deployment_raw[[#This Row],[Column5]]))/I97,0),"")</f>
        <v/>
      </c>
      <c r="I97" s="69" t="str">
        <f>IF(ISNUMBER(deployment_raw[[#This Row],[Column6]]), (deployment_raw[[#This Row],[Column6]] * IF($E$2="Deployment",deployment_raw[[#This Row],[Column5]],1)),"")</f>
        <v/>
      </c>
      <c r="J97" s="79" t="str">
        <f>IF(ISNUMBER(deployment_raw[[#This Row],[Column19]]), IF(K97&lt;&gt;0,(deployment_raw[[#This Row],[Column19]]/IF(OR($E$2="Deployment",deployment_raw[[#This Row],[Column5]]=0),1,deployment_raw[[#This Row],[Column5]]))/K97,0),"")</f>
        <v/>
      </c>
      <c r="K97" s="72" t="str">
        <f>IF(ISNUMBER(deployment_raw[[#This Row],[Column8]]), (deployment_raw[[#This Row],[Column8]]  * IF($E$2="Deployment",deployment_raw[[#This Row],[Column5]],1)),"")</f>
        <v/>
      </c>
      <c r="L9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7" s="81" t="str">
        <f>IF(ISNUMBER(deployment_raw[[#This Row],[Column20]]), IF(O97&lt;&gt;0,deployment_raw[[#This Row],[Column20]]/IF(OR($E$2="Deployment",deployment_raw[[#This Row],[Column5]]=0),1,deployment_raw[[#This Row],[Column5]])/1048576/O97,0),"")</f>
        <v/>
      </c>
      <c r="O97" s="74" t="str">
        <f>IF(ISNUMBER(deployment_raw[[#This Row],[Column7]]), (deployment_raw[[#This Row],[Column7]] * IF($E$2="Deployment",deployment_raw[[#This Row],[Column5]],1))/1048576,"")</f>
        <v/>
      </c>
      <c r="P97" s="81" t="str">
        <f>IF(ISNUMBER(deployment_raw[[#This Row],[Column20]]), IF(Q97&lt;&gt;0,deployment_raw[[#This Row],[Column20]]/IF(OR($E$2="Deployment",deployment_raw[[#This Row],[Column5]]=0),1,deployment_raw[[#This Row],[Column5]])/1048576/Q97,0),"")</f>
        <v/>
      </c>
      <c r="Q97" s="76" t="str">
        <f>IF(ISNUMBER(deployment_raw[[#This Row],[Column9]]), (deployment_raw[[#This Row],[Column9]] * IF($E$2="Deployment",deployment_raw[[#This Row],[Column5]],1))/1048576,"")</f>
        <v/>
      </c>
      <c r="R97" s="57" t="str">
        <f>IF(ISNUMBER(deployment_raw[[#This Row],[Column10]]), (deployment_raw[[#This Row],[Column10]] * IF($E$2="Deployment",deployment_raw[[#This Row],[Column5]],1)),"")</f>
        <v/>
      </c>
      <c r="S97" s="48" t="str">
        <f>IF(ISNUMBER(deployment_raw[[#This Row],[Column11]]), (deployment_raw[[#This Row],[Column11]] * IF($E$2="Deployment",deployment_raw[[#This Row],[Column5]],1))/1048576,"")</f>
        <v/>
      </c>
      <c r="T97" s="59" t="str">
        <f>IF(ISNUMBER(deployment_raw[[#This Row],[Column8]]),IF(OR(deployment_raw[[#This Row],[Column5]] &lt;&gt; 0,$E$2 &lt;&gt; "Deployment"), MAX(V97, ($T$2 * IF($E$2="Deployment",deployment_raw[[#This Row],[Column5]],1))), 0),"")</f>
        <v/>
      </c>
      <c r="U97" s="50" t="str">
        <f>IF(ISNUMBER(deployment_raw[[#This Row],[Column9]]),IF(OR(deployment_raw[[#This Row],[Column5]] &lt;&gt; 0,$E$2&lt;&gt;"Deployment"), MAX(W97, ($U$2 * IF($E$2="Deployment",deployment_raw[[#This Row],[Column5]],1))), 0),"")</f>
        <v/>
      </c>
      <c r="V97" s="15" t="str">
        <f>IF(ISNUMBER(deployment_raw[[#This Row],[Column12]]), (deployment_raw[[#This Row],[Column12]] * IF($E$2="Deployment",deployment_raw[[#This Row],[Column5]],1)*(1+$V$2)),"")</f>
        <v/>
      </c>
      <c r="W97" s="14" t="str">
        <f>IF(ISNUMBER(deployment_raw[[#This Row],[Column13]]), (deployment_raw[[#This Row],[Column13]] * IF($E$2="Deployment",deployment_raw[[#This Row],[Column5]],1)*(1+$W$2))/1048576,"")</f>
        <v/>
      </c>
    </row>
    <row r="98" spans="1:23" ht="15.75" customHeight="1" x14ac:dyDescent="0.25">
      <c r="A98" s="5" t="str">
        <f>IF(ISNONTEXT(deployment_raw[[#This Row],[Column1]]), "", deployment_raw[[#This Row],[Column1]])</f>
        <v/>
      </c>
      <c r="B98" s="6" t="str">
        <f>IF(ISNONTEXT(deployment_raw[[#This Row],[Column2]]), "", deployment_raw[[#This Row],[Column2]])</f>
        <v/>
      </c>
      <c r="C98" s="6" t="str">
        <f>IF(ISNONTEXT(deployment_raw[[#This Row],[Column3]]), "", deployment_raw[[#This Row],[Column3]])</f>
        <v/>
      </c>
      <c r="D98" s="6" t="str">
        <f>IF(ISNONTEXT(deployment_raw[[#This Row],[Column4]]), "", deployment_raw[[#This Row],[Column4]])</f>
        <v/>
      </c>
      <c r="E98" s="7" t="str">
        <f>IF(ISNUMBER(deployment_raw[[#This Row],[Column5]]), deployment_raw[[#This Row],[Column5]],"")</f>
        <v/>
      </c>
      <c r="F98" s="32" t="str">
        <f>IF(ISNUMBER(deployment_raw[[#This Row],[Column17]]), deployment_raw[[#This Row],[Column17]]/IF(OR($E$2="Deployment",deployment_raw[[#This Row],[Column5]]=0),1,deployment_raw[[#This Row],[Column5]]),"")</f>
        <v/>
      </c>
      <c r="G98" s="42" t="str">
        <f>IF(ISNUMBER(deployment_raw[[#This Row],[Column14]]), deployment_raw[[#This Row],[Column14]]/IF(OR($E$2="Deployment",deployment_raw[[#This Row],[Column5]]=0),1,deployment_raw[[#This Row],[Column5]]),"")</f>
        <v/>
      </c>
      <c r="H98" s="79" t="str">
        <f>IF(ISNUMBER(deployment_raw[[#This Row],[Column19]]), IF(I98&lt;&gt;0,(deployment_raw[[#This Row],[Column19]]/IF(OR($E$2="Deployment",deployment_raw[[#This Row],[Column5]]=0),1,deployment_raw[[#This Row],[Column5]]))/I98,0),"")</f>
        <v/>
      </c>
      <c r="I98" s="69" t="str">
        <f>IF(ISNUMBER(deployment_raw[[#This Row],[Column6]]), (deployment_raw[[#This Row],[Column6]] * IF($E$2="Deployment",deployment_raw[[#This Row],[Column5]],1)),"")</f>
        <v/>
      </c>
      <c r="J98" s="79" t="str">
        <f>IF(ISNUMBER(deployment_raw[[#This Row],[Column19]]), IF(K98&lt;&gt;0,(deployment_raw[[#This Row],[Column19]]/IF(OR($E$2="Deployment",deployment_raw[[#This Row],[Column5]]=0),1,deployment_raw[[#This Row],[Column5]]))/K98,0),"")</f>
        <v/>
      </c>
      <c r="K98" s="72" t="str">
        <f>IF(ISNUMBER(deployment_raw[[#This Row],[Column8]]), (deployment_raw[[#This Row],[Column8]]  * IF($E$2="Deployment",deployment_raw[[#This Row],[Column5]],1)),"")</f>
        <v/>
      </c>
      <c r="L9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8" s="81" t="str">
        <f>IF(ISNUMBER(deployment_raw[[#This Row],[Column20]]), IF(O98&lt;&gt;0,deployment_raw[[#This Row],[Column20]]/IF(OR($E$2="Deployment",deployment_raw[[#This Row],[Column5]]=0),1,deployment_raw[[#This Row],[Column5]])/1048576/O98,0),"")</f>
        <v/>
      </c>
      <c r="O98" s="74" t="str">
        <f>IF(ISNUMBER(deployment_raw[[#This Row],[Column7]]), (deployment_raw[[#This Row],[Column7]] * IF($E$2="Deployment",deployment_raw[[#This Row],[Column5]],1))/1048576,"")</f>
        <v/>
      </c>
      <c r="P98" s="81" t="str">
        <f>IF(ISNUMBER(deployment_raw[[#This Row],[Column20]]), IF(Q98&lt;&gt;0,deployment_raw[[#This Row],[Column20]]/IF(OR($E$2="Deployment",deployment_raw[[#This Row],[Column5]]=0),1,deployment_raw[[#This Row],[Column5]])/1048576/Q98,0),"")</f>
        <v/>
      </c>
      <c r="Q98" s="76" t="str">
        <f>IF(ISNUMBER(deployment_raw[[#This Row],[Column9]]), (deployment_raw[[#This Row],[Column9]] * IF($E$2="Deployment",deployment_raw[[#This Row],[Column5]],1))/1048576,"")</f>
        <v/>
      </c>
      <c r="R98" s="57" t="str">
        <f>IF(ISNUMBER(deployment_raw[[#This Row],[Column10]]), (deployment_raw[[#This Row],[Column10]] * IF($E$2="Deployment",deployment_raw[[#This Row],[Column5]],1)),"")</f>
        <v/>
      </c>
      <c r="S98" s="48" t="str">
        <f>IF(ISNUMBER(deployment_raw[[#This Row],[Column11]]), (deployment_raw[[#This Row],[Column11]] * IF($E$2="Deployment",deployment_raw[[#This Row],[Column5]],1))/1048576,"")</f>
        <v/>
      </c>
      <c r="T98" s="59" t="str">
        <f>IF(ISNUMBER(deployment_raw[[#This Row],[Column8]]),IF(OR(deployment_raw[[#This Row],[Column5]] &lt;&gt; 0,$E$2 &lt;&gt; "Deployment"), MAX(V98, ($T$2 * IF($E$2="Deployment",deployment_raw[[#This Row],[Column5]],1))), 0),"")</f>
        <v/>
      </c>
      <c r="U98" s="50" t="str">
        <f>IF(ISNUMBER(deployment_raw[[#This Row],[Column9]]),IF(OR(deployment_raw[[#This Row],[Column5]] &lt;&gt; 0,$E$2&lt;&gt;"Deployment"), MAX(W98, ($U$2 * IF($E$2="Deployment",deployment_raw[[#This Row],[Column5]],1))), 0),"")</f>
        <v/>
      </c>
      <c r="V98" s="15" t="str">
        <f>IF(ISNUMBER(deployment_raw[[#This Row],[Column12]]), (deployment_raw[[#This Row],[Column12]] * IF($E$2="Deployment",deployment_raw[[#This Row],[Column5]],1)*(1+$V$2)),"")</f>
        <v/>
      </c>
      <c r="W98" s="14" t="str">
        <f>IF(ISNUMBER(deployment_raw[[#This Row],[Column13]]), (deployment_raw[[#This Row],[Column13]] * IF($E$2="Deployment",deployment_raw[[#This Row],[Column5]],1)*(1+$W$2))/1048576,"")</f>
        <v/>
      </c>
    </row>
    <row r="99" spans="1:23" ht="15.75" customHeight="1" x14ac:dyDescent="0.25">
      <c r="A99" s="5" t="str">
        <f>IF(ISNONTEXT(deployment_raw[[#This Row],[Column1]]), "", deployment_raw[[#This Row],[Column1]])</f>
        <v/>
      </c>
      <c r="B99" s="6" t="str">
        <f>IF(ISNONTEXT(deployment_raw[[#This Row],[Column2]]), "", deployment_raw[[#This Row],[Column2]])</f>
        <v/>
      </c>
      <c r="C99" s="6" t="str">
        <f>IF(ISNONTEXT(deployment_raw[[#This Row],[Column3]]), "", deployment_raw[[#This Row],[Column3]])</f>
        <v/>
      </c>
      <c r="D99" s="6" t="str">
        <f>IF(ISNONTEXT(deployment_raw[[#This Row],[Column4]]), "", deployment_raw[[#This Row],[Column4]])</f>
        <v/>
      </c>
      <c r="E99" s="7" t="str">
        <f>IF(ISNUMBER(deployment_raw[[#This Row],[Column5]]), deployment_raw[[#This Row],[Column5]],"")</f>
        <v/>
      </c>
      <c r="F99" s="32" t="str">
        <f>IF(ISNUMBER(deployment_raw[[#This Row],[Column17]]), deployment_raw[[#This Row],[Column17]]/IF(OR($E$2="Deployment",deployment_raw[[#This Row],[Column5]]=0),1,deployment_raw[[#This Row],[Column5]]),"")</f>
        <v/>
      </c>
      <c r="G99" s="42" t="str">
        <f>IF(ISNUMBER(deployment_raw[[#This Row],[Column14]]), deployment_raw[[#This Row],[Column14]]/IF(OR($E$2="Deployment",deployment_raw[[#This Row],[Column5]]=0),1,deployment_raw[[#This Row],[Column5]]),"")</f>
        <v/>
      </c>
      <c r="H99" s="79" t="str">
        <f>IF(ISNUMBER(deployment_raw[[#This Row],[Column19]]), IF(I99&lt;&gt;0,(deployment_raw[[#This Row],[Column19]]/IF(OR($E$2="Deployment",deployment_raw[[#This Row],[Column5]]=0),1,deployment_raw[[#This Row],[Column5]]))/I99,0),"")</f>
        <v/>
      </c>
      <c r="I99" s="69" t="str">
        <f>IF(ISNUMBER(deployment_raw[[#This Row],[Column6]]), (deployment_raw[[#This Row],[Column6]] * IF($E$2="Deployment",deployment_raw[[#This Row],[Column5]],1)),"")</f>
        <v/>
      </c>
      <c r="J99" s="79" t="str">
        <f>IF(ISNUMBER(deployment_raw[[#This Row],[Column19]]), IF(K99&lt;&gt;0,(deployment_raw[[#This Row],[Column19]]/IF(OR($E$2="Deployment",deployment_raw[[#This Row],[Column5]]=0),1,deployment_raw[[#This Row],[Column5]]))/K99,0),"")</f>
        <v/>
      </c>
      <c r="K99" s="72" t="str">
        <f>IF(ISNUMBER(deployment_raw[[#This Row],[Column8]]), (deployment_raw[[#This Row],[Column8]]  * IF($E$2="Deployment",deployment_raw[[#This Row],[Column5]],1)),"")</f>
        <v/>
      </c>
      <c r="L9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9" s="81" t="str">
        <f>IF(ISNUMBER(deployment_raw[[#This Row],[Column20]]), IF(O99&lt;&gt;0,deployment_raw[[#This Row],[Column20]]/IF(OR($E$2="Deployment",deployment_raw[[#This Row],[Column5]]=0),1,deployment_raw[[#This Row],[Column5]])/1048576/O99,0),"")</f>
        <v/>
      </c>
      <c r="O99" s="74" t="str">
        <f>IF(ISNUMBER(deployment_raw[[#This Row],[Column7]]), (deployment_raw[[#This Row],[Column7]] * IF($E$2="Deployment",deployment_raw[[#This Row],[Column5]],1))/1048576,"")</f>
        <v/>
      </c>
      <c r="P99" s="81" t="str">
        <f>IF(ISNUMBER(deployment_raw[[#This Row],[Column20]]), IF(Q99&lt;&gt;0,deployment_raw[[#This Row],[Column20]]/IF(OR($E$2="Deployment",deployment_raw[[#This Row],[Column5]]=0),1,deployment_raw[[#This Row],[Column5]])/1048576/Q99,0),"")</f>
        <v/>
      </c>
      <c r="Q99" s="76" t="str">
        <f>IF(ISNUMBER(deployment_raw[[#This Row],[Column9]]), (deployment_raw[[#This Row],[Column9]] * IF($E$2="Deployment",deployment_raw[[#This Row],[Column5]],1))/1048576,"")</f>
        <v/>
      </c>
      <c r="R99" s="57" t="str">
        <f>IF(ISNUMBER(deployment_raw[[#This Row],[Column10]]), (deployment_raw[[#This Row],[Column10]] * IF($E$2="Deployment",deployment_raw[[#This Row],[Column5]],1)),"")</f>
        <v/>
      </c>
      <c r="S99" s="48" t="str">
        <f>IF(ISNUMBER(deployment_raw[[#This Row],[Column11]]), (deployment_raw[[#This Row],[Column11]] * IF($E$2="Deployment",deployment_raw[[#This Row],[Column5]],1))/1048576,"")</f>
        <v/>
      </c>
      <c r="T99" s="59" t="str">
        <f>IF(ISNUMBER(deployment_raw[[#This Row],[Column8]]),IF(OR(deployment_raw[[#This Row],[Column5]] &lt;&gt; 0,$E$2 &lt;&gt; "Deployment"), MAX(V99, ($T$2 * IF($E$2="Deployment",deployment_raw[[#This Row],[Column5]],1))), 0),"")</f>
        <v/>
      </c>
      <c r="U99" s="50" t="str">
        <f>IF(ISNUMBER(deployment_raw[[#This Row],[Column9]]),IF(OR(deployment_raw[[#This Row],[Column5]] &lt;&gt; 0,$E$2&lt;&gt;"Deployment"), MAX(W99, ($U$2 * IF($E$2="Deployment",deployment_raw[[#This Row],[Column5]],1))), 0),"")</f>
        <v/>
      </c>
      <c r="V99" s="15" t="str">
        <f>IF(ISNUMBER(deployment_raw[[#This Row],[Column12]]), (deployment_raw[[#This Row],[Column12]] * IF($E$2="Deployment",deployment_raw[[#This Row],[Column5]],1)*(1+$V$2)),"")</f>
        <v/>
      </c>
      <c r="W99" s="14" t="str">
        <f>IF(ISNUMBER(deployment_raw[[#This Row],[Column13]]), (deployment_raw[[#This Row],[Column13]] * IF($E$2="Deployment",deployment_raw[[#This Row],[Column5]],1)*(1+$W$2))/1048576,"")</f>
        <v/>
      </c>
    </row>
    <row r="100" spans="1:23" ht="15.75" customHeight="1" x14ac:dyDescent="0.25">
      <c r="A100" s="5" t="str">
        <f>IF(ISNONTEXT(deployment_raw[[#This Row],[Column1]]), "", deployment_raw[[#This Row],[Column1]])</f>
        <v/>
      </c>
      <c r="B100" s="6" t="str">
        <f>IF(ISNONTEXT(deployment_raw[[#This Row],[Column2]]), "", deployment_raw[[#This Row],[Column2]])</f>
        <v/>
      </c>
      <c r="C100" s="6" t="str">
        <f>IF(ISNONTEXT(deployment_raw[[#This Row],[Column3]]), "", deployment_raw[[#This Row],[Column3]])</f>
        <v/>
      </c>
      <c r="D100" s="6" t="str">
        <f>IF(ISNONTEXT(deployment_raw[[#This Row],[Column4]]), "", deployment_raw[[#This Row],[Column4]])</f>
        <v/>
      </c>
      <c r="E100" s="7" t="str">
        <f>IF(ISNUMBER(deployment_raw[[#This Row],[Column5]]), deployment_raw[[#This Row],[Column5]],"")</f>
        <v/>
      </c>
      <c r="F100" s="32" t="str">
        <f>IF(ISNUMBER(deployment_raw[[#This Row],[Column17]]), deployment_raw[[#This Row],[Column17]]/IF(OR($E$2="Deployment",deployment_raw[[#This Row],[Column5]]=0),1,deployment_raw[[#This Row],[Column5]]),"")</f>
        <v/>
      </c>
      <c r="G100" s="42" t="str">
        <f>IF(ISNUMBER(deployment_raw[[#This Row],[Column14]]), deployment_raw[[#This Row],[Column14]]/IF(OR($E$2="Deployment",deployment_raw[[#This Row],[Column5]]=0),1,deployment_raw[[#This Row],[Column5]]),"")</f>
        <v/>
      </c>
      <c r="H100" s="79" t="str">
        <f>IF(ISNUMBER(deployment_raw[[#This Row],[Column19]]), IF(I100&lt;&gt;0,(deployment_raw[[#This Row],[Column19]]/IF(OR($E$2="Deployment",deployment_raw[[#This Row],[Column5]]=0),1,deployment_raw[[#This Row],[Column5]]))/I100,0),"")</f>
        <v/>
      </c>
      <c r="I100" s="69" t="str">
        <f>IF(ISNUMBER(deployment_raw[[#This Row],[Column6]]), (deployment_raw[[#This Row],[Column6]] * IF($E$2="Deployment",deployment_raw[[#This Row],[Column5]],1)),"")</f>
        <v/>
      </c>
      <c r="J100" s="79" t="str">
        <f>IF(ISNUMBER(deployment_raw[[#This Row],[Column19]]), IF(K100&lt;&gt;0,(deployment_raw[[#This Row],[Column19]]/IF(OR($E$2="Deployment",deployment_raw[[#This Row],[Column5]]=0),1,deployment_raw[[#This Row],[Column5]]))/K100,0),"")</f>
        <v/>
      </c>
      <c r="K100" s="72" t="str">
        <f>IF(ISNUMBER(deployment_raw[[#This Row],[Column8]]), (deployment_raw[[#This Row],[Column8]]  * IF($E$2="Deployment",deployment_raw[[#This Row],[Column5]],1)),"")</f>
        <v/>
      </c>
      <c r="L10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0" s="81" t="str">
        <f>IF(ISNUMBER(deployment_raw[[#This Row],[Column20]]), IF(O100&lt;&gt;0,deployment_raw[[#This Row],[Column20]]/IF(OR($E$2="Deployment",deployment_raw[[#This Row],[Column5]]=0),1,deployment_raw[[#This Row],[Column5]])/1048576/O100,0),"")</f>
        <v/>
      </c>
      <c r="O100" s="74" t="str">
        <f>IF(ISNUMBER(deployment_raw[[#This Row],[Column7]]), (deployment_raw[[#This Row],[Column7]] * IF($E$2="Deployment",deployment_raw[[#This Row],[Column5]],1))/1048576,"")</f>
        <v/>
      </c>
      <c r="P100" s="81" t="str">
        <f>IF(ISNUMBER(deployment_raw[[#This Row],[Column20]]), IF(Q100&lt;&gt;0,deployment_raw[[#This Row],[Column20]]/IF(OR($E$2="Deployment",deployment_raw[[#This Row],[Column5]]=0),1,deployment_raw[[#This Row],[Column5]])/1048576/Q100,0),"")</f>
        <v/>
      </c>
      <c r="Q100" s="76" t="str">
        <f>IF(ISNUMBER(deployment_raw[[#This Row],[Column9]]), (deployment_raw[[#This Row],[Column9]] * IF($E$2="Deployment",deployment_raw[[#This Row],[Column5]],1))/1048576,"")</f>
        <v/>
      </c>
      <c r="R100" s="57" t="str">
        <f>IF(ISNUMBER(deployment_raw[[#This Row],[Column10]]), (deployment_raw[[#This Row],[Column10]] * IF($E$2="Deployment",deployment_raw[[#This Row],[Column5]],1)),"")</f>
        <v/>
      </c>
      <c r="S100" s="48" t="str">
        <f>IF(ISNUMBER(deployment_raw[[#This Row],[Column11]]), (deployment_raw[[#This Row],[Column11]] * IF($E$2="Deployment",deployment_raw[[#This Row],[Column5]],1))/1048576,"")</f>
        <v/>
      </c>
      <c r="T100" s="59" t="str">
        <f>IF(ISNUMBER(deployment_raw[[#This Row],[Column8]]),IF(OR(deployment_raw[[#This Row],[Column5]] &lt;&gt; 0,$E$2 &lt;&gt; "Deployment"), MAX(V100, ($T$2 * IF($E$2="Deployment",deployment_raw[[#This Row],[Column5]],1))), 0),"")</f>
        <v/>
      </c>
      <c r="U100" s="50" t="str">
        <f>IF(ISNUMBER(deployment_raw[[#This Row],[Column9]]),IF(OR(deployment_raw[[#This Row],[Column5]] &lt;&gt; 0,$E$2&lt;&gt;"Deployment"), MAX(W100, ($U$2 * IF($E$2="Deployment",deployment_raw[[#This Row],[Column5]],1))), 0),"")</f>
        <v/>
      </c>
      <c r="V100" s="15" t="str">
        <f>IF(ISNUMBER(deployment_raw[[#This Row],[Column12]]), (deployment_raw[[#This Row],[Column12]] * IF($E$2="Deployment",deployment_raw[[#This Row],[Column5]],1)*(1+$V$2)),"")</f>
        <v/>
      </c>
      <c r="W100" s="14" t="str">
        <f>IF(ISNUMBER(deployment_raw[[#This Row],[Column13]]), (deployment_raw[[#This Row],[Column13]] * IF($E$2="Deployment",deployment_raw[[#This Row],[Column5]],1)*(1+$W$2))/1048576,"")</f>
        <v/>
      </c>
    </row>
    <row r="101" spans="1:23" ht="15.75" customHeight="1" x14ac:dyDescent="0.25">
      <c r="A101" s="5" t="str">
        <f>IF(ISNONTEXT(deployment_raw[[#This Row],[Column1]]), "", deployment_raw[[#This Row],[Column1]])</f>
        <v/>
      </c>
      <c r="B101" s="6" t="str">
        <f>IF(ISNONTEXT(deployment_raw[[#This Row],[Column2]]), "", deployment_raw[[#This Row],[Column2]])</f>
        <v/>
      </c>
      <c r="C101" s="6" t="str">
        <f>IF(ISNONTEXT(deployment_raw[[#This Row],[Column3]]), "", deployment_raw[[#This Row],[Column3]])</f>
        <v/>
      </c>
      <c r="D101" s="6" t="str">
        <f>IF(ISNONTEXT(deployment_raw[[#This Row],[Column4]]), "", deployment_raw[[#This Row],[Column4]])</f>
        <v/>
      </c>
      <c r="E101" s="7" t="str">
        <f>IF(ISNUMBER(deployment_raw[[#This Row],[Column5]]), deployment_raw[[#This Row],[Column5]],"")</f>
        <v/>
      </c>
      <c r="F101" s="32" t="str">
        <f>IF(ISNUMBER(deployment_raw[[#This Row],[Column17]]), deployment_raw[[#This Row],[Column17]]/IF(OR($E$2="Deployment",deployment_raw[[#This Row],[Column5]]=0),1,deployment_raw[[#This Row],[Column5]]),"")</f>
        <v/>
      </c>
      <c r="G101" s="42" t="str">
        <f>IF(ISNUMBER(deployment_raw[[#This Row],[Column14]]), deployment_raw[[#This Row],[Column14]]/IF(OR($E$2="Deployment",deployment_raw[[#This Row],[Column5]]=0),1,deployment_raw[[#This Row],[Column5]]),"")</f>
        <v/>
      </c>
      <c r="H101" s="79" t="str">
        <f>IF(ISNUMBER(deployment_raw[[#This Row],[Column19]]), IF(I101&lt;&gt;0,(deployment_raw[[#This Row],[Column19]]/IF(OR($E$2="Deployment",deployment_raw[[#This Row],[Column5]]=0),1,deployment_raw[[#This Row],[Column5]]))/I101,0),"")</f>
        <v/>
      </c>
      <c r="I101" s="69" t="str">
        <f>IF(ISNUMBER(deployment_raw[[#This Row],[Column6]]), (deployment_raw[[#This Row],[Column6]] * IF($E$2="Deployment",deployment_raw[[#This Row],[Column5]],1)),"")</f>
        <v/>
      </c>
      <c r="J101" s="79" t="str">
        <f>IF(ISNUMBER(deployment_raw[[#This Row],[Column19]]), IF(K101&lt;&gt;0,(deployment_raw[[#This Row],[Column19]]/IF(OR($E$2="Deployment",deployment_raw[[#This Row],[Column5]]=0),1,deployment_raw[[#This Row],[Column5]]))/K101,0),"")</f>
        <v/>
      </c>
      <c r="K101" s="72" t="str">
        <f>IF(ISNUMBER(deployment_raw[[#This Row],[Column8]]), (deployment_raw[[#This Row],[Column8]]  * IF($E$2="Deployment",deployment_raw[[#This Row],[Column5]],1)),"")</f>
        <v/>
      </c>
      <c r="L10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1" s="81" t="str">
        <f>IF(ISNUMBER(deployment_raw[[#This Row],[Column20]]), IF(O101&lt;&gt;0,deployment_raw[[#This Row],[Column20]]/IF(OR($E$2="Deployment",deployment_raw[[#This Row],[Column5]]=0),1,deployment_raw[[#This Row],[Column5]])/1048576/O101,0),"")</f>
        <v/>
      </c>
      <c r="O101" s="74" t="str">
        <f>IF(ISNUMBER(deployment_raw[[#This Row],[Column7]]), (deployment_raw[[#This Row],[Column7]] * IF($E$2="Deployment",deployment_raw[[#This Row],[Column5]],1))/1048576,"")</f>
        <v/>
      </c>
      <c r="P101" s="81" t="str">
        <f>IF(ISNUMBER(deployment_raw[[#This Row],[Column20]]), IF(Q101&lt;&gt;0,deployment_raw[[#This Row],[Column20]]/IF(OR($E$2="Deployment",deployment_raw[[#This Row],[Column5]]=0),1,deployment_raw[[#This Row],[Column5]])/1048576/Q101,0),"")</f>
        <v/>
      </c>
      <c r="Q101" s="76" t="str">
        <f>IF(ISNUMBER(deployment_raw[[#This Row],[Column9]]), (deployment_raw[[#This Row],[Column9]] * IF($E$2="Deployment",deployment_raw[[#This Row],[Column5]],1))/1048576,"")</f>
        <v/>
      </c>
      <c r="R101" s="57" t="str">
        <f>IF(ISNUMBER(deployment_raw[[#This Row],[Column10]]), (deployment_raw[[#This Row],[Column10]] * IF($E$2="Deployment",deployment_raw[[#This Row],[Column5]],1)),"")</f>
        <v/>
      </c>
      <c r="S101" s="48" t="str">
        <f>IF(ISNUMBER(deployment_raw[[#This Row],[Column11]]), (deployment_raw[[#This Row],[Column11]] * IF($E$2="Deployment",deployment_raw[[#This Row],[Column5]],1))/1048576,"")</f>
        <v/>
      </c>
      <c r="T101" s="59" t="str">
        <f>IF(ISNUMBER(deployment_raw[[#This Row],[Column8]]),IF(OR(deployment_raw[[#This Row],[Column5]] &lt;&gt; 0,$E$2 &lt;&gt; "Deployment"), MAX(V101, ($T$2 * IF($E$2="Deployment",deployment_raw[[#This Row],[Column5]],1))), 0),"")</f>
        <v/>
      </c>
      <c r="U101" s="50" t="str">
        <f>IF(ISNUMBER(deployment_raw[[#This Row],[Column9]]),IF(OR(deployment_raw[[#This Row],[Column5]] &lt;&gt; 0,$E$2&lt;&gt;"Deployment"), MAX(W101, ($U$2 * IF($E$2="Deployment",deployment_raw[[#This Row],[Column5]],1))), 0),"")</f>
        <v/>
      </c>
      <c r="V101" s="15" t="str">
        <f>IF(ISNUMBER(deployment_raw[[#This Row],[Column12]]), (deployment_raw[[#This Row],[Column12]] * IF($E$2="Deployment",deployment_raw[[#This Row],[Column5]],1)*(1+$V$2)),"")</f>
        <v/>
      </c>
      <c r="W101" s="14" t="str">
        <f>IF(ISNUMBER(deployment_raw[[#This Row],[Column13]]), (deployment_raw[[#This Row],[Column13]] * IF($E$2="Deployment",deployment_raw[[#This Row],[Column5]],1)*(1+$W$2))/1048576,"")</f>
        <v/>
      </c>
    </row>
    <row r="102" spans="1:23" ht="15.75" customHeight="1" x14ac:dyDescent="0.25">
      <c r="A102" s="5" t="str">
        <f>IF(ISNONTEXT(deployment_raw[[#This Row],[Column1]]), "", deployment_raw[[#This Row],[Column1]])</f>
        <v/>
      </c>
      <c r="B102" s="6" t="str">
        <f>IF(ISNONTEXT(deployment_raw[[#This Row],[Column2]]), "", deployment_raw[[#This Row],[Column2]])</f>
        <v/>
      </c>
      <c r="C102" s="6" t="str">
        <f>IF(ISNONTEXT(deployment_raw[[#This Row],[Column3]]), "", deployment_raw[[#This Row],[Column3]])</f>
        <v/>
      </c>
      <c r="D102" s="6" t="str">
        <f>IF(ISNONTEXT(deployment_raw[[#This Row],[Column4]]), "", deployment_raw[[#This Row],[Column4]])</f>
        <v/>
      </c>
      <c r="E102" s="7" t="str">
        <f>IF(ISNUMBER(deployment_raw[[#This Row],[Column5]]), deployment_raw[[#This Row],[Column5]],"")</f>
        <v/>
      </c>
      <c r="F102" s="32" t="str">
        <f>IF(ISNUMBER(deployment_raw[[#This Row],[Column17]]), deployment_raw[[#This Row],[Column17]]/IF(OR($E$2="Deployment",deployment_raw[[#This Row],[Column5]]=0),1,deployment_raw[[#This Row],[Column5]]),"")</f>
        <v/>
      </c>
      <c r="G102" s="42" t="str">
        <f>IF(ISNUMBER(deployment_raw[[#This Row],[Column14]]), deployment_raw[[#This Row],[Column14]]/IF(OR($E$2="Deployment",deployment_raw[[#This Row],[Column5]]=0),1,deployment_raw[[#This Row],[Column5]]),"")</f>
        <v/>
      </c>
      <c r="H102" s="79" t="str">
        <f>IF(ISNUMBER(deployment_raw[[#This Row],[Column19]]), IF(I102&lt;&gt;0,(deployment_raw[[#This Row],[Column19]]/IF(OR($E$2="Deployment",deployment_raw[[#This Row],[Column5]]=0),1,deployment_raw[[#This Row],[Column5]]))/I102,0),"")</f>
        <v/>
      </c>
      <c r="I102" s="69" t="str">
        <f>IF(ISNUMBER(deployment_raw[[#This Row],[Column6]]), (deployment_raw[[#This Row],[Column6]] * IF($E$2="Deployment",deployment_raw[[#This Row],[Column5]],1)),"")</f>
        <v/>
      </c>
      <c r="J102" s="79" t="str">
        <f>IF(ISNUMBER(deployment_raw[[#This Row],[Column19]]), IF(K102&lt;&gt;0,(deployment_raw[[#This Row],[Column19]]/IF(OR($E$2="Deployment",deployment_raw[[#This Row],[Column5]]=0),1,deployment_raw[[#This Row],[Column5]]))/K102,0),"")</f>
        <v/>
      </c>
      <c r="K102" s="72" t="str">
        <f>IF(ISNUMBER(deployment_raw[[#This Row],[Column8]]), (deployment_raw[[#This Row],[Column8]]  * IF($E$2="Deployment",deployment_raw[[#This Row],[Column5]],1)),"")</f>
        <v/>
      </c>
      <c r="L10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2" s="81" t="str">
        <f>IF(ISNUMBER(deployment_raw[[#This Row],[Column20]]), IF(O102&lt;&gt;0,deployment_raw[[#This Row],[Column20]]/IF(OR($E$2="Deployment",deployment_raw[[#This Row],[Column5]]=0),1,deployment_raw[[#This Row],[Column5]])/1048576/O102,0),"")</f>
        <v/>
      </c>
      <c r="O102" s="74" t="str">
        <f>IF(ISNUMBER(deployment_raw[[#This Row],[Column7]]), (deployment_raw[[#This Row],[Column7]] * IF($E$2="Deployment",deployment_raw[[#This Row],[Column5]],1))/1048576,"")</f>
        <v/>
      </c>
      <c r="P102" s="81" t="str">
        <f>IF(ISNUMBER(deployment_raw[[#This Row],[Column20]]), IF(Q102&lt;&gt;0,deployment_raw[[#This Row],[Column20]]/IF(OR($E$2="Deployment",deployment_raw[[#This Row],[Column5]]=0),1,deployment_raw[[#This Row],[Column5]])/1048576/Q102,0),"")</f>
        <v/>
      </c>
      <c r="Q102" s="76" t="str">
        <f>IF(ISNUMBER(deployment_raw[[#This Row],[Column9]]), (deployment_raw[[#This Row],[Column9]] * IF($E$2="Deployment",deployment_raw[[#This Row],[Column5]],1))/1048576,"")</f>
        <v/>
      </c>
      <c r="R102" s="57" t="str">
        <f>IF(ISNUMBER(deployment_raw[[#This Row],[Column10]]), (deployment_raw[[#This Row],[Column10]] * IF($E$2="Deployment",deployment_raw[[#This Row],[Column5]],1)),"")</f>
        <v/>
      </c>
      <c r="S102" s="48" t="str">
        <f>IF(ISNUMBER(deployment_raw[[#This Row],[Column11]]), (deployment_raw[[#This Row],[Column11]] * IF($E$2="Deployment",deployment_raw[[#This Row],[Column5]],1))/1048576,"")</f>
        <v/>
      </c>
      <c r="T102" s="59" t="str">
        <f>IF(ISNUMBER(deployment_raw[[#This Row],[Column8]]),IF(OR(deployment_raw[[#This Row],[Column5]] &lt;&gt; 0,$E$2 &lt;&gt; "Deployment"), MAX(V102, ($T$2 * IF($E$2="Deployment",deployment_raw[[#This Row],[Column5]],1))), 0),"")</f>
        <v/>
      </c>
      <c r="U102" s="50" t="str">
        <f>IF(ISNUMBER(deployment_raw[[#This Row],[Column9]]),IF(OR(deployment_raw[[#This Row],[Column5]] &lt;&gt; 0,$E$2&lt;&gt;"Deployment"), MAX(W102, ($U$2 * IF($E$2="Deployment",deployment_raw[[#This Row],[Column5]],1))), 0),"")</f>
        <v/>
      </c>
      <c r="V102" s="15" t="str">
        <f>IF(ISNUMBER(deployment_raw[[#This Row],[Column12]]), (deployment_raw[[#This Row],[Column12]] * IF($E$2="Deployment",deployment_raw[[#This Row],[Column5]],1)*(1+$V$2)),"")</f>
        <v/>
      </c>
      <c r="W102" s="14" t="str">
        <f>IF(ISNUMBER(deployment_raw[[#This Row],[Column13]]), (deployment_raw[[#This Row],[Column13]] * IF($E$2="Deployment",deployment_raw[[#This Row],[Column5]],1)*(1+$W$2))/1048576,"")</f>
        <v/>
      </c>
    </row>
    <row r="103" spans="1:23" ht="15.75" customHeight="1" x14ac:dyDescent="0.25">
      <c r="A103" s="5" t="str">
        <f>IF(ISNONTEXT(deployment_raw[[#This Row],[Column1]]), "", deployment_raw[[#This Row],[Column1]])</f>
        <v/>
      </c>
      <c r="B103" s="6" t="str">
        <f>IF(ISNONTEXT(deployment_raw[[#This Row],[Column2]]), "", deployment_raw[[#This Row],[Column2]])</f>
        <v/>
      </c>
      <c r="C103" s="6" t="str">
        <f>IF(ISNONTEXT(deployment_raw[[#This Row],[Column3]]), "", deployment_raw[[#This Row],[Column3]])</f>
        <v/>
      </c>
      <c r="D103" s="6" t="str">
        <f>IF(ISNONTEXT(deployment_raw[[#This Row],[Column4]]), "", deployment_raw[[#This Row],[Column4]])</f>
        <v/>
      </c>
      <c r="E103" s="7" t="str">
        <f>IF(ISNUMBER(deployment_raw[[#This Row],[Column5]]), deployment_raw[[#This Row],[Column5]],"")</f>
        <v/>
      </c>
      <c r="F103" s="32" t="str">
        <f>IF(ISNUMBER(deployment_raw[[#This Row],[Column17]]), deployment_raw[[#This Row],[Column17]]/IF(OR($E$2="Deployment",deployment_raw[[#This Row],[Column5]]=0),1,deployment_raw[[#This Row],[Column5]]),"")</f>
        <v/>
      </c>
      <c r="G103" s="42" t="str">
        <f>IF(ISNUMBER(deployment_raw[[#This Row],[Column14]]), deployment_raw[[#This Row],[Column14]]/IF(OR($E$2="Deployment",deployment_raw[[#This Row],[Column5]]=0),1,deployment_raw[[#This Row],[Column5]]),"")</f>
        <v/>
      </c>
      <c r="H103" s="79" t="str">
        <f>IF(ISNUMBER(deployment_raw[[#This Row],[Column19]]), IF(I103&lt;&gt;0,(deployment_raw[[#This Row],[Column19]]/IF(OR($E$2="Deployment",deployment_raw[[#This Row],[Column5]]=0),1,deployment_raw[[#This Row],[Column5]]))/I103,0),"")</f>
        <v/>
      </c>
      <c r="I103" s="69" t="str">
        <f>IF(ISNUMBER(deployment_raw[[#This Row],[Column6]]), (deployment_raw[[#This Row],[Column6]] * IF($E$2="Deployment",deployment_raw[[#This Row],[Column5]],1)),"")</f>
        <v/>
      </c>
      <c r="J103" s="79" t="str">
        <f>IF(ISNUMBER(deployment_raw[[#This Row],[Column19]]), IF(K103&lt;&gt;0,(deployment_raw[[#This Row],[Column19]]/IF(OR($E$2="Deployment",deployment_raw[[#This Row],[Column5]]=0),1,deployment_raw[[#This Row],[Column5]]))/K103,0),"")</f>
        <v/>
      </c>
      <c r="K103" s="72" t="str">
        <f>IF(ISNUMBER(deployment_raw[[#This Row],[Column8]]), (deployment_raw[[#This Row],[Column8]]  * IF($E$2="Deployment",deployment_raw[[#This Row],[Column5]],1)),"")</f>
        <v/>
      </c>
      <c r="L10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3" s="81" t="str">
        <f>IF(ISNUMBER(deployment_raw[[#This Row],[Column20]]), IF(O103&lt;&gt;0,deployment_raw[[#This Row],[Column20]]/IF(OR($E$2="Deployment",deployment_raw[[#This Row],[Column5]]=0),1,deployment_raw[[#This Row],[Column5]])/1048576/O103,0),"")</f>
        <v/>
      </c>
      <c r="O103" s="74" t="str">
        <f>IF(ISNUMBER(deployment_raw[[#This Row],[Column7]]), (deployment_raw[[#This Row],[Column7]] * IF($E$2="Deployment",deployment_raw[[#This Row],[Column5]],1))/1048576,"")</f>
        <v/>
      </c>
      <c r="P103" s="81" t="str">
        <f>IF(ISNUMBER(deployment_raw[[#This Row],[Column20]]), IF(Q103&lt;&gt;0,deployment_raw[[#This Row],[Column20]]/IF(OR($E$2="Deployment",deployment_raw[[#This Row],[Column5]]=0),1,deployment_raw[[#This Row],[Column5]])/1048576/Q103,0),"")</f>
        <v/>
      </c>
      <c r="Q103" s="76" t="str">
        <f>IF(ISNUMBER(deployment_raw[[#This Row],[Column9]]), (deployment_raw[[#This Row],[Column9]] * IF($E$2="Deployment",deployment_raw[[#This Row],[Column5]],1))/1048576,"")</f>
        <v/>
      </c>
      <c r="R103" s="57" t="str">
        <f>IF(ISNUMBER(deployment_raw[[#This Row],[Column10]]), (deployment_raw[[#This Row],[Column10]] * IF($E$2="Deployment",deployment_raw[[#This Row],[Column5]],1)),"")</f>
        <v/>
      </c>
      <c r="S103" s="48" t="str">
        <f>IF(ISNUMBER(deployment_raw[[#This Row],[Column11]]), (deployment_raw[[#This Row],[Column11]] * IF($E$2="Deployment",deployment_raw[[#This Row],[Column5]],1))/1048576,"")</f>
        <v/>
      </c>
      <c r="T103" s="59" t="str">
        <f>IF(ISNUMBER(deployment_raw[[#This Row],[Column8]]),IF(OR(deployment_raw[[#This Row],[Column5]] &lt;&gt; 0,$E$2 &lt;&gt; "Deployment"), MAX(V103, ($T$2 * IF($E$2="Deployment",deployment_raw[[#This Row],[Column5]],1))), 0),"")</f>
        <v/>
      </c>
      <c r="U103" s="50" t="str">
        <f>IF(ISNUMBER(deployment_raw[[#This Row],[Column9]]),IF(OR(deployment_raw[[#This Row],[Column5]] &lt;&gt; 0,$E$2&lt;&gt;"Deployment"), MAX(W103, ($U$2 * IF($E$2="Deployment",deployment_raw[[#This Row],[Column5]],1))), 0),"")</f>
        <v/>
      </c>
      <c r="V103" s="15" t="str">
        <f>IF(ISNUMBER(deployment_raw[[#This Row],[Column12]]), (deployment_raw[[#This Row],[Column12]] * IF($E$2="Deployment",deployment_raw[[#This Row],[Column5]],1)*(1+$V$2)),"")</f>
        <v/>
      </c>
      <c r="W103" s="14" t="str">
        <f>IF(ISNUMBER(deployment_raw[[#This Row],[Column13]]), (deployment_raw[[#This Row],[Column13]] * IF($E$2="Deployment",deployment_raw[[#This Row],[Column5]],1)*(1+$W$2))/1048576,"")</f>
        <v/>
      </c>
    </row>
    <row r="104" spans="1:23" ht="15.75" customHeight="1" x14ac:dyDescent="0.25">
      <c r="A104" s="5" t="str">
        <f>IF(ISNONTEXT(deployment_raw[[#This Row],[Column1]]), "", deployment_raw[[#This Row],[Column1]])</f>
        <v/>
      </c>
      <c r="B104" s="6" t="str">
        <f>IF(ISNONTEXT(deployment_raw[[#This Row],[Column2]]), "", deployment_raw[[#This Row],[Column2]])</f>
        <v/>
      </c>
      <c r="C104" s="6" t="str">
        <f>IF(ISNONTEXT(deployment_raw[[#This Row],[Column3]]), "", deployment_raw[[#This Row],[Column3]])</f>
        <v/>
      </c>
      <c r="D104" s="6" t="str">
        <f>IF(ISNONTEXT(deployment_raw[[#This Row],[Column4]]), "", deployment_raw[[#This Row],[Column4]])</f>
        <v/>
      </c>
      <c r="E104" s="7" t="str">
        <f>IF(ISNUMBER(deployment_raw[[#This Row],[Column5]]), deployment_raw[[#This Row],[Column5]],"")</f>
        <v/>
      </c>
      <c r="F104" s="32" t="str">
        <f>IF(ISNUMBER(deployment_raw[[#This Row],[Column17]]), deployment_raw[[#This Row],[Column17]]/IF(OR($E$2="Deployment",deployment_raw[[#This Row],[Column5]]=0),1,deployment_raw[[#This Row],[Column5]]),"")</f>
        <v/>
      </c>
      <c r="G104" s="42" t="str">
        <f>IF(ISNUMBER(deployment_raw[[#This Row],[Column14]]), deployment_raw[[#This Row],[Column14]]/IF(OR($E$2="Deployment",deployment_raw[[#This Row],[Column5]]=0),1,deployment_raw[[#This Row],[Column5]]),"")</f>
        <v/>
      </c>
      <c r="H104" s="79" t="str">
        <f>IF(ISNUMBER(deployment_raw[[#This Row],[Column19]]), IF(I104&lt;&gt;0,(deployment_raw[[#This Row],[Column19]]/IF(OR($E$2="Deployment",deployment_raw[[#This Row],[Column5]]=0),1,deployment_raw[[#This Row],[Column5]]))/I104,0),"")</f>
        <v/>
      </c>
      <c r="I104" s="69" t="str">
        <f>IF(ISNUMBER(deployment_raw[[#This Row],[Column6]]), (deployment_raw[[#This Row],[Column6]] * IF($E$2="Deployment",deployment_raw[[#This Row],[Column5]],1)),"")</f>
        <v/>
      </c>
      <c r="J104" s="79" t="str">
        <f>IF(ISNUMBER(deployment_raw[[#This Row],[Column19]]), IF(K104&lt;&gt;0,(deployment_raw[[#This Row],[Column19]]/IF(OR($E$2="Deployment",deployment_raw[[#This Row],[Column5]]=0),1,deployment_raw[[#This Row],[Column5]]))/K104,0),"")</f>
        <v/>
      </c>
      <c r="K104" s="72" t="str">
        <f>IF(ISNUMBER(deployment_raw[[#This Row],[Column8]]), (deployment_raw[[#This Row],[Column8]]  * IF($E$2="Deployment",deployment_raw[[#This Row],[Column5]],1)),"")</f>
        <v/>
      </c>
      <c r="L10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4" s="81" t="str">
        <f>IF(ISNUMBER(deployment_raw[[#This Row],[Column20]]), IF(O104&lt;&gt;0,deployment_raw[[#This Row],[Column20]]/IF(OR($E$2="Deployment",deployment_raw[[#This Row],[Column5]]=0),1,deployment_raw[[#This Row],[Column5]])/1048576/O104,0),"")</f>
        <v/>
      </c>
      <c r="O104" s="74" t="str">
        <f>IF(ISNUMBER(deployment_raw[[#This Row],[Column7]]), (deployment_raw[[#This Row],[Column7]] * IF($E$2="Deployment",deployment_raw[[#This Row],[Column5]],1))/1048576,"")</f>
        <v/>
      </c>
      <c r="P104" s="81" t="str">
        <f>IF(ISNUMBER(deployment_raw[[#This Row],[Column20]]), IF(Q104&lt;&gt;0,deployment_raw[[#This Row],[Column20]]/IF(OR($E$2="Deployment",deployment_raw[[#This Row],[Column5]]=0),1,deployment_raw[[#This Row],[Column5]])/1048576/Q104,0),"")</f>
        <v/>
      </c>
      <c r="Q104" s="76" t="str">
        <f>IF(ISNUMBER(deployment_raw[[#This Row],[Column9]]), (deployment_raw[[#This Row],[Column9]] * IF($E$2="Deployment",deployment_raw[[#This Row],[Column5]],1))/1048576,"")</f>
        <v/>
      </c>
      <c r="R104" s="57" t="str">
        <f>IF(ISNUMBER(deployment_raw[[#This Row],[Column10]]), (deployment_raw[[#This Row],[Column10]] * IF($E$2="Deployment",deployment_raw[[#This Row],[Column5]],1)),"")</f>
        <v/>
      </c>
      <c r="S104" s="48" t="str">
        <f>IF(ISNUMBER(deployment_raw[[#This Row],[Column11]]), (deployment_raw[[#This Row],[Column11]] * IF($E$2="Deployment",deployment_raw[[#This Row],[Column5]],1))/1048576,"")</f>
        <v/>
      </c>
      <c r="T104" s="59" t="str">
        <f>IF(ISNUMBER(deployment_raw[[#This Row],[Column8]]),IF(OR(deployment_raw[[#This Row],[Column5]] &lt;&gt; 0,$E$2 &lt;&gt; "Deployment"), MAX(V104, ($T$2 * IF($E$2="Deployment",deployment_raw[[#This Row],[Column5]],1))), 0),"")</f>
        <v/>
      </c>
      <c r="U104" s="50" t="str">
        <f>IF(ISNUMBER(deployment_raw[[#This Row],[Column9]]),IF(OR(deployment_raw[[#This Row],[Column5]] &lt;&gt; 0,$E$2&lt;&gt;"Deployment"), MAX(W104, ($U$2 * IF($E$2="Deployment",deployment_raw[[#This Row],[Column5]],1))), 0),"")</f>
        <v/>
      </c>
      <c r="V104" s="15" t="str">
        <f>IF(ISNUMBER(deployment_raw[[#This Row],[Column12]]), (deployment_raw[[#This Row],[Column12]] * IF($E$2="Deployment",deployment_raw[[#This Row],[Column5]],1)*(1+$V$2)),"")</f>
        <v/>
      </c>
      <c r="W104" s="14" t="str">
        <f>IF(ISNUMBER(deployment_raw[[#This Row],[Column13]]), (deployment_raw[[#This Row],[Column13]] * IF($E$2="Deployment",deployment_raw[[#This Row],[Column5]],1)*(1+$W$2))/1048576,"")</f>
        <v/>
      </c>
    </row>
    <row r="105" spans="1:23" ht="15.75" customHeight="1" x14ac:dyDescent="0.25">
      <c r="A105" s="5" t="str">
        <f>IF(ISNONTEXT(deployment_raw[[#This Row],[Column1]]), "", deployment_raw[[#This Row],[Column1]])</f>
        <v/>
      </c>
      <c r="B105" s="6" t="str">
        <f>IF(ISNONTEXT(deployment_raw[[#This Row],[Column2]]), "", deployment_raw[[#This Row],[Column2]])</f>
        <v/>
      </c>
      <c r="C105" s="6" t="str">
        <f>IF(ISNONTEXT(deployment_raw[[#This Row],[Column3]]), "", deployment_raw[[#This Row],[Column3]])</f>
        <v/>
      </c>
      <c r="D105" s="6" t="str">
        <f>IF(ISNONTEXT(deployment_raw[[#This Row],[Column4]]), "", deployment_raw[[#This Row],[Column4]])</f>
        <v/>
      </c>
      <c r="E105" s="7" t="str">
        <f>IF(ISNUMBER(deployment_raw[[#This Row],[Column5]]), deployment_raw[[#This Row],[Column5]],"")</f>
        <v/>
      </c>
      <c r="F105" s="32" t="str">
        <f>IF(ISNUMBER(deployment_raw[[#This Row],[Column17]]), deployment_raw[[#This Row],[Column17]]/IF(OR($E$2="Deployment",deployment_raw[[#This Row],[Column5]]=0),1,deployment_raw[[#This Row],[Column5]]),"")</f>
        <v/>
      </c>
      <c r="G105" s="42" t="str">
        <f>IF(ISNUMBER(deployment_raw[[#This Row],[Column14]]), deployment_raw[[#This Row],[Column14]]/IF(OR($E$2="Deployment",deployment_raw[[#This Row],[Column5]]=0),1,deployment_raw[[#This Row],[Column5]]),"")</f>
        <v/>
      </c>
      <c r="H105" s="79" t="str">
        <f>IF(ISNUMBER(deployment_raw[[#This Row],[Column19]]), IF(I105&lt;&gt;0,(deployment_raw[[#This Row],[Column19]]/IF(OR($E$2="Deployment",deployment_raw[[#This Row],[Column5]]=0),1,deployment_raw[[#This Row],[Column5]]))/I105,0),"")</f>
        <v/>
      </c>
      <c r="I105" s="69" t="str">
        <f>IF(ISNUMBER(deployment_raw[[#This Row],[Column6]]), (deployment_raw[[#This Row],[Column6]] * IF($E$2="Deployment",deployment_raw[[#This Row],[Column5]],1)),"")</f>
        <v/>
      </c>
      <c r="J105" s="79" t="str">
        <f>IF(ISNUMBER(deployment_raw[[#This Row],[Column19]]), IF(K105&lt;&gt;0,(deployment_raw[[#This Row],[Column19]]/IF(OR($E$2="Deployment",deployment_raw[[#This Row],[Column5]]=0),1,deployment_raw[[#This Row],[Column5]]))/K105,0),"")</f>
        <v/>
      </c>
      <c r="K105" s="72" t="str">
        <f>IF(ISNUMBER(deployment_raw[[#This Row],[Column8]]), (deployment_raw[[#This Row],[Column8]]  * IF($E$2="Deployment",deployment_raw[[#This Row],[Column5]],1)),"")</f>
        <v/>
      </c>
      <c r="L10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5" s="81" t="str">
        <f>IF(ISNUMBER(deployment_raw[[#This Row],[Column20]]), IF(O105&lt;&gt;0,deployment_raw[[#This Row],[Column20]]/IF(OR($E$2="Deployment",deployment_raw[[#This Row],[Column5]]=0),1,deployment_raw[[#This Row],[Column5]])/1048576/O105,0),"")</f>
        <v/>
      </c>
      <c r="O105" s="74" t="str">
        <f>IF(ISNUMBER(deployment_raw[[#This Row],[Column7]]), (deployment_raw[[#This Row],[Column7]] * IF($E$2="Deployment",deployment_raw[[#This Row],[Column5]],1))/1048576,"")</f>
        <v/>
      </c>
      <c r="P105" s="81" t="str">
        <f>IF(ISNUMBER(deployment_raw[[#This Row],[Column20]]), IF(Q105&lt;&gt;0,deployment_raw[[#This Row],[Column20]]/IF(OR($E$2="Deployment",deployment_raw[[#This Row],[Column5]]=0),1,deployment_raw[[#This Row],[Column5]])/1048576/Q105,0),"")</f>
        <v/>
      </c>
      <c r="Q105" s="76" t="str">
        <f>IF(ISNUMBER(deployment_raw[[#This Row],[Column9]]), (deployment_raw[[#This Row],[Column9]] * IF($E$2="Deployment",deployment_raw[[#This Row],[Column5]],1))/1048576,"")</f>
        <v/>
      </c>
      <c r="R105" s="57" t="str">
        <f>IF(ISNUMBER(deployment_raw[[#This Row],[Column10]]), (deployment_raw[[#This Row],[Column10]] * IF($E$2="Deployment",deployment_raw[[#This Row],[Column5]],1)),"")</f>
        <v/>
      </c>
      <c r="S105" s="48" t="str">
        <f>IF(ISNUMBER(deployment_raw[[#This Row],[Column11]]), (deployment_raw[[#This Row],[Column11]] * IF($E$2="Deployment",deployment_raw[[#This Row],[Column5]],1))/1048576,"")</f>
        <v/>
      </c>
      <c r="T105" s="59" t="str">
        <f>IF(ISNUMBER(deployment_raw[[#This Row],[Column8]]),IF(OR(deployment_raw[[#This Row],[Column5]] &lt;&gt; 0,$E$2 &lt;&gt; "Deployment"), MAX(V105, ($T$2 * IF($E$2="Deployment",deployment_raw[[#This Row],[Column5]],1))), 0),"")</f>
        <v/>
      </c>
      <c r="U105" s="50" t="str">
        <f>IF(ISNUMBER(deployment_raw[[#This Row],[Column9]]),IF(OR(deployment_raw[[#This Row],[Column5]] &lt;&gt; 0,$E$2&lt;&gt;"Deployment"), MAX(W105, ($U$2 * IF($E$2="Deployment",deployment_raw[[#This Row],[Column5]],1))), 0),"")</f>
        <v/>
      </c>
      <c r="V105" s="15" t="str">
        <f>IF(ISNUMBER(deployment_raw[[#This Row],[Column12]]), (deployment_raw[[#This Row],[Column12]] * IF($E$2="Deployment",deployment_raw[[#This Row],[Column5]],1)*(1+$V$2)),"")</f>
        <v/>
      </c>
      <c r="W105" s="14" t="str">
        <f>IF(ISNUMBER(deployment_raw[[#This Row],[Column13]]), (deployment_raw[[#This Row],[Column13]] * IF($E$2="Deployment",deployment_raw[[#This Row],[Column5]],1)*(1+$W$2))/1048576,"")</f>
        <v/>
      </c>
    </row>
    <row r="106" spans="1:23" ht="15.75" customHeight="1" x14ac:dyDescent="0.25">
      <c r="A106" s="5" t="str">
        <f>IF(ISNONTEXT(deployment_raw[[#This Row],[Column1]]), "", deployment_raw[[#This Row],[Column1]])</f>
        <v/>
      </c>
      <c r="B106" s="6" t="str">
        <f>IF(ISNONTEXT(deployment_raw[[#This Row],[Column2]]), "", deployment_raw[[#This Row],[Column2]])</f>
        <v/>
      </c>
      <c r="C106" s="6" t="str">
        <f>IF(ISNONTEXT(deployment_raw[[#This Row],[Column3]]), "", deployment_raw[[#This Row],[Column3]])</f>
        <v/>
      </c>
      <c r="D106" s="6" t="str">
        <f>IF(ISNONTEXT(deployment_raw[[#This Row],[Column4]]), "", deployment_raw[[#This Row],[Column4]])</f>
        <v/>
      </c>
      <c r="E106" s="7" t="str">
        <f>IF(ISNUMBER(deployment_raw[[#This Row],[Column5]]), deployment_raw[[#This Row],[Column5]],"")</f>
        <v/>
      </c>
      <c r="F106" s="32" t="str">
        <f>IF(ISNUMBER(deployment_raw[[#This Row],[Column17]]), deployment_raw[[#This Row],[Column17]]/IF(OR($E$2="Deployment",deployment_raw[[#This Row],[Column5]]=0),1,deployment_raw[[#This Row],[Column5]]),"")</f>
        <v/>
      </c>
      <c r="G106" s="42" t="str">
        <f>IF(ISNUMBER(deployment_raw[[#This Row],[Column14]]), deployment_raw[[#This Row],[Column14]]/IF(OR($E$2="Deployment",deployment_raw[[#This Row],[Column5]]=0),1,deployment_raw[[#This Row],[Column5]]),"")</f>
        <v/>
      </c>
      <c r="H106" s="79" t="str">
        <f>IF(ISNUMBER(deployment_raw[[#This Row],[Column19]]), IF(I106&lt;&gt;0,(deployment_raw[[#This Row],[Column19]]/IF(OR($E$2="Deployment",deployment_raw[[#This Row],[Column5]]=0),1,deployment_raw[[#This Row],[Column5]]))/I106,0),"")</f>
        <v/>
      </c>
      <c r="I106" s="69" t="str">
        <f>IF(ISNUMBER(deployment_raw[[#This Row],[Column6]]), (deployment_raw[[#This Row],[Column6]] * IF($E$2="Deployment",deployment_raw[[#This Row],[Column5]],1)),"")</f>
        <v/>
      </c>
      <c r="J106" s="79" t="str">
        <f>IF(ISNUMBER(deployment_raw[[#This Row],[Column19]]), IF(K106&lt;&gt;0,(deployment_raw[[#This Row],[Column19]]/IF(OR($E$2="Deployment",deployment_raw[[#This Row],[Column5]]=0),1,deployment_raw[[#This Row],[Column5]]))/K106,0),"")</f>
        <v/>
      </c>
      <c r="K106" s="72" t="str">
        <f>IF(ISNUMBER(deployment_raw[[#This Row],[Column8]]), (deployment_raw[[#This Row],[Column8]]  * IF($E$2="Deployment",deployment_raw[[#This Row],[Column5]],1)),"")</f>
        <v/>
      </c>
      <c r="L10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6" s="81" t="str">
        <f>IF(ISNUMBER(deployment_raw[[#This Row],[Column20]]), IF(O106&lt;&gt;0,deployment_raw[[#This Row],[Column20]]/IF(OR($E$2="Deployment",deployment_raw[[#This Row],[Column5]]=0),1,deployment_raw[[#This Row],[Column5]])/1048576/O106,0),"")</f>
        <v/>
      </c>
      <c r="O106" s="74" t="str">
        <f>IF(ISNUMBER(deployment_raw[[#This Row],[Column7]]), (deployment_raw[[#This Row],[Column7]] * IF($E$2="Deployment",deployment_raw[[#This Row],[Column5]],1))/1048576,"")</f>
        <v/>
      </c>
      <c r="P106" s="81" t="str">
        <f>IF(ISNUMBER(deployment_raw[[#This Row],[Column20]]), IF(Q106&lt;&gt;0,deployment_raw[[#This Row],[Column20]]/IF(OR($E$2="Deployment",deployment_raw[[#This Row],[Column5]]=0),1,deployment_raw[[#This Row],[Column5]])/1048576/Q106,0),"")</f>
        <v/>
      </c>
      <c r="Q106" s="76" t="str">
        <f>IF(ISNUMBER(deployment_raw[[#This Row],[Column9]]), (deployment_raw[[#This Row],[Column9]] * IF($E$2="Deployment",deployment_raw[[#This Row],[Column5]],1))/1048576,"")</f>
        <v/>
      </c>
      <c r="R106" s="57" t="str">
        <f>IF(ISNUMBER(deployment_raw[[#This Row],[Column10]]), (deployment_raw[[#This Row],[Column10]] * IF($E$2="Deployment",deployment_raw[[#This Row],[Column5]],1)),"")</f>
        <v/>
      </c>
      <c r="S106" s="48" t="str">
        <f>IF(ISNUMBER(deployment_raw[[#This Row],[Column11]]), (deployment_raw[[#This Row],[Column11]] * IF($E$2="Deployment",deployment_raw[[#This Row],[Column5]],1))/1048576,"")</f>
        <v/>
      </c>
      <c r="T106" s="59" t="str">
        <f>IF(ISNUMBER(deployment_raw[[#This Row],[Column8]]),IF(OR(deployment_raw[[#This Row],[Column5]] &lt;&gt; 0,$E$2 &lt;&gt; "Deployment"), MAX(V106, ($T$2 * IF($E$2="Deployment",deployment_raw[[#This Row],[Column5]],1))), 0),"")</f>
        <v/>
      </c>
      <c r="U106" s="50" t="str">
        <f>IF(ISNUMBER(deployment_raw[[#This Row],[Column9]]),IF(OR(deployment_raw[[#This Row],[Column5]] &lt;&gt; 0,$E$2&lt;&gt;"Deployment"), MAX(W106, ($U$2 * IF($E$2="Deployment",deployment_raw[[#This Row],[Column5]],1))), 0),"")</f>
        <v/>
      </c>
      <c r="V106" s="15" t="str">
        <f>IF(ISNUMBER(deployment_raw[[#This Row],[Column12]]), (deployment_raw[[#This Row],[Column12]] * IF($E$2="Deployment",deployment_raw[[#This Row],[Column5]],1)*(1+$V$2)),"")</f>
        <v/>
      </c>
      <c r="W106" s="14" t="str">
        <f>IF(ISNUMBER(deployment_raw[[#This Row],[Column13]]), (deployment_raw[[#This Row],[Column13]] * IF($E$2="Deployment",deployment_raw[[#This Row],[Column5]],1)*(1+$W$2))/1048576,"")</f>
        <v/>
      </c>
    </row>
    <row r="107" spans="1:23" ht="15.75" customHeight="1" x14ac:dyDescent="0.25">
      <c r="A107" s="5" t="str">
        <f>IF(ISNONTEXT(deployment_raw[[#This Row],[Column1]]), "", deployment_raw[[#This Row],[Column1]])</f>
        <v/>
      </c>
      <c r="B107" s="6" t="str">
        <f>IF(ISNONTEXT(deployment_raw[[#This Row],[Column2]]), "", deployment_raw[[#This Row],[Column2]])</f>
        <v/>
      </c>
      <c r="C107" s="6" t="str">
        <f>IF(ISNONTEXT(deployment_raw[[#This Row],[Column3]]), "", deployment_raw[[#This Row],[Column3]])</f>
        <v/>
      </c>
      <c r="D107" s="6" t="str">
        <f>IF(ISNONTEXT(deployment_raw[[#This Row],[Column4]]), "", deployment_raw[[#This Row],[Column4]])</f>
        <v/>
      </c>
      <c r="E107" s="7" t="str">
        <f>IF(ISNUMBER(deployment_raw[[#This Row],[Column5]]), deployment_raw[[#This Row],[Column5]],"")</f>
        <v/>
      </c>
      <c r="F107" s="32" t="str">
        <f>IF(ISNUMBER(deployment_raw[[#This Row],[Column17]]), deployment_raw[[#This Row],[Column17]]/IF(OR($E$2="Deployment",deployment_raw[[#This Row],[Column5]]=0),1,deployment_raw[[#This Row],[Column5]]),"")</f>
        <v/>
      </c>
      <c r="G107" s="42" t="str">
        <f>IF(ISNUMBER(deployment_raw[[#This Row],[Column14]]), deployment_raw[[#This Row],[Column14]]/IF(OR($E$2="Deployment",deployment_raw[[#This Row],[Column5]]=0),1,deployment_raw[[#This Row],[Column5]]),"")</f>
        <v/>
      </c>
      <c r="H107" s="79" t="str">
        <f>IF(ISNUMBER(deployment_raw[[#This Row],[Column19]]), IF(I107&lt;&gt;0,(deployment_raw[[#This Row],[Column19]]/IF(OR($E$2="Deployment",deployment_raw[[#This Row],[Column5]]=0),1,deployment_raw[[#This Row],[Column5]]))/I107,0),"")</f>
        <v/>
      </c>
      <c r="I107" s="69" t="str">
        <f>IF(ISNUMBER(deployment_raw[[#This Row],[Column6]]), (deployment_raw[[#This Row],[Column6]] * IF($E$2="Deployment",deployment_raw[[#This Row],[Column5]],1)),"")</f>
        <v/>
      </c>
      <c r="J107" s="79" t="str">
        <f>IF(ISNUMBER(deployment_raw[[#This Row],[Column19]]), IF(K107&lt;&gt;0,(deployment_raw[[#This Row],[Column19]]/IF(OR($E$2="Deployment",deployment_raw[[#This Row],[Column5]]=0),1,deployment_raw[[#This Row],[Column5]]))/K107,0),"")</f>
        <v/>
      </c>
      <c r="K107" s="72" t="str">
        <f>IF(ISNUMBER(deployment_raw[[#This Row],[Column8]]), (deployment_raw[[#This Row],[Column8]]  * IF($E$2="Deployment",deployment_raw[[#This Row],[Column5]],1)),"")</f>
        <v/>
      </c>
      <c r="L10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7" s="81" t="str">
        <f>IF(ISNUMBER(deployment_raw[[#This Row],[Column20]]), IF(O107&lt;&gt;0,deployment_raw[[#This Row],[Column20]]/IF(OR($E$2="Deployment",deployment_raw[[#This Row],[Column5]]=0),1,deployment_raw[[#This Row],[Column5]])/1048576/O107,0),"")</f>
        <v/>
      </c>
      <c r="O107" s="74" t="str">
        <f>IF(ISNUMBER(deployment_raw[[#This Row],[Column7]]), (deployment_raw[[#This Row],[Column7]] * IF($E$2="Deployment",deployment_raw[[#This Row],[Column5]],1))/1048576,"")</f>
        <v/>
      </c>
      <c r="P107" s="81" t="str">
        <f>IF(ISNUMBER(deployment_raw[[#This Row],[Column20]]), IF(Q107&lt;&gt;0,deployment_raw[[#This Row],[Column20]]/IF(OR($E$2="Deployment",deployment_raw[[#This Row],[Column5]]=0),1,deployment_raw[[#This Row],[Column5]])/1048576/Q107,0),"")</f>
        <v/>
      </c>
      <c r="Q107" s="76" t="str">
        <f>IF(ISNUMBER(deployment_raw[[#This Row],[Column9]]), (deployment_raw[[#This Row],[Column9]] * IF($E$2="Deployment",deployment_raw[[#This Row],[Column5]],1))/1048576,"")</f>
        <v/>
      </c>
      <c r="R107" s="57" t="str">
        <f>IF(ISNUMBER(deployment_raw[[#This Row],[Column10]]), (deployment_raw[[#This Row],[Column10]] * IF($E$2="Deployment",deployment_raw[[#This Row],[Column5]],1)),"")</f>
        <v/>
      </c>
      <c r="S107" s="48" t="str">
        <f>IF(ISNUMBER(deployment_raw[[#This Row],[Column11]]), (deployment_raw[[#This Row],[Column11]] * IF($E$2="Deployment",deployment_raw[[#This Row],[Column5]],1))/1048576,"")</f>
        <v/>
      </c>
      <c r="T107" s="59" t="str">
        <f>IF(ISNUMBER(deployment_raw[[#This Row],[Column8]]),IF(OR(deployment_raw[[#This Row],[Column5]] &lt;&gt; 0,$E$2 &lt;&gt; "Deployment"), MAX(V107, ($T$2 * IF($E$2="Deployment",deployment_raw[[#This Row],[Column5]],1))), 0),"")</f>
        <v/>
      </c>
      <c r="U107" s="50" t="str">
        <f>IF(ISNUMBER(deployment_raw[[#This Row],[Column9]]),IF(OR(deployment_raw[[#This Row],[Column5]] &lt;&gt; 0,$E$2&lt;&gt;"Deployment"), MAX(W107, ($U$2 * IF($E$2="Deployment",deployment_raw[[#This Row],[Column5]],1))), 0),"")</f>
        <v/>
      </c>
      <c r="V107" s="15" t="str">
        <f>IF(ISNUMBER(deployment_raw[[#This Row],[Column12]]), (deployment_raw[[#This Row],[Column12]] * IF($E$2="Deployment",deployment_raw[[#This Row],[Column5]],1)*(1+$V$2)),"")</f>
        <v/>
      </c>
      <c r="W107" s="14" t="str">
        <f>IF(ISNUMBER(deployment_raw[[#This Row],[Column13]]), (deployment_raw[[#This Row],[Column13]] * IF($E$2="Deployment",deployment_raw[[#This Row],[Column5]],1)*(1+$W$2))/1048576,"")</f>
        <v/>
      </c>
    </row>
    <row r="108" spans="1:23" ht="15.75" customHeight="1" x14ac:dyDescent="0.25">
      <c r="A108" s="5" t="str">
        <f>IF(ISNONTEXT(deployment_raw[[#This Row],[Column1]]), "", deployment_raw[[#This Row],[Column1]])</f>
        <v/>
      </c>
      <c r="B108" s="6" t="str">
        <f>IF(ISNONTEXT(deployment_raw[[#This Row],[Column2]]), "", deployment_raw[[#This Row],[Column2]])</f>
        <v/>
      </c>
      <c r="C108" s="6" t="str">
        <f>IF(ISNONTEXT(deployment_raw[[#This Row],[Column3]]), "", deployment_raw[[#This Row],[Column3]])</f>
        <v/>
      </c>
      <c r="D108" s="6" t="str">
        <f>IF(ISNONTEXT(deployment_raw[[#This Row],[Column4]]), "", deployment_raw[[#This Row],[Column4]])</f>
        <v/>
      </c>
      <c r="E108" s="7" t="str">
        <f>IF(ISNUMBER(deployment_raw[[#This Row],[Column5]]), deployment_raw[[#This Row],[Column5]],"")</f>
        <v/>
      </c>
      <c r="F108" s="32" t="str">
        <f>IF(ISNUMBER(deployment_raw[[#This Row],[Column17]]), deployment_raw[[#This Row],[Column17]]/IF(OR($E$2="Deployment",deployment_raw[[#This Row],[Column5]]=0),1,deployment_raw[[#This Row],[Column5]]),"")</f>
        <v/>
      </c>
      <c r="G108" s="42" t="str">
        <f>IF(ISNUMBER(deployment_raw[[#This Row],[Column14]]), deployment_raw[[#This Row],[Column14]]/IF(OR($E$2="Deployment",deployment_raw[[#This Row],[Column5]]=0),1,deployment_raw[[#This Row],[Column5]]),"")</f>
        <v/>
      </c>
      <c r="H108" s="79" t="str">
        <f>IF(ISNUMBER(deployment_raw[[#This Row],[Column19]]), IF(I108&lt;&gt;0,(deployment_raw[[#This Row],[Column19]]/IF(OR($E$2="Deployment",deployment_raw[[#This Row],[Column5]]=0),1,deployment_raw[[#This Row],[Column5]]))/I108,0),"")</f>
        <v/>
      </c>
      <c r="I108" s="69" t="str">
        <f>IF(ISNUMBER(deployment_raw[[#This Row],[Column6]]), (deployment_raw[[#This Row],[Column6]] * IF($E$2="Deployment",deployment_raw[[#This Row],[Column5]],1)),"")</f>
        <v/>
      </c>
      <c r="J108" s="79" t="str">
        <f>IF(ISNUMBER(deployment_raw[[#This Row],[Column19]]), IF(K108&lt;&gt;0,(deployment_raw[[#This Row],[Column19]]/IF(OR($E$2="Deployment",deployment_raw[[#This Row],[Column5]]=0),1,deployment_raw[[#This Row],[Column5]]))/K108,0),"")</f>
        <v/>
      </c>
      <c r="K108" s="72" t="str">
        <f>IF(ISNUMBER(deployment_raw[[#This Row],[Column8]]), (deployment_raw[[#This Row],[Column8]]  * IF($E$2="Deployment",deployment_raw[[#This Row],[Column5]],1)),"")</f>
        <v/>
      </c>
      <c r="L10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8" s="81" t="str">
        <f>IF(ISNUMBER(deployment_raw[[#This Row],[Column20]]), IF(O108&lt;&gt;0,deployment_raw[[#This Row],[Column20]]/IF(OR($E$2="Deployment",deployment_raw[[#This Row],[Column5]]=0),1,deployment_raw[[#This Row],[Column5]])/1048576/O108,0),"")</f>
        <v/>
      </c>
      <c r="O108" s="74" t="str">
        <f>IF(ISNUMBER(deployment_raw[[#This Row],[Column7]]), (deployment_raw[[#This Row],[Column7]] * IF($E$2="Deployment",deployment_raw[[#This Row],[Column5]],1))/1048576,"")</f>
        <v/>
      </c>
      <c r="P108" s="81" t="str">
        <f>IF(ISNUMBER(deployment_raw[[#This Row],[Column20]]), IF(Q108&lt;&gt;0,deployment_raw[[#This Row],[Column20]]/IF(OR($E$2="Deployment",deployment_raw[[#This Row],[Column5]]=0),1,deployment_raw[[#This Row],[Column5]])/1048576/Q108,0),"")</f>
        <v/>
      </c>
      <c r="Q108" s="76" t="str">
        <f>IF(ISNUMBER(deployment_raw[[#This Row],[Column9]]), (deployment_raw[[#This Row],[Column9]] * IF($E$2="Deployment",deployment_raw[[#This Row],[Column5]],1))/1048576,"")</f>
        <v/>
      </c>
      <c r="R108" s="57" t="str">
        <f>IF(ISNUMBER(deployment_raw[[#This Row],[Column10]]), (deployment_raw[[#This Row],[Column10]] * IF($E$2="Deployment",deployment_raw[[#This Row],[Column5]],1)),"")</f>
        <v/>
      </c>
      <c r="S108" s="48" t="str">
        <f>IF(ISNUMBER(deployment_raw[[#This Row],[Column11]]), (deployment_raw[[#This Row],[Column11]] * IF($E$2="Deployment",deployment_raw[[#This Row],[Column5]],1))/1048576,"")</f>
        <v/>
      </c>
      <c r="T108" s="59" t="str">
        <f>IF(ISNUMBER(deployment_raw[[#This Row],[Column8]]),IF(OR(deployment_raw[[#This Row],[Column5]] &lt;&gt; 0,$E$2 &lt;&gt; "Deployment"), MAX(V108, ($T$2 * IF($E$2="Deployment",deployment_raw[[#This Row],[Column5]],1))), 0),"")</f>
        <v/>
      </c>
      <c r="U108" s="50" t="str">
        <f>IF(ISNUMBER(deployment_raw[[#This Row],[Column9]]),IF(OR(deployment_raw[[#This Row],[Column5]] &lt;&gt; 0,$E$2&lt;&gt;"Deployment"), MAX(W108, ($U$2 * IF($E$2="Deployment",deployment_raw[[#This Row],[Column5]],1))), 0),"")</f>
        <v/>
      </c>
      <c r="V108" s="15" t="str">
        <f>IF(ISNUMBER(deployment_raw[[#This Row],[Column12]]), (deployment_raw[[#This Row],[Column12]] * IF($E$2="Deployment",deployment_raw[[#This Row],[Column5]],1)*(1+$V$2)),"")</f>
        <v/>
      </c>
      <c r="W108" s="14" t="str">
        <f>IF(ISNUMBER(deployment_raw[[#This Row],[Column13]]), (deployment_raw[[#This Row],[Column13]] * IF($E$2="Deployment",deployment_raw[[#This Row],[Column5]],1)*(1+$W$2))/1048576,"")</f>
        <v/>
      </c>
    </row>
    <row r="109" spans="1:23" ht="15.75" customHeight="1" x14ac:dyDescent="0.25">
      <c r="A109" s="5" t="str">
        <f>IF(ISNONTEXT(deployment_raw[[#This Row],[Column1]]), "", deployment_raw[[#This Row],[Column1]])</f>
        <v/>
      </c>
      <c r="B109" s="6" t="str">
        <f>IF(ISNONTEXT(deployment_raw[[#This Row],[Column2]]), "", deployment_raw[[#This Row],[Column2]])</f>
        <v/>
      </c>
      <c r="C109" s="6" t="str">
        <f>IF(ISNONTEXT(deployment_raw[[#This Row],[Column3]]), "", deployment_raw[[#This Row],[Column3]])</f>
        <v/>
      </c>
      <c r="D109" s="6" t="str">
        <f>IF(ISNONTEXT(deployment_raw[[#This Row],[Column4]]), "", deployment_raw[[#This Row],[Column4]])</f>
        <v/>
      </c>
      <c r="E109" s="7" t="str">
        <f>IF(ISNUMBER(deployment_raw[[#This Row],[Column5]]), deployment_raw[[#This Row],[Column5]],"")</f>
        <v/>
      </c>
      <c r="F109" s="32" t="str">
        <f>IF(ISNUMBER(deployment_raw[[#This Row],[Column17]]), deployment_raw[[#This Row],[Column17]]/IF(OR($E$2="Deployment",deployment_raw[[#This Row],[Column5]]=0),1,deployment_raw[[#This Row],[Column5]]),"")</f>
        <v/>
      </c>
      <c r="G109" s="42" t="str">
        <f>IF(ISNUMBER(deployment_raw[[#This Row],[Column14]]), deployment_raw[[#This Row],[Column14]]/IF(OR($E$2="Deployment",deployment_raw[[#This Row],[Column5]]=0),1,deployment_raw[[#This Row],[Column5]]),"")</f>
        <v/>
      </c>
      <c r="H109" s="79" t="str">
        <f>IF(ISNUMBER(deployment_raw[[#This Row],[Column19]]), IF(I109&lt;&gt;0,(deployment_raw[[#This Row],[Column19]]/IF(OR($E$2="Deployment",deployment_raw[[#This Row],[Column5]]=0),1,deployment_raw[[#This Row],[Column5]]))/I109,0),"")</f>
        <v/>
      </c>
      <c r="I109" s="69" t="str">
        <f>IF(ISNUMBER(deployment_raw[[#This Row],[Column6]]), (deployment_raw[[#This Row],[Column6]] * IF($E$2="Deployment",deployment_raw[[#This Row],[Column5]],1)),"")</f>
        <v/>
      </c>
      <c r="J109" s="79" t="str">
        <f>IF(ISNUMBER(deployment_raw[[#This Row],[Column19]]), IF(K109&lt;&gt;0,(deployment_raw[[#This Row],[Column19]]/IF(OR($E$2="Deployment",deployment_raw[[#This Row],[Column5]]=0),1,deployment_raw[[#This Row],[Column5]]))/K109,0),"")</f>
        <v/>
      </c>
      <c r="K109" s="72" t="str">
        <f>IF(ISNUMBER(deployment_raw[[#This Row],[Column8]]), (deployment_raw[[#This Row],[Column8]]  * IF($E$2="Deployment",deployment_raw[[#This Row],[Column5]],1)),"")</f>
        <v/>
      </c>
      <c r="L10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9" s="81" t="str">
        <f>IF(ISNUMBER(deployment_raw[[#This Row],[Column20]]), IF(O109&lt;&gt;0,deployment_raw[[#This Row],[Column20]]/IF(OR($E$2="Deployment",deployment_raw[[#This Row],[Column5]]=0),1,deployment_raw[[#This Row],[Column5]])/1048576/O109,0),"")</f>
        <v/>
      </c>
      <c r="O109" s="74" t="str">
        <f>IF(ISNUMBER(deployment_raw[[#This Row],[Column7]]), (deployment_raw[[#This Row],[Column7]] * IF($E$2="Deployment",deployment_raw[[#This Row],[Column5]],1))/1048576,"")</f>
        <v/>
      </c>
      <c r="P109" s="81" t="str">
        <f>IF(ISNUMBER(deployment_raw[[#This Row],[Column20]]), IF(Q109&lt;&gt;0,deployment_raw[[#This Row],[Column20]]/IF(OR($E$2="Deployment",deployment_raw[[#This Row],[Column5]]=0),1,deployment_raw[[#This Row],[Column5]])/1048576/Q109,0),"")</f>
        <v/>
      </c>
      <c r="Q109" s="76" t="str">
        <f>IF(ISNUMBER(deployment_raw[[#This Row],[Column9]]), (deployment_raw[[#This Row],[Column9]] * IF($E$2="Deployment",deployment_raw[[#This Row],[Column5]],1))/1048576,"")</f>
        <v/>
      </c>
      <c r="R109" s="57" t="str">
        <f>IF(ISNUMBER(deployment_raw[[#This Row],[Column10]]), (deployment_raw[[#This Row],[Column10]] * IF($E$2="Deployment",deployment_raw[[#This Row],[Column5]],1)),"")</f>
        <v/>
      </c>
      <c r="S109" s="48" t="str">
        <f>IF(ISNUMBER(deployment_raw[[#This Row],[Column11]]), (deployment_raw[[#This Row],[Column11]] * IF($E$2="Deployment",deployment_raw[[#This Row],[Column5]],1))/1048576,"")</f>
        <v/>
      </c>
      <c r="T109" s="59" t="str">
        <f>IF(ISNUMBER(deployment_raw[[#This Row],[Column8]]),IF(OR(deployment_raw[[#This Row],[Column5]] &lt;&gt; 0,$E$2 &lt;&gt; "Deployment"), MAX(V109, ($T$2 * IF($E$2="Deployment",deployment_raw[[#This Row],[Column5]],1))), 0),"")</f>
        <v/>
      </c>
      <c r="U109" s="50" t="str">
        <f>IF(ISNUMBER(deployment_raw[[#This Row],[Column9]]),IF(OR(deployment_raw[[#This Row],[Column5]] &lt;&gt; 0,$E$2&lt;&gt;"Deployment"), MAX(W109, ($U$2 * IF($E$2="Deployment",deployment_raw[[#This Row],[Column5]],1))), 0),"")</f>
        <v/>
      </c>
      <c r="V109" s="15" t="str">
        <f>IF(ISNUMBER(deployment_raw[[#This Row],[Column12]]), (deployment_raw[[#This Row],[Column12]] * IF($E$2="Deployment",deployment_raw[[#This Row],[Column5]],1)*(1+$V$2)),"")</f>
        <v/>
      </c>
      <c r="W109" s="14" t="str">
        <f>IF(ISNUMBER(deployment_raw[[#This Row],[Column13]]), (deployment_raw[[#This Row],[Column13]] * IF($E$2="Deployment",deployment_raw[[#This Row],[Column5]],1)*(1+$W$2))/1048576,"")</f>
        <v/>
      </c>
    </row>
    <row r="110" spans="1:23" ht="15.75" customHeight="1" x14ac:dyDescent="0.25">
      <c r="A110" s="5" t="str">
        <f>IF(ISNONTEXT(deployment_raw[[#This Row],[Column1]]), "", deployment_raw[[#This Row],[Column1]])</f>
        <v/>
      </c>
      <c r="B110" s="6" t="str">
        <f>IF(ISNONTEXT(deployment_raw[[#This Row],[Column2]]), "", deployment_raw[[#This Row],[Column2]])</f>
        <v/>
      </c>
      <c r="C110" s="6" t="str">
        <f>IF(ISNONTEXT(deployment_raw[[#This Row],[Column3]]), "", deployment_raw[[#This Row],[Column3]])</f>
        <v/>
      </c>
      <c r="D110" s="6" t="str">
        <f>IF(ISNONTEXT(deployment_raw[[#This Row],[Column4]]), "", deployment_raw[[#This Row],[Column4]])</f>
        <v/>
      </c>
      <c r="E110" s="7" t="str">
        <f>IF(ISNUMBER(deployment_raw[[#This Row],[Column5]]), deployment_raw[[#This Row],[Column5]],"")</f>
        <v/>
      </c>
      <c r="F110" s="32" t="str">
        <f>IF(ISNUMBER(deployment_raw[[#This Row],[Column17]]), deployment_raw[[#This Row],[Column17]]/IF(OR($E$2="Deployment",deployment_raw[[#This Row],[Column5]]=0),1,deployment_raw[[#This Row],[Column5]]),"")</f>
        <v/>
      </c>
      <c r="G110" s="42" t="str">
        <f>IF(ISNUMBER(deployment_raw[[#This Row],[Column14]]), deployment_raw[[#This Row],[Column14]]/IF(OR($E$2="Deployment",deployment_raw[[#This Row],[Column5]]=0),1,deployment_raw[[#This Row],[Column5]]),"")</f>
        <v/>
      </c>
      <c r="H110" s="79" t="str">
        <f>IF(ISNUMBER(deployment_raw[[#This Row],[Column19]]), IF(I110&lt;&gt;0,(deployment_raw[[#This Row],[Column19]]/IF(OR($E$2="Deployment",deployment_raw[[#This Row],[Column5]]=0),1,deployment_raw[[#This Row],[Column5]]))/I110,0),"")</f>
        <v/>
      </c>
      <c r="I110" s="69" t="str">
        <f>IF(ISNUMBER(deployment_raw[[#This Row],[Column6]]), (deployment_raw[[#This Row],[Column6]] * IF($E$2="Deployment",deployment_raw[[#This Row],[Column5]],1)),"")</f>
        <v/>
      </c>
      <c r="J110" s="79" t="str">
        <f>IF(ISNUMBER(deployment_raw[[#This Row],[Column19]]), IF(K110&lt;&gt;0,(deployment_raw[[#This Row],[Column19]]/IF(OR($E$2="Deployment",deployment_raw[[#This Row],[Column5]]=0),1,deployment_raw[[#This Row],[Column5]]))/K110,0),"")</f>
        <v/>
      </c>
      <c r="K110" s="72" t="str">
        <f>IF(ISNUMBER(deployment_raw[[#This Row],[Column8]]), (deployment_raw[[#This Row],[Column8]]  * IF($E$2="Deployment",deployment_raw[[#This Row],[Column5]],1)),"")</f>
        <v/>
      </c>
      <c r="L11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1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10" s="81" t="str">
        <f>IF(ISNUMBER(deployment_raw[[#This Row],[Column20]]), IF(O110&lt;&gt;0,deployment_raw[[#This Row],[Column20]]/IF(OR($E$2="Deployment",deployment_raw[[#This Row],[Column5]]=0),1,deployment_raw[[#This Row],[Column5]])/1048576/O110,0),"")</f>
        <v/>
      </c>
      <c r="O110" s="74" t="str">
        <f>IF(ISNUMBER(deployment_raw[[#This Row],[Column7]]), (deployment_raw[[#This Row],[Column7]] * IF($E$2="Deployment",deployment_raw[[#This Row],[Column5]],1))/1048576,"")</f>
        <v/>
      </c>
      <c r="P110" s="81" t="str">
        <f>IF(ISNUMBER(deployment_raw[[#This Row],[Column20]]), IF(Q110&lt;&gt;0,deployment_raw[[#This Row],[Column20]]/IF(OR($E$2="Deployment",deployment_raw[[#This Row],[Column5]]=0),1,deployment_raw[[#This Row],[Column5]])/1048576/Q110,0),"")</f>
        <v/>
      </c>
      <c r="Q110" s="76" t="str">
        <f>IF(ISNUMBER(deployment_raw[[#This Row],[Column9]]), (deployment_raw[[#This Row],[Column9]] * IF($E$2="Deployment",deployment_raw[[#This Row],[Column5]],1))/1048576,"")</f>
        <v/>
      </c>
      <c r="R110" s="57" t="str">
        <f>IF(ISNUMBER(deployment_raw[[#This Row],[Column10]]), (deployment_raw[[#This Row],[Column10]] * IF($E$2="Deployment",deployment_raw[[#This Row],[Column5]],1)),"")</f>
        <v/>
      </c>
      <c r="S110" s="48" t="str">
        <f>IF(ISNUMBER(deployment_raw[[#This Row],[Column11]]), (deployment_raw[[#This Row],[Column11]] * IF($E$2="Deployment",deployment_raw[[#This Row],[Column5]],1))/1048576,"")</f>
        <v/>
      </c>
      <c r="T110" s="59" t="str">
        <f>IF(ISNUMBER(deployment_raw[[#This Row],[Column8]]),IF(OR(deployment_raw[[#This Row],[Column5]] &lt;&gt; 0,$E$2 &lt;&gt; "Deployment"), MAX(V110, ($T$2 * IF($E$2="Deployment",deployment_raw[[#This Row],[Column5]],1))), 0),"")</f>
        <v/>
      </c>
      <c r="U110" s="50" t="str">
        <f>IF(ISNUMBER(deployment_raw[[#This Row],[Column9]]),IF(OR(deployment_raw[[#This Row],[Column5]] &lt;&gt; 0,$E$2&lt;&gt;"Deployment"), MAX(W110, ($U$2 * IF($E$2="Deployment",deployment_raw[[#This Row],[Column5]],1))), 0),"")</f>
        <v/>
      </c>
      <c r="V110" s="15" t="str">
        <f>IF(ISNUMBER(deployment_raw[[#This Row],[Column12]]), (deployment_raw[[#This Row],[Column12]] * IF($E$2="Deployment",deployment_raw[[#This Row],[Column5]],1)*(1+$V$2)),"")</f>
        <v/>
      </c>
      <c r="W110" s="14" t="str">
        <f>IF(ISNUMBER(deployment_raw[[#This Row],[Column13]]), (deployment_raw[[#This Row],[Column13]] * IF($E$2="Deployment",deployment_raw[[#This Row],[Column5]],1)*(1+$W$2))/1048576,"")</f>
        <v/>
      </c>
    </row>
    <row r="111" spans="1:23" ht="15.75" customHeight="1" x14ac:dyDescent="0.25">
      <c r="A111" s="5" t="str">
        <f>IF(ISNONTEXT(deployment_raw[[#This Row],[Column1]]), "", deployment_raw[[#This Row],[Column1]])</f>
        <v/>
      </c>
      <c r="B111" s="6" t="str">
        <f>IF(ISNONTEXT(deployment_raw[[#This Row],[Column2]]), "", deployment_raw[[#This Row],[Column2]])</f>
        <v/>
      </c>
      <c r="C111" s="6" t="str">
        <f>IF(ISNONTEXT(deployment_raw[[#This Row],[Column3]]), "", deployment_raw[[#This Row],[Column3]])</f>
        <v/>
      </c>
      <c r="D111" s="6" t="str">
        <f>IF(ISNONTEXT(deployment_raw[[#This Row],[Column4]]), "", deployment_raw[[#This Row],[Column4]])</f>
        <v/>
      </c>
      <c r="E111" s="7" t="str">
        <f>IF(ISNUMBER(deployment_raw[[#This Row],[Column5]]), deployment_raw[[#This Row],[Column5]],"")</f>
        <v/>
      </c>
      <c r="F111" s="32" t="str">
        <f>IF(ISNUMBER(deployment_raw[[#This Row],[Column17]]), deployment_raw[[#This Row],[Column17]]/IF(OR($E$2="Deployment",deployment_raw[[#This Row],[Column5]]=0),1,deployment_raw[[#This Row],[Column5]]),"")</f>
        <v/>
      </c>
      <c r="G111" s="42" t="str">
        <f>IF(ISNUMBER(deployment_raw[[#This Row],[Column14]]), deployment_raw[[#This Row],[Column14]]/IF(OR($E$2="Deployment",deployment_raw[[#This Row],[Column5]]=0),1,deployment_raw[[#This Row],[Column5]]),"")</f>
        <v/>
      </c>
      <c r="H111" s="79" t="str">
        <f>IF(ISNUMBER(deployment_raw[[#This Row],[Column19]]), IF(I111&lt;&gt;0,(deployment_raw[[#This Row],[Column19]]/IF(OR($E$2="Deployment",deployment_raw[[#This Row],[Column5]]=0),1,deployment_raw[[#This Row],[Column5]]))/I111,0),"")</f>
        <v/>
      </c>
      <c r="I111" s="69" t="str">
        <f>IF(ISNUMBER(deployment_raw[[#This Row],[Column6]]), (deployment_raw[[#This Row],[Column6]] * IF($E$2="Deployment",deployment_raw[[#This Row],[Column5]],1)),"")</f>
        <v/>
      </c>
      <c r="J111" s="79" t="str">
        <f>IF(ISNUMBER(deployment_raw[[#This Row],[Column19]]), IF(K111&lt;&gt;0,(deployment_raw[[#This Row],[Column19]]/IF(OR($E$2="Deployment",deployment_raw[[#This Row],[Column5]]=0),1,deployment_raw[[#This Row],[Column5]]))/K111,0),"")</f>
        <v/>
      </c>
      <c r="K111" s="72" t="str">
        <f>IF(ISNUMBER(deployment_raw[[#This Row],[Column8]]), (deployment_raw[[#This Row],[Column8]]  * IF($E$2="Deployment",deployment_raw[[#This Row],[Column5]],1)),"")</f>
        <v/>
      </c>
      <c r="L11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1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11" s="81" t="str">
        <f>IF(ISNUMBER(deployment_raw[[#This Row],[Column20]]), IF(O111&lt;&gt;0,deployment_raw[[#This Row],[Column20]]/IF(OR($E$2="Deployment",deployment_raw[[#This Row],[Column5]]=0),1,deployment_raw[[#This Row],[Column5]])/1048576/O111,0),"")</f>
        <v/>
      </c>
      <c r="O111" s="74" t="str">
        <f>IF(ISNUMBER(deployment_raw[[#This Row],[Column7]]), (deployment_raw[[#This Row],[Column7]] * IF($E$2="Deployment",deployment_raw[[#This Row],[Column5]],1))/1048576,"")</f>
        <v/>
      </c>
      <c r="P111" s="81" t="str">
        <f>IF(ISNUMBER(deployment_raw[[#This Row],[Column20]]), IF(Q111&lt;&gt;0,deployment_raw[[#This Row],[Column20]]/IF(OR($E$2="Deployment",deployment_raw[[#This Row],[Column5]]=0),1,deployment_raw[[#This Row],[Column5]])/1048576/Q111,0),"")</f>
        <v/>
      </c>
      <c r="Q111" s="76" t="str">
        <f>IF(ISNUMBER(deployment_raw[[#This Row],[Column9]]), (deployment_raw[[#This Row],[Column9]] * IF($E$2="Deployment",deployment_raw[[#This Row],[Column5]],1))/1048576,"")</f>
        <v/>
      </c>
      <c r="R111" s="57" t="str">
        <f>IF(ISNUMBER(deployment_raw[[#This Row],[Column10]]), (deployment_raw[[#This Row],[Column10]] * IF($E$2="Deployment",deployment_raw[[#This Row],[Column5]],1)),"")</f>
        <v/>
      </c>
      <c r="S111" s="48" t="str">
        <f>IF(ISNUMBER(deployment_raw[[#This Row],[Column11]]), (deployment_raw[[#This Row],[Column11]] * IF($E$2="Deployment",deployment_raw[[#This Row],[Column5]],1))/1048576,"")</f>
        <v/>
      </c>
      <c r="T111" s="59" t="str">
        <f>IF(ISNUMBER(deployment_raw[[#This Row],[Column8]]),IF(OR(deployment_raw[[#This Row],[Column5]] &lt;&gt; 0,$E$2 &lt;&gt; "Deployment"), MAX(V111, ($T$2 * IF($E$2="Deployment",deployment_raw[[#This Row],[Column5]],1))), 0),"")</f>
        <v/>
      </c>
      <c r="U111" s="50" t="str">
        <f>IF(ISNUMBER(deployment_raw[[#This Row],[Column9]]),IF(OR(deployment_raw[[#This Row],[Column5]] &lt;&gt; 0,$E$2&lt;&gt;"Deployment"), MAX(W111, ($U$2 * IF($E$2="Deployment",deployment_raw[[#This Row],[Column5]],1))), 0),"")</f>
        <v/>
      </c>
      <c r="V111" s="15" t="str">
        <f>IF(ISNUMBER(deployment_raw[[#This Row],[Column12]]), (deployment_raw[[#This Row],[Column12]] * IF($E$2="Deployment",deployment_raw[[#This Row],[Column5]],1)*(1+$V$2)),"")</f>
        <v/>
      </c>
      <c r="W111" s="14" t="str">
        <f>IF(ISNUMBER(deployment_raw[[#This Row],[Column13]]), (deployment_raw[[#This Row],[Column13]] * IF($E$2="Deployment",deployment_raw[[#This Row],[Column5]],1)*(1+$W$2))/1048576,"")</f>
        <v/>
      </c>
    </row>
    <row r="112" spans="1:23" ht="15.75" customHeight="1" x14ac:dyDescent="0.25">
      <c r="A112" s="5" t="str">
        <f>IF(ISNONTEXT(deployment_raw[[#This Row],[Column1]]), "", deployment_raw[[#This Row],[Column1]])</f>
        <v/>
      </c>
      <c r="B112" s="6" t="str">
        <f>IF(ISNONTEXT(deployment_raw[[#This Row],[Column2]]), "", deployment_raw[[#This Row],[Column2]])</f>
        <v/>
      </c>
      <c r="C112" s="6" t="str">
        <f>IF(ISNONTEXT(deployment_raw[[#This Row],[Column3]]), "", deployment_raw[[#This Row],[Column3]])</f>
        <v/>
      </c>
      <c r="D112" s="6" t="str">
        <f>IF(ISNONTEXT(deployment_raw[[#This Row],[Column4]]), "", deployment_raw[[#This Row],[Column4]])</f>
        <v/>
      </c>
      <c r="E112" s="7" t="str">
        <f>IF(ISNUMBER(deployment_raw[[#This Row],[Column5]]), deployment_raw[[#This Row],[Column5]],"")</f>
        <v/>
      </c>
      <c r="F112" s="32" t="str">
        <f>IF(ISNUMBER(deployment_raw[[#This Row],[Column17]]), deployment_raw[[#This Row],[Column17]]/IF(OR($E$2="Deployment",deployment_raw[[#This Row],[Column5]]=0),1,deployment_raw[[#This Row],[Column5]]),"")</f>
        <v/>
      </c>
      <c r="G112" s="42" t="str">
        <f>IF(ISNUMBER(deployment_raw[[#This Row],[Column14]]), deployment_raw[[#This Row],[Column14]]/IF(OR($E$2="Deployment",deployment_raw[[#This Row],[Column5]]=0),1,deployment_raw[[#This Row],[Column5]]),"")</f>
        <v/>
      </c>
      <c r="H112" s="79" t="str">
        <f>IF(ISNUMBER(deployment_raw[[#This Row],[Column19]]), IF(I112&lt;&gt;0,(deployment_raw[[#This Row],[Column19]]/IF(OR($E$2="Deployment",deployment_raw[[#This Row],[Column5]]=0),1,deployment_raw[[#This Row],[Column5]]))/I112,0),"")</f>
        <v/>
      </c>
      <c r="I112" s="69" t="str">
        <f>IF(ISNUMBER(deployment_raw[[#This Row],[Column6]]), (deployment_raw[[#This Row],[Column6]] * IF($E$2="Deployment",deployment_raw[[#This Row],[Column5]],1)),"")</f>
        <v/>
      </c>
      <c r="J112" s="79" t="str">
        <f>IF(ISNUMBER(deployment_raw[[#This Row],[Column19]]), IF(K112&lt;&gt;0,(deployment_raw[[#This Row],[Column19]]/IF(OR($E$2="Deployment",deployment_raw[[#This Row],[Column5]]=0),1,deployment_raw[[#This Row],[Column5]]))/K112,0),"")</f>
        <v/>
      </c>
      <c r="K112" s="72" t="str">
        <f>IF(ISNUMBER(deployment_raw[[#This Row],[Column8]]), (deployment_raw[[#This Row],[Column8]]  * IF($E$2="Deployment",deployment_raw[[#This Row],[Column5]],1)),"")</f>
        <v/>
      </c>
      <c r="L11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1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12" s="81" t="str">
        <f>IF(ISNUMBER(deployment_raw[[#This Row],[Column20]]), IF(O112&lt;&gt;0,deployment_raw[[#This Row],[Column20]]/IF(OR($E$2="Deployment",deployment_raw[[#This Row],[Column5]]=0),1,deployment_raw[[#This Row],[Column5]])/1048576/O112,0),"")</f>
        <v/>
      </c>
      <c r="O112" s="74" t="str">
        <f>IF(ISNUMBER(deployment_raw[[#This Row],[Column7]]), (deployment_raw[[#This Row],[Column7]] * IF($E$2="Deployment",deployment_raw[[#This Row],[Column5]],1))/1048576,"")</f>
        <v/>
      </c>
      <c r="P112" s="81" t="str">
        <f>IF(ISNUMBER(deployment_raw[[#This Row],[Column20]]), IF(Q112&lt;&gt;0,deployment_raw[[#This Row],[Column20]]/IF(OR($E$2="Deployment",deployment_raw[[#This Row],[Column5]]=0),1,deployment_raw[[#This Row],[Column5]])/1048576/Q112,0),"")</f>
        <v/>
      </c>
      <c r="Q112" s="76" t="str">
        <f>IF(ISNUMBER(deployment_raw[[#This Row],[Column9]]), (deployment_raw[[#This Row],[Column9]] * IF($E$2="Deployment",deployment_raw[[#This Row],[Column5]],1))/1048576,"")</f>
        <v/>
      </c>
      <c r="R112" s="57" t="str">
        <f>IF(ISNUMBER(deployment_raw[[#This Row],[Column10]]), (deployment_raw[[#This Row],[Column10]] * IF($E$2="Deployment",deployment_raw[[#This Row],[Column5]],1)),"")</f>
        <v/>
      </c>
      <c r="S112" s="48" t="str">
        <f>IF(ISNUMBER(deployment_raw[[#This Row],[Column11]]), (deployment_raw[[#This Row],[Column11]] * IF($E$2="Deployment",deployment_raw[[#This Row],[Column5]],1))/1048576,"")</f>
        <v/>
      </c>
      <c r="T112" s="59" t="str">
        <f>IF(ISNUMBER(deployment_raw[[#This Row],[Column8]]),IF(OR(deployment_raw[[#This Row],[Column5]] &lt;&gt; 0,$E$2 &lt;&gt; "Deployment"), MAX(V112, ($T$2 * IF($E$2="Deployment",deployment_raw[[#This Row],[Column5]],1))), 0),"")</f>
        <v/>
      </c>
      <c r="U112" s="50" t="str">
        <f>IF(ISNUMBER(deployment_raw[[#This Row],[Column9]]),IF(OR(deployment_raw[[#This Row],[Column5]] &lt;&gt; 0,$E$2&lt;&gt;"Deployment"), MAX(W112, ($U$2 * IF($E$2="Deployment",deployment_raw[[#This Row],[Column5]],1))), 0),"")</f>
        <v/>
      </c>
      <c r="V112" s="15" t="str">
        <f>IF(ISNUMBER(deployment_raw[[#This Row],[Column12]]), (deployment_raw[[#This Row],[Column12]] * IF($E$2="Deployment",deployment_raw[[#This Row],[Column5]],1)*(1+$V$2)),"")</f>
        <v/>
      </c>
      <c r="W112" s="14" t="str">
        <f>IF(ISNUMBER(deployment_raw[[#This Row],[Column13]]), (deployment_raw[[#This Row],[Column13]] * IF($E$2="Deployment",deployment_raw[[#This Row],[Column5]],1)*(1+$W$2))/1048576,"")</f>
        <v/>
      </c>
    </row>
    <row r="113" spans="1:23" ht="15.75" customHeight="1" x14ac:dyDescent="0.25">
      <c r="A113" s="5" t="str">
        <f>IF(ISNONTEXT(deployment_raw[[#This Row],[Column1]]), "", deployment_raw[[#This Row],[Column1]])</f>
        <v/>
      </c>
      <c r="B113" s="6" t="str">
        <f>IF(ISNONTEXT(deployment_raw[[#This Row],[Column2]]), "", deployment_raw[[#This Row],[Column2]])</f>
        <v/>
      </c>
      <c r="C113" s="6" t="str">
        <f>IF(ISNONTEXT(deployment_raw[[#This Row],[Column3]]), "", deployment_raw[[#This Row],[Column3]])</f>
        <v/>
      </c>
      <c r="D113" s="6" t="str">
        <f>IF(ISNONTEXT(deployment_raw[[#This Row],[Column4]]), "", deployment_raw[[#This Row],[Column4]])</f>
        <v/>
      </c>
      <c r="E113" s="7" t="str">
        <f>IF(ISNUMBER(deployment_raw[[#This Row],[Column5]]), deployment_raw[[#This Row],[Column5]],"")</f>
        <v/>
      </c>
      <c r="F113" s="32" t="str">
        <f>IF(ISNUMBER(deployment_raw[[#This Row],[Column17]]), deployment_raw[[#This Row],[Column17]]/IF(OR($E$2="Deployment",deployment_raw[[#This Row],[Column5]]=0),1,deployment_raw[[#This Row],[Column5]]),"")</f>
        <v/>
      </c>
      <c r="G113" s="42" t="str">
        <f>IF(ISNUMBER(deployment_raw[[#This Row],[Column14]]), deployment_raw[[#This Row],[Column14]]/IF(OR($E$2="Deployment",deployment_raw[[#This Row],[Column5]]=0),1,deployment_raw[[#This Row],[Column5]]),"")</f>
        <v/>
      </c>
      <c r="H113" s="79" t="str">
        <f>IF(ISNUMBER(deployment_raw[[#This Row],[Column19]]), IF(I113&lt;&gt;0,(deployment_raw[[#This Row],[Column19]]/IF(OR($E$2="Deployment",deployment_raw[[#This Row],[Column5]]=0),1,deployment_raw[[#This Row],[Column5]]))/I113,0),"")</f>
        <v/>
      </c>
      <c r="I113" s="69" t="str">
        <f>IF(ISNUMBER(deployment_raw[[#This Row],[Column6]]), (deployment_raw[[#This Row],[Column6]] * IF($E$2="Deployment",deployment_raw[[#This Row],[Column5]],1)),"")</f>
        <v/>
      </c>
      <c r="J113" s="79" t="str">
        <f>IF(ISNUMBER(deployment_raw[[#This Row],[Column19]]), IF(K113&lt;&gt;0,(deployment_raw[[#This Row],[Column19]]/IF(OR($E$2="Deployment",deployment_raw[[#This Row],[Column5]]=0),1,deployment_raw[[#This Row],[Column5]]))/K113,0),"")</f>
        <v/>
      </c>
      <c r="K113" s="72" t="str">
        <f>IF(ISNUMBER(deployment_raw[[#This Row],[Column8]]), (deployment_raw[[#This Row],[Column8]]  * IF($E$2="Deployment",deployment_raw[[#This Row],[Column5]],1)),"")</f>
        <v/>
      </c>
      <c r="L11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1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13" s="81" t="str">
        <f>IF(ISNUMBER(deployment_raw[[#This Row],[Column20]]), IF(O113&lt;&gt;0,deployment_raw[[#This Row],[Column20]]/IF(OR($E$2="Deployment",deployment_raw[[#This Row],[Column5]]=0),1,deployment_raw[[#This Row],[Column5]])/1048576/O113,0),"")</f>
        <v/>
      </c>
      <c r="O113" s="74" t="str">
        <f>IF(ISNUMBER(deployment_raw[[#This Row],[Column7]]), (deployment_raw[[#This Row],[Column7]] * IF($E$2="Deployment",deployment_raw[[#This Row],[Column5]],1))/1048576,"")</f>
        <v/>
      </c>
      <c r="P113" s="81" t="str">
        <f>IF(ISNUMBER(deployment_raw[[#This Row],[Column20]]), IF(Q113&lt;&gt;0,deployment_raw[[#This Row],[Column20]]/IF(OR($E$2="Deployment",deployment_raw[[#This Row],[Column5]]=0),1,deployment_raw[[#This Row],[Column5]])/1048576/Q113,0),"")</f>
        <v/>
      </c>
      <c r="Q113" s="76" t="str">
        <f>IF(ISNUMBER(deployment_raw[[#This Row],[Column9]]), (deployment_raw[[#This Row],[Column9]] * IF($E$2="Deployment",deployment_raw[[#This Row],[Column5]],1))/1048576,"")</f>
        <v/>
      </c>
      <c r="R113" s="57" t="str">
        <f>IF(ISNUMBER(deployment_raw[[#This Row],[Column10]]), (deployment_raw[[#This Row],[Column10]] * IF($E$2="Deployment",deployment_raw[[#This Row],[Column5]],1)),"")</f>
        <v/>
      </c>
      <c r="S113" s="48" t="str">
        <f>IF(ISNUMBER(deployment_raw[[#This Row],[Column11]]), (deployment_raw[[#This Row],[Column11]] * IF($E$2="Deployment",deployment_raw[[#This Row],[Column5]],1))/1048576,"")</f>
        <v/>
      </c>
      <c r="T113" s="59" t="str">
        <f>IF(ISNUMBER(deployment_raw[[#This Row],[Column8]]),IF(OR(deployment_raw[[#This Row],[Column5]] &lt;&gt; 0,$E$2 &lt;&gt; "Deployment"), MAX(V113, ($T$2 * IF($E$2="Deployment",deployment_raw[[#This Row],[Column5]],1))), 0),"")</f>
        <v/>
      </c>
      <c r="U113" s="50" t="str">
        <f>IF(ISNUMBER(deployment_raw[[#This Row],[Column9]]),IF(OR(deployment_raw[[#This Row],[Column5]] &lt;&gt; 0,$E$2&lt;&gt;"Deployment"), MAX(W113, ($U$2 * IF($E$2="Deployment",deployment_raw[[#This Row],[Column5]],1))), 0),"")</f>
        <v/>
      </c>
      <c r="V113" s="15" t="str">
        <f>IF(ISNUMBER(deployment_raw[[#This Row],[Column12]]), (deployment_raw[[#This Row],[Column12]] * IF($E$2="Deployment",deployment_raw[[#This Row],[Column5]],1)*(1+$V$2)),"")</f>
        <v/>
      </c>
      <c r="W113" s="14" t="str">
        <f>IF(ISNUMBER(deployment_raw[[#This Row],[Column13]]), (deployment_raw[[#This Row],[Column13]] * IF($E$2="Deployment",deployment_raw[[#This Row],[Column5]],1)*(1+$W$2))/1048576,"")</f>
        <v/>
      </c>
    </row>
    <row r="114" spans="1:23" ht="15.75" customHeight="1" x14ac:dyDescent="0.25">
      <c r="A114" s="5" t="str">
        <f>IF(ISNONTEXT(deployment_raw[[#This Row],[Column1]]), "", deployment_raw[[#This Row],[Column1]])</f>
        <v/>
      </c>
      <c r="B114" s="6" t="str">
        <f>IF(ISNONTEXT(deployment_raw[[#This Row],[Column2]]), "", deployment_raw[[#This Row],[Column2]])</f>
        <v/>
      </c>
      <c r="C114" s="6" t="str">
        <f>IF(ISNONTEXT(deployment_raw[[#This Row],[Column3]]), "", deployment_raw[[#This Row],[Column3]])</f>
        <v/>
      </c>
      <c r="D114" s="6" t="str">
        <f>IF(ISNONTEXT(deployment_raw[[#This Row],[Column4]]), "", deployment_raw[[#This Row],[Column4]])</f>
        <v/>
      </c>
      <c r="E114" s="7" t="str">
        <f>IF(ISNUMBER(deployment_raw[[#This Row],[Column5]]), deployment_raw[[#This Row],[Column5]],"")</f>
        <v/>
      </c>
      <c r="F114" s="32" t="str">
        <f>IF(ISNUMBER(deployment_raw[[#This Row],[Column17]]), deployment_raw[[#This Row],[Column17]]/IF(OR($E$2="Deployment",deployment_raw[[#This Row],[Column5]]=0),1,deployment_raw[[#This Row],[Column5]]),"")</f>
        <v/>
      </c>
      <c r="G114" s="42" t="str">
        <f>IF(ISNUMBER(deployment_raw[[#This Row],[Column14]]), deployment_raw[[#This Row],[Column14]]/IF(OR($E$2="Deployment",deployment_raw[[#This Row],[Column5]]=0),1,deployment_raw[[#This Row],[Column5]]),"")</f>
        <v/>
      </c>
      <c r="H114" s="79" t="str">
        <f>IF(ISNUMBER(deployment_raw[[#This Row],[Column19]]), IF(I114&lt;&gt;0,(deployment_raw[[#This Row],[Column19]]/IF(OR($E$2="Deployment",deployment_raw[[#This Row],[Column5]]=0),1,deployment_raw[[#This Row],[Column5]]))/I114,0),"")</f>
        <v/>
      </c>
      <c r="I114" s="69" t="str">
        <f>IF(ISNUMBER(deployment_raw[[#This Row],[Column6]]), (deployment_raw[[#This Row],[Column6]] * IF($E$2="Deployment",deployment_raw[[#This Row],[Column5]],1)),"")</f>
        <v/>
      </c>
      <c r="J114" s="79" t="str">
        <f>IF(ISNUMBER(deployment_raw[[#This Row],[Column19]]), IF(K114&lt;&gt;0,(deployment_raw[[#This Row],[Column19]]/IF(OR($E$2="Deployment",deployment_raw[[#This Row],[Column5]]=0),1,deployment_raw[[#This Row],[Column5]]))/K114,0),"")</f>
        <v/>
      </c>
      <c r="K114" s="72" t="str">
        <f>IF(ISNUMBER(deployment_raw[[#This Row],[Column8]]), (deployment_raw[[#This Row],[Column8]]  * IF($E$2="Deployment",deployment_raw[[#This Row],[Column5]],1)),"")</f>
        <v/>
      </c>
      <c r="L11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1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14" s="81" t="str">
        <f>IF(ISNUMBER(deployment_raw[[#This Row],[Column20]]), IF(O114&lt;&gt;0,deployment_raw[[#This Row],[Column20]]/IF(OR($E$2="Deployment",deployment_raw[[#This Row],[Column5]]=0),1,deployment_raw[[#This Row],[Column5]])/1048576/O114,0),"")</f>
        <v/>
      </c>
      <c r="O114" s="74" t="str">
        <f>IF(ISNUMBER(deployment_raw[[#This Row],[Column7]]), (deployment_raw[[#This Row],[Column7]] * IF($E$2="Deployment",deployment_raw[[#This Row],[Column5]],1))/1048576,"")</f>
        <v/>
      </c>
      <c r="P114" s="81" t="str">
        <f>IF(ISNUMBER(deployment_raw[[#This Row],[Column20]]), IF(Q114&lt;&gt;0,deployment_raw[[#This Row],[Column20]]/IF(OR($E$2="Deployment",deployment_raw[[#This Row],[Column5]]=0),1,deployment_raw[[#This Row],[Column5]])/1048576/Q114,0),"")</f>
        <v/>
      </c>
      <c r="Q114" s="76" t="str">
        <f>IF(ISNUMBER(deployment_raw[[#This Row],[Column9]]), (deployment_raw[[#This Row],[Column9]] * IF($E$2="Deployment",deployment_raw[[#This Row],[Column5]],1))/1048576,"")</f>
        <v/>
      </c>
      <c r="R114" s="57" t="str">
        <f>IF(ISNUMBER(deployment_raw[[#This Row],[Column10]]), (deployment_raw[[#This Row],[Column10]] * IF($E$2="Deployment",deployment_raw[[#This Row],[Column5]],1)),"")</f>
        <v/>
      </c>
      <c r="S114" s="48" t="str">
        <f>IF(ISNUMBER(deployment_raw[[#This Row],[Column11]]), (deployment_raw[[#This Row],[Column11]] * IF($E$2="Deployment",deployment_raw[[#This Row],[Column5]],1))/1048576,"")</f>
        <v/>
      </c>
      <c r="T114" s="59" t="str">
        <f>IF(ISNUMBER(deployment_raw[[#This Row],[Column8]]),IF(OR(deployment_raw[[#This Row],[Column5]] &lt;&gt; 0,$E$2 &lt;&gt; "Deployment"), MAX(V114, ($T$2 * IF($E$2="Deployment",deployment_raw[[#This Row],[Column5]],1))), 0),"")</f>
        <v/>
      </c>
      <c r="U114" s="50" t="str">
        <f>IF(ISNUMBER(deployment_raw[[#This Row],[Column9]]),IF(OR(deployment_raw[[#This Row],[Column5]] &lt;&gt; 0,$E$2&lt;&gt;"Deployment"), MAX(W114, ($U$2 * IF($E$2="Deployment",deployment_raw[[#This Row],[Column5]],1))), 0),"")</f>
        <v/>
      </c>
      <c r="V114" s="15" t="str">
        <f>IF(ISNUMBER(deployment_raw[[#This Row],[Column12]]), (deployment_raw[[#This Row],[Column12]] * IF($E$2="Deployment",deployment_raw[[#This Row],[Column5]],1)*(1+$V$2)),"")</f>
        <v/>
      </c>
      <c r="W114" s="14" t="str">
        <f>IF(ISNUMBER(deployment_raw[[#This Row],[Column13]]), (deployment_raw[[#This Row],[Column13]] * IF($E$2="Deployment",deployment_raw[[#This Row],[Column5]],1)*(1+$W$2))/1048576,"")</f>
        <v/>
      </c>
    </row>
    <row r="115" spans="1:23" ht="15.75" customHeight="1" x14ac:dyDescent="0.25">
      <c r="A115" s="5" t="str">
        <f>IF(ISNONTEXT(deployment_raw[[#This Row],[Column1]]), "", deployment_raw[[#This Row],[Column1]])</f>
        <v/>
      </c>
      <c r="B115" s="6" t="str">
        <f>IF(ISNONTEXT(deployment_raw[[#This Row],[Column2]]), "", deployment_raw[[#This Row],[Column2]])</f>
        <v/>
      </c>
      <c r="C115" s="6" t="str">
        <f>IF(ISNONTEXT(deployment_raw[[#This Row],[Column3]]), "", deployment_raw[[#This Row],[Column3]])</f>
        <v/>
      </c>
      <c r="D115" s="6" t="str">
        <f>IF(ISNONTEXT(deployment_raw[[#This Row],[Column4]]), "", deployment_raw[[#This Row],[Column4]])</f>
        <v/>
      </c>
      <c r="E115" s="7" t="str">
        <f>IF(ISNUMBER(deployment_raw[[#This Row],[Column5]]), deployment_raw[[#This Row],[Column5]],"")</f>
        <v/>
      </c>
      <c r="F115" s="32" t="str">
        <f>IF(ISNUMBER(deployment_raw[[#This Row],[Column17]]), deployment_raw[[#This Row],[Column17]]/IF(OR($E$2="Deployment",deployment_raw[[#This Row],[Column5]]=0),1,deployment_raw[[#This Row],[Column5]]),"")</f>
        <v/>
      </c>
      <c r="G115" s="42" t="str">
        <f>IF(ISNUMBER(deployment_raw[[#This Row],[Column14]]), deployment_raw[[#This Row],[Column14]]/IF(OR($E$2="Deployment",deployment_raw[[#This Row],[Column5]]=0),1,deployment_raw[[#This Row],[Column5]]),"")</f>
        <v/>
      </c>
      <c r="H115" s="79" t="str">
        <f>IF(ISNUMBER(deployment_raw[[#This Row],[Column19]]), IF(I115&lt;&gt;0,(deployment_raw[[#This Row],[Column19]]/IF(OR($E$2="Deployment",deployment_raw[[#This Row],[Column5]]=0),1,deployment_raw[[#This Row],[Column5]]))/I115,0),"")</f>
        <v/>
      </c>
      <c r="I115" s="69" t="str">
        <f>IF(ISNUMBER(deployment_raw[[#This Row],[Column6]]), (deployment_raw[[#This Row],[Column6]] * IF($E$2="Deployment",deployment_raw[[#This Row],[Column5]],1)),"")</f>
        <v/>
      </c>
      <c r="J115" s="79" t="str">
        <f>IF(ISNUMBER(deployment_raw[[#This Row],[Column19]]), IF(K115&lt;&gt;0,(deployment_raw[[#This Row],[Column19]]/IF(OR($E$2="Deployment",deployment_raw[[#This Row],[Column5]]=0),1,deployment_raw[[#This Row],[Column5]]))/K115,0),"")</f>
        <v/>
      </c>
      <c r="K115" s="72" t="str">
        <f>IF(ISNUMBER(deployment_raw[[#This Row],[Column8]]), (deployment_raw[[#This Row],[Column8]]  * IF($E$2="Deployment",deployment_raw[[#This Row],[Column5]],1)),"")</f>
        <v/>
      </c>
      <c r="L11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1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15" s="81" t="str">
        <f>IF(ISNUMBER(deployment_raw[[#This Row],[Column20]]), IF(O115&lt;&gt;0,deployment_raw[[#This Row],[Column20]]/IF(OR($E$2="Deployment",deployment_raw[[#This Row],[Column5]]=0),1,deployment_raw[[#This Row],[Column5]])/1048576/O115,0),"")</f>
        <v/>
      </c>
      <c r="O115" s="74" t="str">
        <f>IF(ISNUMBER(deployment_raw[[#This Row],[Column7]]), (deployment_raw[[#This Row],[Column7]] * IF($E$2="Deployment",deployment_raw[[#This Row],[Column5]],1))/1048576,"")</f>
        <v/>
      </c>
      <c r="P115" s="81" t="str">
        <f>IF(ISNUMBER(deployment_raw[[#This Row],[Column20]]), IF(Q115&lt;&gt;0,deployment_raw[[#This Row],[Column20]]/IF(OR($E$2="Deployment",deployment_raw[[#This Row],[Column5]]=0),1,deployment_raw[[#This Row],[Column5]])/1048576/Q115,0),"")</f>
        <v/>
      </c>
      <c r="Q115" s="76" t="str">
        <f>IF(ISNUMBER(deployment_raw[[#This Row],[Column9]]), (deployment_raw[[#This Row],[Column9]] * IF($E$2="Deployment",deployment_raw[[#This Row],[Column5]],1))/1048576,"")</f>
        <v/>
      </c>
      <c r="R115" s="57" t="str">
        <f>IF(ISNUMBER(deployment_raw[[#This Row],[Column10]]), (deployment_raw[[#This Row],[Column10]] * IF($E$2="Deployment",deployment_raw[[#This Row],[Column5]],1)),"")</f>
        <v/>
      </c>
      <c r="S115" s="48" t="str">
        <f>IF(ISNUMBER(deployment_raw[[#This Row],[Column11]]), (deployment_raw[[#This Row],[Column11]] * IF($E$2="Deployment",deployment_raw[[#This Row],[Column5]],1))/1048576,"")</f>
        <v/>
      </c>
      <c r="T115" s="59" t="str">
        <f>IF(ISNUMBER(deployment_raw[[#This Row],[Column8]]),IF(OR(deployment_raw[[#This Row],[Column5]] &lt;&gt; 0,$E$2 &lt;&gt; "Deployment"), MAX(V115, ($T$2 * IF($E$2="Deployment",deployment_raw[[#This Row],[Column5]],1))), 0),"")</f>
        <v/>
      </c>
      <c r="U115" s="50" t="str">
        <f>IF(ISNUMBER(deployment_raw[[#This Row],[Column9]]),IF(OR(deployment_raw[[#This Row],[Column5]] &lt;&gt; 0,$E$2&lt;&gt;"Deployment"), MAX(W115, ($U$2 * IF($E$2="Deployment",deployment_raw[[#This Row],[Column5]],1))), 0),"")</f>
        <v/>
      </c>
      <c r="V115" s="15" t="str">
        <f>IF(ISNUMBER(deployment_raw[[#This Row],[Column12]]), (deployment_raw[[#This Row],[Column12]] * IF($E$2="Deployment",deployment_raw[[#This Row],[Column5]],1)*(1+$V$2)),"")</f>
        <v/>
      </c>
      <c r="W115" s="14" t="str">
        <f>IF(ISNUMBER(deployment_raw[[#This Row],[Column13]]), (deployment_raw[[#This Row],[Column13]] * IF($E$2="Deployment",deployment_raw[[#This Row],[Column5]],1)*(1+$W$2))/1048576,"")</f>
        <v/>
      </c>
    </row>
    <row r="116" spans="1:23" ht="15.75" customHeight="1" x14ac:dyDescent="0.25">
      <c r="A116" s="5" t="str">
        <f>IF(ISNONTEXT(deployment_raw[[#This Row],[Column1]]), "", deployment_raw[[#This Row],[Column1]])</f>
        <v/>
      </c>
      <c r="B116" s="6" t="str">
        <f>IF(ISNONTEXT(deployment_raw[[#This Row],[Column2]]), "", deployment_raw[[#This Row],[Column2]])</f>
        <v/>
      </c>
      <c r="C116" s="6" t="str">
        <f>IF(ISNONTEXT(deployment_raw[[#This Row],[Column3]]), "", deployment_raw[[#This Row],[Column3]])</f>
        <v/>
      </c>
      <c r="D116" s="6" t="str">
        <f>IF(ISNONTEXT(deployment_raw[[#This Row],[Column4]]), "", deployment_raw[[#This Row],[Column4]])</f>
        <v/>
      </c>
      <c r="E116" s="7" t="str">
        <f>IF(ISNUMBER(deployment_raw[[#This Row],[Column5]]), deployment_raw[[#This Row],[Column5]],"")</f>
        <v/>
      </c>
      <c r="F116" s="32" t="str">
        <f>IF(ISNUMBER(deployment_raw[[#This Row],[Column17]]), deployment_raw[[#This Row],[Column17]]/IF(OR($E$2="Deployment",deployment_raw[[#This Row],[Column5]]=0),1,deployment_raw[[#This Row],[Column5]]),"")</f>
        <v/>
      </c>
      <c r="G116" s="42" t="str">
        <f>IF(ISNUMBER(deployment_raw[[#This Row],[Column14]]), deployment_raw[[#This Row],[Column14]]/IF(OR($E$2="Deployment",deployment_raw[[#This Row],[Column5]]=0),1,deployment_raw[[#This Row],[Column5]]),"")</f>
        <v/>
      </c>
      <c r="H116" s="79" t="str">
        <f>IF(ISNUMBER(deployment_raw[[#This Row],[Column19]]), IF(I116&lt;&gt;0,(deployment_raw[[#This Row],[Column19]]/IF(OR($E$2="Deployment",deployment_raw[[#This Row],[Column5]]=0),1,deployment_raw[[#This Row],[Column5]]))/I116,0),"")</f>
        <v/>
      </c>
      <c r="I116" s="69" t="str">
        <f>IF(ISNUMBER(deployment_raw[[#This Row],[Column6]]), (deployment_raw[[#This Row],[Column6]] * IF($E$2="Deployment",deployment_raw[[#This Row],[Column5]],1)),"")</f>
        <v/>
      </c>
      <c r="J116" s="79" t="str">
        <f>IF(ISNUMBER(deployment_raw[[#This Row],[Column19]]), IF(K116&lt;&gt;0,(deployment_raw[[#This Row],[Column19]]/IF(OR($E$2="Deployment",deployment_raw[[#This Row],[Column5]]=0),1,deployment_raw[[#This Row],[Column5]]))/K116,0),"")</f>
        <v/>
      </c>
      <c r="K116" s="72" t="str">
        <f>IF(ISNUMBER(deployment_raw[[#This Row],[Column8]]), (deployment_raw[[#This Row],[Column8]]  * IF($E$2="Deployment",deployment_raw[[#This Row],[Column5]],1)),"")</f>
        <v/>
      </c>
      <c r="L11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1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16" s="81" t="str">
        <f>IF(ISNUMBER(deployment_raw[[#This Row],[Column20]]), IF(O116&lt;&gt;0,deployment_raw[[#This Row],[Column20]]/IF(OR($E$2="Deployment",deployment_raw[[#This Row],[Column5]]=0),1,deployment_raw[[#This Row],[Column5]])/1048576/O116,0),"")</f>
        <v/>
      </c>
      <c r="O116" s="74" t="str">
        <f>IF(ISNUMBER(deployment_raw[[#This Row],[Column7]]), (deployment_raw[[#This Row],[Column7]] * IF($E$2="Deployment",deployment_raw[[#This Row],[Column5]],1))/1048576,"")</f>
        <v/>
      </c>
      <c r="P116" s="81" t="str">
        <f>IF(ISNUMBER(deployment_raw[[#This Row],[Column20]]), IF(Q116&lt;&gt;0,deployment_raw[[#This Row],[Column20]]/IF(OR($E$2="Deployment",deployment_raw[[#This Row],[Column5]]=0),1,deployment_raw[[#This Row],[Column5]])/1048576/Q116,0),"")</f>
        <v/>
      </c>
      <c r="Q116" s="76" t="str">
        <f>IF(ISNUMBER(deployment_raw[[#This Row],[Column9]]), (deployment_raw[[#This Row],[Column9]] * IF($E$2="Deployment",deployment_raw[[#This Row],[Column5]],1))/1048576,"")</f>
        <v/>
      </c>
      <c r="R116" s="57" t="str">
        <f>IF(ISNUMBER(deployment_raw[[#This Row],[Column10]]), (deployment_raw[[#This Row],[Column10]] * IF($E$2="Deployment",deployment_raw[[#This Row],[Column5]],1)),"")</f>
        <v/>
      </c>
      <c r="S116" s="48" t="str">
        <f>IF(ISNUMBER(deployment_raw[[#This Row],[Column11]]), (deployment_raw[[#This Row],[Column11]] * IF($E$2="Deployment",deployment_raw[[#This Row],[Column5]],1))/1048576,"")</f>
        <v/>
      </c>
      <c r="T116" s="59" t="str">
        <f>IF(ISNUMBER(deployment_raw[[#This Row],[Column8]]),IF(OR(deployment_raw[[#This Row],[Column5]] &lt;&gt; 0,$E$2 &lt;&gt; "Deployment"), MAX(V116, ($T$2 * IF($E$2="Deployment",deployment_raw[[#This Row],[Column5]],1))), 0),"")</f>
        <v/>
      </c>
      <c r="U116" s="50" t="str">
        <f>IF(ISNUMBER(deployment_raw[[#This Row],[Column9]]),IF(OR(deployment_raw[[#This Row],[Column5]] &lt;&gt; 0,$E$2&lt;&gt;"Deployment"), MAX(W116, ($U$2 * IF($E$2="Deployment",deployment_raw[[#This Row],[Column5]],1))), 0),"")</f>
        <v/>
      </c>
      <c r="V116" s="15" t="str">
        <f>IF(ISNUMBER(deployment_raw[[#This Row],[Column12]]), (deployment_raw[[#This Row],[Column12]] * IF($E$2="Deployment",deployment_raw[[#This Row],[Column5]],1)*(1+$V$2)),"")</f>
        <v/>
      </c>
      <c r="W116" s="14" t="str">
        <f>IF(ISNUMBER(deployment_raw[[#This Row],[Column13]]), (deployment_raw[[#This Row],[Column13]] * IF($E$2="Deployment",deployment_raw[[#This Row],[Column5]],1)*(1+$W$2))/1048576,"")</f>
        <v/>
      </c>
    </row>
    <row r="117" spans="1:23" ht="15.75" customHeight="1" x14ac:dyDescent="0.25">
      <c r="A117" s="5" t="str">
        <f>IF(ISNONTEXT(deployment_raw[[#This Row],[Column1]]), "", deployment_raw[[#This Row],[Column1]])</f>
        <v/>
      </c>
      <c r="B117" s="6" t="str">
        <f>IF(ISNONTEXT(deployment_raw[[#This Row],[Column2]]), "", deployment_raw[[#This Row],[Column2]])</f>
        <v/>
      </c>
      <c r="C117" s="6" t="str">
        <f>IF(ISNONTEXT(deployment_raw[[#This Row],[Column3]]), "", deployment_raw[[#This Row],[Column3]])</f>
        <v/>
      </c>
      <c r="D117" s="6" t="str">
        <f>IF(ISNONTEXT(deployment_raw[[#This Row],[Column4]]), "", deployment_raw[[#This Row],[Column4]])</f>
        <v/>
      </c>
      <c r="E117" s="7" t="str">
        <f>IF(ISNUMBER(deployment_raw[[#This Row],[Column5]]), deployment_raw[[#This Row],[Column5]],"")</f>
        <v/>
      </c>
      <c r="F117" s="32" t="str">
        <f>IF(ISNUMBER(deployment_raw[[#This Row],[Column17]]), deployment_raw[[#This Row],[Column17]]/IF(OR($E$2="Deployment",deployment_raw[[#This Row],[Column5]]=0),1,deployment_raw[[#This Row],[Column5]]),"")</f>
        <v/>
      </c>
      <c r="G117" s="42" t="str">
        <f>IF(ISNUMBER(deployment_raw[[#This Row],[Column14]]), deployment_raw[[#This Row],[Column14]]/IF(OR($E$2="Deployment",deployment_raw[[#This Row],[Column5]]=0),1,deployment_raw[[#This Row],[Column5]]),"")</f>
        <v/>
      </c>
      <c r="H117" s="79" t="str">
        <f>IF(ISNUMBER(deployment_raw[[#This Row],[Column19]]), IF(I117&lt;&gt;0,(deployment_raw[[#This Row],[Column19]]/IF(OR($E$2="Deployment",deployment_raw[[#This Row],[Column5]]=0),1,deployment_raw[[#This Row],[Column5]]))/I117,0),"")</f>
        <v/>
      </c>
      <c r="I117" s="69" t="str">
        <f>IF(ISNUMBER(deployment_raw[[#This Row],[Column6]]), (deployment_raw[[#This Row],[Column6]] * IF($E$2="Deployment",deployment_raw[[#This Row],[Column5]],1)),"")</f>
        <v/>
      </c>
      <c r="J117" s="79" t="str">
        <f>IF(ISNUMBER(deployment_raw[[#This Row],[Column19]]), IF(K117&lt;&gt;0,(deployment_raw[[#This Row],[Column19]]/IF(OR($E$2="Deployment",deployment_raw[[#This Row],[Column5]]=0),1,deployment_raw[[#This Row],[Column5]]))/K117,0),"")</f>
        <v/>
      </c>
      <c r="K117" s="72" t="str">
        <f>IF(ISNUMBER(deployment_raw[[#This Row],[Column8]]), (deployment_raw[[#This Row],[Column8]]  * IF($E$2="Deployment",deployment_raw[[#This Row],[Column5]],1)),"")</f>
        <v/>
      </c>
      <c r="L11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1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17" s="81" t="str">
        <f>IF(ISNUMBER(deployment_raw[[#This Row],[Column20]]), IF(O117&lt;&gt;0,deployment_raw[[#This Row],[Column20]]/IF(OR($E$2="Deployment",deployment_raw[[#This Row],[Column5]]=0),1,deployment_raw[[#This Row],[Column5]])/1048576/O117,0),"")</f>
        <v/>
      </c>
      <c r="O117" s="74" t="str">
        <f>IF(ISNUMBER(deployment_raw[[#This Row],[Column7]]), (deployment_raw[[#This Row],[Column7]] * IF($E$2="Deployment",deployment_raw[[#This Row],[Column5]],1))/1048576,"")</f>
        <v/>
      </c>
      <c r="P117" s="81" t="str">
        <f>IF(ISNUMBER(deployment_raw[[#This Row],[Column20]]), IF(Q117&lt;&gt;0,deployment_raw[[#This Row],[Column20]]/IF(OR($E$2="Deployment",deployment_raw[[#This Row],[Column5]]=0),1,deployment_raw[[#This Row],[Column5]])/1048576/Q117,0),"")</f>
        <v/>
      </c>
      <c r="Q117" s="76" t="str">
        <f>IF(ISNUMBER(deployment_raw[[#This Row],[Column9]]), (deployment_raw[[#This Row],[Column9]] * IF($E$2="Deployment",deployment_raw[[#This Row],[Column5]],1))/1048576,"")</f>
        <v/>
      </c>
      <c r="R117" s="57" t="str">
        <f>IF(ISNUMBER(deployment_raw[[#This Row],[Column10]]), (deployment_raw[[#This Row],[Column10]] * IF($E$2="Deployment",deployment_raw[[#This Row],[Column5]],1)),"")</f>
        <v/>
      </c>
      <c r="S117" s="48" t="str">
        <f>IF(ISNUMBER(deployment_raw[[#This Row],[Column11]]), (deployment_raw[[#This Row],[Column11]] * IF($E$2="Deployment",deployment_raw[[#This Row],[Column5]],1))/1048576,"")</f>
        <v/>
      </c>
      <c r="T117" s="59" t="str">
        <f>IF(ISNUMBER(deployment_raw[[#This Row],[Column8]]),IF(OR(deployment_raw[[#This Row],[Column5]] &lt;&gt; 0,$E$2 &lt;&gt; "Deployment"), MAX(V117, ($T$2 * IF($E$2="Deployment",deployment_raw[[#This Row],[Column5]],1))), 0),"")</f>
        <v/>
      </c>
      <c r="U117" s="50" t="str">
        <f>IF(ISNUMBER(deployment_raw[[#This Row],[Column9]]),IF(OR(deployment_raw[[#This Row],[Column5]] &lt;&gt; 0,$E$2&lt;&gt;"Deployment"), MAX(W117, ($U$2 * IF($E$2="Deployment",deployment_raw[[#This Row],[Column5]],1))), 0),"")</f>
        <v/>
      </c>
      <c r="V117" s="15" t="str">
        <f>IF(ISNUMBER(deployment_raw[[#This Row],[Column12]]), (deployment_raw[[#This Row],[Column12]] * IF($E$2="Deployment",deployment_raw[[#This Row],[Column5]],1)*(1+$V$2)),"")</f>
        <v/>
      </c>
      <c r="W117" s="14" t="str">
        <f>IF(ISNUMBER(deployment_raw[[#This Row],[Column13]]), (deployment_raw[[#This Row],[Column13]] * IF($E$2="Deployment",deployment_raw[[#This Row],[Column5]],1)*(1+$W$2))/1048576,"")</f>
        <v/>
      </c>
    </row>
    <row r="118" spans="1:23" ht="15.75" customHeight="1" x14ac:dyDescent="0.25">
      <c r="A118" s="5" t="str">
        <f>IF(ISNONTEXT(deployment_raw[[#This Row],[Column1]]), "", deployment_raw[[#This Row],[Column1]])</f>
        <v/>
      </c>
      <c r="B118" s="6" t="str">
        <f>IF(ISNONTEXT(deployment_raw[[#This Row],[Column2]]), "", deployment_raw[[#This Row],[Column2]])</f>
        <v/>
      </c>
      <c r="C118" s="6" t="str">
        <f>IF(ISNONTEXT(deployment_raw[[#This Row],[Column3]]), "", deployment_raw[[#This Row],[Column3]])</f>
        <v/>
      </c>
      <c r="D118" s="6" t="str">
        <f>IF(ISNONTEXT(deployment_raw[[#This Row],[Column4]]), "", deployment_raw[[#This Row],[Column4]])</f>
        <v/>
      </c>
      <c r="E118" s="7" t="str">
        <f>IF(ISNUMBER(deployment_raw[[#This Row],[Column5]]), deployment_raw[[#This Row],[Column5]],"")</f>
        <v/>
      </c>
      <c r="F118" s="32" t="str">
        <f>IF(ISNUMBER(deployment_raw[[#This Row],[Column17]]), deployment_raw[[#This Row],[Column17]]/IF(OR($E$2="Deployment",deployment_raw[[#This Row],[Column5]]=0),1,deployment_raw[[#This Row],[Column5]]),"")</f>
        <v/>
      </c>
      <c r="G118" s="42" t="str">
        <f>IF(ISNUMBER(deployment_raw[[#This Row],[Column14]]), deployment_raw[[#This Row],[Column14]]/IF(OR($E$2="Deployment",deployment_raw[[#This Row],[Column5]]=0),1,deployment_raw[[#This Row],[Column5]]),"")</f>
        <v/>
      </c>
      <c r="H118" s="79" t="str">
        <f>IF(ISNUMBER(deployment_raw[[#This Row],[Column19]]), IF(I118&lt;&gt;0,(deployment_raw[[#This Row],[Column19]]/IF(OR($E$2="Deployment",deployment_raw[[#This Row],[Column5]]=0),1,deployment_raw[[#This Row],[Column5]]))/I118,0),"")</f>
        <v/>
      </c>
      <c r="I118" s="69" t="str">
        <f>IF(ISNUMBER(deployment_raw[[#This Row],[Column6]]), (deployment_raw[[#This Row],[Column6]] * IF($E$2="Deployment",deployment_raw[[#This Row],[Column5]],1)),"")</f>
        <v/>
      </c>
      <c r="J118" s="79" t="str">
        <f>IF(ISNUMBER(deployment_raw[[#This Row],[Column19]]), IF(K118&lt;&gt;0,(deployment_raw[[#This Row],[Column19]]/IF(OR($E$2="Deployment",deployment_raw[[#This Row],[Column5]]=0),1,deployment_raw[[#This Row],[Column5]]))/K118,0),"")</f>
        <v/>
      </c>
      <c r="K118" s="72" t="str">
        <f>IF(ISNUMBER(deployment_raw[[#This Row],[Column8]]), (deployment_raw[[#This Row],[Column8]]  * IF($E$2="Deployment",deployment_raw[[#This Row],[Column5]],1)),"")</f>
        <v/>
      </c>
      <c r="L11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1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18" s="81" t="str">
        <f>IF(ISNUMBER(deployment_raw[[#This Row],[Column20]]), IF(O118&lt;&gt;0,deployment_raw[[#This Row],[Column20]]/IF(OR($E$2="Deployment",deployment_raw[[#This Row],[Column5]]=0),1,deployment_raw[[#This Row],[Column5]])/1048576/O118,0),"")</f>
        <v/>
      </c>
      <c r="O118" s="74" t="str">
        <f>IF(ISNUMBER(deployment_raw[[#This Row],[Column7]]), (deployment_raw[[#This Row],[Column7]] * IF($E$2="Deployment",deployment_raw[[#This Row],[Column5]],1))/1048576,"")</f>
        <v/>
      </c>
      <c r="P118" s="81" t="str">
        <f>IF(ISNUMBER(deployment_raw[[#This Row],[Column20]]), IF(Q118&lt;&gt;0,deployment_raw[[#This Row],[Column20]]/IF(OR($E$2="Deployment",deployment_raw[[#This Row],[Column5]]=0),1,deployment_raw[[#This Row],[Column5]])/1048576/Q118,0),"")</f>
        <v/>
      </c>
      <c r="Q118" s="76" t="str">
        <f>IF(ISNUMBER(deployment_raw[[#This Row],[Column9]]), (deployment_raw[[#This Row],[Column9]] * IF($E$2="Deployment",deployment_raw[[#This Row],[Column5]],1))/1048576,"")</f>
        <v/>
      </c>
      <c r="R118" s="57" t="str">
        <f>IF(ISNUMBER(deployment_raw[[#This Row],[Column10]]), (deployment_raw[[#This Row],[Column10]] * IF($E$2="Deployment",deployment_raw[[#This Row],[Column5]],1)),"")</f>
        <v/>
      </c>
      <c r="S118" s="48" t="str">
        <f>IF(ISNUMBER(deployment_raw[[#This Row],[Column11]]), (deployment_raw[[#This Row],[Column11]] * IF($E$2="Deployment",deployment_raw[[#This Row],[Column5]],1))/1048576,"")</f>
        <v/>
      </c>
      <c r="T118" s="59" t="str">
        <f>IF(ISNUMBER(deployment_raw[[#This Row],[Column8]]),IF(OR(deployment_raw[[#This Row],[Column5]] &lt;&gt; 0,$E$2 &lt;&gt; "Deployment"), MAX(V118, ($T$2 * IF($E$2="Deployment",deployment_raw[[#This Row],[Column5]],1))), 0),"")</f>
        <v/>
      </c>
      <c r="U118" s="50" t="str">
        <f>IF(ISNUMBER(deployment_raw[[#This Row],[Column9]]),IF(OR(deployment_raw[[#This Row],[Column5]] &lt;&gt; 0,$E$2&lt;&gt;"Deployment"), MAX(W118, ($U$2 * IF($E$2="Deployment",deployment_raw[[#This Row],[Column5]],1))), 0),"")</f>
        <v/>
      </c>
      <c r="V118" s="15" t="str">
        <f>IF(ISNUMBER(deployment_raw[[#This Row],[Column12]]), (deployment_raw[[#This Row],[Column12]] * IF($E$2="Deployment",deployment_raw[[#This Row],[Column5]],1)*(1+$V$2)),"")</f>
        <v/>
      </c>
      <c r="W118" s="14" t="str">
        <f>IF(ISNUMBER(deployment_raw[[#This Row],[Column13]]), (deployment_raw[[#This Row],[Column13]] * IF($E$2="Deployment",deployment_raw[[#This Row],[Column5]],1)*(1+$W$2))/1048576,"")</f>
        <v/>
      </c>
    </row>
    <row r="119" spans="1:23" ht="15.75" customHeight="1" x14ac:dyDescent="0.25">
      <c r="A119" s="5" t="str">
        <f>IF(ISNONTEXT(deployment_raw[[#This Row],[Column1]]), "", deployment_raw[[#This Row],[Column1]])</f>
        <v/>
      </c>
      <c r="B119" s="6" t="str">
        <f>IF(ISNONTEXT(deployment_raw[[#This Row],[Column2]]), "", deployment_raw[[#This Row],[Column2]])</f>
        <v/>
      </c>
      <c r="C119" s="6" t="str">
        <f>IF(ISNONTEXT(deployment_raw[[#This Row],[Column3]]), "", deployment_raw[[#This Row],[Column3]])</f>
        <v/>
      </c>
      <c r="D119" s="6" t="str">
        <f>IF(ISNONTEXT(deployment_raw[[#This Row],[Column4]]), "", deployment_raw[[#This Row],[Column4]])</f>
        <v/>
      </c>
      <c r="E119" s="7" t="str">
        <f>IF(ISNUMBER(deployment_raw[[#This Row],[Column5]]), deployment_raw[[#This Row],[Column5]],"")</f>
        <v/>
      </c>
      <c r="F119" s="32" t="str">
        <f>IF(ISNUMBER(deployment_raw[[#This Row],[Column17]]), deployment_raw[[#This Row],[Column17]]/IF(OR($E$2="Deployment",deployment_raw[[#This Row],[Column5]]=0),1,deployment_raw[[#This Row],[Column5]]),"")</f>
        <v/>
      </c>
      <c r="G119" s="42" t="str">
        <f>IF(ISNUMBER(deployment_raw[[#This Row],[Column14]]), deployment_raw[[#This Row],[Column14]]/IF(OR($E$2="Deployment",deployment_raw[[#This Row],[Column5]]=0),1,deployment_raw[[#This Row],[Column5]]),"")</f>
        <v/>
      </c>
      <c r="H119" s="79" t="str">
        <f>IF(ISNUMBER(deployment_raw[[#This Row],[Column19]]), IF(I119&lt;&gt;0,(deployment_raw[[#This Row],[Column19]]/IF(OR($E$2="Deployment",deployment_raw[[#This Row],[Column5]]=0),1,deployment_raw[[#This Row],[Column5]]))/I119,0),"")</f>
        <v/>
      </c>
      <c r="I119" s="69" t="str">
        <f>IF(ISNUMBER(deployment_raw[[#This Row],[Column6]]), (deployment_raw[[#This Row],[Column6]] * IF($E$2="Deployment",deployment_raw[[#This Row],[Column5]],1)),"")</f>
        <v/>
      </c>
      <c r="J119" s="79" t="str">
        <f>IF(ISNUMBER(deployment_raw[[#This Row],[Column19]]), IF(K119&lt;&gt;0,(deployment_raw[[#This Row],[Column19]]/IF(OR($E$2="Deployment",deployment_raw[[#This Row],[Column5]]=0),1,deployment_raw[[#This Row],[Column5]]))/K119,0),"")</f>
        <v/>
      </c>
      <c r="K119" s="72" t="str">
        <f>IF(ISNUMBER(deployment_raw[[#This Row],[Column8]]), (deployment_raw[[#This Row],[Column8]]  * IF($E$2="Deployment",deployment_raw[[#This Row],[Column5]],1)),"")</f>
        <v/>
      </c>
      <c r="L11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1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19" s="81" t="str">
        <f>IF(ISNUMBER(deployment_raw[[#This Row],[Column20]]), IF(O119&lt;&gt;0,deployment_raw[[#This Row],[Column20]]/IF(OR($E$2="Deployment",deployment_raw[[#This Row],[Column5]]=0),1,deployment_raw[[#This Row],[Column5]])/1048576/O119,0),"")</f>
        <v/>
      </c>
      <c r="O119" s="74" t="str">
        <f>IF(ISNUMBER(deployment_raw[[#This Row],[Column7]]), (deployment_raw[[#This Row],[Column7]] * IF($E$2="Deployment",deployment_raw[[#This Row],[Column5]],1))/1048576,"")</f>
        <v/>
      </c>
      <c r="P119" s="81" t="str">
        <f>IF(ISNUMBER(deployment_raw[[#This Row],[Column20]]), IF(Q119&lt;&gt;0,deployment_raw[[#This Row],[Column20]]/IF(OR($E$2="Deployment",deployment_raw[[#This Row],[Column5]]=0),1,deployment_raw[[#This Row],[Column5]])/1048576/Q119,0),"")</f>
        <v/>
      </c>
      <c r="Q119" s="76" t="str">
        <f>IF(ISNUMBER(deployment_raw[[#This Row],[Column9]]), (deployment_raw[[#This Row],[Column9]] * IF($E$2="Deployment",deployment_raw[[#This Row],[Column5]],1))/1048576,"")</f>
        <v/>
      </c>
      <c r="R119" s="57" t="str">
        <f>IF(ISNUMBER(deployment_raw[[#This Row],[Column10]]), (deployment_raw[[#This Row],[Column10]] * IF($E$2="Deployment",deployment_raw[[#This Row],[Column5]],1)),"")</f>
        <v/>
      </c>
      <c r="S119" s="48" t="str">
        <f>IF(ISNUMBER(deployment_raw[[#This Row],[Column11]]), (deployment_raw[[#This Row],[Column11]] * IF($E$2="Deployment",deployment_raw[[#This Row],[Column5]],1))/1048576,"")</f>
        <v/>
      </c>
      <c r="T119" s="59" t="str">
        <f>IF(ISNUMBER(deployment_raw[[#This Row],[Column8]]),IF(OR(deployment_raw[[#This Row],[Column5]] &lt;&gt; 0,$E$2 &lt;&gt; "Deployment"), MAX(V119, ($T$2 * IF($E$2="Deployment",deployment_raw[[#This Row],[Column5]],1))), 0),"")</f>
        <v/>
      </c>
      <c r="U119" s="50" t="str">
        <f>IF(ISNUMBER(deployment_raw[[#This Row],[Column9]]),IF(OR(deployment_raw[[#This Row],[Column5]] &lt;&gt; 0,$E$2&lt;&gt;"Deployment"), MAX(W119, ($U$2 * IF($E$2="Deployment",deployment_raw[[#This Row],[Column5]],1))), 0),"")</f>
        <v/>
      </c>
      <c r="V119" s="15" t="str">
        <f>IF(ISNUMBER(deployment_raw[[#This Row],[Column12]]), (deployment_raw[[#This Row],[Column12]] * IF($E$2="Deployment",deployment_raw[[#This Row],[Column5]],1)*(1+$V$2)),"")</f>
        <v/>
      </c>
      <c r="W119" s="14" t="str">
        <f>IF(ISNUMBER(deployment_raw[[#This Row],[Column13]]), (deployment_raw[[#This Row],[Column13]] * IF($E$2="Deployment",deployment_raw[[#This Row],[Column5]],1)*(1+$W$2))/1048576,"")</f>
        <v/>
      </c>
    </row>
    <row r="120" spans="1:23" ht="15.75" customHeight="1" x14ac:dyDescent="0.25">
      <c r="A120" s="5" t="str">
        <f>IF(ISNONTEXT(deployment_raw[[#This Row],[Column1]]), "", deployment_raw[[#This Row],[Column1]])</f>
        <v/>
      </c>
      <c r="B120" s="6" t="str">
        <f>IF(ISNONTEXT(deployment_raw[[#This Row],[Column2]]), "", deployment_raw[[#This Row],[Column2]])</f>
        <v/>
      </c>
      <c r="C120" s="6" t="str">
        <f>IF(ISNONTEXT(deployment_raw[[#This Row],[Column3]]), "", deployment_raw[[#This Row],[Column3]])</f>
        <v/>
      </c>
      <c r="D120" s="6" t="str">
        <f>IF(ISNONTEXT(deployment_raw[[#This Row],[Column4]]), "", deployment_raw[[#This Row],[Column4]])</f>
        <v/>
      </c>
      <c r="E120" s="7" t="str">
        <f>IF(ISNUMBER(deployment_raw[[#This Row],[Column5]]), deployment_raw[[#This Row],[Column5]],"")</f>
        <v/>
      </c>
      <c r="F120" s="32" t="str">
        <f>IF(ISNUMBER(deployment_raw[[#This Row],[Column17]]), deployment_raw[[#This Row],[Column17]]/IF(OR($E$2="Deployment",deployment_raw[[#This Row],[Column5]]=0),1,deployment_raw[[#This Row],[Column5]]),"")</f>
        <v/>
      </c>
      <c r="G120" s="42" t="str">
        <f>IF(ISNUMBER(deployment_raw[[#This Row],[Column14]]), deployment_raw[[#This Row],[Column14]]/IF(OR($E$2="Deployment",deployment_raw[[#This Row],[Column5]]=0),1,deployment_raw[[#This Row],[Column5]]),"")</f>
        <v/>
      </c>
      <c r="H120" s="79" t="str">
        <f>IF(ISNUMBER(deployment_raw[[#This Row],[Column19]]), IF(I120&lt;&gt;0,(deployment_raw[[#This Row],[Column19]]/IF(OR($E$2="Deployment",deployment_raw[[#This Row],[Column5]]=0),1,deployment_raw[[#This Row],[Column5]]))/I120,0),"")</f>
        <v/>
      </c>
      <c r="I120" s="69" t="str">
        <f>IF(ISNUMBER(deployment_raw[[#This Row],[Column6]]), (deployment_raw[[#This Row],[Column6]] * IF($E$2="Deployment",deployment_raw[[#This Row],[Column5]],1)),"")</f>
        <v/>
      </c>
      <c r="J120" s="79" t="str">
        <f>IF(ISNUMBER(deployment_raw[[#This Row],[Column19]]), IF(K120&lt;&gt;0,(deployment_raw[[#This Row],[Column19]]/IF(OR($E$2="Deployment",deployment_raw[[#This Row],[Column5]]=0),1,deployment_raw[[#This Row],[Column5]]))/K120,0),"")</f>
        <v/>
      </c>
      <c r="K120" s="72" t="str">
        <f>IF(ISNUMBER(deployment_raw[[#This Row],[Column8]]), (deployment_raw[[#This Row],[Column8]]  * IF($E$2="Deployment",deployment_raw[[#This Row],[Column5]],1)),"")</f>
        <v/>
      </c>
      <c r="L12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2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20" s="81" t="str">
        <f>IF(ISNUMBER(deployment_raw[[#This Row],[Column20]]), IF(O120&lt;&gt;0,deployment_raw[[#This Row],[Column20]]/IF(OR($E$2="Deployment",deployment_raw[[#This Row],[Column5]]=0),1,deployment_raw[[#This Row],[Column5]])/1048576/O120,0),"")</f>
        <v/>
      </c>
      <c r="O120" s="74" t="str">
        <f>IF(ISNUMBER(deployment_raw[[#This Row],[Column7]]), (deployment_raw[[#This Row],[Column7]] * IF($E$2="Deployment",deployment_raw[[#This Row],[Column5]],1))/1048576,"")</f>
        <v/>
      </c>
      <c r="P120" s="81" t="str">
        <f>IF(ISNUMBER(deployment_raw[[#This Row],[Column20]]), IF(Q120&lt;&gt;0,deployment_raw[[#This Row],[Column20]]/IF(OR($E$2="Deployment",deployment_raw[[#This Row],[Column5]]=0),1,deployment_raw[[#This Row],[Column5]])/1048576/Q120,0),"")</f>
        <v/>
      </c>
      <c r="Q120" s="76" t="str">
        <f>IF(ISNUMBER(deployment_raw[[#This Row],[Column9]]), (deployment_raw[[#This Row],[Column9]] * IF($E$2="Deployment",deployment_raw[[#This Row],[Column5]],1))/1048576,"")</f>
        <v/>
      </c>
      <c r="R120" s="57" t="str">
        <f>IF(ISNUMBER(deployment_raw[[#This Row],[Column10]]), (deployment_raw[[#This Row],[Column10]] * IF($E$2="Deployment",deployment_raw[[#This Row],[Column5]],1)),"")</f>
        <v/>
      </c>
      <c r="S120" s="48" t="str">
        <f>IF(ISNUMBER(deployment_raw[[#This Row],[Column11]]), (deployment_raw[[#This Row],[Column11]] * IF($E$2="Deployment",deployment_raw[[#This Row],[Column5]],1))/1048576,"")</f>
        <v/>
      </c>
      <c r="T120" s="59" t="str">
        <f>IF(ISNUMBER(deployment_raw[[#This Row],[Column8]]),IF(OR(deployment_raw[[#This Row],[Column5]] &lt;&gt; 0,$E$2 &lt;&gt; "Deployment"), MAX(V120, ($T$2 * IF($E$2="Deployment",deployment_raw[[#This Row],[Column5]],1))), 0),"")</f>
        <v/>
      </c>
      <c r="U120" s="50" t="str">
        <f>IF(ISNUMBER(deployment_raw[[#This Row],[Column9]]),IF(OR(deployment_raw[[#This Row],[Column5]] &lt;&gt; 0,$E$2&lt;&gt;"Deployment"), MAX(W120, ($U$2 * IF($E$2="Deployment",deployment_raw[[#This Row],[Column5]],1))), 0),"")</f>
        <v/>
      </c>
      <c r="V120" s="15" t="str">
        <f>IF(ISNUMBER(deployment_raw[[#This Row],[Column12]]), (deployment_raw[[#This Row],[Column12]] * IF($E$2="Deployment",deployment_raw[[#This Row],[Column5]],1)*(1+$V$2)),"")</f>
        <v/>
      </c>
      <c r="W120" s="14" t="str">
        <f>IF(ISNUMBER(deployment_raw[[#This Row],[Column13]]), (deployment_raw[[#This Row],[Column13]] * IF($E$2="Deployment",deployment_raw[[#This Row],[Column5]],1)*(1+$W$2))/1048576,"")</f>
        <v/>
      </c>
    </row>
    <row r="121" spans="1:23" ht="15.75" customHeight="1" x14ac:dyDescent="0.25">
      <c r="A121" s="5" t="str">
        <f>IF(ISNONTEXT(deployment_raw[[#This Row],[Column1]]), "", deployment_raw[[#This Row],[Column1]])</f>
        <v/>
      </c>
      <c r="B121" s="6" t="str">
        <f>IF(ISNONTEXT(deployment_raw[[#This Row],[Column2]]), "", deployment_raw[[#This Row],[Column2]])</f>
        <v/>
      </c>
      <c r="C121" s="6" t="str">
        <f>IF(ISNONTEXT(deployment_raw[[#This Row],[Column3]]), "", deployment_raw[[#This Row],[Column3]])</f>
        <v/>
      </c>
      <c r="D121" s="6" t="str">
        <f>IF(ISNONTEXT(deployment_raw[[#This Row],[Column4]]), "", deployment_raw[[#This Row],[Column4]])</f>
        <v/>
      </c>
      <c r="E121" s="7" t="str">
        <f>IF(ISNUMBER(deployment_raw[[#This Row],[Column5]]), deployment_raw[[#This Row],[Column5]],"")</f>
        <v/>
      </c>
      <c r="F121" s="32" t="str">
        <f>IF(ISNUMBER(deployment_raw[[#This Row],[Column17]]), deployment_raw[[#This Row],[Column17]]/IF(OR($E$2="Deployment",deployment_raw[[#This Row],[Column5]]=0),1,deployment_raw[[#This Row],[Column5]]),"")</f>
        <v/>
      </c>
      <c r="G121" s="42" t="str">
        <f>IF(ISNUMBER(deployment_raw[[#This Row],[Column14]]), deployment_raw[[#This Row],[Column14]]/IF(OR($E$2="Deployment",deployment_raw[[#This Row],[Column5]]=0),1,deployment_raw[[#This Row],[Column5]]),"")</f>
        <v/>
      </c>
      <c r="H121" s="79" t="str">
        <f>IF(ISNUMBER(deployment_raw[[#This Row],[Column19]]), IF(I121&lt;&gt;0,(deployment_raw[[#This Row],[Column19]]/IF(OR($E$2="Deployment",deployment_raw[[#This Row],[Column5]]=0),1,deployment_raw[[#This Row],[Column5]]))/I121,0),"")</f>
        <v/>
      </c>
      <c r="I121" s="69" t="str">
        <f>IF(ISNUMBER(deployment_raw[[#This Row],[Column6]]), (deployment_raw[[#This Row],[Column6]] * IF($E$2="Deployment",deployment_raw[[#This Row],[Column5]],1)),"")</f>
        <v/>
      </c>
      <c r="J121" s="79" t="str">
        <f>IF(ISNUMBER(deployment_raw[[#This Row],[Column19]]), IF(K121&lt;&gt;0,(deployment_raw[[#This Row],[Column19]]/IF(OR($E$2="Deployment",deployment_raw[[#This Row],[Column5]]=0),1,deployment_raw[[#This Row],[Column5]]))/K121,0),"")</f>
        <v/>
      </c>
      <c r="K121" s="72" t="str">
        <f>IF(ISNUMBER(deployment_raw[[#This Row],[Column8]]), (deployment_raw[[#This Row],[Column8]]  * IF($E$2="Deployment",deployment_raw[[#This Row],[Column5]],1)),"")</f>
        <v/>
      </c>
      <c r="L12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2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21" s="81" t="str">
        <f>IF(ISNUMBER(deployment_raw[[#This Row],[Column20]]), IF(O121&lt;&gt;0,deployment_raw[[#This Row],[Column20]]/IF(OR($E$2="Deployment",deployment_raw[[#This Row],[Column5]]=0),1,deployment_raw[[#This Row],[Column5]])/1048576/O121,0),"")</f>
        <v/>
      </c>
      <c r="O121" s="74" t="str">
        <f>IF(ISNUMBER(deployment_raw[[#This Row],[Column7]]), (deployment_raw[[#This Row],[Column7]] * IF($E$2="Deployment",deployment_raw[[#This Row],[Column5]],1))/1048576,"")</f>
        <v/>
      </c>
      <c r="P121" s="81" t="str">
        <f>IF(ISNUMBER(deployment_raw[[#This Row],[Column20]]), IF(Q121&lt;&gt;0,deployment_raw[[#This Row],[Column20]]/IF(OR($E$2="Deployment",deployment_raw[[#This Row],[Column5]]=0),1,deployment_raw[[#This Row],[Column5]])/1048576/Q121,0),"")</f>
        <v/>
      </c>
      <c r="Q121" s="76" t="str">
        <f>IF(ISNUMBER(deployment_raw[[#This Row],[Column9]]), (deployment_raw[[#This Row],[Column9]] * IF($E$2="Deployment",deployment_raw[[#This Row],[Column5]],1))/1048576,"")</f>
        <v/>
      </c>
      <c r="R121" s="57" t="str">
        <f>IF(ISNUMBER(deployment_raw[[#This Row],[Column10]]), (deployment_raw[[#This Row],[Column10]] * IF($E$2="Deployment",deployment_raw[[#This Row],[Column5]],1)),"")</f>
        <v/>
      </c>
      <c r="S121" s="48" t="str">
        <f>IF(ISNUMBER(deployment_raw[[#This Row],[Column11]]), (deployment_raw[[#This Row],[Column11]] * IF($E$2="Deployment",deployment_raw[[#This Row],[Column5]],1))/1048576,"")</f>
        <v/>
      </c>
      <c r="T121" s="59" t="str">
        <f>IF(ISNUMBER(deployment_raw[[#This Row],[Column8]]),IF(OR(deployment_raw[[#This Row],[Column5]] &lt;&gt; 0,$E$2 &lt;&gt; "Deployment"), MAX(V121, ($T$2 * IF($E$2="Deployment",deployment_raw[[#This Row],[Column5]],1))), 0),"")</f>
        <v/>
      </c>
      <c r="U121" s="50" t="str">
        <f>IF(ISNUMBER(deployment_raw[[#This Row],[Column9]]),IF(OR(deployment_raw[[#This Row],[Column5]] &lt;&gt; 0,$E$2&lt;&gt;"Deployment"), MAX(W121, ($U$2 * IF($E$2="Deployment",deployment_raw[[#This Row],[Column5]],1))), 0),"")</f>
        <v/>
      </c>
      <c r="V121" s="15" t="str">
        <f>IF(ISNUMBER(deployment_raw[[#This Row],[Column12]]), (deployment_raw[[#This Row],[Column12]] * IF($E$2="Deployment",deployment_raw[[#This Row],[Column5]],1)*(1+$V$2)),"")</f>
        <v/>
      </c>
      <c r="W121" s="14" t="str">
        <f>IF(ISNUMBER(deployment_raw[[#This Row],[Column13]]), (deployment_raw[[#This Row],[Column13]] * IF($E$2="Deployment",deployment_raw[[#This Row],[Column5]],1)*(1+$W$2))/1048576,"")</f>
        <v/>
      </c>
    </row>
    <row r="122" spans="1:23" ht="15.75" customHeight="1" x14ac:dyDescent="0.25">
      <c r="A122" s="5" t="str">
        <f>IF(ISNONTEXT(deployment_raw[[#This Row],[Column1]]), "", deployment_raw[[#This Row],[Column1]])</f>
        <v/>
      </c>
      <c r="B122" s="6" t="str">
        <f>IF(ISNONTEXT(deployment_raw[[#This Row],[Column2]]), "", deployment_raw[[#This Row],[Column2]])</f>
        <v/>
      </c>
      <c r="C122" s="6" t="str">
        <f>IF(ISNONTEXT(deployment_raw[[#This Row],[Column3]]), "", deployment_raw[[#This Row],[Column3]])</f>
        <v/>
      </c>
      <c r="D122" s="6" t="str">
        <f>IF(ISNONTEXT(deployment_raw[[#This Row],[Column4]]), "", deployment_raw[[#This Row],[Column4]])</f>
        <v/>
      </c>
      <c r="E122" s="7" t="str">
        <f>IF(ISNUMBER(deployment_raw[[#This Row],[Column5]]), deployment_raw[[#This Row],[Column5]],"")</f>
        <v/>
      </c>
      <c r="F122" s="32" t="str">
        <f>IF(ISNUMBER(deployment_raw[[#This Row],[Column17]]), deployment_raw[[#This Row],[Column17]]/IF(OR($E$2="Deployment",deployment_raw[[#This Row],[Column5]]=0),1,deployment_raw[[#This Row],[Column5]]),"")</f>
        <v/>
      </c>
      <c r="G122" s="42" t="str">
        <f>IF(ISNUMBER(deployment_raw[[#This Row],[Column14]]), deployment_raw[[#This Row],[Column14]]/IF(OR($E$2="Deployment",deployment_raw[[#This Row],[Column5]]=0),1,deployment_raw[[#This Row],[Column5]]),"")</f>
        <v/>
      </c>
      <c r="H122" s="79" t="str">
        <f>IF(ISNUMBER(deployment_raw[[#This Row],[Column19]]), IF(I122&lt;&gt;0,(deployment_raw[[#This Row],[Column19]]/IF(OR($E$2="Deployment",deployment_raw[[#This Row],[Column5]]=0),1,deployment_raw[[#This Row],[Column5]]))/I122,0),"")</f>
        <v/>
      </c>
      <c r="I122" s="69" t="str">
        <f>IF(ISNUMBER(deployment_raw[[#This Row],[Column6]]), (deployment_raw[[#This Row],[Column6]] * IF($E$2="Deployment",deployment_raw[[#This Row],[Column5]],1)),"")</f>
        <v/>
      </c>
      <c r="J122" s="79" t="str">
        <f>IF(ISNUMBER(deployment_raw[[#This Row],[Column19]]), IF(K122&lt;&gt;0,(deployment_raw[[#This Row],[Column19]]/IF(OR($E$2="Deployment",deployment_raw[[#This Row],[Column5]]=0),1,deployment_raw[[#This Row],[Column5]]))/K122,0),"")</f>
        <v/>
      </c>
      <c r="K122" s="72" t="str">
        <f>IF(ISNUMBER(deployment_raw[[#This Row],[Column8]]), (deployment_raw[[#This Row],[Column8]]  * IF($E$2="Deployment",deployment_raw[[#This Row],[Column5]],1)),"")</f>
        <v/>
      </c>
      <c r="L12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2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22" s="81" t="str">
        <f>IF(ISNUMBER(deployment_raw[[#This Row],[Column20]]), IF(O122&lt;&gt;0,deployment_raw[[#This Row],[Column20]]/IF(OR($E$2="Deployment",deployment_raw[[#This Row],[Column5]]=0),1,deployment_raw[[#This Row],[Column5]])/1048576/O122,0),"")</f>
        <v/>
      </c>
      <c r="O122" s="74" t="str">
        <f>IF(ISNUMBER(deployment_raw[[#This Row],[Column7]]), (deployment_raw[[#This Row],[Column7]] * IF($E$2="Deployment",deployment_raw[[#This Row],[Column5]],1))/1048576,"")</f>
        <v/>
      </c>
      <c r="P122" s="81" t="str">
        <f>IF(ISNUMBER(deployment_raw[[#This Row],[Column20]]), IF(Q122&lt;&gt;0,deployment_raw[[#This Row],[Column20]]/IF(OR($E$2="Deployment",deployment_raw[[#This Row],[Column5]]=0),1,deployment_raw[[#This Row],[Column5]])/1048576/Q122,0),"")</f>
        <v/>
      </c>
      <c r="Q122" s="76" t="str">
        <f>IF(ISNUMBER(deployment_raw[[#This Row],[Column9]]), (deployment_raw[[#This Row],[Column9]] * IF($E$2="Deployment",deployment_raw[[#This Row],[Column5]],1))/1048576,"")</f>
        <v/>
      </c>
      <c r="R122" s="57" t="str">
        <f>IF(ISNUMBER(deployment_raw[[#This Row],[Column10]]), (deployment_raw[[#This Row],[Column10]] * IF($E$2="Deployment",deployment_raw[[#This Row],[Column5]],1)),"")</f>
        <v/>
      </c>
      <c r="S122" s="48" t="str">
        <f>IF(ISNUMBER(deployment_raw[[#This Row],[Column11]]), (deployment_raw[[#This Row],[Column11]] * IF($E$2="Deployment",deployment_raw[[#This Row],[Column5]],1))/1048576,"")</f>
        <v/>
      </c>
      <c r="T122" s="59" t="str">
        <f>IF(ISNUMBER(deployment_raw[[#This Row],[Column8]]),IF(OR(deployment_raw[[#This Row],[Column5]] &lt;&gt; 0,$E$2 &lt;&gt; "Deployment"), MAX(V122, ($T$2 * IF($E$2="Deployment",deployment_raw[[#This Row],[Column5]],1))), 0),"")</f>
        <v/>
      </c>
      <c r="U122" s="50" t="str">
        <f>IF(ISNUMBER(deployment_raw[[#This Row],[Column9]]),IF(OR(deployment_raw[[#This Row],[Column5]] &lt;&gt; 0,$E$2&lt;&gt;"Deployment"), MAX(W122, ($U$2 * IF($E$2="Deployment",deployment_raw[[#This Row],[Column5]],1))), 0),"")</f>
        <v/>
      </c>
      <c r="V122" s="15" t="str">
        <f>IF(ISNUMBER(deployment_raw[[#This Row],[Column12]]), (deployment_raw[[#This Row],[Column12]] * IF($E$2="Deployment",deployment_raw[[#This Row],[Column5]],1)*(1+$V$2)),"")</f>
        <v/>
      </c>
      <c r="W122" s="14" t="str">
        <f>IF(ISNUMBER(deployment_raw[[#This Row],[Column13]]), (deployment_raw[[#This Row],[Column13]] * IF($E$2="Deployment",deployment_raw[[#This Row],[Column5]],1)*(1+$W$2))/1048576,"")</f>
        <v/>
      </c>
    </row>
    <row r="123" spans="1:23" ht="15.75" customHeight="1" x14ac:dyDescent="0.25">
      <c r="A123" s="5" t="str">
        <f>IF(ISNONTEXT(deployment_raw[[#This Row],[Column1]]), "", deployment_raw[[#This Row],[Column1]])</f>
        <v/>
      </c>
      <c r="B123" s="6" t="str">
        <f>IF(ISNONTEXT(deployment_raw[[#This Row],[Column2]]), "", deployment_raw[[#This Row],[Column2]])</f>
        <v/>
      </c>
      <c r="C123" s="6" t="str">
        <f>IF(ISNONTEXT(deployment_raw[[#This Row],[Column3]]), "", deployment_raw[[#This Row],[Column3]])</f>
        <v/>
      </c>
      <c r="D123" s="6" t="str">
        <f>IF(ISNONTEXT(deployment_raw[[#This Row],[Column4]]), "", deployment_raw[[#This Row],[Column4]])</f>
        <v/>
      </c>
      <c r="E123" s="7" t="str">
        <f>IF(ISNUMBER(deployment_raw[[#This Row],[Column5]]), deployment_raw[[#This Row],[Column5]],"")</f>
        <v/>
      </c>
      <c r="F123" s="32" t="str">
        <f>IF(ISNUMBER(deployment_raw[[#This Row],[Column17]]), deployment_raw[[#This Row],[Column17]]/IF(OR($E$2="Deployment",deployment_raw[[#This Row],[Column5]]=0),1,deployment_raw[[#This Row],[Column5]]),"")</f>
        <v/>
      </c>
      <c r="G123" s="42" t="str">
        <f>IF(ISNUMBER(deployment_raw[[#This Row],[Column14]]), deployment_raw[[#This Row],[Column14]]/IF(OR($E$2="Deployment",deployment_raw[[#This Row],[Column5]]=0),1,deployment_raw[[#This Row],[Column5]]),"")</f>
        <v/>
      </c>
      <c r="H123" s="79" t="str">
        <f>IF(ISNUMBER(deployment_raw[[#This Row],[Column19]]), IF(I123&lt;&gt;0,(deployment_raw[[#This Row],[Column19]]/IF(OR($E$2="Deployment",deployment_raw[[#This Row],[Column5]]=0),1,deployment_raw[[#This Row],[Column5]]))/I123,0),"")</f>
        <v/>
      </c>
      <c r="I123" s="69" t="str">
        <f>IF(ISNUMBER(deployment_raw[[#This Row],[Column6]]), (deployment_raw[[#This Row],[Column6]] * IF($E$2="Deployment",deployment_raw[[#This Row],[Column5]],1)),"")</f>
        <v/>
      </c>
      <c r="J123" s="79" t="str">
        <f>IF(ISNUMBER(deployment_raw[[#This Row],[Column19]]), IF(K123&lt;&gt;0,(deployment_raw[[#This Row],[Column19]]/IF(OR($E$2="Deployment",deployment_raw[[#This Row],[Column5]]=0),1,deployment_raw[[#This Row],[Column5]]))/K123,0),"")</f>
        <v/>
      </c>
      <c r="K123" s="72" t="str">
        <f>IF(ISNUMBER(deployment_raw[[#This Row],[Column8]]), (deployment_raw[[#This Row],[Column8]]  * IF($E$2="Deployment",deployment_raw[[#This Row],[Column5]],1)),"")</f>
        <v/>
      </c>
      <c r="L12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2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23" s="81" t="str">
        <f>IF(ISNUMBER(deployment_raw[[#This Row],[Column20]]), IF(O123&lt;&gt;0,deployment_raw[[#This Row],[Column20]]/IF(OR($E$2="Deployment",deployment_raw[[#This Row],[Column5]]=0),1,deployment_raw[[#This Row],[Column5]])/1048576/O123,0),"")</f>
        <v/>
      </c>
      <c r="O123" s="74" t="str">
        <f>IF(ISNUMBER(deployment_raw[[#This Row],[Column7]]), (deployment_raw[[#This Row],[Column7]] * IF($E$2="Deployment",deployment_raw[[#This Row],[Column5]],1))/1048576,"")</f>
        <v/>
      </c>
      <c r="P123" s="81" t="str">
        <f>IF(ISNUMBER(deployment_raw[[#This Row],[Column20]]), IF(Q123&lt;&gt;0,deployment_raw[[#This Row],[Column20]]/IF(OR($E$2="Deployment",deployment_raw[[#This Row],[Column5]]=0),1,deployment_raw[[#This Row],[Column5]])/1048576/Q123,0),"")</f>
        <v/>
      </c>
      <c r="Q123" s="76" t="str">
        <f>IF(ISNUMBER(deployment_raw[[#This Row],[Column9]]), (deployment_raw[[#This Row],[Column9]] * IF($E$2="Deployment",deployment_raw[[#This Row],[Column5]],1))/1048576,"")</f>
        <v/>
      </c>
      <c r="R123" s="57" t="str">
        <f>IF(ISNUMBER(deployment_raw[[#This Row],[Column10]]), (deployment_raw[[#This Row],[Column10]] * IF($E$2="Deployment",deployment_raw[[#This Row],[Column5]],1)),"")</f>
        <v/>
      </c>
      <c r="S123" s="48" t="str">
        <f>IF(ISNUMBER(deployment_raw[[#This Row],[Column11]]), (deployment_raw[[#This Row],[Column11]] * IF($E$2="Deployment",deployment_raw[[#This Row],[Column5]],1))/1048576,"")</f>
        <v/>
      </c>
      <c r="T123" s="59" t="str">
        <f>IF(ISNUMBER(deployment_raw[[#This Row],[Column8]]),IF(OR(deployment_raw[[#This Row],[Column5]] &lt;&gt; 0,$E$2 &lt;&gt; "Deployment"), MAX(V123, ($T$2 * IF($E$2="Deployment",deployment_raw[[#This Row],[Column5]],1))), 0),"")</f>
        <v/>
      </c>
      <c r="U123" s="50" t="str">
        <f>IF(ISNUMBER(deployment_raw[[#This Row],[Column9]]),IF(OR(deployment_raw[[#This Row],[Column5]] &lt;&gt; 0,$E$2&lt;&gt;"Deployment"), MAX(W123, ($U$2 * IF($E$2="Deployment",deployment_raw[[#This Row],[Column5]],1))), 0),"")</f>
        <v/>
      </c>
      <c r="V123" s="15" t="str">
        <f>IF(ISNUMBER(deployment_raw[[#This Row],[Column12]]), (deployment_raw[[#This Row],[Column12]] * IF($E$2="Deployment",deployment_raw[[#This Row],[Column5]],1)*(1+$V$2)),"")</f>
        <v/>
      </c>
      <c r="W123" s="14" t="str">
        <f>IF(ISNUMBER(deployment_raw[[#This Row],[Column13]]), (deployment_raw[[#This Row],[Column13]] * IF($E$2="Deployment",deployment_raw[[#This Row],[Column5]],1)*(1+$W$2))/1048576,"")</f>
        <v/>
      </c>
    </row>
    <row r="124" spans="1:23" ht="15.75" customHeight="1" x14ac:dyDescent="0.25">
      <c r="A124" s="5" t="str">
        <f>IF(ISNONTEXT(deployment_raw[[#This Row],[Column1]]), "", deployment_raw[[#This Row],[Column1]])</f>
        <v/>
      </c>
      <c r="B124" s="6" t="str">
        <f>IF(ISNONTEXT(deployment_raw[[#This Row],[Column2]]), "", deployment_raw[[#This Row],[Column2]])</f>
        <v/>
      </c>
      <c r="C124" s="6" t="str">
        <f>IF(ISNONTEXT(deployment_raw[[#This Row],[Column3]]), "", deployment_raw[[#This Row],[Column3]])</f>
        <v/>
      </c>
      <c r="D124" s="6" t="str">
        <f>IF(ISNONTEXT(deployment_raw[[#This Row],[Column4]]), "", deployment_raw[[#This Row],[Column4]])</f>
        <v/>
      </c>
      <c r="E124" s="7" t="str">
        <f>IF(ISNUMBER(deployment_raw[[#This Row],[Column5]]), deployment_raw[[#This Row],[Column5]],"")</f>
        <v/>
      </c>
      <c r="F124" s="32" t="str">
        <f>IF(ISNUMBER(deployment_raw[[#This Row],[Column17]]), deployment_raw[[#This Row],[Column17]]/IF(OR($E$2="Deployment",deployment_raw[[#This Row],[Column5]]=0),1,deployment_raw[[#This Row],[Column5]]),"")</f>
        <v/>
      </c>
      <c r="G124" s="42" t="str">
        <f>IF(ISNUMBER(deployment_raw[[#This Row],[Column14]]), deployment_raw[[#This Row],[Column14]]/IF(OR($E$2="Deployment",deployment_raw[[#This Row],[Column5]]=0),1,deployment_raw[[#This Row],[Column5]]),"")</f>
        <v/>
      </c>
      <c r="H124" s="79" t="str">
        <f>IF(ISNUMBER(deployment_raw[[#This Row],[Column19]]), IF(I124&lt;&gt;0,(deployment_raw[[#This Row],[Column19]]/IF(OR($E$2="Deployment",deployment_raw[[#This Row],[Column5]]=0),1,deployment_raw[[#This Row],[Column5]]))/I124,0),"")</f>
        <v/>
      </c>
      <c r="I124" s="69" t="str">
        <f>IF(ISNUMBER(deployment_raw[[#This Row],[Column6]]), (deployment_raw[[#This Row],[Column6]] * IF($E$2="Deployment",deployment_raw[[#This Row],[Column5]],1)),"")</f>
        <v/>
      </c>
      <c r="J124" s="79" t="str">
        <f>IF(ISNUMBER(deployment_raw[[#This Row],[Column19]]), IF(K124&lt;&gt;0,(deployment_raw[[#This Row],[Column19]]/IF(OR($E$2="Deployment",deployment_raw[[#This Row],[Column5]]=0),1,deployment_raw[[#This Row],[Column5]]))/K124,0),"")</f>
        <v/>
      </c>
      <c r="K124" s="72" t="str">
        <f>IF(ISNUMBER(deployment_raw[[#This Row],[Column8]]), (deployment_raw[[#This Row],[Column8]]  * IF($E$2="Deployment",deployment_raw[[#This Row],[Column5]],1)),"")</f>
        <v/>
      </c>
      <c r="L12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2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24" s="81" t="str">
        <f>IF(ISNUMBER(deployment_raw[[#This Row],[Column20]]), IF(O124&lt;&gt;0,deployment_raw[[#This Row],[Column20]]/IF(OR($E$2="Deployment",deployment_raw[[#This Row],[Column5]]=0),1,deployment_raw[[#This Row],[Column5]])/1048576/O124,0),"")</f>
        <v/>
      </c>
      <c r="O124" s="74" t="str">
        <f>IF(ISNUMBER(deployment_raw[[#This Row],[Column7]]), (deployment_raw[[#This Row],[Column7]] * IF($E$2="Deployment",deployment_raw[[#This Row],[Column5]],1))/1048576,"")</f>
        <v/>
      </c>
      <c r="P124" s="81" t="str">
        <f>IF(ISNUMBER(deployment_raw[[#This Row],[Column20]]), IF(Q124&lt;&gt;0,deployment_raw[[#This Row],[Column20]]/IF(OR($E$2="Deployment",deployment_raw[[#This Row],[Column5]]=0),1,deployment_raw[[#This Row],[Column5]])/1048576/Q124,0),"")</f>
        <v/>
      </c>
      <c r="Q124" s="76" t="str">
        <f>IF(ISNUMBER(deployment_raw[[#This Row],[Column9]]), (deployment_raw[[#This Row],[Column9]] * IF($E$2="Deployment",deployment_raw[[#This Row],[Column5]],1))/1048576,"")</f>
        <v/>
      </c>
      <c r="R124" s="57" t="str">
        <f>IF(ISNUMBER(deployment_raw[[#This Row],[Column10]]), (deployment_raw[[#This Row],[Column10]] * IF($E$2="Deployment",deployment_raw[[#This Row],[Column5]],1)),"")</f>
        <v/>
      </c>
      <c r="S124" s="48" t="str">
        <f>IF(ISNUMBER(deployment_raw[[#This Row],[Column11]]), (deployment_raw[[#This Row],[Column11]] * IF($E$2="Deployment",deployment_raw[[#This Row],[Column5]],1))/1048576,"")</f>
        <v/>
      </c>
      <c r="T124" s="59" t="str">
        <f>IF(ISNUMBER(deployment_raw[[#This Row],[Column8]]),IF(OR(deployment_raw[[#This Row],[Column5]] &lt;&gt; 0,$E$2 &lt;&gt; "Deployment"), MAX(V124, ($T$2 * IF($E$2="Deployment",deployment_raw[[#This Row],[Column5]],1))), 0),"")</f>
        <v/>
      </c>
      <c r="U124" s="50" t="str">
        <f>IF(ISNUMBER(deployment_raw[[#This Row],[Column9]]),IF(OR(deployment_raw[[#This Row],[Column5]] &lt;&gt; 0,$E$2&lt;&gt;"Deployment"), MAX(W124, ($U$2 * IF($E$2="Deployment",deployment_raw[[#This Row],[Column5]],1))), 0),"")</f>
        <v/>
      </c>
      <c r="V124" s="15" t="str">
        <f>IF(ISNUMBER(deployment_raw[[#This Row],[Column12]]), (deployment_raw[[#This Row],[Column12]] * IF($E$2="Deployment",deployment_raw[[#This Row],[Column5]],1)*(1+$V$2)),"")</f>
        <v/>
      </c>
      <c r="W124" s="14" t="str">
        <f>IF(ISNUMBER(deployment_raw[[#This Row],[Column13]]), (deployment_raw[[#This Row],[Column13]] * IF($E$2="Deployment",deployment_raw[[#This Row],[Column5]],1)*(1+$W$2))/1048576,"")</f>
        <v/>
      </c>
    </row>
    <row r="125" spans="1:23" ht="15.75" customHeight="1" x14ac:dyDescent="0.25">
      <c r="A125" s="5" t="str">
        <f>IF(ISNONTEXT(deployment_raw[[#This Row],[Column1]]), "", deployment_raw[[#This Row],[Column1]])</f>
        <v/>
      </c>
      <c r="B125" s="6" t="str">
        <f>IF(ISNONTEXT(deployment_raw[[#This Row],[Column2]]), "", deployment_raw[[#This Row],[Column2]])</f>
        <v/>
      </c>
      <c r="C125" s="6" t="str">
        <f>IF(ISNONTEXT(deployment_raw[[#This Row],[Column3]]), "", deployment_raw[[#This Row],[Column3]])</f>
        <v/>
      </c>
      <c r="D125" s="6" t="str">
        <f>IF(ISNONTEXT(deployment_raw[[#This Row],[Column4]]), "", deployment_raw[[#This Row],[Column4]])</f>
        <v/>
      </c>
      <c r="E125" s="7" t="str">
        <f>IF(ISNUMBER(deployment_raw[[#This Row],[Column5]]), deployment_raw[[#This Row],[Column5]],"")</f>
        <v/>
      </c>
      <c r="F125" s="32" t="str">
        <f>IF(ISNUMBER(deployment_raw[[#This Row],[Column17]]), deployment_raw[[#This Row],[Column17]]/IF(OR($E$2="Deployment",deployment_raw[[#This Row],[Column5]]=0),1,deployment_raw[[#This Row],[Column5]]),"")</f>
        <v/>
      </c>
      <c r="G125" s="42" t="str">
        <f>IF(ISNUMBER(deployment_raw[[#This Row],[Column14]]), deployment_raw[[#This Row],[Column14]]/IF(OR($E$2="Deployment",deployment_raw[[#This Row],[Column5]]=0),1,deployment_raw[[#This Row],[Column5]]),"")</f>
        <v/>
      </c>
      <c r="H125" s="79" t="str">
        <f>IF(ISNUMBER(deployment_raw[[#This Row],[Column19]]), IF(I125&lt;&gt;0,(deployment_raw[[#This Row],[Column19]]/IF(OR($E$2="Deployment",deployment_raw[[#This Row],[Column5]]=0),1,deployment_raw[[#This Row],[Column5]]))/I125,0),"")</f>
        <v/>
      </c>
      <c r="I125" s="69" t="str">
        <f>IF(ISNUMBER(deployment_raw[[#This Row],[Column6]]), (deployment_raw[[#This Row],[Column6]] * IF($E$2="Deployment",deployment_raw[[#This Row],[Column5]],1)),"")</f>
        <v/>
      </c>
      <c r="J125" s="79" t="str">
        <f>IF(ISNUMBER(deployment_raw[[#This Row],[Column19]]), IF(K125&lt;&gt;0,(deployment_raw[[#This Row],[Column19]]/IF(OR($E$2="Deployment",deployment_raw[[#This Row],[Column5]]=0),1,deployment_raw[[#This Row],[Column5]]))/K125,0),"")</f>
        <v/>
      </c>
      <c r="K125" s="72" t="str">
        <f>IF(ISNUMBER(deployment_raw[[#This Row],[Column8]]), (deployment_raw[[#This Row],[Column8]]  * IF($E$2="Deployment",deployment_raw[[#This Row],[Column5]],1)),"")</f>
        <v/>
      </c>
      <c r="L12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2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25" s="81" t="str">
        <f>IF(ISNUMBER(deployment_raw[[#This Row],[Column20]]), IF(O125&lt;&gt;0,deployment_raw[[#This Row],[Column20]]/IF(OR($E$2="Deployment",deployment_raw[[#This Row],[Column5]]=0),1,deployment_raw[[#This Row],[Column5]])/1048576/O125,0),"")</f>
        <v/>
      </c>
      <c r="O125" s="74" t="str">
        <f>IF(ISNUMBER(deployment_raw[[#This Row],[Column7]]), (deployment_raw[[#This Row],[Column7]] * IF($E$2="Deployment",deployment_raw[[#This Row],[Column5]],1))/1048576,"")</f>
        <v/>
      </c>
      <c r="P125" s="81" t="str">
        <f>IF(ISNUMBER(deployment_raw[[#This Row],[Column20]]), IF(Q125&lt;&gt;0,deployment_raw[[#This Row],[Column20]]/IF(OR($E$2="Deployment",deployment_raw[[#This Row],[Column5]]=0),1,deployment_raw[[#This Row],[Column5]])/1048576/Q125,0),"")</f>
        <v/>
      </c>
      <c r="Q125" s="76" t="str">
        <f>IF(ISNUMBER(deployment_raw[[#This Row],[Column9]]), (deployment_raw[[#This Row],[Column9]] * IF($E$2="Deployment",deployment_raw[[#This Row],[Column5]],1))/1048576,"")</f>
        <v/>
      </c>
      <c r="R125" s="57" t="str">
        <f>IF(ISNUMBER(deployment_raw[[#This Row],[Column10]]), (deployment_raw[[#This Row],[Column10]] * IF($E$2="Deployment",deployment_raw[[#This Row],[Column5]],1)),"")</f>
        <v/>
      </c>
      <c r="S125" s="48" t="str">
        <f>IF(ISNUMBER(deployment_raw[[#This Row],[Column11]]), (deployment_raw[[#This Row],[Column11]] * IF($E$2="Deployment",deployment_raw[[#This Row],[Column5]],1))/1048576,"")</f>
        <v/>
      </c>
      <c r="T125" s="59" t="str">
        <f>IF(ISNUMBER(deployment_raw[[#This Row],[Column8]]),IF(OR(deployment_raw[[#This Row],[Column5]] &lt;&gt; 0,$E$2 &lt;&gt; "Deployment"), MAX(V125, ($T$2 * IF($E$2="Deployment",deployment_raw[[#This Row],[Column5]],1))), 0),"")</f>
        <v/>
      </c>
      <c r="U125" s="50" t="str">
        <f>IF(ISNUMBER(deployment_raw[[#This Row],[Column9]]),IF(OR(deployment_raw[[#This Row],[Column5]] &lt;&gt; 0,$E$2&lt;&gt;"Deployment"), MAX(W125, ($U$2 * IF($E$2="Deployment",deployment_raw[[#This Row],[Column5]],1))), 0),"")</f>
        <v/>
      </c>
      <c r="V125" s="15" t="str">
        <f>IF(ISNUMBER(deployment_raw[[#This Row],[Column12]]), (deployment_raw[[#This Row],[Column12]] * IF($E$2="Deployment",deployment_raw[[#This Row],[Column5]],1)*(1+$V$2)),"")</f>
        <v/>
      </c>
      <c r="W125" s="14" t="str">
        <f>IF(ISNUMBER(deployment_raw[[#This Row],[Column13]]), (deployment_raw[[#This Row],[Column13]] * IF($E$2="Deployment",deployment_raw[[#This Row],[Column5]],1)*(1+$W$2))/1048576,"")</f>
        <v/>
      </c>
    </row>
    <row r="126" spans="1:23" ht="15.75" customHeight="1" x14ac:dyDescent="0.25">
      <c r="A126" s="5" t="str">
        <f>IF(ISNONTEXT(deployment_raw[[#This Row],[Column1]]), "", deployment_raw[[#This Row],[Column1]])</f>
        <v/>
      </c>
      <c r="B126" s="6" t="str">
        <f>IF(ISNONTEXT(deployment_raw[[#This Row],[Column2]]), "", deployment_raw[[#This Row],[Column2]])</f>
        <v/>
      </c>
      <c r="C126" s="6" t="str">
        <f>IF(ISNONTEXT(deployment_raw[[#This Row],[Column3]]), "", deployment_raw[[#This Row],[Column3]])</f>
        <v/>
      </c>
      <c r="D126" s="6" t="str">
        <f>IF(ISNONTEXT(deployment_raw[[#This Row],[Column4]]), "", deployment_raw[[#This Row],[Column4]])</f>
        <v/>
      </c>
      <c r="E126" s="7" t="str">
        <f>IF(ISNUMBER(deployment_raw[[#This Row],[Column5]]), deployment_raw[[#This Row],[Column5]],"")</f>
        <v/>
      </c>
      <c r="F126" s="32" t="str">
        <f>IF(ISNUMBER(deployment_raw[[#This Row],[Column17]]), deployment_raw[[#This Row],[Column17]]/IF(OR($E$2="Deployment",deployment_raw[[#This Row],[Column5]]=0),1,deployment_raw[[#This Row],[Column5]]),"")</f>
        <v/>
      </c>
      <c r="G126" s="42" t="str">
        <f>IF(ISNUMBER(deployment_raw[[#This Row],[Column14]]), deployment_raw[[#This Row],[Column14]]/IF(OR($E$2="Deployment",deployment_raw[[#This Row],[Column5]]=0),1,deployment_raw[[#This Row],[Column5]]),"")</f>
        <v/>
      </c>
      <c r="H126" s="79" t="str">
        <f>IF(ISNUMBER(deployment_raw[[#This Row],[Column19]]), IF(I126&lt;&gt;0,(deployment_raw[[#This Row],[Column19]]/IF(OR($E$2="Deployment",deployment_raw[[#This Row],[Column5]]=0),1,deployment_raw[[#This Row],[Column5]]))/I126,0),"")</f>
        <v/>
      </c>
      <c r="I126" s="69" t="str">
        <f>IF(ISNUMBER(deployment_raw[[#This Row],[Column6]]), (deployment_raw[[#This Row],[Column6]] * IF($E$2="Deployment",deployment_raw[[#This Row],[Column5]],1)),"")</f>
        <v/>
      </c>
      <c r="J126" s="79" t="str">
        <f>IF(ISNUMBER(deployment_raw[[#This Row],[Column19]]), IF(K126&lt;&gt;0,(deployment_raw[[#This Row],[Column19]]/IF(OR($E$2="Deployment",deployment_raw[[#This Row],[Column5]]=0),1,deployment_raw[[#This Row],[Column5]]))/K126,0),"")</f>
        <v/>
      </c>
      <c r="K126" s="72" t="str">
        <f>IF(ISNUMBER(deployment_raw[[#This Row],[Column8]]), (deployment_raw[[#This Row],[Column8]]  * IF($E$2="Deployment",deployment_raw[[#This Row],[Column5]],1)),"")</f>
        <v/>
      </c>
      <c r="L12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2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26" s="81" t="str">
        <f>IF(ISNUMBER(deployment_raw[[#This Row],[Column20]]), IF(O126&lt;&gt;0,deployment_raw[[#This Row],[Column20]]/IF(OR($E$2="Deployment",deployment_raw[[#This Row],[Column5]]=0),1,deployment_raw[[#This Row],[Column5]])/1048576/O126,0),"")</f>
        <v/>
      </c>
      <c r="O126" s="74" t="str">
        <f>IF(ISNUMBER(deployment_raw[[#This Row],[Column7]]), (deployment_raw[[#This Row],[Column7]] * IF($E$2="Deployment",deployment_raw[[#This Row],[Column5]],1))/1048576,"")</f>
        <v/>
      </c>
      <c r="P126" s="81" t="str">
        <f>IF(ISNUMBER(deployment_raw[[#This Row],[Column20]]), IF(Q126&lt;&gt;0,deployment_raw[[#This Row],[Column20]]/IF(OR($E$2="Deployment",deployment_raw[[#This Row],[Column5]]=0),1,deployment_raw[[#This Row],[Column5]])/1048576/Q126,0),"")</f>
        <v/>
      </c>
      <c r="Q126" s="76" t="str">
        <f>IF(ISNUMBER(deployment_raw[[#This Row],[Column9]]), (deployment_raw[[#This Row],[Column9]] * IF($E$2="Deployment",deployment_raw[[#This Row],[Column5]],1))/1048576,"")</f>
        <v/>
      </c>
      <c r="R126" s="57" t="str">
        <f>IF(ISNUMBER(deployment_raw[[#This Row],[Column10]]), (deployment_raw[[#This Row],[Column10]] * IF($E$2="Deployment",deployment_raw[[#This Row],[Column5]],1)),"")</f>
        <v/>
      </c>
      <c r="S126" s="48" t="str">
        <f>IF(ISNUMBER(deployment_raw[[#This Row],[Column11]]), (deployment_raw[[#This Row],[Column11]] * IF($E$2="Deployment",deployment_raw[[#This Row],[Column5]],1))/1048576,"")</f>
        <v/>
      </c>
      <c r="T126" s="59" t="str">
        <f>IF(ISNUMBER(deployment_raw[[#This Row],[Column8]]),IF(OR(deployment_raw[[#This Row],[Column5]] &lt;&gt; 0,$E$2 &lt;&gt; "Deployment"), MAX(V126, ($T$2 * IF($E$2="Deployment",deployment_raw[[#This Row],[Column5]],1))), 0),"")</f>
        <v/>
      </c>
      <c r="U126" s="50" t="str">
        <f>IF(ISNUMBER(deployment_raw[[#This Row],[Column9]]),IF(OR(deployment_raw[[#This Row],[Column5]] &lt;&gt; 0,$E$2&lt;&gt;"Deployment"), MAX(W126, ($U$2 * IF($E$2="Deployment",deployment_raw[[#This Row],[Column5]],1))), 0),"")</f>
        <v/>
      </c>
      <c r="V126" s="15" t="str">
        <f>IF(ISNUMBER(deployment_raw[[#This Row],[Column12]]), (deployment_raw[[#This Row],[Column12]] * IF($E$2="Deployment",deployment_raw[[#This Row],[Column5]],1)*(1+$V$2)),"")</f>
        <v/>
      </c>
      <c r="W126" s="14" t="str">
        <f>IF(ISNUMBER(deployment_raw[[#This Row],[Column13]]), (deployment_raw[[#This Row],[Column13]] * IF($E$2="Deployment",deployment_raw[[#This Row],[Column5]],1)*(1+$W$2))/1048576,"")</f>
        <v/>
      </c>
    </row>
    <row r="127" spans="1:23" ht="15.75" customHeight="1" x14ac:dyDescent="0.25">
      <c r="A127" s="5" t="str">
        <f>IF(ISNONTEXT(deployment_raw[[#This Row],[Column1]]), "", deployment_raw[[#This Row],[Column1]])</f>
        <v/>
      </c>
      <c r="B127" s="6" t="str">
        <f>IF(ISNONTEXT(deployment_raw[[#This Row],[Column2]]), "", deployment_raw[[#This Row],[Column2]])</f>
        <v/>
      </c>
      <c r="C127" s="6" t="str">
        <f>IF(ISNONTEXT(deployment_raw[[#This Row],[Column3]]), "", deployment_raw[[#This Row],[Column3]])</f>
        <v/>
      </c>
      <c r="D127" s="6" t="str">
        <f>IF(ISNONTEXT(deployment_raw[[#This Row],[Column4]]), "", deployment_raw[[#This Row],[Column4]])</f>
        <v/>
      </c>
      <c r="E127" s="7" t="str">
        <f>IF(ISNUMBER(deployment_raw[[#This Row],[Column5]]), deployment_raw[[#This Row],[Column5]],"")</f>
        <v/>
      </c>
      <c r="F127" s="32" t="str">
        <f>IF(ISNUMBER(deployment_raw[[#This Row],[Column17]]), deployment_raw[[#This Row],[Column17]]/IF(OR($E$2="Deployment",deployment_raw[[#This Row],[Column5]]=0),1,deployment_raw[[#This Row],[Column5]]),"")</f>
        <v/>
      </c>
      <c r="G127" s="42" t="str">
        <f>IF(ISNUMBER(deployment_raw[[#This Row],[Column14]]), deployment_raw[[#This Row],[Column14]]/IF(OR($E$2="Deployment",deployment_raw[[#This Row],[Column5]]=0),1,deployment_raw[[#This Row],[Column5]]),"")</f>
        <v/>
      </c>
      <c r="H127" s="79" t="str">
        <f>IF(ISNUMBER(deployment_raw[[#This Row],[Column19]]), IF(I127&lt;&gt;0,(deployment_raw[[#This Row],[Column19]]/IF(OR($E$2="Deployment",deployment_raw[[#This Row],[Column5]]=0),1,deployment_raw[[#This Row],[Column5]]))/I127,0),"")</f>
        <v/>
      </c>
      <c r="I127" s="69" t="str">
        <f>IF(ISNUMBER(deployment_raw[[#This Row],[Column6]]), (deployment_raw[[#This Row],[Column6]] * IF($E$2="Deployment",deployment_raw[[#This Row],[Column5]],1)),"")</f>
        <v/>
      </c>
      <c r="J127" s="79" t="str">
        <f>IF(ISNUMBER(deployment_raw[[#This Row],[Column19]]), IF(K127&lt;&gt;0,(deployment_raw[[#This Row],[Column19]]/IF(OR($E$2="Deployment",deployment_raw[[#This Row],[Column5]]=0),1,deployment_raw[[#This Row],[Column5]]))/K127,0),"")</f>
        <v/>
      </c>
      <c r="K127" s="72" t="str">
        <f>IF(ISNUMBER(deployment_raw[[#This Row],[Column8]]), (deployment_raw[[#This Row],[Column8]]  * IF($E$2="Deployment",deployment_raw[[#This Row],[Column5]],1)),"")</f>
        <v/>
      </c>
      <c r="L12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2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27" s="81" t="str">
        <f>IF(ISNUMBER(deployment_raw[[#This Row],[Column20]]), IF(O127&lt;&gt;0,deployment_raw[[#This Row],[Column20]]/IF(OR($E$2="Deployment",deployment_raw[[#This Row],[Column5]]=0),1,deployment_raw[[#This Row],[Column5]])/1048576/O127,0),"")</f>
        <v/>
      </c>
      <c r="O127" s="74" t="str">
        <f>IF(ISNUMBER(deployment_raw[[#This Row],[Column7]]), (deployment_raw[[#This Row],[Column7]] * IF($E$2="Deployment",deployment_raw[[#This Row],[Column5]],1))/1048576,"")</f>
        <v/>
      </c>
      <c r="P127" s="81" t="str">
        <f>IF(ISNUMBER(deployment_raw[[#This Row],[Column20]]), IF(Q127&lt;&gt;0,deployment_raw[[#This Row],[Column20]]/IF(OR($E$2="Deployment",deployment_raw[[#This Row],[Column5]]=0),1,deployment_raw[[#This Row],[Column5]])/1048576/Q127,0),"")</f>
        <v/>
      </c>
      <c r="Q127" s="76" t="str">
        <f>IF(ISNUMBER(deployment_raw[[#This Row],[Column9]]), (deployment_raw[[#This Row],[Column9]] * IF($E$2="Deployment",deployment_raw[[#This Row],[Column5]],1))/1048576,"")</f>
        <v/>
      </c>
      <c r="R127" s="57" t="str">
        <f>IF(ISNUMBER(deployment_raw[[#This Row],[Column10]]), (deployment_raw[[#This Row],[Column10]] * IF($E$2="Deployment",deployment_raw[[#This Row],[Column5]],1)),"")</f>
        <v/>
      </c>
      <c r="S127" s="48" t="str">
        <f>IF(ISNUMBER(deployment_raw[[#This Row],[Column11]]), (deployment_raw[[#This Row],[Column11]] * IF($E$2="Deployment",deployment_raw[[#This Row],[Column5]],1))/1048576,"")</f>
        <v/>
      </c>
      <c r="T127" s="59" t="str">
        <f>IF(ISNUMBER(deployment_raw[[#This Row],[Column8]]),IF(OR(deployment_raw[[#This Row],[Column5]] &lt;&gt; 0,$E$2 &lt;&gt; "Deployment"), MAX(V127, ($T$2 * IF($E$2="Deployment",deployment_raw[[#This Row],[Column5]],1))), 0),"")</f>
        <v/>
      </c>
      <c r="U127" s="50" t="str">
        <f>IF(ISNUMBER(deployment_raw[[#This Row],[Column9]]),IF(OR(deployment_raw[[#This Row],[Column5]] &lt;&gt; 0,$E$2&lt;&gt;"Deployment"), MAX(W127, ($U$2 * IF($E$2="Deployment",deployment_raw[[#This Row],[Column5]],1))), 0),"")</f>
        <v/>
      </c>
      <c r="V127" s="15" t="str">
        <f>IF(ISNUMBER(deployment_raw[[#This Row],[Column12]]), (deployment_raw[[#This Row],[Column12]] * IF($E$2="Deployment",deployment_raw[[#This Row],[Column5]],1)*(1+$V$2)),"")</f>
        <v/>
      </c>
      <c r="W127" s="14" t="str">
        <f>IF(ISNUMBER(deployment_raw[[#This Row],[Column13]]), (deployment_raw[[#This Row],[Column13]] * IF($E$2="Deployment",deployment_raw[[#This Row],[Column5]],1)*(1+$W$2))/1048576,"")</f>
        <v/>
      </c>
    </row>
    <row r="128" spans="1:23" ht="15.75" customHeight="1" x14ac:dyDescent="0.25">
      <c r="A128" s="5" t="str">
        <f>IF(ISNONTEXT(deployment_raw[[#This Row],[Column1]]), "", deployment_raw[[#This Row],[Column1]])</f>
        <v/>
      </c>
      <c r="B128" s="6" t="str">
        <f>IF(ISNONTEXT(deployment_raw[[#This Row],[Column2]]), "", deployment_raw[[#This Row],[Column2]])</f>
        <v/>
      </c>
      <c r="C128" s="6" t="str">
        <f>IF(ISNONTEXT(deployment_raw[[#This Row],[Column3]]), "", deployment_raw[[#This Row],[Column3]])</f>
        <v/>
      </c>
      <c r="D128" s="6" t="str">
        <f>IF(ISNONTEXT(deployment_raw[[#This Row],[Column4]]), "", deployment_raw[[#This Row],[Column4]])</f>
        <v/>
      </c>
      <c r="E128" s="7" t="str">
        <f>IF(ISNUMBER(deployment_raw[[#This Row],[Column5]]), deployment_raw[[#This Row],[Column5]],"")</f>
        <v/>
      </c>
      <c r="F128" s="32" t="str">
        <f>IF(ISNUMBER(deployment_raw[[#This Row],[Column17]]), deployment_raw[[#This Row],[Column17]]/IF(OR($E$2="Deployment",deployment_raw[[#This Row],[Column5]]=0),1,deployment_raw[[#This Row],[Column5]]),"")</f>
        <v/>
      </c>
      <c r="G128" s="42" t="str">
        <f>IF(ISNUMBER(deployment_raw[[#This Row],[Column14]]), deployment_raw[[#This Row],[Column14]]/IF(OR($E$2="Deployment",deployment_raw[[#This Row],[Column5]]=0),1,deployment_raw[[#This Row],[Column5]]),"")</f>
        <v/>
      </c>
      <c r="H128" s="79" t="str">
        <f>IF(ISNUMBER(deployment_raw[[#This Row],[Column19]]), IF(I128&lt;&gt;0,(deployment_raw[[#This Row],[Column19]]/IF(OR($E$2="Deployment",deployment_raw[[#This Row],[Column5]]=0),1,deployment_raw[[#This Row],[Column5]]))/I128,0),"")</f>
        <v/>
      </c>
      <c r="I128" s="69" t="str">
        <f>IF(ISNUMBER(deployment_raw[[#This Row],[Column6]]), (deployment_raw[[#This Row],[Column6]] * IF($E$2="Deployment",deployment_raw[[#This Row],[Column5]],1)),"")</f>
        <v/>
      </c>
      <c r="J128" s="79" t="str">
        <f>IF(ISNUMBER(deployment_raw[[#This Row],[Column19]]), IF(K128&lt;&gt;0,(deployment_raw[[#This Row],[Column19]]/IF(OR($E$2="Deployment",deployment_raw[[#This Row],[Column5]]=0),1,deployment_raw[[#This Row],[Column5]]))/K128,0),"")</f>
        <v/>
      </c>
      <c r="K128" s="72" t="str">
        <f>IF(ISNUMBER(deployment_raw[[#This Row],[Column8]]), (deployment_raw[[#This Row],[Column8]]  * IF($E$2="Deployment",deployment_raw[[#This Row],[Column5]],1)),"")</f>
        <v/>
      </c>
      <c r="L12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2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28" s="81" t="str">
        <f>IF(ISNUMBER(deployment_raw[[#This Row],[Column20]]), IF(O128&lt;&gt;0,deployment_raw[[#This Row],[Column20]]/IF(OR($E$2="Deployment",deployment_raw[[#This Row],[Column5]]=0),1,deployment_raw[[#This Row],[Column5]])/1048576/O128,0),"")</f>
        <v/>
      </c>
      <c r="O128" s="74" t="str">
        <f>IF(ISNUMBER(deployment_raw[[#This Row],[Column7]]), (deployment_raw[[#This Row],[Column7]] * IF($E$2="Deployment",deployment_raw[[#This Row],[Column5]],1))/1048576,"")</f>
        <v/>
      </c>
      <c r="P128" s="81" t="str">
        <f>IF(ISNUMBER(deployment_raw[[#This Row],[Column20]]), IF(Q128&lt;&gt;0,deployment_raw[[#This Row],[Column20]]/IF(OR($E$2="Deployment",deployment_raw[[#This Row],[Column5]]=0),1,deployment_raw[[#This Row],[Column5]])/1048576/Q128,0),"")</f>
        <v/>
      </c>
      <c r="Q128" s="76" t="str">
        <f>IF(ISNUMBER(deployment_raw[[#This Row],[Column9]]), (deployment_raw[[#This Row],[Column9]] * IF($E$2="Deployment",deployment_raw[[#This Row],[Column5]],1))/1048576,"")</f>
        <v/>
      </c>
      <c r="R128" s="57" t="str">
        <f>IF(ISNUMBER(deployment_raw[[#This Row],[Column10]]), (deployment_raw[[#This Row],[Column10]] * IF($E$2="Deployment",deployment_raw[[#This Row],[Column5]],1)),"")</f>
        <v/>
      </c>
      <c r="S128" s="48" t="str">
        <f>IF(ISNUMBER(deployment_raw[[#This Row],[Column11]]), (deployment_raw[[#This Row],[Column11]] * IF($E$2="Deployment",deployment_raw[[#This Row],[Column5]],1))/1048576,"")</f>
        <v/>
      </c>
      <c r="T128" s="59" t="str">
        <f>IF(ISNUMBER(deployment_raw[[#This Row],[Column8]]),IF(OR(deployment_raw[[#This Row],[Column5]] &lt;&gt; 0,$E$2 &lt;&gt; "Deployment"), MAX(V128, ($T$2 * IF($E$2="Deployment",deployment_raw[[#This Row],[Column5]],1))), 0),"")</f>
        <v/>
      </c>
      <c r="U128" s="50" t="str">
        <f>IF(ISNUMBER(deployment_raw[[#This Row],[Column9]]),IF(OR(deployment_raw[[#This Row],[Column5]] &lt;&gt; 0,$E$2&lt;&gt;"Deployment"), MAX(W128, ($U$2 * IF($E$2="Deployment",deployment_raw[[#This Row],[Column5]],1))), 0),"")</f>
        <v/>
      </c>
      <c r="V128" s="15" t="str">
        <f>IF(ISNUMBER(deployment_raw[[#This Row],[Column12]]), (deployment_raw[[#This Row],[Column12]] * IF($E$2="Deployment",deployment_raw[[#This Row],[Column5]],1)*(1+$V$2)),"")</f>
        <v/>
      </c>
      <c r="W128" s="14" t="str">
        <f>IF(ISNUMBER(deployment_raw[[#This Row],[Column13]]), (deployment_raw[[#This Row],[Column13]] * IF($E$2="Deployment",deployment_raw[[#This Row],[Column5]],1)*(1+$W$2))/1048576,"")</f>
        <v/>
      </c>
    </row>
    <row r="129" spans="1:23" ht="15.75" customHeight="1" x14ac:dyDescent="0.25">
      <c r="A129" s="5" t="str">
        <f>IF(ISNONTEXT(deployment_raw[[#This Row],[Column1]]), "", deployment_raw[[#This Row],[Column1]])</f>
        <v/>
      </c>
      <c r="B129" s="6" t="str">
        <f>IF(ISNONTEXT(deployment_raw[[#This Row],[Column2]]), "", deployment_raw[[#This Row],[Column2]])</f>
        <v/>
      </c>
      <c r="C129" s="6" t="str">
        <f>IF(ISNONTEXT(deployment_raw[[#This Row],[Column3]]), "", deployment_raw[[#This Row],[Column3]])</f>
        <v/>
      </c>
      <c r="D129" s="6" t="str">
        <f>IF(ISNONTEXT(deployment_raw[[#This Row],[Column4]]), "", deployment_raw[[#This Row],[Column4]])</f>
        <v/>
      </c>
      <c r="E129" s="7" t="str">
        <f>IF(ISNUMBER(deployment_raw[[#This Row],[Column5]]), deployment_raw[[#This Row],[Column5]],"")</f>
        <v/>
      </c>
      <c r="F129" s="32" t="str">
        <f>IF(ISNUMBER(deployment_raw[[#This Row],[Column17]]), deployment_raw[[#This Row],[Column17]]/IF(OR($E$2="Deployment",deployment_raw[[#This Row],[Column5]]=0),1,deployment_raw[[#This Row],[Column5]]),"")</f>
        <v/>
      </c>
      <c r="G129" s="42" t="str">
        <f>IF(ISNUMBER(deployment_raw[[#This Row],[Column14]]), deployment_raw[[#This Row],[Column14]]/IF(OR($E$2="Deployment",deployment_raw[[#This Row],[Column5]]=0),1,deployment_raw[[#This Row],[Column5]]),"")</f>
        <v/>
      </c>
      <c r="H129" s="79" t="str">
        <f>IF(ISNUMBER(deployment_raw[[#This Row],[Column19]]), IF(I129&lt;&gt;0,(deployment_raw[[#This Row],[Column19]]/IF(OR($E$2="Deployment",deployment_raw[[#This Row],[Column5]]=0),1,deployment_raw[[#This Row],[Column5]]))/I129,0),"")</f>
        <v/>
      </c>
      <c r="I129" s="69" t="str">
        <f>IF(ISNUMBER(deployment_raw[[#This Row],[Column6]]), (deployment_raw[[#This Row],[Column6]] * IF($E$2="Deployment",deployment_raw[[#This Row],[Column5]],1)),"")</f>
        <v/>
      </c>
      <c r="J129" s="79" t="str">
        <f>IF(ISNUMBER(deployment_raw[[#This Row],[Column19]]), IF(K129&lt;&gt;0,(deployment_raw[[#This Row],[Column19]]/IF(OR($E$2="Deployment",deployment_raw[[#This Row],[Column5]]=0),1,deployment_raw[[#This Row],[Column5]]))/K129,0),"")</f>
        <v/>
      </c>
      <c r="K129" s="72" t="str">
        <f>IF(ISNUMBER(deployment_raw[[#This Row],[Column8]]), (deployment_raw[[#This Row],[Column8]]  * IF($E$2="Deployment",deployment_raw[[#This Row],[Column5]],1)),"")</f>
        <v/>
      </c>
      <c r="L12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2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29" s="81" t="str">
        <f>IF(ISNUMBER(deployment_raw[[#This Row],[Column20]]), IF(O129&lt;&gt;0,deployment_raw[[#This Row],[Column20]]/IF(OR($E$2="Deployment",deployment_raw[[#This Row],[Column5]]=0),1,deployment_raw[[#This Row],[Column5]])/1048576/O129,0),"")</f>
        <v/>
      </c>
      <c r="O129" s="74" t="str">
        <f>IF(ISNUMBER(deployment_raw[[#This Row],[Column7]]), (deployment_raw[[#This Row],[Column7]] * IF($E$2="Deployment",deployment_raw[[#This Row],[Column5]],1))/1048576,"")</f>
        <v/>
      </c>
      <c r="P129" s="81" t="str">
        <f>IF(ISNUMBER(deployment_raw[[#This Row],[Column20]]), IF(Q129&lt;&gt;0,deployment_raw[[#This Row],[Column20]]/IF(OR($E$2="Deployment",deployment_raw[[#This Row],[Column5]]=0),1,deployment_raw[[#This Row],[Column5]])/1048576/Q129,0),"")</f>
        <v/>
      </c>
      <c r="Q129" s="76" t="str">
        <f>IF(ISNUMBER(deployment_raw[[#This Row],[Column9]]), (deployment_raw[[#This Row],[Column9]] * IF($E$2="Deployment",deployment_raw[[#This Row],[Column5]],1))/1048576,"")</f>
        <v/>
      </c>
      <c r="R129" s="57" t="str">
        <f>IF(ISNUMBER(deployment_raw[[#This Row],[Column10]]), (deployment_raw[[#This Row],[Column10]] * IF($E$2="Deployment",deployment_raw[[#This Row],[Column5]],1)),"")</f>
        <v/>
      </c>
      <c r="S129" s="48" t="str">
        <f>IF(ISNUMBER(deployment_raw[[#This Row],[Column11]]), (deployment_raw[[#This Row],[Column11]] * IF($E$2="Deployment",deployment_raw[[#This Row],[Column5]],1))/1048576,"")</f>
        <v/>
      </c>
      <c r="T129" s="59" t="str">
        <f>IF(ISNUMBER(deployment_raw[[#This Row],[Column8]]),IF(OR(deployment_raw[[#This Row],[Column5]] &lt;&gt; 0,$E$2 &lt;&gt; "Deployment"), MAX(V129, ($T$2 * IF($E$2="Deployment",deployment_raw[[#This Row],[Column5]],1))), 0),"")</f>
        <v/>
      </c>
      <c r="U129" s="50" t="str">
        <f>IF(ISNUMBER(deployment_raw[[#This Row],[Column9]]),IF(OR(deployment_raw[[#This Row],[Column5]] &lt;&gt; 0,$E$2&lt;&gt;"Deployment"), MAX(W129, ($U$2 * IF($E$2="Deployment",deployment_raw[[#This Row],[Column5]],1))), 0),"")</f>
        <v/>
      </c>
      <c r="V129" s="15" t="str">
        <f>IF(ISNUMBER(deployment_raw[[#This Row],[Column12]]), (deployment_raw[[#This Row],[Column12]] * IF($E$2="Deployment",deployment_raw[[#This Row],[Column5]],1)*(1+$V$2)),"")</f>
        <v/>
      </c>
      <c r="W129" s="14" t="str">
        <f>IF(ISNUMBER(deployment_raw[[#This Row],[Column13]]), (deployment_raw[[#This Row],[Column13]] * IF($E$2="Deployment",deployment_raw[[#This Row],[Column5]],1)*(1+$W$2))/1048576,"")</f>
        <v/>
      </c>
    </row>
    <row r="130" spans="1:23" ht="15.75" customHeight="1" x14ac:dyDescent="0.25">
      <c r="A130" s="5" t="str">
        <f>IF(ISNONTEXT(deployment_raw[[#This Row],[Column1]]), "", deployment_raw[[#This Row],[Column1]])</f>
        <v/>
      </c>
      <c r="B130" s="6" t="str">
        <f>IF(ISNONTEXT(deployment_raw[[#This Row],[Column2]]), "", deployment_raw[[#This Row],[Column2]])</f>
        <v/>
      </c>
      <c r="C130" s="6" t="str">
        <f>IF(ISNONTEXT(deployment_raw[[#This Row],[Column3]]), "", deployment_raw[[#This Row],[Column3]])</f>
        <v/>
      </c>
      <c r="D130" s="6" t="str">
        <f>IF(ISNONTEXT(deployment_raw[[#This Row],[Column4]]), "", deployment_raw[[#This Row],[Column4]])</f>
        <v/>
      </c>
      <c r="E130" s="7" t="str">
        <f>IF(ISNUMBER(deployment_raw[[#This Row],[Column5]]), deployment_raw[[#This Row],[Column5]],"")</f>
        <v/>
      </c>
      <c r="F130" s="32" t="str">
        <f>IF(ISNUMBER(deployment_raw[[#This Row],[Column17]]), deployment_raw[[#This Row],[Column17]]/IF(OR($E$2="Deployment",deployment_raw[[#This Row],[Column5]]=0),1,deployment_raw[[#This Row],[Column5]]),"")</f>
        <v/>
      </c>
      <c r="G130" s="42" t="str">
        <f>IF(ISNUMBER(deployment_raw[[#This Row],[Column14]]), deployment_raw[[#This Row],[Column14]]/IF(OR($E$2="Deployment",deployment_raw[[#This Row],[Column5]]=0),1,deployment_raw[[#This Row],[Column5]]),"")</f>
        <v/>
      </c>
      <c r="H130" s="79" t="str">
        <f>IF(ISNUMBER(deployment_raw[[#This Row],[Column19]]), IF(I130&lt;&gt;0,(deployment_raw[[#This Row],[Column19]]/IF(OR($E$2="Deployment",deployment_raw[[#This Row],[Column5]]=0),1,deployment_raw[[#This Row],[Column5]]))/I130,0),"")</f>
        <v/>
      </c>
      <c r="I130" s="69" t="str">
        <f>IF(ISNUMBER(deployment_raw[[#This Row],[Column6]]), (deployment_raw[[#This Row],[Column6]] * IF($E$2="Deployment",deployment_raw[[#This Row],[Column5]],1)),"")</f>
        <v/>
      </c>
      <c r="J130" s="79" t="str">
        <f>IF(ISNUMBER(deployment_raw[[#This Row],[Column19]]), IF(K130&lt;&gt;0,(deployment_raw[[#This Row],[Column19]]/IF(OR($E$2="Deployment",deployment_raw[[#This Row],[Column5]]=0),1,deployment_raw[[#This Row],[Column5]]))/K130,0),"")</f>
        <v/>
      </c>
      <c r="K130" s="72" t="str">
        <f>IF(ISNUMBER(deployment_raw[[#This Row],[Column8]]), (deployment_raw[[#This Row],[Column8]]  * IF($E$2="Deployment",deployment_raw[[#This Row],[Column5]],1)),"")</f>
        <v/>
      </c>
      <c r="L13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3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30" s="81" t="str">
        <f>IF(ISNUMBER(deployment_raw[[#This Row],[Column20]]), IF(O130&lt;&gt;0,deployment_raw[[#This Row],[Column20]]/IF(OR($E$2="Deployment",deployment_raw[[#This Row],[Column5]]=0),1,deployment_raw[[#This Row],[Column5]])/1048576/O130,0),"")</f>
        <v/>
      </c>
      <c r="O130" s="74" t="str">
        <f>IF(ISNUMBER(deployment_raw[[#This Row],[Column7]]), (deployment_raw[[#This Row],[Column7]] * IF($E$2="Deployment",deployment_raw[[#This Row],[Column5]],1))/1048576,"")</f>
        <v/>
      </c>
      <c r="P130" s="81" t="str">
        <f>IF(ISNUMBER(deployment_raw[[#This Row],[Column20]]), IF(Q130&lt;&gt;0,deployment_raw[[#This Row],[Column20]]/IF(OR($E$2="Deployment",deployment_raw[[#This Row],[Column5]]=0),1,deployment_raw[[#This Row],[Column5]])/1048576/Q130,0),"")</f>
        <v/>
      </c>
      <c r="Q130" s="76" t="str">
        <f>IF(ISNUMBER(deployment_raw[[#This Row],[Column9]]), (deployment_raw[[#This Row],[Column9]] * IF($E$2="Deployment",deployment_raw[[#This Row],[Column5]],1))/1048576,"")</f>
        <v/>
      </c>
      <c r="R130" s="57" t="str">
        <f>IF(ISNUMBER(deployment_raw[[#This Row],[Column10]]), (deployment_raw[[#This Row],[Column10]] * IF($E$2="Deployment",deployment_raw[[#This Row],[Column5]],1)),"")</f>
        <v/>
      </c>
      <c r="S130" s="48" t="str">
        <f>IF(ISNUMBER(deployment_raw[[#This Row],[Column11]]), (deployment_raw[[#This Row],[Column11]] * IF($E$2="Deployment",deployment_raw[[#This Row],[Column5]],1))/1048576,"")</f>
        <v/>
      </c>
      <c r="T130" s="59" t="str">
        <f>IF(ISNUMBER(deployment_raw[[#This Row],[Column8]]),IF(OR(deployment_raw[[#This Row],[Column5]] &lt;&gt; 0,$E$2 &lt;&gt; "Deployment"), MAX(V130, ($T$2 * IF($E$2="Deployment",deployment_raw[[#This Row],[Column5]],1))), 0),"")</f>
        <v/>
      </c>
      <c r="U130" s="50" t="str">
        <f>IF(ISNUMBER(deployment_raw[[#This Row],[Column9]]),IF(OR(deployment_raw[[#This Row],[Column5]] &lt;&gt; 0,$E$2&lt;&gt;"Deployment"), MAX(W130, ($U$2 * IF($E$2="Deployment",deployment_raw[[#This Row],[Column5]],1))), 0),"")</f>
        <v/>
      </c>
      <c r="V130" s="15" t="str">
        <f>IF(ISNUMBER(deployment_raw[[#This Row],[Column12]]), (deployment_raw[[#This Row],[Column12]] * IF($E$2="Deployment",deployment_raw[[#This Row],[Column5]],1)*(1+$V$2)),"")</f>
        <v/>
      </c>
      <c r="W130" s="14" t="str">
        <f>IF(ISNUMBER(deployment_raw[[#This Row],[Column13]]), (deployment_raw[[#This Row],[Column13]] * IF($E$2="Deployment",deployment_raw[[#This Row],[Column5]],1)*(1+$W$2))/1048576,"")</f>
        <v/>
      </c>
    </row>
    <row r="131" spans="1:23" ht="15.75" customHeight="1" x14ac:dyDescent="0.25">
      <c r="A131" s="5" t="str">
        <f>IF(ISNONTEXT(deployment_raw[[#This Row],[Column1]]), "", deployment_raw[[#This Row],[Column1]])</f>
        <v/>
      </c>
      <c r="B131" s="6" t="str">
        <f>IF(ISNONTEXT(deployment_raw[[#This Row],[Column2]]), "", deployment_raw[[#This Row],[Column2]])</f>
        <v/>
      </c>
      <c r="C131" s="6" t="str">
        <f>IF(ISNONTEXT(deployment_raw[[#This Row],[Column3]]), "", deployment_raw[[#This Row],[Column3]])</f>
        <v/>
      </c>
      <c r="D131" s="6" t="str">
        <f>IF(ISNONTEXT(deployment_raw[[#This Row],[Column4]]), "", deployment_raw[[#This Row],[Column4]])</f>
        <v/>
      </c>
      <c r="E131" s="7" t="str">
        <f>IF(ISNUMBER(deployment_raw[[#This Row],[Column5]]), deployment_raw[[#This Row],[Column5]],"")</f>
        <v/>
      </c>
      <c r="F131" s="32" t="str">
        <f>IF(ISNUMBER(deployment_raw[[#This Row],[Column17]]), deployment_raw[[#This Row],[Column17]]/IF(OR($E$2="Deployment",deployment_raw[[#This Row],[Column5]]=0),1,deployment_raw[[#This Row],[Column5]]),"")</f>
        <v/>
      </c>
      <c r="G131" s="42" t="str">
        <f>IF(ISNUMBER(deployment_raw[[#This Row],[Column14]]), deployment_raw[[#This Row],[Column14]]/IF(OR($E$2="Deployment",deployment_raw[[#This Row],[Column5]]=0),1,deployment_raw[[#This Row],[Column5]]),"")</f>
        <v/>
      </c>
      <c r="H131" s="79" t="str">
        <f>IF(ISNUMBER(deployment_raw[[#This Row],[Column19]]), IF(I131&lt;&gt;0,(deployment_raw[[#This Row],[Column19]]/IF(OR($E$2="Deployment",deployment_raw[[#This Row],[Column5]]=0),1,deployment_raw[[#This Row],[Column5]]))/I131,0),"")</f>
        <v/>
      </c>
      <c r="I131" s="69" t="str">
        <f>IF(ISNUMBER(deployment_raw[[#This Row],[Column6]]), (deployment_raw[[#This Row],[Column6]] * IF($E$2="Deployment",deployment_raw[[#This Row],[Column5]],1)),"")</f>
        <v/>
      </c>
      <c r="J131" s="79" t="str">
        <f>IF(ISNUMBER(deployment_raw[[#This Row],[Column19]]), IF(K131&lt;&gt;0,(deployment_raw[[#This Row],[Column19]]/IF(OR($E$2="Deployment",deployment_raw[[#This Row],[Column5]]=0),1,deployment_raw[[#This Row],[Column5]]))/K131,0),"")</f>
        <v/>
      </c>
      <c r="K131" s="72" t="str">
        <f>IF(ISNUMBER(deployment_raw[[#This Row],[Column8]]), (deployment_raw[[#This Row],[Column8]]  * IF($E$2="Deployment",deployment_raw[[#This Row],[Column5]],1)),"")</f>
        <v/>
      </c>
      <c r="L13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3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31" s="81" t="str">
        <f>IF(ISNUMBER(deployment_raw[[#This Row],[Column20]]), IF(O131&lt;&gt;0,deployment_raw[[#This Row],[Column20]]/IF(OR($E$2="Deployment",deployment_raw[[#This Row],[Column5]]=0),1,deployment_raw[[#This Row],[Column5]])/1048576/O131,0),"")</f>
        <v/>
      </c>
      <c r="O131" s="74" t="str">
        <f>IF(ISNUMBER(deployment_raw[[#This Row],[Column7]]), (deployment_raw[[#This Row],[Column7]] * IF($E$2="Deployment",deployment_raw[[#This Row],[Column5]],1))/1048576,"")</f>
        <v/>
      </c>
      <c r="P131" s="81" t="str">
        <f>IF(ISNUMBER(deployment_raw[[#This Row],[Column20]]), IF(Q131&lt;&gt;0,deployment_raw[[#This Row],[Column20]]/IF(OR($E$2="Deployment",deployment_raw[[#This Row],[Column5]]=0),1,deployment_raw[[#This Row],[Column5]])/1048576/Q131,0),"")</f>
        <v/>
      </c>
      <c r="Q131" s="76" t="str">
        <f>IF(ISNUMBER(deployment_raw[[#This Row],[Column9]]), (deployment_raw[[#This Row],[Column9]] * IF($E$2="Deployment",deployment_raw[[#This Row],[Column5]],1))/1048576,"")</f>
        <v/>
      </c>
      <c r="R131" s="57" t="str">
        <f>IF(ISNUMBER(deployment_raw[[#This Row],[Column10]]), (deployment_raw[[#This Row],[Column10]] * IF($E$2="Deployment",deployment_raw[[#This Row],[Column5]],1)),"")</f>
        <v/>
      </c>
      <c r="S131" s="48" t="str">
        <f>IF(ISNUMBER(deployment_raw[[#This Row],[Column11]]), (deployment_raw[[#This Row],[Column11]] * IF($E$2="Deployment",deployment_raw[[#This Row],[Column5]],1))/1048576,"")</f>
        <v/>
      </c>
      <c r="T131" s="59" t="str">
        <f>IF(ISNUMBER(deployment_raw[[#This Row],[Column8]]),IF(OR(deployment_raw[[#This Row],[Column5]] &lt;&gt; 0,$E$2 &lt;&gt; "Deployment"), MAX(V131, ($T$2 * IF($E$2="Deployment",deployment_raw[[#This Row],[Column5]],1))), 0),"")</f>
        <v/>
      </c>
      <c r="U131" s="50" t="str">
        <f>IF(ISNUMBER(deployment_raw[[#This Row],[Column9]]),IF(OR(deployment_raw[[#This Row],[Column5]] &lt;&gt; 0,$E$2&lt;&gt;"Deployment"), MAX(W131, ($U$2 * IF($E$2="Deployment",deployment_raw[[#This Row],[Column5]],1))), 0),"")</f>
        <v/>
      </c>
      <c r="V131" s="15" t="str">
        <f>IF(ISNUMBER(deployment_raw[[#This Row],[Column12]]), (deployment_raw[[#This Row],[Column12]] * IF($E$2="Deployment",deployment_raw[[#This Row],[Column5]],1)*(1+$V$2)),"")</f>
        <v/>
      </c>
      <c r="W131" s="14" t="str">
        <f>IF(ISNUMBER(deployment_raw[[#This Row],[Column13]]), (deployment_raw[[#This Row],[Column13]] * IF($E$2="Deployment",deployment_raw[[#This Row],[Column5]],1)*(1+$W$2))/1048576,"")</f>
        <v/>
      </c>
    </row>
    <row r="132" spans="1:23" ht="15.75" customHeight="1" x14ac:dyDescent="0.25">
      <c r="A132" s="5" t="str">
        <f>IF(ISNONTEXT(deployment_raw[[#This Row],[Column1]]), "", deployment_raw[[#This Row],[Column1]])</f>
        <v/>
      </c>
      <c r="B132" s="6" t="str">
        <f>IF(ISNONTEXT(deployment_raw[[#This Row],[Column2]]), "", deployment_raw[[#This Row],[Column2]])</f>
        <v/>
      </c>
      <c r="C132" s="6" t="str">
        <f>IF(ISNONTEXT(deployment_raw[[#This Row],[Column3]]), "", deployment_raw[[#This Row],[Column3]])</f>
        <v/>
      </c>
      <c r="D132" s="6" t="str">
        <f>IF(ISNONTEXT(deployment_raw[[#This Row],[Column4]]), "", deployment_raw[[#This Row],[Column4]])</f>
        <v/>
      </c>
      <c r="E132" s="7" t="str">
        <f>IF(ISNUMBER(deployment_raw[[#This Row],[Column5]]), deployment_raw[[#This Row],[Column5]],"")</f>
        <v/>
      </c>
      <c r="F132" s="32" t="str">
        <f>IF(ISNUMBER(deployment_raw[[#This Row],[Column17]]), deployment_raw[[#This Row],[Column17]]/IF(OR($E$2="Deployment",deployment_raw[[#This Row],[Column5]]=0),1,deployment_raw[[#This Row],[Column5]]),"")</f>
        <v/>
      </c>
      <c r="G132" s="42" t="str">
        <f>IF(ISNUMBER(deployment_raw[[#This Row],[Column14]]), deployment_raw[[#This Row],[Column14]]/IF(OR($E$2="Deployment",deployment_raw[[#This Row],[Column5]]=0),1,deployment_raw[[#This Row],[Column5]]),"")</f>
        <v/>
      </c>
      <c r="H132" s="79" t="str">
        <f>IF(ISNUMBER(deployment_raw[[#This Row],[Column19]]), IF(I132&lt;&gt;0,(deployment_raw[[#This Row],[Column19]]/IF(OR($E$2="Deployment",deployment_raw[[#This Row],[Column5]]=0),1,deployment_raw[[#This Row],[Column5]]))/I132,0),"")</f>
        <v/>
      </c>
      <c r="I132" s="69" t="str">
        <f>IF(ISNUMBER(deployment_raw[[#This Row],[Column6]]), (deployment_raw[[#This Row],[Column6]] * IF($E$2="Deployment",deployment_raw[[#This Row],[Column5]],1)),"")</f>
        <v/>
      </c>
      <c r="J132" s="79" t="str">
        <f>IF(ISNUMBER(deployment_raw[[#This Row],[Column19]]), IF(K132&lt;&gt;0,(deployment_raw[[#This Row],[Column19]]/IF(OR($E$2="Deployment",deployment_raw[[#This Row],[Column5]]=0),1,deployment_raw[[#This Row],[Column5]]))/K132,0),"")</f>
        <v/>
      </c>
      <c r="K132" s="72" t="str">
        <f>IF(ISNUMBER(deployment_raw[[#This Row],[Column8]]), (deployment_raw[[#This Row],[Column8]]  * IF($E$2="Deployment",deployment_raw[[#This Row],[Column5]],1)),"")</f>
        <v/>
      </c>
      <c r="L13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3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32" s="81" t="str">
        <f>IF(ISNUMBER(deployment_raw[[#This Row],[Column20]]), IF(O132&lt;&gt;0,deployment_raw[[#This Row],[Column20]]/IF(OR($E$2="Deployment",deployment_raw[[#This Row],[Column5]]=0),1,deployment_raw[[#This Row],[Column5]])/1048576/O132,0),"")</f>
        <v/>
      </c>
      <c r="O132" s="74" t="str">
        <f>IF(ISNUMBER(deployment_raw[[#This Row],[Column7]]), (deployment_raw[[#This Row],[Column7]] * IF($E$2="Deployment",deployment_raw[[#This Row],[Column5]],1))/1048576,"")</f>
        <v/>
      </c>
      <c r="P132" s="81" t="str">
        <f>IF(ISNUMBER(deployment_raw[[#This Row],[Column20]]), IF(Q132&lt;&gt;0,deployment_raw[[#This Row],[Column20]]/IF(OR($E$2="Deployment",deployment_raw[[#This Row],[Column5]]=0),1,deployment_raw[[#This Row],[Column5]])/1048576/Q132,0),"")</f>
        <v/>
      </c>
      <c r="Q132" s="76" t="str">
        <f>IF(ISNUMBER(deployment_raw[[#This Row],[Column9]]), (deployment_raw[[#This Row],[Column9]] * IF($E$2="Deployment",deployment_raw[[#This Row],[Column5]],1))/1048576,"")</f>
        <v/>
      </c>
      <c r="R132" s="57" t="str">
        <f>IF(ISNUMBER(deployment_raw[[#This Row],[Column10]]), (deployment_raw[[#This Row],[Column10]] * IF($E$2="Deployment",deployment_raw[[#This Row],[Column5]],1)),"")</f>
        <v/>
      </c>
      <c r="S132" s="48" t="str">
        <f>IF(ISNUMBER(deployment_raw[[#This Row],[Column11]]), (deployment_raw[[#This Row],[Column11]] * IF($E$2="Deployment",deployment_raw[[#This Row],[Column5]],1))/1048576,"")</f>
        <v/>
      </c>
      <c r="T132" s="59" t="str">
        <f>IF(ISNUMBER(deployment_raw[[#This Row],[Column8]]),IF(OR(deployment_raw[[#This Row],[Column5]] &lt;&gt; 0,$E$2 &lt;&gt; "Deployment"), MAX(V132, ($T$2 * IF($E$2="Deployment",deployment_raw[[#This Row],[Column5]],1))), 0),"")</f>
        <v/>
      </c>
      <c r="U132" s="50" t="str">
        <f>IF(ISNUMBER(deployment_raw[[#This Row],[Column9]]),IF(OR(deployment_raw[[#This Row],[Column5]] &lt;&gt; 0,$E$2&lt;&gt;"Deployment"), MAX(W132, ($U$2 * IF($E$2="Deployment",deployment_raw[[#This Row],[Column5]],1))), 0),"")</f>
        <v/>
      </c>
      <c r="V132" s="15" t="str">
        <f>IF(ISNUMBER(deployment_raw[[#This Row],[Column12]]), (deployment_raw[[#This Row],[Column12]] * IF($E$2="Deployment",deployment_raw[[#This Row],[Column5]],1)*(1+$V$2)),"")</f>
        <v/>
      </c>
      <c r="W132" s="14" t="str">
        <f>IF(ISNUMBER(deployment_raw[[#This Row],[Column13]]), (deployment_raw[[#This Row],[Column13]] * IF($E$2="Deployment",deployment_raw[[#This Row],[Column5]],1)*(1+$W$2))/1048576,"")</f>
        <v/>
      </c>
    </row>
    <row r="133" spans="1:23" ht="15.75" customHeight="1" x14ac:dyDescent="0.25">
      <c r="A133" s="5" t="str">
        <f>IF(ISNONTEXT(deployment_raw[[#This Row],[Column1]]), "", deployment_raw[[#This Row],[Column1]])</f>
        <v/>
      </c>
      <c r="B133" s="6" t="str">
        <f>IF(ISNONTEXT(deployment_raw[[#This Row],[Column2]]), "", deployment_raw[[#This Row],[Column2]])</f>
        <v/>
      </c>
      <c r="C133" s="6" t="str">
        <f>IF(ISNONTEXT(deployment_raw[[#This Row],[Column3]]), "", deployment_raw[[#This Row],[Column3]])</f>
        <v/>
      </c>
      <c r="D133" s="6" t="str">
        <f>IF(ISNONTEXT(deployment_raw[[#This Row],[Column4]]), "", deployment_raw[[#This Row],[Column4]])</f>
        <v/>
      </c>
      <c r="E133" s="7" t="str">
        <f>IF(ISNUMBER(deployment_raw[[#This Row],[Column5]]), deployment_raw[[#This Row],[Column5]],"")</f>
        <v/>
      </c>
      <c r="F133" s="32" t="str">
        <f>IF(ISNUMBER(deployment_raw[[#This Row],[Column17]]), deployment_raw[[#This Row],[Column17]]/IF(OR($E$2="Deployment",deployment_raw[[#This Row],[Column5]]=0),1,deployment_raw[[#This Row],[Column5]]),"")</f>
        <v/>
      </c>
      <c r="G133" s="42" t="str">
        <f>IF(ISNUMBER(deployment_raw[[#This Row],[Column14]]), deployment_raw[[#This Row],[Column14]]/IF(OR($E$2="Deployment",deployment_raw[[#This Row],[Column5]]=0),1,deployment_raw[[#This Row],[Column5]]),"")</f>
        <v/>
      </c>
      <c r="H133" s="79" t="str">
        <f>IF(ISNUMBER(deployment_raw[[#This Row],[Column19]]), IF(I133&lt;&gt;0,(deployment_raw[[#This Row],[Column19]]/IF(OR($E$2="Deployment",deployment_raw[[#This Row],[Column5]]=0),1,deployment_raw[[#This Row],[Column5]]))/I133,0),"")</f>
        <v/>
      </c>
      <c r="I133" s="69" t="str">
        <f>IF(ISNUMBER(deployment_raw[[#This Row],[Column6]]), (deployment_raw[[#This Row],[Column6]] * IF($E$2="Deployment",deployment_raw[[#This Row],[Column5]],1)),"")</f>
        <v/>
      </c>
      <c r="J133" s="79" t="str">
        <f>IF(ISNUMBER(deployment_raw[[#This Row],[Column19]]), IF(K133&lt;&gt;0,(deployment_raw[[#This Row],[Column19]]/IF(OR($E$2="Deployment",deployment_raw[[#This Row],[Column5]]=0),1,deployment_raw[[#This Row],[Column5]]))/K133,0),"")</f>
        <v/>
      </c>
      <c r="K133" s="72" t="str">
        <f>IF(ISNUMBER(deployment_raw[[#This Row],[Column8]]), (deployment_raw[[#This Row],[Column8]]  * IF($E$2="Deployment",deployment_raw[[#This Row],[Column5]],1)),"")</f>
        <v/>
      </c>
      <c r="L13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3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33" s="81" t="str">
        <f>IF(ISNUMBER(deployment_raw[[#This Row],[Column20]]), IF(O133&lt;&gt;0,deployment_raw[[#This Row],[Column20]]/IF(OR($E$2="Deployment",deployment_raw[[#This Row],[Column5]]=0),1,deployment_raw[[#This Row],[Column5]])/1048576/O133,0),"")</f>
        <v/>
      </c>
      <c r="O133" s="74" t="str">
        <f>IF(ISNUMBER(deployment_raw[[#This Row],[Column7]]), (deployment_raw[[#This Row],[Column7]] * IF($E$2="Deployment",deployment_raw[[#This Row],[Column5]],1))/1048576,"")</f>
        <v/>
      </c>
      <c r="P133" s="81" t="str">
        <f>IF(ISNUMBER(deployment_raw[[#This Row],[Column20]]), IF(Q133&lt;&gt;0,deployment_raw[[#This Row],[Column20]]/IF(OR($E$2="Deployment",deployment_raw[[#This Row],[Column5]]=0),1,deployment_raw[[#This Row],[Column5]])/1048576/Q133,0),"")</f>
        <v/>
      </c>
      <c r="Q133" s="76" t="str">
        <f>IF(ISNUMBER(deployment_raw[[#This Row],[Column9]]), (deployment_raw[[#This Row],[Column9]] * IF($E$2="Deployment",deployment_raw[[#This Row],[Column5]],1))/1048576,"")</f>
        <v/>
      </c>
      <c r="R133" s="57" t="str">
        <f>IF(ISNUMBER(deployment_raw[[#This Row],[Column10]]), (deployment_raw[[#This Row],[Column10]] * IF($E$2="Deployment",deployment_raw[[#This Row],[Column5]],1)),"")</f>
        <v/>
      </c>
      <c r="S133" s="48" t="str">
        <f>IF(ISNUMBER(deployment_raw[[#This Row],[Column11]]), (deployment_raw[[#This Row],[Column11]] * IF($E$2="Deployment",deployment_raw[[#This Row],[Column5]],1))/1048576,"")</f>
        <v/>
      </c>
      <c r="T133" s="59" t="str">
        <f>IF(ISNUMBER(deployment_raw[[#This Row],[Column8]]),IF(OR(deployment_raw[[#This Row],[Column5]] &lt;&gt; 0,$E$2 &lt;&gt; "Deployment"), MAX(V133, ($T$2 * IF($E$2="Deployment",deployment_raw[[#This Row],[Column5]],1))), 0),"")</f>
        <v/>
      </c>
      <c r="U133" s="50" t="str">
        <f>IF(ISNUMBER(deployment_raw[[#This Row],[Column9]]),IF(OR(deployment_raw[[#This Row],[Column5]] &lt;&gt; 0,$E$2&lt;&gt;"Deployment"), MAX(W133, ($U$2 * IF($E$2="Deployment",deployment_raw[[#This Row],[Column5]],1))), 0),"")</f>
        <v/>
      </c>
      <c r="V133" s="15" t="str">
        <f>IF(ISNUMBER(deployment_raw[[#This Row],[Column12]]), (deployment_raw[[#This Row],[Column12]] * IF($E$2="Deployment",deployment_raw[[#This Row],[Column5]],1)*(1+$V$2)),"")</f>
        <v/>
      </c>
      <c r="W133" s="14" t="str">
        <f>IF(ISNUMBER(deployment_raw[[#This Row],[Column13]]), (deployment_raw[[#This Row],[Column13]] * IF($E$2="Deployment",deployment_raw[[#This Row],[Column5]],1)*(1+$W$2))/1048576,"")</f>
        <v/>
      </c>
    </row>
    <row r="134" spans="1:23" ht="15.75" customHeight="1" x14ac:dyDescent="0.25">
      <c r="A134" s="5" t="str">
        <f>IF(ISNONTEXT(deployment_raw[[#This Row],[Column1]]), "", deployment_raw[[#This Row],[Column1]])</f>
        <v/>
      </c>
      <c r="B134" s="6" t="str">
        <f>IF(ISNONTEXT(deployment_raw[[#This Row],[Column2]]), "", deployment_raw[[#This Row],[Column2]])</f>
        <v/>
      </c>
      <c r="C134" s="6" t="str">
        <f>IF(ISNONTEXT(deployment_raw[[#This Row],[Column3]]), "", deployment_raw[[#This Row],[Column3]])</f>
        <v/>
      </c>
      <c r="D134" s="6" t="str">
        <f>IF(ISNONTEXT(deployment_raw[[#This Row],[Column4]]), "", deployment_raw[[#This Row],[Column4]])</f>
        <v/>
      </c>
      <c r="E134" s="7" t="str">
        <f>IF(ISNUMBER(deployment_raw[[#This Row],[Column5]]), deployment_raw[[#This Row],[Column5]],"")</f>
        <v/>
      </c>
      <c r="F134" s="32" t="str">
        <f>IF(ISNUMBER(deployment_raw[[#This Row],[Column17]]), deployment_raw[[#This Row],[Column17]]/IF(OR($E$2="Deployment",deployment_raw[[#This Row],[Column5]]=0),1,deployment_raw[[#This Row],[Column5]]),"")</f>
        <v/>
      </c>
      <c r="G134" s="42" t="str">
        <f>IF(ISNUMBER(deployment_raw[[#This Row],[Column14]]), deployment_raw[[#This Row],[Column14]]/IF(OR($E$2="Deployment",deployment_raw[[#This Row],[Column5]]=0),1,deployment_raw[[#This Row],[Column5]]),"")</f>
        <v/>
      </c>
      <c r="H134" s="79" t="str">
        <f>IF(ISNUMBER(deployment_raw[[#This Row],[Column19]]), IF(I134&lt;&gt;0,(deployment_raw[[#This Row],[Column19]]/IF(OR($E$2="Deployment",deployment_raw[[#This Row],[Column5]]=0),1,deployment_raw[[#This Row],[Column5]]))/I134,0),"")</f>
        <v/>
      </c>
      <c r="I134" s="69" t="str">
        <f>IF(ISNUMBER(deployment_raw[[#This Row],[Column6]]), (deployment_raw[[#This Row],[Column6]] * IF($E$2="Deployment",deployment_raw[[#This Row],[Column5]],1)),"")</f>
        <v/>
      </c>
      <c r="J134" s="79" t="str">
        <f>IF(ISNUMBER(deployment_raw[[#This Row],[Column19]]), IF(K134&lt;&gt;0,(deployment_raw[[#This Row],[Column19]]/IF(OR($E$2="Deployment",deployment_raw[[#This Row],[Column5]]=0),1,deployment_raw[[#This Row],[Column5]]))/K134,0),"")</f>
        <v/>
      </c>
      <c r="K134" s="72" t="str">
        <f>IF(ISNUMBER(deployment_raw[[#This Row],[Column8]]), (deployment_raw[[#This Row],[Column8]]  * IF($E$2="Deployment",deployment_raw[[#This Row],[Column5]],1)),"")</f>
        <v/>
      </c>
      <c r="L13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3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34" s="81" t="str">
        <f>IF(ISNUMBER(deployment_raw[[#This Row],[Column20]]), IF(O134&lt;&gt;0,deployment_raw[[#This Row],[Column20]]/IF(OR($E$2="Deployment",deployment_raw[[#This Row],[Column5]]=0),1,deployment_raw[[#This Row],[Column5]])/1048576/O134,0),"")</f>
        <v/>
      </c>
      <c r="O134" s="74" t="str">
        <f>IF(ISNUMBER(deployment_raw[[#This Row],[Column7]]), (deployment_raw[[#This Row],[Column7]] * IF($E$2="Deployment",deployment_raw[[#This Row],[Column5]],1))/1048576,"")</f>
        <v/>
      </c>
      <c r="P134" s="81" t="str">
        <f>IF(ISNUMBER(deployment_raw[[#This Row],[Column20]]), IF(Q134&lt;&gt;0,deployment_raw[[#This Row],[Column20]]/IF(OR($E$2="Deployment",deployment_raw[[#This Row],[Column5]]=0),1,deployment_raw[[#This Row],[Column5]])/1048576/Q134,0),"")</f>
        <v/>
      </c>
      <c r="Q134" s="76" t="str">
        <f>IF(ISNUMBER(deployment_raw[[#This Row],[Column9]]), (deployment_raw[[#This Row],[Column9]] * IF($E$2="Deployment",deployment_raw[[#This Row],[Column5]],1))/1048576,"")</f>
        <v/>
      </c>
      <c r="R134" s="57" t="str">
        <f>IF(ISNUMBER(deployment_raw[[#This Row],[Column10]]), (deployment_raw[[#This Row],[Column10]] * IF($E$2="Deployment",deployment_raw[[#This Row],[Column5]],1)),"")</f>
        <v/>
      </c>
      <c r="S134" s="48" t="str">
        <f>IF(ISNUMBER(deployment_raw[[#This Row],[Column11]]), (deployment_raw[[#This Row],[Column11]] * IF($E$2="Deployment",deployment_raw[[#This Row],[Column5]],1))/1048576,"")</f>
        <v/>
      </c>
      <c r="T134" s="59" t="str">
        <f>IF(ISNUMBER(deployment_raw[[#This Row],[Column8]]),IF(OR(deployment_raw[[#This Row],[Column5]] &lt;&gt; 0,$E$2 &lt;&gt; "Deployment"), MAX(V134, ($T$2 * IF($E$2="Deployment",deployment_raw[[#This Row],[Column5]],1))), 0),"")</f>
        <v/>
      </c>
      <c r="U134" s="50" t="str">
        <f>IF(ISNUMBER(deployment_raw[[#This Row],[Column9]]),IF(OR(deployment_raw[[#This Row],[Column5]] &lt;&gt; 0,$E$2&lt;&gt;"Deployment"), MAX(W134, ($U$2 * IF($E$2="Deployment",deployment_raw[[#This Row],[Column5]],1))), 0),"")</f>
        <v/>
      </c>
      <c r="V134" s="15" t="str">
        <f>IF(ISNUMBER(deployment_raw[[#This Row],[Column12]]), (deployment_raw[[#This Row],[Column12]] * IF($E$2="Deployment",deployment_raw[[#This Row],[Column5]],1)*(1+$V$2)),"")</f>
        <v/>
      </c>
      <c r="W134" s="14" t="str">
        <f>IF(ISNUMBER(deployment_raw[[#This Row],[Column13]]), (deployment_raw[[#This Row],[Column13]] * IF($E$2="Deployment",deployment_raw[[#This Row],[Column5]],1)*(1+$W$2))/1048576,"")</f>
        <v/>
      </c>
    </row>
    <row r="135" spans="1:23" ht="15.75" customHeight="1" x14ac:dyDescent="0.25">
      <c r="A135" s="5" t="str">
        <f>IF(ISNONTEXT(deployment_raw[[#This Row],[Column1]]), "", deployment_raw[[#This Row],[Column1]])</f>
        <v/>
      </c>
      <c r="B135" s="6" t="str">
        <f>IF(ISNONTEXT(deployment_raw[[#This Row],[Column2]]), "", deployment_raw[[#This Row],[Column2]])</f>
        <v/>
      </c>
      <c r="C135" s="6" t="str">
        <f>IF(ISNONTEXT(deployment_raw[[#This Row],[Column3]]), "", deployment_raw[[#This Row],[Column3]])</f>
        <v/>
      </c>
      <c r="D135" s="6" t="str">
        <f>IF(ISNONTEXT(deployment_raw[[#This Row],[Column4]]), "", deployment_raw[[#This Row],[Column4]])</f>
        <v/>
      </c>
      <c r="E135" s="7" t="str">
        <f>IF(ISNUMBER(deployment_raw[[#This Row],[Column5]]), deployment_raw[[#This Row],[Column5]],"")</f>
        <v/>
      </c>
      <c r="F135" s="32" t="str">
        <f>IF(ISNUMBER(deployment_raw[[#This Row],[Column17]]), deployment_raw[[#This Row],[Column17]]/IF(OR($E$2="Deployment",deployment_raw[[#This Row],[Column5]]=0),1,deployment_raw[[#This Row],[Column5]]),"")</f>
        <v/>
      </c>
      <c r="G135" s="42" t="str">
        <f>IF(ISNUMBER(deployment_raw[[#This Row],[Column14]]), deployment_raw[[#This Row],[Column14]]/IF(OR($E$2="Deployment",deployment_raw[[#This Row],[Column5]]=0),1,deployment_raw[[#This Row],[Column5]]),"")</f>
        <v/>
      </c>
      <c r="H135" s="79" t="str">
        <f>IF(ISNUMBER(deployment_raw[[#This Row],[Column19]]), IF(I135&lt;&gt;0,(deployment_raw[[#This Row],[Column19]]/IF(OR($E$2="Deployment",deployment_raw[[#This Row],[Column5]]=0),1,deployment_raw[[#This Row],[Column5]]))/I135,0),"")</f>
        <v/>
      </c>
      <c r="I135" s="69" t="str">
        <f>IF(ISNUMBER(deployment_raw[[#This Row],[Column6]]), (deployment_raw[[#This Row],[Column6]] * IF($E$2="Deployment",deployment_raw[[#This Row],[Column5]],1)),"")</f>
        <v/>
      </c>
      <c r="J135" s="79" t="str">
        <f>IF(ISNUMBER(deployment_raw[[#This Row],[Column19]]), IF(K135&lt;&gt;0,(deployment_raw[[#This Row],[Column19]]/IF(OR($E$2="Deployment",deployment_raw[[#This Row],[Column5]]=0),1,deployment_raw[[#This Row],[Column5]]))/K135,0),"")</f>
        <v/>
      </c>
      <c r="K135" s="72" t="str">
        <f>IF(ISNUMBER(deployment_raw[[#This Row],[Column8]]), (deployment_raw[[#This Row],[Column8]]  * IF($E$2="Deployment",deployment_raw[[#This Row],[Column5]],1)),"")</f>
        <v/>
      </c>
      <c r="L13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3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35" s="81" t="str">
        <f>IF(ISNUMBER(deployment_raw[[#This Row],[Column20]]), IF(O135&lt;&gt;0,deployment_raw[[#This Row],[Column20]]/IF(OR($E$2="Deployment",deployment_raw[[#This Row],[Column5]]=0),1,deployment_raw[[#This Row],[Column5]])/1048576/O135,0),"")</f>
        <v/>
      </c>
      <c r="O135" s="74" t="str">
        <f>IF(ISNUMBER(deployment_raw[[#This Row],[Column7]]), (deployment_raw[[#This Row],[Column7]] * IF($E$2="Deployment",deployment_raw[[#This Row],[Column5]],1))/1048576,"")</f>
        <v/>
      </c>
      <c r="P135" s="81" t="str">
        <f>IF(ISNUMBER(deployment_raw[[#This Row],[Column20]]), IF(Q135&lt;&gt;0,deployment_raw[[#This Row],[Column20]]/IF(OR($E$2="Deployment",deployment_raw[[#This Row],[Column5]]=0),1,deployment_raw[[#This Row],[Column5]])/1048576/Q135,0),"")</f>
        <v/>
      </c>
      <c r="Q135" s="76" t="str">
        <f>IF(ISNUMBER(deployment_raw[[#This Row],[Column9]]), (deployment_raw[[#This Row],[Column9]] * IF($E$2="Deployment",deployment_raw[[#This Row],[Column5]],1))/1048576,"")</f>
        <v/>
      </c>
      <c r="R135" s="57" t="str">
        <f>IF(ISNUMBER(deployment_raw[[#This Row],[Column10]]), (deployment_raw[[#This Row],[Column10]] * IF($E$2="Deployment",deployment_raw[[#This Row],[Column5]],1)),"")</f>
        <v/>
      </c>
      <c r="S135" s="48" t="str">
        <f>IF(ISNUMBER(deployment_raw[[#This Row],[Column11]]), (deployment_raw[[#This Row],[Column11]] * IF($E$2="Deployment",deployment_raw[[#This Row],[Column5]],1))/1048576,"")</f>
        <v/>
      </c>
      <c r="T135" s="59" t="str">
        <f>IF(ISNUMBER(deployment_raw[[#This Row],[Column8]]),IF(OR(deployment_raw[[#This Row],[Column5]] &lt;&gt; 0,$E$2 &lt;&gt; "Deployment"), MAX(V135, ($T$2 * IF($E$2="Deployment",deployment_raw[[#This Row],[Column5]],1))), 0),"")</f>
        <v/>
      </c>
      <c r="U135" s="50" t="str">
        <f>IF(ISNUMBER(deployment_raw[[#This Row],[Column9]]),IF(OR(deployment_raw[[#This Row],[Column5]] &lt;&gt; 0,$E$2&lt;&gt;"Deployment"), MAX(W135, ($U$2 * IF($E$2="Deployment",deployment_raw[[#This Row],[Column5]],1))), 0),"")</f>
        <v/>
      </c>
      <c r="V135" s="15" t="str">
        <f>IF(ISNUMBER(deployment_raw[[#This Row],[Column12]]), (deployment_raw[[#This Row],[Column12]] * IF($E$2="Deployment",deployment_raw[[#This Row],[Column5]],1)*(1+$V$2)),"")</f>
        <v/>
      </c>
      <c r="W135" s="14" t="str">
        <f>IF(ISNUMBER(deployment_raw[[#This Row],[Column13]]), (deployment_raw[[#This Row],[Column13]] * IF($E$2="Deployment",deployment_raw[[#This Row],[Column5]],1)*(1+$W$2))/1048576,"")</f>
        <v/>
      </c>
    </row>
    <row r="136" spans="1:23" ht="15.75" customHeight="1" x14ac:dyDescent="0.25">
      <c r="A136" s="5" t="str">
        <f>IF(ISNONTEXT(deployment_raw[[#This Row],[Column1]]), "", deployment_raw[[#This Row],[Column1]])</f>
        <v/>
      </c>
      <c r="B136" s="6" t="str">
        <f>IF(ISNONTEXT(deployment_raw[[#This Row],[Column2]]), "", deployment_raw[[#This Row],[Column2]])</f>
        <v/>
      </c>
      <c r="C136" s="6" t="str">
        <f>IF(ISNONTEXT(deployment_raw[[#This Row],[Column3]]), "", deployment_raw[[#This Row],[Column3]])</f>
        <v/>
      </c>
      <c r="D136" s="6" t="str">
        <f>IF(ISNONTEXT(deployment_raw[[#This Row],[Column4]]), "", deployment_raw[[#This Row],[Column4]])</f>
        <v/>
      </c>
      <c r="E136" s="7" t="str">
        <f>IF(ISNUMBER(deployment_raw[[#This Row],[Column5]]), deployment_raw[[#This Row],[Column5]],"")</f>
        <v/>
      </c>
      <c r="F136" s="32" t="str">
        <f>IF(ISNUMBER(deployment_raw[[#This Row],[Column17]]), deployment_raw[[#This Row],[Column17]]/IF(OR($E$2="Deployment",deployment_raw[[#This Row],[Column5]]=0),1,deployment_raw[[#This Row],[Column5]]),"")</f>
        <v/>
      </c>
      <c r="G136" s="42" t="str">
        <f>IF(ISNUMBER(deployment_raw[[#This Row],[Column14]]), deployment_raw[[#This Row],[Column14]]/IF(OR($E$2="Deployment",deployment_raw[[#This Row],[Column5]]=0),1,deployment_raw[[#This Row],[Column5]]),"")</f>
        <v/>
      </c>
      <c r="H136" s="79" t="str">
        <f>IF(ISNUMBER(deployment_raw[[#This Row],[Column19]]), IF(I136&lt;&gt;0,(deployment_raw[[#This Row],[Column19]]/IF(OR($E$2="Deployment",deployment_raw[[#This Row],[Column5]]=0),1,deployment_raw[[#This Row],[Column5]]))/I136,0),"")</f>
        <v/>
      </c>
      <c r="I136" s="69" t="str">
        <f>IF(ISNUMBER(deployment_raw[[#This Row],[Column6]]), (deployment_raw[[#This Row],[Column6]] * IF($E$2="Deployment",deployment_raw[[#This Row],[Column5]],1)),"")</f>
        <v/>
      </c>
      <c r="J136" s="79" t="str">
        <f>IF(ISNUMBER(deployment_raw[[#This Row],[Column19]]), IF(K136&lt;&gt;0,(deployment_raw[[#This Row],[Column19]]/IF(OR($E$2="Deployment",deployment_raw[[#This Row],[Column5]]=0),1,deployment_raw[[#This Row],[Column5]]))/K136,0),"")</f>
        <v/>
      </c>
      <c r="K136" s="72" t="str">
        <f>IF(ISNUMBER(deployment_raw[[#This Row],[Column8]]), (deployment_raw[[#This Row],[Column8]]  * IF($E$2="Deployment",deployment_raw[[#This Row],[Column5]],1)),"")</f>
        <v/>
      </c>
      <c r="L13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3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36" s="81" t="str">
        <f>IF(ISNUMBER(deployment_raw[[#This Row],[Column20]]), IF(O136&lt;&gt;0,deployment_raw[[#This Row],[Column20]]/IF(OR($E$2="Deployment",deployment_raw[[#This Row],[Column5]]=0),1,deployment_raw[[#This Row],[Column5]])/1048576/O136,0),"")</f>
        <v/>
      </c>
      <c r="O136" s="74" t="str">
        <f>IF(ISNUMBER(deployment_raw[[#This Row],[Column7]]), (deployment_raw[[#This Row],[Column7]] * IF($E$2="Deployment",deployment_raw[[#This Row],[Column5]],1))/1048576,"")</f>
        <v/>
      </c>
      <c r="P136" s="81" t="str">
        <f>IF(ISNUMBER(deployment_raw[[#This Row],[Column20]]), IF(Q136&lt;&gt;0,deployment_raw[[#This Row],[Column20]]/IF(OR($E$2="Deployment",deployment_raw[[#This Row],[Column5]]=0),1,deployment_raw[[#This Row],[Column5]])/1048576/Q136,0),"")</f>
        <v/>
      </c>
      <c r="Q136" s="76" t="str">
        <f>IF(ISNUMBER(deployment_raw[[#This Row],[Column9]]), (deployment_raw[[#This Row],[Column9]] * IF($E$2="Deployment",deployment_raw[[#This Row],[Column5]],1))/1048576,"")</f>
        <v/>
      </c>
      <c r="R136" s="57" t="str">
        <f>IF(ISNUMBER(deployment_raw[[#This Row],[Column10]]), (deployment_raw[[#This Row],[Column10]] * IF($E$2="Deployment",deployment_raw[[#This Row],[Column5]],1)),"")</f>
        <v/>
      </c>
      <c r="S136" s="48" t="str">
        <f>IF(ISNUMBER(deployment_raw[[#This Row],[Column11]]), (deployment_raw[[#This Row],[Column11]] * IF($E$2="Deployment",deployment_raw[[#This Row],[Column5]],1))/1048576,"")</f>
        <v/>
      </c>
      <c r="T136" s="59" t="str">
        <f>IF(ISNUMBER(deployment_raw[[#This Row],[Column8]]),IF(OR(deployment_raw[[#This Row],[Column5]] &lt;&gt; 0,$E$2 &lt;&gt; "Deployment"), MAX(V136, ($T$2 * IF($E$2="Deployment",deployment_raw[[#This Row],[Column5]],1))), 0),"")</f>
        <v/>
      </c>
      <c r="U136" s="50" t="str">
        <f>IF(ISNUMBER(deployment_raw[[#This Row],[Column9]]),IF(OR(deployment_raw[[#This Row],[Column5]] &lt;&gt; 0,$E$2&lt;&gt;"Deployment"), MAX(W136, ($U$2 * IF($E$2="Deployment",deployment_raw[[#This Row],[Column5]],1))), 0),"")</f>
        <v/>
      </c>
      <c r="V136" s="15" t="str">
        <f>IF(ISNUMBER(deployment_raw[[#This Row],[Column12]]), (deployment_raw[[#This Row],[Column12]] * IF($E$2="Deployment",deployment_raw[[#This Row],[Column5]],1)*(1+$V$2)),"")</f>
        <v/>
      </c>
      <c r="W136" s="14" t="str">
        <f>IF(ISNUMBER(deployment_raw[[#This Row],[Column13]]), (deployment_raw[[#This Row],[Column13]] * IF($E$2="Deployment",deployment_raw[[#This Row],[Column5]],1)*(1+$W$2))/1048576,"")</f>
        <v/>
      </c>
    </row>
    <row r="137" spans="1:23" ht="15.75" customHeight="1" x14ac:dyDescent="0.25">
      <c r="A137" s="5" t="str">
        <f>IF(ISNONTEXT(deployment_raw[[#This Row],[Column1]]), "", deployment_raw[[#This Row],[Column1]])</f>
        <v/>
      </c>
      <c r="B137" s="6" t="str">
        <f>IF(ISNONTEXT(deployment_raw[[#This Row],[Column2]]), "", deployment_raw[[#This Row],[Column2]])</f>
        <v/>
      </c>
      <c r="C137" s="6" t="str">
        <f>IF(ISNONTEXT(deployment_raw[[#This Row],[Column3]]), "", deployment_raw[[#This Row],[Column3]])</f>
        <v/>
      </c>
      <c r="D137" s="6" t="str">
        <f>IF(ISNONTEXT(deployment_raw[[#This Row],[Column4]]), "", deployment_raw[[#This Row],[Column4]])</f>
        <v/>
      </c>
      <c r="E137" s="7" t="str">
        <f>IF(ISNUMBER(deployment_raw[[#This Row],[Column5]]), deployment_raw[[#This Row],[Column5]],"")</f>
        <v/>
      </c>
      <c r="F137" s="32" t="str">
        <f>IF(ISNUMBER(deployment_raw[[#This Row],[Column17]]), deployment_raw[[#This Row],[Column17]]/IF(OR($E$2="Deployment",deployment_raw[[#This Row],[Column5]]=0),1,deployment_raw[[#This Row],[Column5]]),"")</f>
        <v/>
      </c>
      <c r="G137" s="42" t="str">
        <f>IF(ISNUMBER(deployment_raw[[#This Row],[Column14]]), deployment_raw[[#This Row],[Column14]]/IF(OR($E$2="Deployment",deployment_raw[[#This Row],[Column5]]=0),1,deployment_raw[[#This Row],[Column5]]),"")</f>
        <v/>
      </c>
      <c r="H137" s="79" t="str">
        <f>IF(ISNUMBER(deployment_raw[[#This Row],[Column19]]), IF(I137&lt;&gt;0,(deployment_raw[[#This Row],[Column19]]/IF(OR($E$2="Deployment",deployment_raw[[#This Row],[Column5]]=0),1,deployment_raw[[#This Row],[Column5]]))/I137,0),"")</f>
        <v/>
      </c>
      <c r="I137" s="69" t="str">
        <f>IF(ISNUMBER(deployment_raw[[#This Row],[Column6]]), (deployment_raw[[#This Row],[Column6]] * IF($E$2="Deployment",deployment_raw[[#This Row],[Column5]],1)),"")</f>
        <v/>
      </c>
      <c r="J137" s="79" t="str">
        <f>IF(ISNUMBER(deployment_raw[[#This Row],[Column19]]), IF(K137&lt;&gt;0,(deployment_raw[[#This Row],[Column19]]/IF(OR($E$2="Deployment",deployment_raw[[#This Row],[Column5]]=0),1,deployment_raw[[#This Row],[Column5]]))/K137,0),"")</f>
        <v/>
      </c>
      <c r="K137" s="72" t="str">
        <f>IF(ISNUMBER(deployment_raw[[#This Row],[Column8]]), (deployment_raw[[#This Row],[Column8]]  * IF($E$2="Deployment",deployment_raw[[#This Row],[Column5]],1)),"")</f>
        <v/>
      </c>
      <c r="L13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3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37" s="81" t="str">
        <f>IF(ISNUMBER(deployment_raw[[#This Row],[Column20]]), IF(O137&lt;&gt;0,deployment_raw[[#This Row],[Column20]]/IF(OR($E$2="Deployment",deployment_raw[[#This Row],[Column5]]=0),1,deployment_raw[[#This Row],[Column5]])/1048576/O137,0),"")</f>
        <v/>
      </c>
      <c r="O137" s="74" t="str">
        <f>IF(ISNUMBER(deployment_raw[[#This Row],[Column7]]), (deployment_raw[[#This Row],[Column7]] * IF($E$2="Deployment",deployment_raw[[#This Row],[Column5]],1))/1048576,"")</f>
        <v/>
      </c>
      <c r="P137" s="81" t="str">
        <f>IF(ISNUMBER(deployment_raw[[#This Row],[Column20]]), IF(Q137&lt;&gt;0,deployment_raw[[#This Row],[Column20]]/IF(OR($E$2="Deployment",deployment_raw[[#This Row],[Column5]]=0),1,deployment_raw[[#This Row],[Column5]])/1048576/Q137,0),"")</f>
        <v/>
      </c>
      <c r="Q137" s="76" t="str">
        <f>IF(ISNUMBER(deployment_raw[[#This Row],[Column9]]), (deployment_raw[[#This Row],[Column9]] * IF($E$2="Deployment",deployment_raw[[#This Row],[Column5]],1))/1048576,"")</f>
        <v/>
      </c>
      <c r="R137" s="57" t="str">
        <f>IF(ISNUMBER(deployment_raw[[#This Row],[Column10]]), (deployment_raw[[#This Row],[Column10]] * IF($E$2="Deployment",deployment_raw[[#This Row],[Column5]],1)),"")</f>
        <v/>
      </c>
      <c r="S137" s="48" t="str">
        <f>IF(ISNUMBER(deployment_raw[[#This Row],[Column11]]), (deployment_raw[[#This Row],[Column11]] * IF($E$2="Deployment",deployment_raw[[#This Row],[Column5]],1))/1048576,"")</f>
        <v/>
      </c>
      <c r="T137" s="59" t="str">
        <f>IF(ISNUMBER(deployment_raw[[#This Row],[Column8]]),IF(OR(deployment_raw[[#This Row],[Column5]] &lt;&gt; 0,$E$2 &lt;&gt; "Deployment"), MAX(V137, ($T$2 * IF($E$2="Deployment",deployment_raw[[#This Row],[Column5]],1))), 0),"")</f>
        <v/>
      </c>
      <c r="U137" s="50" t="str">
        <f>IF(ISNUMBER(deployment_raw[[#This Row],[Column9]]),IF(OR(deployment_raw[[#This Row],[Column5]] &lt;&gt; 0,$E$2&lt;&gt;"Deployment"), MAX(W137, ($U$2 * IF($E$2="Deployment",deployment_raw[[#This Row],[Column5]],1))), 0),"")</f>
        <v/>
      </c>
      <c r="V137" s="15" t="str">
        <f>IF(ISNUMBER(deployment_raw[[#This Row],[Column12]]), (deployment_raw[[#This Row],[Column12]] * IF($E$2="Deployment",deployment_raw[[#This Row],[Column5]],1)*(1+$V$2)),"")</f>
        <v/>
      </c>
      <c r="W137" s="14" t="str">
        <f>IF(ISNUMBER(deployment_raw[[#This Row],[Column13]]), (deployment_raw[[#This Row],[Column13]] * IF($E$2="Deployment",deployment_raw[[#This Row],[Column5]],1)*(1+$W$2))/1048576,"")</f>
        <v/>
      </c>
    </row>
    <row r="138" spans="1:23" ht="15.75" customHeight="1" x14ac:dyDescent="0.25">
      <c r="A138" s="5" t="str">
        <f>IF(ISNONTEXT(deployment_raw[[#This Row],[Column1]]), "", deployment_raw[[#This Row],[Column1]])</f>
        <v/>
      </c>
      <c r="B138" s="6" t="str">
        <f>IF(ISNONTEXT(deployment_raw[[#This Row],[Column2]]), "", deployment_raw[[#This Row],[Column2]])</f>
        <v/>
      </c>
      <c r="C138" s="6" t="str">
        <f>IF(ISNONTEXT(deployment_raw[[#This Row],[Column3]]), "", deployment_raw[[#This Row],[Column3]])</f>
        <v/>
      </c>
      <c r="D138" s="6" t="str">
        <f>IF(ISNONTEXT(deployment_raw[[#This Row],[Column4]]), "", deployment_raw[[#This Row],[Column4]])</f>
        <v/>
      </c>
      <c r="E138" s="7" t="str">
        <f>IF(ISNUMBER(deployment_raw[[#This Row],[Column5]]), deployment_raw[[#This Row],[Column5]],"")</f>
        <v/>
      </c>
      <c r="F138" s="32" t="str">
        <f>IF(ISNUMBER(deployment_raw[[#This Row],[Column17]]), deployment_raw[[#This Row],[Column17]]/IF(OR($E$2="Deployment",deployment_raw[[#This Row],[Column5]]=0),1,deployment_raw[[#This Row],[Column5]]),"")</f>
        <v/>
      </c>
      <c r="G138" s="42" t="str">
        <f>IF(ISNUMBER(deployment_raw[[#This Row],[Column14]]), deployment_raw[[#This Row],[Column14]]/IF(OR($E$2="Deployment",deployment_raw[[#This Row],[Column5]]=0),1,deployment_raw[[#This Row],[Column5]]),"")</f>
        <v/>
      </c>
      <c r="H138" s="79" t="str">
        <f>IF(ISNUMBER(deployment_raw[[#This Row],[Column19]]), IF(I138&lt;&gt;0,(deployment_raw[[#This Row],[Column19]]/IF(OR($E$2="Deployment",deployment_raw[[#This Row],[Column5]]=0),1,deployment_raw[[#This Row],[Column5]]))/I138,0),"")</f>
        <v/>
      </c>
      <c r="I138" s="69" t="str">
        <f>IF(ISNUMBER(deployment_raw[[#This Row],[Column6]]), (deployment_raw[[#This Row],[Column6]] * IF($E$2="Deployment",deployment_raw[[#This Row],[Column5]],1)),"")</f>
        <v/>
      </c>
      <c r="J138" s="79" t="str">
        <f>IF(ISNUMBER(deployment_raw[[#This Row],[Column19]]), IF(K138&lt;&gt;0,(deployment_raw[[#This Row],[Column19]]/IF(OR($E$2="Deployment",deployment_raw[[#This Row],[Column5]]=0),1,deployment_raw[[#This Row],[Column5]]))/K138,0),"")</f>
        <v/>
      </c>
      <c r="K138" s="72" t="str">
        <f>IF(ISNUMBER(deployment_raw[[#This Row],[Column8]]), (deployment_raw[[#This Row],[Column8]]  * IF($E$2="Deployment",deployment_raw[[#This Row],[Column5]],1)),"")</f>
        <v/>
      </c>
      <c r="L13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3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38" s="81" t="str">
        <f>IF(ISNUMBER(deployment_raw[[#This Row],[Column20]]), IF(O138&lt;&gt;0,deployment_raw[[#This Row],[Column20]]/IF(OR($E$2="Deployment",deployment_raw[[#This Row],[Column5]]=0),1,deployment_raw[[#This Row],[Column5]])/1048576/O138,0),"")</f>
        <v/>
      </c>
      <c r="O138" s="74" t="str">
        <f>IF(ISNUMBER(deployment_raw[[#This Row],[Column7]]), (deployment_raw[[#This Row],[Column7]] * IF($E$2="Deployment",deployment_raw[[#This Row],[Column5]],1))/1048576,"")</f>
        <v/>
      </c>
      <c r="P138" s="81" t="str">
        <f>IF(ISNUMBER(deployment_raw[[#This Row],[Column20]]), IF(Q138&lt;&gt;0,deployment_raw[[#This Row],[Column20]]/IF(OR($E$2="Deployment",deployment_raw[[#This Row],[Column5]]=0),1,deployment_raw[[#This Row],[Column5]])/1048576/Q138,0),"")</f>
        <v/>
      </c>
      <c r="Q138" s="76" t="str">
        <f>IF(ISNUMBER(deployment_raw[[#This Row],[Column9]]), (deployment_raw[[#This Row],[Column9]] * IF($E$2="Deployment",deployment_raw[[#This Row],[Column5]],1))/1048576,"")</f>
        <v/>
      </c>
      <c r="R138" s="57" t="str">
        <f>IF(ISNUMBER(deployment_raw[[#This Row],[Column10]]), (deployment_raw[[#This Row],[Column10]] * IF($E$2="Deployment",deployment_raw[[#This Row],[Column5]],1)),"")</f>
        <v/>
      </c>
      <c r="S138" s="48" t="str">
        <f>IF(ISNUMBER(deployment_raw[[#This Row],[Column11]]), (deployment_raw[[#This Row],[Column11]] * IF($E$2="Deployment",deployment_raw[[#This Row],[Column5]],1))/1048576,"")</f>
        <v/>
      </c>
      <c r="T138" s="59" t="str">
        <f>IF(ISNUMBER(deployment_raw[[#This Row],[Column8]]),IF(OR(deployment_raw[[#This Row],[Column5]] &lt;&gt; 0,$E$2 &lt;&gt; "Deployment"), MAX(V138, ($T$2 * IF($E$2="Deployment",deployment_raw[[#This Row],[Column5]],1))), 0),"")</f>
        <v/>
      </c>
      <c r="U138" s="50" t="str">
        <f>IF(ISNUMBER(deployment_raw[[#This Row],[Column9]]),IF(OR(deployment_raw[[#This Row],[Column5]] &lt;&gt; 0,$E$2&lt;&gt;"Deployment"), MAX(W138, ($U$2 * IF($E$2="Deployment",deployment_raw[[#This Row],[Column5]],1))), 0),"")</f>
        <v/>
      </c>
      <c r="V138" s="15" t="str">
        <f>IF(ISNUMBER(deployment_raw[[#This Row],[Column12]]), (deployment_raw[[#This Row],[Column12]] * IF($E$2="Deployment",deployment_raw[[#This Row],[Column5]],1)*(1+$V$2)),"")</f>
        <v/>
      </c>
      <c r="W138" s="14" t="str">
        <f>IF(ISNUMBER(deployment_raw[[#This Row],[Column13]]), (deployment_raw[[#This Row],[Column13]] * IF($E$2="Deployment",deployment_raw[[#This Row],[Column5]],1)*(1+$W$2))/1048576,"")</f>
        <v/>
      </c>
    </row>
    <row r="139" spans="1:23" ht="15.75" customHeight="1" x14ac:dyDescent="0.25">
      <c r="A139" s="5" t="str">
        <f>IF(ISNONTEXT(deployment_raw[[#This Row],[Column1]]), "", deployment_raw[[#This Row],[Column1]])</f>
        <v/>
      </c>
      <c r="B139" s="6" t="str">
        <f>IF(ISNONTEXT(deployment_raw[[#This Row],[Column2]]), "", deployment_raw[[#This Row],[Column2]])</f>
        <v/>
      </c>
      <c r="C139" s="6" t="str">
        <f>IF(ISNONTEXT(deployment_raw[[#This Row],[Column3]]), "", deployment_raw[[#This Row],[Column3]])</f>
        <v/>
      </c>
      <c r="D139" s="6" t="str">
        <f>IF(ISNONTEXT(deployment_raw[[#This Row],[Column4]]), "", deployment_raw[[#This Row],[Column4]])</f>
        <v/>
      </c>
      <c r="E139" s="7" t="str">
        <f>IF(ISNUMBER(deployment_raw[[#This Row],[Column5]]), deployment_raw[[#This Row],[Column5]],"")</f>
        <v/>
      </c>
      <c r="F139" s="32" t="str">
        <f>IF(ISNUMBER(deployment_raw[[#This Row],[Column17]]), deployment_raw[[#This Row],[Column17]]/IF(OR($E$2="Deployment",deployment_raw[[#This Row],[Column5]]=0),1,deployment_raw[[#This Row],[Column5]]),"")</f>
        <v/>
      </c>
      <c r="G139" s="42" t="str">
        <f>IF(ISNUMBER(deployment_raw[[#This Row],[Column14]]), deployment_raw[[#This Row],[Column14]]/IF(OR($E$2="Deployment",deployment_raw[[#This Row],[Column5]]=0),1,deployment_raw[[#This Row],[Column5]]),"")</f>
        <v/>
      </c>
      <c r="H139" s="79" t="str">
        <f>IF(ISNUMBER(deployment_raw[[#This Row],[Column19]]), IF(I139&lt;&gt;0,(deployment_raw[[#This Row],[Column19]]/IF(OR($E$2="Deployment",deployment_raw[[#This Row],[Column5]]=0),1,deployment_raw[[#This Row],[Column5]]))/I139,0),"")</f>
        <v/>
      </c>
      <c r="I139" s="69" t="str">
        <f>IF(ISNUMBER(deployment_raw[[#This Row],[Column6]]), (deployment_raw[[#This Row],[Column6]] * IF($E$2="Deployment",deployment_raw[[#This Row],[Column5]],1)),"")</f>
        <v/>
      </c>
      <c r="J139" s="79" t="str">
        <f>IF(ISNUMBER(deployment_raw[[#This Row],[Column19]]), IF(K139&lt;&gt;0,(deployment_raw[[#This Row],[Column19]]/IF(OR($E$2="Deployment",deployment_raw[[#This Row],[Column5]]=0),1,deployment_raw[[#This Row],[Column5]]))/K139,0),"")</f>
        <v/>
      </c>
      <c r="K139" s="72" t="str">
        <f>IF(ISNUMBER(deployment_raw[[#This Row],[Column8]]), (deployment_raw[[#This Row],[Column8]]  * IF($E$2="Deployment",deployment_raw[[#This Row],[Column5]],1)),"")</f>
        <v/>
      </c>
      <c r="L13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3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39" s="81" t="str">
        <f>IF(ISNUMBER(deployment_raw[[#This Row],[Column20]]), IF(O139&lt;&gt;0,deployment_raw[[#This Row],[Column20]]/IF(OR($E$2="Deployment",deployment_raw[[#This Row],[Column5]]=0),1,deployment_raw[[#This Row],[Column5]])/1048576/O139,0),"")</f>
        <v/>
      </c>
      <c r="O139" s="74" t="str">
        <f>IF(ISNUMBER(deployment_raw[[#This Row],[Column7]]), (deployment_raw[[#This Row],[Column7]] * IF($E$2="Deployment",deployment_raw[[#This Row],[Column5]],1))/1048576,"")</f>
        <v/>
      </c>
      <c r="P139" s="81" t="str">
        <f>IF(ISNUMBER(deployment_raw[[#This Row],[Column20]]), IF(Q139&lt;&gt;0,deployment_raw[[#This Row],[Column20]]/IF(OR($E$2="Deployment",deployment_raw[[#This Row],[Column5]]=0),1,deployment_raw[[#This Row],[Column5]])/1048576/Q139,0),"")</f>
        <v/>
      </c>
      <c r="Q139" s="76" t="str">
        <f>IF(ISNUMBER(deployment_raw[[#This Row],[Column9]]), (deployment_raw[[#This Row],[Column9]] * IF($E$2="Deployment",deployment_raw[[#This Row],[Column5]],1))/1048576,"")</f>
        <v/>
      </c>
      <c r="R139" s="57" t="str">
        <f>IF(ISNUMBER(deployment_raw[[#This Row],[Column10]]), (deployment_raw[[#This Row],[Column10]] * IF($E$2="Deployment",deployment_raw[[#This Row],[Column5]],1)),"")</f>
        <v/>
      </c>
      <c r="S139" s="48" t="str">
        <f>IF(ISNUMBER(deployment_raw[[#This Row],[Column11]]), (deployment_raw[[#This Row],[Column11]] * IF($E$2="Deployment",deployment_raw[[#This Row],[Column5]],1))/1048576,"")</f>
        <v/>
      </c>
      <c r="T139" s="59" t="str">
        <f>IF(ISNUMBER(deployment_raw[[#This Row],[Column8]]),IF(OR(deployment_raw[[#This Row],[Column5]] &lt;&gt; 0,$E$2 &lt;&gt; "Deployment"), MAX(V139, ($T$2 * IF($E$2="Deployment",deployment_raw[[#This Row],[Column5]],1))), 0),"")</f>
        <v/>
      </c>
      <c r="U139" s="50" t="str">
        <f>IF(ISNUMBER(deployment_raw[[#This Row],[Column9]]),IF(OR(deployment_raw[[#This Row],[Column5]] &lt;&gt; 0,$E$2&lt;&gt;"Deployment"), MAX(W139, ($U$2 * IF($E$2="Deployment",deployment_raw[[#This Row],[Column5]],1))), 0),"")</f>
        <v/>
      </c>
      <c r="V139" s="15" t="str">
        <f>IF(ISNUMBER(deployment_raw[[#This Row],[Column12]]), (deployment_raw[[#This Row],[Column12]] * IF($E$2="Deployment",deployment_raw[[#This Row],[Column5]],1)*(1+$V$2)),"")</f>
        <v/>
      </c>
      <c r="W139" s="14" t="str">
        <f>IF(ISNUMBER(deployment_raw[[#This Row],[Column13]]), (deployment_raw[[#This Row],[Column13]] * IF($E$2="Deployment",deployment_raw[[#This Row],[Column5]],1)*(1+$W$2))/1048576,"")</f>
        <v/>
      </c>
    </row>
    <row r="140" spans="1:23" ht="15.75" customHeight="1" x14ac:dyDescent="0.25">
      <c r="A140" s="5" t="str">
        <f>IF(ISNONTEXT(deployment_raw[[#This Row],[Column1]]), "", deployment_raw[[#This Row],[Column1]])</f>
        <v/>
      </c>
      <c r="B140" s="6" t="str">
        <f>IF(ISNONTEXT(deployment_raw[[#This Row],[Column2]]), "", deployment_raw[[#This Row],[Column2]])</f>
        <v/>
      </c>
      <c r="C140" s="6" t="str">
        <f>IF(ISNONTEXT(deployment_raw[[#This Row],[Column3]]), "", deployment_raw[[#This Row],[Column3]])</f>
        <v/>
      </c>
      <c r="D140" s="6" t="str">
        <f>IF(ISNONTEXT(deployment_raw[[#This Row],[Column4]]), "", deployment_raw[[#This Row],[Column4]])</f>
        <v/>
      </c>
      <c r="E140" s="7" t="str">
        <f>IF(ISNUMBER(deployment_raw[[#This Row],[Column5]]), deployment_raw[[#This Row],[Column5]],"")</f>
        <v/>
      </c>
      <c r="F140" s="32" t="str">
        <f>IF(ISNUMBER(deployment_raw[[#This Row],[Column17]]), deployment_raw[[#This Row],[Column17]]/IF(OR($E$2="Deployment",deployment_raw[[#This Row],[Column5]]=0),1,deployment_raw[[#This Row],[Column5]]),"")</f>
        <v/>
      </c>
      <c r="G140" s="42" t="str">
        <f>IF(ISNUMBER(deployment_raw[[#This Row],[Column14]]), deployment_raw[[#This Row],[Column14]]/IF(OR($E$2="Deployment",deployment_raw[[#This Row],[Column5]]=0),1,deployment_raw[[#This Row],[Column5]]),"")</f>
        <v/>
      </c>
      <c r="H140" s="79" t="str">
        <f>IF(ISNUMBER(deployment_raw[[#This Row],[Column19]]), IF(I140&lt;&gt;0,(deployment_raw[[#This Row],[Column19]]/IF(OR($E$2="Deployment",deployment_raw[[#This Row],[Column5]]=0),1,deployment_raw[[#This Row],[Column5]]))/I140,0),"")</f>
        <v/>
      </c>
      <c r="I140" s="69" t="str">
        <f>IF(ISNUMBER(deployment_raw[[#This Row],[Column6]]), (deployment_raw[[#This Row],[Column6]] * IF($E$2="Deployment",deployment_raw[[#This Row],[Column5]],1)),"")</f>
        <v/>
      </c>
      <c r="J140" s="79" t="str">
        <f>IF(ISNUMBER(deployment_raw[[#This Row],[Column19]]), IF(K140&lt;&gt;0,(deployment_raw[[#This Row],[Column19]]/IF(OR($E$2="Deployment",deployment_raw[[#This Row],[Column5]]=0),1,deployment_raw[[#This Row],[Column5]]))/K140,0),"")</f>
        <v/>
      </c>
      <c r="K140" s="72" t="str">
        <f>IF(ISNUMBER(deployment_raw[[#This Row],[Column8]]), (deployment_raw[[#This Row],[Column8]]  * IF($E$2="Deployment",deployment_raw[[#This Row],[Column5]],1)),"")</f>
        <v/>
      </c>
      <c r="L14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4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40" s="81" t="str">
        <f>IF(ISNUMBER(deployment_raw[[#This Row],[Column20]]), IF(O140&lt;&gt;0,deployment_raw[[#This Row],[Column20]]/IF(OR($E$2="Deployment",deployment_raw[[#This Row],[Column5]]=0),1,deployment_raw[[#This Row],[Column5]])/1048576/O140,0),"")</f>
        <v/>
      </c>
      <c r="O140" s="74" t="str">
        <f>IF(ISNUMBER(deployment_raw[[#This Row],[Column7]]), (deployment_raw[[#This Row],[Column7]] * IF($E$2="Deployment",deployment_raw[[#This Row],[Column5]],1))/1048576,"")</f>
        <v/>
      </c>
      <c r="P140" s="81" t="str">
        <f>IF(ISNUMBER(deployment_raw[[#This Row],[Column20]]), IF(Q140&lt;&gt;0,deployment_raw[[#This Row],[Column20]]/IF(OR($E$2="Deployment",deployment_raw[[#This Row],[Column5]]=0),1,deployment_raw[[#This Row],[Column5]])/1048576/Q140,0),"")</f>
        <v/>
      </c>
      <c r="Q140" s="76" t="str">
        <f>IF(ISNUMBER(deployment_raw[[#This Row],[Column9]]), (deployment_raw[[#This Row],[Column9]] * IF($E$2="Deployment",deployment_raw[[#This Row],[Column5]],1))/1048576,"")</f>
        <v/>
      </c>
      <c r="R140" s="57" t="str">
        <f>IF(ISNUMBER(deployment_raw[[#This Row],[Column10]]), (deployment_raw[[#This Row],[Column10]] * IF($E$2="Deployment",deployment_raw[[#This Row],[Column5]],1)),"")</f>
        <v/>
      </c>
      <c r="S140" s="48" t="str">
        <f>IF(ISNUMBER(deployment_raw[[#This Row],[Column11]]), (deployment_raw[[#This Row],[Column11]] * IF($E$2="Deployment",deployment_raw[[#This Row],[Column5]],1))/1048576,"")</f>
        <v/>
      </c>
      <c r="T140" s="59" t="str">
        <f>IF(ISNUMBER(deployment_raw[[#This Row],[Column8]]),IF(OR(deployment_raw[[#This Row],[Column5]] &lt;&gt; 0,$E$2 &lt;&gt; "Deployment"), MAX(V140, ($T$2 * IF($E$2="Deployment",deployment_raw[[#This Row],[Column5]],1))), 0),"")</f>
        <v/>
      </c>
      <c r="U140" s="50" t="str">
        <f>IF(ISNUMBER(deployment_raw[[#This Row],[Column9]]),IF(OR(deployment_raw[[#This Row],[Column5]] &lt;&gt; 0,$E$2&lt;&gt;"Deployment"), MAX(W140, ($U$2 * IF($E$2="Deployment",deployment_raw[[#This Row],[Column5]],1))), 0),"")</f>
        <v/>
      </c>
      <c r="V140" s="15" t="str">
        <f>IF(ISNUMBER(deployment_raw[[#This Row],[Column12]]), (deployment_raw[[#This Row],[Column12]] * IF($E$2="Deployment",deployment_raw[[#This Row],[Column5]],1)*(1+$V$2)),"")</f>
        <v/>
      </c>
      <c r="W140" s="14" t="str">
        <f>IF(ISNUMBER(deployment_raw[[#This Row],[Column13]]), (deployment_raw[[#This Row],[Column13]] * IF($E$2="Deployment",deployment_raw[[#This Row],[Column5]],1)*(1+$W$2))/1048576,"")</f>
        <v/>
      </c>
    </row>
    <row r="141" spans="1:23" ht="15.75" customHeight="1" x14ac:dyDescent="0.25">
      <c r="A141" s="5" t="str">
        <f>IF(ISNONTEXT(deployment_raw[[#This Row],[Column1]]), "", deployment_raw[[#This Row],[Column1]])</f>
        <v/>
      </c>
      <c r="B141" s="6" t="str">
        <f>IF(ISNONTEXT(deployment_raw[[#This Row],[Column2]]), "", deployment_raw[[#This Row],[Column2]])</f>
        <v/>
      </c>
      <c r="C141" s="6" t="str">
        <f>IF(ISNONTEXT(deployment_raw[[#This Row],[Column3]]), "", deployment_raw[[#This Row],[Column3]])</f>
        <v/>
      </c>
      <c r="D141" s="6" t="str">
        <f>IF(ISNONTEXT(deployment_raw[[#This Row],[Column4]]), "", deployment_raw[[#This Row],[Column4]])</f>
        <v/>
      </c>
      <c r="E141" s="7" t="str">
        <f>IF(ISNUMBER(deployment_raw[[#This Row],[Column5]]), deployment_raw[[#This Row],[Column5]],"")</f>
        <v/>
      </c>
      <c r="F141" s="32" t="str">
        <f>IF(ISNUMBER(deployment_raw[[#This Row],[Column17]]), deployment_raw[[#This Row],[Column17]]/IF(OR($E$2="Deployment",deployment_raw[[#This Row],[Column5]]=0),1,deployment_raw[[#This Row],[Column5]]),"")</f>
        <v/>
      </c>
      <c r="G141" s="42" t="str">
        <f>IF(ISNUMBER(deployment_raw[[#This Row],[Column14]]), deployment_raw[[#This Row],[Column14]]/IF(OR($E$2="Deployment",deployment_raw[[#This Row],[Column5]]=0),1,deployment_raw[[#This Row],[Column5]]),"")</f>
        <v/>
      </c>
      <c r="H141" s="79" t="str">
        <f>IF(ISNUMBER(deployment_raw[[#This Row],[Column19]]), IF(I141&lt;&gt;0,(deployment_raw[[#This Row],[Column19]]/IF(OR($E$2="Deployment",deployment_raw[[#This Row],[Column5]]=0),1,deployment_raw[[#This Row],[Column5]]))/I141,0),"")</f>
        <v/>
      </c>
      <c r="I141" s="69" t="str">
        <f>IF(ISNUMBER(deployment_raw[[#This Row],[Column6]]), (deployment_raw[[#This Row],[Column6]] * IF($E$2="Deployment",deployment_raw[[#This Row],[Column5]],1)),"")</f>
        <v/>
      </c>
      <c r="J141" s="79" t="str">
        <f>IF(ISNUMBER(deployment_raw[[#This Row],[Column19]]), IF(K141&lt;&gt;0,(deployment_raw[[#This Row],[Column19]]/IF(OR($E$2="Deployment",deployment_raw[[#This Row],[Column5]]=0),1,deployment_raw[[#This Row],[Column5]]))/K141,0),"")</f>
        <v/>
      </c>
      <c r="K141" s="72" t="str">
        <f>IF(ISNUMBER(deployment_raw[[#This Row],[Column8]]), (deployment_raw[[#This Row],[Column8]]  * IF($E$2="Deployment",deployment_raw[[#This Row],[Column5]],1)),"")</f>
        <v/>
      </c>
      <c r="L14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4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41" s="81" t="str">
        <f>IF(ISNUMBER(deployment_raw[[#This Row],[Column20]]), IF(O141&lt;&gt;0,deployment_raw[[#This Row],[Column20]]/IF(OR($E$2="Deployment",deployment_raw[[#This Row],[Column5]]=0),1,deployment_raw[[#This Row],[Column5]])/1048576/O141,0),"")</f>
        <v/>
      </c>
      <c r="O141" s="74" t="str">
        <f>IF(ISNUMBER(deployment_raw[[#This Row],[Column7]]), (deployment_raw[[#This Row],[Column7]] * IF($E$2="Deployment",deployment_raw[[#This Row],[Column5]],1))/1048576,"")</f>
        <v/>
      </c>
      <c r="P141" s="81" t="str">
        <f>IF(ISNUMBER(deployment_raw[[#This Row],[Column20]]), IF(Q141&lt;&gt;0,deployment_raw[[#This Row],[Column20]]/IF(OR($E$2="Deployment",deployment_raw[[#This Row],[Column5]]=0),1,deployment_raw[[#This Row],[Column5]])/1048576/Q141,0),"")</f>
        <v/>
      </c>
      <c r="Q141" s="76" t="str">
        <f>IF(ISNUMBER(deployment_raw[[#This Row],[Column9]]), (deployment_raw[[#This Row],[Column9]] * IF($E$2="Deployment",deployment_raw[[#This Row],[Column5]],1))/1048576,"")</f>
        <v/>
      </c>
      <c r="R141" s="57" t="str">
        <f>IF(ISNUMBER(deployment_raw[[#This Row],[Column10]]), (deployment_raw[[#This Row],[Column10]] * IF($E$2="Deployment",deployment_raw[[#This Row],[Column5]],1)),"")</f>
        <v/>
      </c>
      <c r="S141" s="48" t="str">
        <f>IF(ISNUMBER(deployment_raw[[#This Row],[Column11]]), (deployment_raw[[#This Row],[Column11]] * IF($E$2="Deployment",deployment_raw[[#This Row],[Column5]],1))/1048576,"")</f>
        <v/>
      </c>
      <c r="T141" s="59" t="str">
        <f>IF(ISNUMBER(deployment_raw[[#This Row],[Column8]]),IF(OR(deployment_raw[[#This Row],[Column5]] &lt;&gt; 0,$E$2 &lt;&gt; "Deployment"), MAX(V141, ($T$2 * IF($E$2="Deployment",deployment_raw[[#This Row],[Column5]],1))), 0),"")</f>
        <v/>
      </c>
      <c r="U141" s="50" t="str">
        <f>IF(ISNUMBER(deployment_raw[[#This Row],[Column9]]),IF(OR(deployment_raw[[#This Row],[Column5]] &lt;&gt; 0,$E$2&lt;&gt;"Deployment"), MAX(W141, ($U$2 * IF($E$2="Deployment",deployment_raw[[#This Row],[Column5]],1))), 0),"")</f>
        <v/>
      </c>
      <c r="V141" s="15" t="str">
        <f>IF(ISNUMBER(deployment_raw[[#This Row],[Column12]]), (deployment_raw[[#This Row],[Column12]] * IF($E$2="Deployment",deployment_raw[[#This Row],[Column5]],1)*(1+$V$2)),"")</f>
        <v/>
      </c>
      <c r="W141" s="14" t="str">
        <f>IF(ISNUMBER(deployment_raw[[#This Row],[Column13]]), (deployment_raw[[#This Row],[Column13]] * IF($E$2="Deployment",deployment_raw[[#This Row],[Column5]],1)*(1+$W$2))/1048576,"")</f>
        <v/>
      </c>
    </row>
    <row r="142" spans="1:23" ht="15.75" customHeight="1" x14ac:dyDescent="0.25">
      <c r="A142" s="5" t="str">
        <f>IF(ISNONTEXT(deployment_raw[[#This Row],[Column1]]), "", deployment_raw[[#This Row],[Column1]])</f>
        <v/>
      </c>
      <c r="B142" s="6" t="str">
        <f>IF(ISNONTEXT(deployment_raw[[#This Row],[Column2]]), "", deployment_raw[[#This Row],[Column2]])</f>
        <v/>
      </c>
      <c r="C142" s="6" t="str">
        <f>IF(ISNONTEXT(deployment_raw[[#This Row],[Column3]]), "", deployment_raw[[#This Row],[Column3]])</f>
        <v/>
      </c>
      <c r="D142" s="6" t="str">
        <f>IF(ISNONTEXT(deployment_raw[[#This Row],[Column4]]), "", deployment_raw[[#This Row],[Column4]])</f>
        <v/>
      </c>
      <c r="E142" s="7" t="str">
        <f>IF(ISNUMBER(deployment_raw[[#This Row],[Column5]]), deployment_raw[[#This Row],[Column5]],"")</f>
        <v/>
      </c>
      <c r="F142" s="32" t="str">
        <f>IF(ISNUMBER(deployment_raw[[#This Row],[Column17]]), deployment_raw[[#This Row],[Column17]]/IF(OR($E$2="Deployment",deployment_raw[[#This Row],[Column5]]=0),1,deployment_raw[[#This Row],[Column5]]),"")</f>
        <v/>
      </c>
      <c r="G142" s="42" t="str">
        <f>IF(ISNUMBER(deployment_raw[[#This Row],[Column14]]), deployment_raw[[#This Row],[Column14]]/IF(OR($E$2="Deployment",deployment_raw[[#This Row],[Column5]]=0),1,deployment_raw[[#This Row],[Column5]]),"")</f>
        <v/>
      </c>
      <c r="H142" s="79" t="str">
        <f>IF(ISNUMBER(deployment_raw[[#This Row],[Column19]]), IF(I142&lt;&gt;0,(deployment_raw[[#This Row],[Column19]]/IF(OR($E$2="Deployment",deployment_raw[[#This Row],[Column5]]=0),1,deployment_raw[[#This Row],[Column5]]))/I142,0),"")</f>
        <v/>
      </c>
      <c r="I142" s="69" t="str">
        <f>IF(ISNUMBER(deployment_raw[[#This Row],[Column6]]), (deployment_raw[[#This Row],[Column6]] * IF($E$2="Deployment",deployment_raw[[#This Row],[Column5]],1)),"")</f>
        <v/>
      </c>
      <c r="J142" s="79" t="str">
        <f>IF(ISNUMBER(deployment_raw[[#This Row],[Column19]]), IF(K142&lt;&gt;0,(deployment_raw[[#This Row],[Column19]]/IF(OR($E$2="Deployment",deployment_raw[[#This Row],[Column5]]=0),1,deployment_raw[[#This Row],[Column5]]))/K142,0),"")</f>
        <v/>
      </c>
      <c r="K142" s="72" t="str">
        <f>IF(ISNUMBER(deployment_raw[[#This Row],[Column8]]), (deployment_raw[[#This Row],[Column8]]  * IF($E$2="Deployment",deployment_raw[[#This Row],[Column5]],1)),"")</f>
        <v/>
      </c>
      <c r="L14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4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42" s="81" t="str">
        <f>IF(ISNUMBER(deployment_raw[[#This Row],[Column20]]), IF(O142&lt;&gt;0,deployment_raw[[#This Row],[Column20]]/IF(OR($E$2="Deployment",deployment_raw[[#This Row],[Column5]]=0),1,deployment_raw[[#This Row],[Column5]])/1048576/O142,0),"")</f>
        <v/>
      </c>
      <c r="O142" s="74" t="str">
        <f>IF(ISNUMBER(deployment_raw[[#This Row],[Column7]]), (deployment_raw[[#This Row],[Column7]] * IF($E$2="Deployment",deployment_raw[[#This Row],[Column5]],1))/1048576,"")</f>
        <v/>
      </c>
      <c r="P142" s="81" t="str">
        <f>IF(ISNUMBER(deployment_raw[[#This Row],[Column20]]), IF(Q142&lt;&gt;0,deployment_raw[[#This Row],[Column20]]/IF(OR($E$2="Deployment",deployment_raw[[#This Row],[Column5]]=0),1,deployment_raw[[#This Row],[Column5]])/1048576/Q142,0),"")</f>
        <v/>
      </c>
      <c r="Q142" s="76" t="str">
        <f>IF(ISNUMBER(deployment_raw[[#This Row],[Column9]]), (deployment_raw[[#This Row],[Column9]] * IF($E$2="Deployment",deployment_raw[[#This Row],[Column5]],1))/1048576,"")</f>
        <v/>
      </c>
      <c r="R142" s="57" t="str">
        <f>IF(ISNUMBER(deployment_raw[[#This Row],[Column10]]), (deployment_raw[[#This Row],[Column10]] * IF($E$2="Deployment",deployment_raw[[#This Row],[Column5]],1)),"")</f>
        <v/>
      </c>
      <c r="S142" s="48" t="str">
        <f>IF(ISNUMBER(deployment_raw[[#This Row],[Column11]]), (deployment_raw[[#This Row],[Column11]] * IF($E$2="Deployment",deployment_raw[[#This Row],[Column5]],1))/1048576,"")</f>
        <v/>
      </c>
      <c r="T142" s="59" t="str">
        <f>IF(ISNUMBER(deployment_raw[[#This Row],[Column8]]),IF(OR(deployment_raw[[#This Row],[Column5]] &lt;&gt; 0,$E$2 &lt;&gt; "Deployment"), MAX(V142, ($T$2 * IF($E$2="Deployment",deployment_raw[[#This Row],[Column5]],1))), 0),"")</f>
        <v/>
      </c>
      <c r="U142" s="50" t="str">
        <f>IF(ISNUMBER(deployment_raw[[#This Row],[Column9]]),IF(OR(deployment_raw[[#This Row],[Column5]] &lt;&gt; 0,$E$2&lt;&gt;"Deployment"), MAX(W142, ($U$2 * IF($E$2="Deployment",deployment_raw[[#This Row],[Column5]],1))), 0),"")</f>
        <v/>
      </c>
      <c r="V142" s="15" t="str">
        <f>IF(ISNUMBER(deployment_raw[[#This Row],[Column12]]), (deployment_raw[[#This Row],[Column12]] * IF($E$2="Deployment",deployment_raw[[#This Row],[Column5]],1)*(1+$V$2)),"")</f>
        <v/>
      </c>
      <c r="W142" s="14" t="str">
        <f>IF(ISNUMBER(deployment_raw[[#This Row],[Column13]]), (deployment_raw[[#This Row],[Column13]] * IF($E$2="Deployment",deployment_raw[[#This Row],[Column5]],1)*(1+$W$2))/1048576,"")</f>
        <v/>
      </c>
    </row>
    <row r="143" spans="1:23" ht="15.75" customHeight="1" x14ac:dyDescent="0.25">
      <c r="A143" s="5" t="str">
        <f>IF(ISNONTEXT(deployment_raw[[#This Row],[Column1]]), "", deployment_raw[[#This Row],[Column1]])</f>
        <v/>
      </c>
      <c r="B143" s="6" t="str">
        <f>IF(ISNONTEXT(deployment_raw[[#This Row],[Column2]]), "", deployment_raw[[#This Row],[Column2]])</f>
        <v/>
      </c>
      <c r="C143" s="6" t="str">
        <f>IF(ISNONTEXT(deployment_raw[[#This Row],[Column3]]), "", deployment_raw[[#This Row],[Column3]])</f>
        <v/>
      </c>
      <c r="D143" s="6" t="str">
        <f>IF(ISNONTEXT(deployment_raw[[#This Row],[Column4]]), "", deployment_raw[[#This Row],[Column4]])</f>
        <v/>
      </c>
      <c r="E143" s="7" t="str">
        <f>IF(ISNUMBER(deployment_raw[[#This Row],[Column5]]), deployment_raw[[#This Row],[Column5]],"")</f>
        <v/>
      </c>
      <c r="F143" s="32" t="str">
        <f>IF(ISNUMBER(deployment_raw[[#This Row],[Column17]]), deployment_raw[[#This Row],[Column17]]/IF(OR($E$2="Deployment",deployment_raw[[#This Row],[Column5]]=0),1,deployment_raw[[#This Row],[Column5]]),"")</f>
        <v/>
      </c>
      <c r="G143" s="42" t="str">
        <f>IF(ISNUMBER(deployment_raw[[#This Row],[Column14]]), deployment_raw[[#This Row],[Column14]]/IF(OR($E$2="Deployment",deployment_raw[[#This Row],[Column5]]=0),1,deployment_raw[[#This Row],[Column5]]),"")</f>
        <v/>
      </c>
      <c r="H143" s="79" t="str">
        <f>IF(ISNUMBER(deployment_raw[[#This Row],[Column19]]), IF(I143&lt;&gt;0,(deployment_raw[[#This Row],[Column19]]/IF(OR($E$2="Deployment",deployment_raw[[#This Row],[Column5]]=0),1,deployment_raw[[#This Row],[Column5]]))/I143,0),"")</f>
        <v/>
      </c>
      <c r="I143" s="69" t="str">
        <f>IF(ISNUMBER(deployment_raw[[#This Row],[Column6]]), (deployment_raw[[#This Row],[Column6]] * IF($E$2="Deployment",deployment_raw[[#This Row],[Column5]],1)),"")</f>
        <v/>
      </c>
      <c r="J143" s="79" t="str">
        <f>IF(ISNUMBER(deployment_raw[[#This Row],[Column19]]), IF(K143&lt;&gt;0,(deployment_raw[[#This Row],[Column19]]/IF(OR($E$2="Deployment",deployment_raw[[#This Row],[Column5]]=0),1,deployment_raw[[#This Row],[Column5]]))/K143,0),"")</f>
        <v/>
      </c>
      <c r="K143" s="72" t="str">
        <f>IF(ISNUMBER(deployment_raw[[#This Row],[Column8]]), (deployment_raw[[#This Row],[Column8]]  * IF($E$2="Deployment",deployment_raw[[#This Row],[Column5]],1)),"")</f>
        <v/>
      </c>
      <c r="L14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4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43" s="81" t="str">
        <f>IF(ISNUMBER(deployment_raw[[#This Row],[Column20]]), IF(O143&lt;&gt;0,deployment_raw[[#This Row],[Column20]]/IF(OR($E$2="Deployment",deployment_raw[[#This Row],[Column5]]=0),1,deployment_raw[[#This Row],[Column5]])/1048576/O143,0),"")</f>
        <v/>
      </c>
      <c r="O143" s="74" t="str">
        <f>IF(ISNUMBER(deployment_raw[[#This Row],[Column7]]), (deployment_raw[[#This Row],[Column7]] * IF($E$2="Deployment",deployment_raw[[#This Row],[Column5]],1))/1048576,"")</f>
        <v/>
      </c>
      <c r="P143" s="81" t="str">
        <f>IF(ISNUMBER(deployment_raw[[#This Row],[Column20]]), IF(Q143&lt;&gt;0,deployment_raw[[#This Row],[Column20]]/IF(OR($E$2="Deployment",deployment_raw[[#This Row],[Column5]]=0),1,deployment_raw[[#This Row],[Column5]])/1048576/Q143,0),"")</f>
        <v/>
      </c>
      <c r="Q143" s="76" t="str">
        <f>IF(ISNUMBER(deployment_raw[[#This Row],[Column9]]), (deployment_raw[[#This Row],[Column9]] * IF($E$2="Deployment",deployment_raw[[#This Row],[Column5]],1))/1048576,"")</f>
        <v/>
      </c>
      <c r="R143" s="57" t="str">
        <f>IF(ISNUMBER(deployment_raw[[#This Row],[Column10]]), (deployment_raw[[#This Row],[Column10]] * IF($E$2="Deployment",deployment_raw[[#This Row],[Column5]],1)),"")</f>
        <v/>
      </c>
      <c r="S143" s="48" t="str">
        <f>IF(ISNUMBER(deployment_raw[[#This Row],[Column11]]), (deployment_raw[[#This Row],[Column11]] * IF($E$2="Deployment",deployment_raw[[#This Row],[Column5]],1))/1048576,"")</f>
        <v/>
      </c>
      <c r="T143" s="59" t="str">
        <f>IF(ISNUMBER(deployment_raw[[#This Row],[Column8]]),IF(OR(deployment_raw[[#This Row],[Column5]] &lt;&gt; 0,$E$2 &lt;&gt; "Deployment"), MAX(V143, ($T$2 * IF($E$2="Deployment",deployment_raw[[#This Row],[Column5]],1))), 0),"")</f>
        <v/>
      </c>
      <c r="U143" s="50" t="str">
        <f>IF(ISNUMBER(deployment_raw[[#This Row],[Column9]]),IF(OR(deployment_raw[[#This Row],[Column5]] &lt;&gt; 0,$E$2&lt;&gt;"Deployment"), MAX(W143, ($U$2 * IF($E$2="Deployment",deployment_raw[[#This Row],[Column5]],1))), 0),"")</f>
        <v/>
      </c>
      <c r="V143" s="15" t="str">
        <f>IF(ISNUMBER(deployment_raw[[#This Row],[Column12]]), (deployment_raw[[#This Row],[Column12]] * IF($E$2="Deployment",deployment_raw[[#This Row],[Column5]],1)*(1+$V$2)),"")</f>
        <v/>
      </c>
      <c r="W143" s="14" t="str">
        <f>IF(ISNUMBER(deployment_raw[[#This Row],[Column13]]), (deployment_raw[[#This Row],[Column13]] * IF($E$2="Deployment",deployment_raw[[#This Row],[Column5]],1)*(1+$W$2))/1048576,"")</f>
        <v/>
      </c>
    </row>
    <row r="144" spans="1:23" ht="15.75" customHeight="1" x14ac:dyDescent="0.25">
      <c r="A144" s="5" t="str">
        <f>IF(ISNONTEXT(deployment_raw[[#This Row],[Column1]]), "", deployment_raw[[#This Row],[Column1]])</f>
        <v/>
      </c>
      <c r="B144" s="6" t="str">
        <f>IF(ISNONTEXT(deployment_raw[[#This Row],[Column2]]), "", deployment_raw[[#This Row],[Column2]])</f>
        <v/>
      </c>
      <c r="C144" s="6" t="str">
        <f>IF(ISNONTEXT(deployment_raw[[#This Row],[Column3]]), "", deployment_raw[[#This Row],[Column3]])</f>
        <v/>
      </c>
      <c r="D144" s="6" t="str">
        <f>IF(ISNONTEXT(deployment_raw[[#This Row],[Column4]]), "", deployment_raw[[#This Row],[Column4]])</f>
        <v/>
      </c>
      <c r="E144" s="7" t="str">
        <f>IF(ISNUMBER(deployment_raw[[#This Row],[Column5]]), deployment_raw[[#This Row],[Column5]],"")</f>
        <v/>
      </c>
      <c r="F144" s="32" t="str">
        <f>IF(ISNUMBER(deployment_raw[[#This Row],[Column17]]), deployment_raw[[#This Row],[Column17]]/IF(OR($E$2="Deployment",deployment_raw[[#This Row],[Column5]]=0),1,deployment_raw[[#This Row],[Column5]]),"")</f>
        <v/>
      </c>
      <c r="G144" s="42" t="str">
        <f>IF(ISNUMBER(deployment_raw[[#This Row],[Column14]]), deployment_raw[[#This Row],[Column14]]/IF(OR($E$2="Deployment",deployment_raw[[#This Row],[Column5]]=0),1,deployment_raw[[#This Row],[Column5]]),"")</f>
        <v/>
      </c>
      <c r="H144" s="79" t="str">
        <f>IF(ISNUMBER(deployment_raw[[#This Row],[Column19]]), IF(I144&lt;&gt;0,(deployment_raw[[#This Row],[Column19]]/IF(OR($E$2="Deployment",deployment_raw[[#This Row],[Column5]]=0),1,deployment_raw[[#This Row],[Column5]]))/I144,0),"")</f>
        <v/>
      </c>
      <c r="I144" s="69" t="str">
        <f>IF(ISNUMBER(deployment_raw[[#This Row],[Column6]]), (deployment_raw[[#This Row],[Column6]] * IF($E$2="Deployment",deployment_raw[[#This Row],[Column5]],1)),"")</f>
        <v/>
      </c>
      <c r="J144" s="79" t="str">
        <f>IF(ISNUMBER(deployment_raw[[#This Row],[Column19]]), IF(K144&lt;&gt;0,(deployment_raw[[#This Row],[Column19]]/IF(OR($E$2="Deployment",deployment_raw[[#This Row],[Column5]]=0),1,deployment_raw[[#This Row],[Column5]]))/K144,0),"")</f>
        <v/>
      </c>
      <c r="K144" s="72" t="str">
        <f>IF(ISNUMBER(deployment_raw[[#This Row],[Column8]]), (deployment_raw[[#This Row],[Column8]]  * IF($E$2="Deployment",deployment_raw[[#This Row],[Column5]],1)),"")</f>
        <v/>
      </c>
      <c r="L14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4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44" s="81" t="str">
        <f>IF(ISNUMBER(deployment_raw[[#This Row],[Column20]]), IF(O144&lt;&gt;0,deployment_raw[[#This Row],[Column20]]/IF(OR($E$2="Deployment",deployment_raw[[#This Row],[Column5]]=0),1,deployment_raw[[#This Row],[Column5]])/1048576/O144,0),"")</f>
        <v/>
      </c>
      <c r="O144" s="74" t="str">
        <f>IF(ISNUMBER(deployment_raw[[#This Row],[Column7]]), (deployment_raw[[#This Row],[Column7]] * IF($E$2="Deployment",deployment_raw[[#This Row],[Column5]],1))/1048576,"")</f>
        <v/>
      </c>
      <c r="P144" s="81" t="str">
        <f>IF(ISNUMBER(deployment_raw[[#This Row],[Column20]]), IF(Q144&lt;&gt;0,deployment_raw[[#This Row],[Column20]]/IF(OR($E$2="Deployment",deployment_raw[[#This Row],[Column5]]=0),1,deployment_raw[[#This Row],[Column5]])/1048576/Q144,0),"")</f>
        <v/>
      </c>
      <c r="Q144" s="76" t="str">
        <f>IF(ISNUMBER(deployment_raw[[#This Row],[Column9]]), (deployment_raw[[#This Row],[Column9]] * IF($E$2="Deployment",deployment_raw[[#This Row],[Column5]],1))/1048576,"")</f>
        <v/>
      </c>
      <c r="R144" s="57" t="str">
        <f>IF(ISNUMBER(deployment_raw[[#This Row],[Column10]]), (deployment_raw[[#This Row],[Column10]] * IF($E$2="Deployment",deployment_raw[[#This Row],[Column5]],1)),"")</f>
        <v/>
      </c>
      <c r="S144" s="48" t="str">
        <f>IF(ISNUMBER(deployment_raw[[#This Row],[Column11]]), (deployment_raw[[#This Row],[Column11]] * IF($E$2="Deployment",deployment_raw[[#This Row],[Column5]],1))/1048576,"")</f>
        <v/>
      </c>
      <c r="T144" s="59" t="str">
        <f>IF(ISNUMBER(deployment_raw[[#This Row],[Column8]]),IF(OR(deployment_raw[[#This Row],[Column5]] &lt;&gt; 0,$E$2 &lt;&gt; "Deployment"), MAX(V144, ($T$2 * IF($E$2="Deployment",deployment_raw[[#This Row],[Column5]],1))), 0),"")</f>
        <v/>
      </c>
      <c r="U144" s="50" t="str">
        <f>IF(ISNUMBER(deployment_raw[[#This Row],[Column9]]),IF(OR(deployment_raw[[#This Row],[Column5]] &lt;&gt; 0,$E$2&lt;&gt;"Deployment"), MAX(W144, ($U$2 * IF($E$2="Deployment",deployment_raw[[#This Row],[Column5]],1))), 0),"")</f>
        <v/>
      </c>
      <c r="V144" s="15" t="str">
        <f>IF(ISNUMBER(deployment_raw[[#This Row],[Column12]]), (deployment_raw[[#This Row],[Column12]] * IF($E$2="Deployment",deployment_raw[[#This Row],[Column5]],1)*(1+$V$2)),"")</f>
        <v/>
      </c>
      <c r="W144" s="14" t="str">
        <f>IF(ISNUMBER(deployment_raw[[#This Row],[Column13]]), (deployment_raw[[#This Row],[Column13]] * IF($E$2="Deployment",deployment_raw[[#This Row],[Column5]],1)*(1+$W$2))/1048576,"")</f>
        <v/>
      </c>
    </row>
    <row r="145" spans="1:23" ht="15.75" customHeight="1" x14ac:dyDescent="0.25">
      <c r="A145" s="5" t="str">
        <f>IF(ISNONTEXT(deployment_raw[[#This Row],[Column1]]), "", deployment_raw[[#This Row],[Column1]])</f>
        <v/>
      </c>
      <c r="B145" s="6" t="str">
        <f>IF(ISNONTEXT(deployment_raw[[#This Row],[Column2]]), "", deployment_raw[[#This Row],[Column2]])</f>
        <v/>
      </c>
      <c r="C145" s="6" t="str">
        <f>IF(ISNONTEXT(deployment_raw[[#This Row],[Column3]]), "", deployment_raw[[#This Row],[Column3]])</f>
        <v/>
      </c>
      <c r="D145" s="6" t="str">
        <f>IF(ISNONTEXT(deployment_raw[[#This Row],[Column4]]), "", deployment_raw[[#This Row],[Column4]])</f>
        <v/>
      </c>
      <c r="E145" s="7" t="str">
        <f>IF(ISNUMBER(deployment_raw[[#This Row],[Column5]]), deployment_raw[[#This Row],[Column5]],"")</f>
        <v/>
      </c>
      <c r="F145" s="32" t="str">
        <f>IF(ISNUMBER(deployment_raw[[#This Row],[Column17]]), deployment_raw[[#This Row],[Column17]]/IF(OR($E$2="Deployment",deployment_raw[[#This Row],[Column5]]=0),1,deployment_raw[[#This Row],[Column5]]),"")</f>
        <v/>
      </c>
      <c r="G145" s="42" t="str">
        <f>IF(ISNUMBER(deployment_raw[[#This Row],[Column14]]), deployment_raw[[#This Row],[Column14]]/IF(OR($E$2="Deployment",deployment_raw[[#This Row],[Column5]]=0),1,deployment_raw[[#This Row],[Column5]]),"")</f>
        <v/>
      </c>
      <c r="H145" s="79" t="str">
        <f>IF(ISNUMBER(deployment_raw[[#This Row],[Column19]]), IF(I145&lt;&gt;0,(deployment_raw[[#This Row],[Column19]]/IF(OR($E$2="Deployment",deployment_raw[[#This Row],[Column5]]=0),1,deployment_raw[[#This Row],[Column5]]))/I145,0),"")</f>
        <v/>
      </c>
      <c r="I145" s="69" t="str">
        <f>IF(ISNUMBER(deployment_raw[[#This Row],[Column6]]), (deployment_raw[[#This Row],[Column6]] * IF($E$2="Deployment",deployment_raw[[#This Row],[Column5]],1)),"")</f>
        <v/>
      </c>
      <c r="J145" s="79" t="str">
        <f>IF(ISNUMBER(deployment_raw[[#This Row],[Column19]]), IF(K145&lt;&gt;0,(deployment_raw[[#This Row],[Column19]]/IF(OR($E$2="Deployment",deployment_raw[[#This Row],[Column5]]=0),1,deployment_raw[[#This Row],[Column5]]))/K145,0),"")</f>
        <v/>
      </c>
      <c r="K145" s="72" t="str">
        <f>IF(ISNUMBER(deployment_raw[[#This Row],[Column8]]), (deployment_raw[[#This Row],[Column8]]  * IF($E$2="Deployment",deployment_raw[[#This Row],[Column5]],1)),"")</f>
        <v/>
      </c>
      <c r="L14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4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45" s="81" t="str">
        <f>IF(ISNUMBER(deployment_raw[[#This Row],[Column20]]), IF(O145&lt;&gt;0,deployment_raw[[#This Row],[Column20]]/IF(OR($E$2="Deployment",deployment_raw[[#This Row],[Column5]]=0),1,deployment_raw[[#This Row],[Column5]])/1048576/O145,0),"")</f>
        <v/>
      </c>
      <c r="O145" s="74" t="str">
        <f>IF(ISNUMBER(deployment_raw[[#This Row],[Column7]]), (deployment_raw[[#This Row],[Column7]] * IF($E$2="Deployment",deployment_raw[[#This Row],[Column5]],1))/1048576,"")</f>
        <v/>
      </c>
      <c r="P145" s="81" t="str">
        <f>IF(ISNUMBER(deployment_raw[[#This Row],[Column20]]), IF(Q145&lt;&gt;0,deployment_raw[[#This Row],[Column20]]/IF(OR($E$2="Deployment",deployment_raw[[#This Row],[Column5]]=0),1,deployment_raw[[#This Row],[Column5]])/1048576/Q145,0),"")</f>
        <v/>
      </c>
      <c r="Q145" s="76" t="str">
        <f>IF(ISNUMBER(deployment_raw[[#This Row],[Column9]]), (deployment_raw[[#This Row],[Column9]] * IF($E$2="Deployment",deployment_raw[[#This Row],[Column5]],1))/1048576,"")</f>
        <v/>
      </c>
      <c r="R145" s="57" t="str">
        <f>IF(ISNUMBER(deployment_raw[[#This Row],[Column10]]), (deployment_raw[[#This Row],[Column10]] * IF($E$2="Deployment",deployment_raw[[#This Row],[Column5]],1)),"")</f>
        <v/>
      </c>
      <c r="S145" s="48" t="str">
        <f>IF(ISNUMBER(deployment_raw[[#This Row],[Column11]]), (deployment_raw[[#This Row],[Column11]] * IF($E$2="Deployment",deployment_raw[[#This Row],[Column5]],1))/1048576,"")</f>
        <v/>
      </c>
      <c r="T145" s="59" t="str">
        <f>IF(ISNUMBER(deployment_raw[[#This Row],[Column8]]),IF(OR(deployment_raw[[#This Row],[Column5]] &lt;&gt; 0,$E$2 &lt;&gt; "Deployment"), MAX(V145, ($T$2 * IF($E$2="Deployment",deployment_raw[[#This Row],[Column5]],1))), 0),"")</f>
        <v/>
      </c>
      <c r="U145" s="50" t="str">
        <f>IF(ISNUMBER(deployment_raw[[#This Row],[Column9]]),IF(OR(deployment_raw[[#This Row],[Column5]] &lt;&gt; 0,$E$2&lt;&gt;"Deployment"), MAX(W145, ($U$2 * IF($E$2="Deployment",deployment_raw[[#This Row],[Column5]],1))), 0),"")</f>
        <v/>
      </c>
      <c r="V145" s="15" t="str">
        <f>IF(ISNUMBER(deployment_raw[[#This Row],[Column12]]), (deployment_raw[[#This Row],[Column12]] * IF($E$2="Deployment",deployment_raw[[#This Row],[Column5]],1)*(1+$V$2)),"")</f>
        <v/>
      </c>
      <c r="W145" s="14" t="str">
        <f>IF(ISNUMBER(deployment_raw[[#This Row],[Column13]]), (deployment_raw[[#This Row],[Column13]] * IF($E$2="Deployment",deployment_raw[[#This Row],[Column5]],1)*(1+$W$2))/1048576,"")</f>
        <v/>
      </c>
    </row>
    <row r="146" spans="1:23" ht="15.75" customHeight="1" x14ac:dyDescent="0.25">
      <c r="A146" s="5" t="str">
        <f>IF(ISNONTEXT(deployment_raw[[#This Row],[Column1]]), "", deployment_raw[[#This Row],[Column1]])</f>
        <v/>
      </c>
      <c r="B146" s="6" t="str">
        <f>IF(ISNONTEXT(deployment_raw[[#This Row],[Column2]]), "", deployment_raw[[#This Row],[Column2]])</f>
        <v/>
      </c>
      <c r="C146" s="6" t="str">
        <f>IF(ISNONTEXT(deployment_raw[[#This Row],[Column3]]), "", deployment_raw[[#This Row],[Column3]])</f>
        <v/>
      </c>
      <c r="D146" s="6" t="str">
        <f>IF(ISNONTEXT(deployment_raw[[#This Row],[Column4]]), "", deployment_raw[[#This Row],[Column4]])</f>
        <v/>
      </c>
      <c r="E146" s="7" t="str">
        <f>IF(ISNUMBER(deployment_raw[[#This Row],[Column5]]), deployment_raw[[#This Row],[Column5]],"")</f>
        <v/>
      </c>
      <c r="F146" s="32" t="str">
        <f>IF(ISNUMBER(deployment_raw[[#This Row],[Column17]]), deployment_raw[[#This Row],[Column17]]/IF(OR($E$2="Deployment",deployment_raw[[#This Row],[Column5]]=0),1,deployment_raw[[#This Row],[Column5]]),"")</f>
        <v/>
      </c>
      <c r="G146" s="42" t="str">
        <f>IF(ISNUMBER(deployment_raw[[#This Row],[Column14]]), deployment_raw[[#This Row],[Column14]]/IF(OR($E$2="Deployment",deployment_raw[[#This Row],[Column5]]=0),1,deployment_raw[[#This Row],[Column5]]),"")</f>
        <v/>
      </c>
      <c r="H146" s="79" t="str">
        <f>IF(ISNUMBER(deployment_raw[[#This Row],[Column19]]), IF(I146&lt;&gt;0,(deployment_raw[[#This Row],[Column19]]/IF(OR($E$2="Deployment",deployment_raw[[#This Row],[Column5]]=0),1,deployment_raw[[#This Row],[Column5]]))/I146,0),"")</f>
        <v/>
      </c>
      <c r="I146" s="69" t="str">
        <f>IF(ISNUMBER(deployment_raw[[#This Row],[Column6]]), (deployment_raw[[#This Row],[Column6]] * IF($E$2="Deployment",deployment_raw[[#This Row],[Column5]],1)),"")</f>
        <v/>
      </c>
      <c r="J146" s="79" t="str">
        <f>IF(ISNUMBER(deployment_raw[[#This Row],[Column19]]), IF(K146&lt;&gt;0,(deployment_raw[[#This Row],[Column19]]/IF(OR($E$2="Deployment",deployment_raw[[#This Row],[Column5]]=0),1,deployment_raw[[#This Row],[Column5]]))/K146,0),"")</f>
        <v/>
      </c>
      <c r="K146" s="72" t="str">
        <f>IF(ISNUMBER(deployment_raw[[#This Row],[Column8]]), (deployment_raw[[#This Row],[Column8]]  * IF($E$2="Deployment",deployment_raw[[#This Row],[Column5]],1)),"")</f>
        <v/>
      </c>
      <c r="L14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4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46" s="81" t="str">
        <f>IF(ISNUMBER(deployment_raw[[#This Row],[Column20]]), IF(O146&lt;&gt;0,deployment_raw[[#This Row],[Column20]]/IF(OR($E$2="Deployment",deployment_raw[[#This Row],[Column5]]=0),1,deployment_raw[[#This Row],[Column5]])/1048576/O146,0),"")</f>
        <v/>
      </c>
      <c r="O146" s="74" t="str">
        <f>IF(ISNUMBER(deployment_raw[[#This Row],[Column7]]), (deployment_raw[[#This Row],[Column7]] * IF($E$2="Deployment",deployment_raw[[#This Row],[Column5]],1))/1048576,"")</f>
        <v/>
      </c>
      <c r="P146" s="81" t="str">
        <f>IF(ISNUMBER(deployment_raw[[#This Row],[Column20]]), IF(Q146&lt;&gt;0,deployment_raw[[#This Row],[Column20]]/IF(OR($E$2="Deployment",deployment_raw[[#This Row],[Column5]]=0),1,deployment_raw[[#This Row],[Column5]])/1048576/Q146,0),"")</f>
        <v/>
      </c>
      <c r="Q146" s="76" t="str">
        <f>IF(ISNUMBER(deployment_raw[[#This Row],[Column9]]), (deployment_raw[[#This Row],[Column9]] * IF($E$2="Deployment",deployment_raw[[#This Row],[Column5]],1))/1048576,"")</f>
        <v/>
      </c>
      <c r="R146" s="57" t="str">
        <f>IF(ISNUMBER(deployment_raw[[#This Row],[Column10]]), (deployment_raw[[#This Row],[Column10]] * IF($E$2="Deployment",deployment_raw[[#This Row],[Column5]],1)),"")</f>
        <v/>
      </c>
      <c r="S146" s="48" t="str">
        <f>IF(ISNUMBER(deployment_raw[[#This Row],[Column11]]), (deployment_raw[[#This Row],[Column11]] * IF($E$2="Deployment",deployment_raw[[#This Row],[Column5]],1))/1048576,"")</f>
        <v/>
      </c>
      <c r="T146" s="59" t="str">
        <f>IF(ISNUMBER(deployment_raw[[#This Row],[Column8]]),IF(OR(deployment_raw[[#This Row],[Column5]] &lt;&gt; 0,$E$2 &lt;&gt; "Deployment"), MAX(V146, ($T$2 * IF($E$2="Deployment",deployment_raw[[#This Row],[Column5]],1))), 0),"")</f>
        <v/>
      </c>
      <c r="U146" s="50" t="str">
        <f>IF(ISNUMBER(deployment_raw[[#This Row],[Column9]]),IF(OR(deployment_raw[[#This Row],[Column5]] &lt;&gt; 0,$E$2&lt;&gt;"Deployment"), MAX(W146, ($U$2 * IF($E$2="Deployment",deployment_raw[[#This Row],[Column5]],1))), 0),"")</f>
        <v/>
      </c>
      <c r="V146" s="15" t="str">
        <f>IF(ISNUMBER(deployment_raw[[#This Row],[Column12]]), (deployment_raw[[#This Row],[Column12]] * IF($E$2="Deployment",deployment_raw[[#This Row],[Column5]],1)*(1+$V$2)),"")</f>
        <v/>
      </c>
      <c r="W146" s="14" t="str">
        <f>IF(ISNUMBER(deployment_raw[[#This Row],[Column13]]), (deployment_raw[[#This Row],[Column13]] * IF($E$2="Deployment",deployment_raw[[#This Row],[Column5]],1)*(1+$W$2))/1048576,"")</f>
        <v/>
      </c>
    </row>
    <row r="147" spans="1:23" ht="15.75" customHeight="1" x14ac:dyDescent="0.25">
      <c r="A147" s="5" t="str">
        <f>IF(ISNONTEXT(deployment_raw[[#This Row],[Column1]]), "", deployment_raw[[#This Row],[Column1]])</f>
        <v/>
      </c>
      <c r="B147" s="6" t="str">
        <f>IF(ISNONTEXT(deployment_raw[[#This Row],[Column2]]), "", deployment_raw[[#This Row],[Column2]])</f>
        <v/>
      </c>
      <c r="C147" s="6" t="str">
        <f>IF(ISNONTEXT(deployment_raw[[#This Row],[Column3]]), "", deployment_raw[[#This Row],[Column3]])</f>
        <v/>
      </c>
      <c r="D147" s="6" t="str">
        <f>IF(ISNONTEXT(deployment_raw[[#This Row],[Column4]]), "", deployment_raw[[#This Row],[Column4]])</f>
        <v/>
      </c>
      <c r="E147" s="7" t="str">
        <f>IF(ISNUMBER(deployment_raw[[#This Row],[Column5]]), deployment_raw[[#This Row],[Column5]],"")</f>
        <v/>
      </c>
      <c r="F147" s="32" t="str">
        <f>IF(ISNUMBER(deployment_raw[[#This Row],[Column17]]), deployment_raw[[#This Row],[Column17]]/IF(OR($E$2="Deployment",deployment_raw[[#This Row],[Column5]]=0),1,deployment_raw[[#This Row],[Column5]]),"")</f>
        <v/>
      </c>
      <c r="G147" s="42" t="str">
        <f>IF(ISNUMBER(deployment_raw[[#This Row],[Column14]]), deployment_raw[[#This Row],[Column14]]/IF(OR($E$2="Deployment",deployment_raw[[#This Row],[Column5]]=0),1,deployment_raw[[#This Row],[Column5]]),"")</f>
        <v/>
      </c>
      <c r="H147" s="79" t="str">
        <f>IF(ISNUMBER(deployment_raw[[#This Row],[Column19]]), IF(I147&lt;&gt;0,(deployment_raw[[#This Row],[Column19]]/IF(OR($E$2="Deployment",deployment_raw[[#This Row],[Column5]]=0),1,deployment_raw[[#This Row],[Column5]]))/I147,0),"")</f>
        <v/>
      </c>
      <c r="I147" s="69" t="str">
        <f>IF(ISNUMBER(deployment_raw[[#This Row],[Column6]]), (deployment_raw[[#This Row],[Column6]] * IF($E$2="Deployment",deployment_raw[[#This Row],[Column5]],1)),"")</f>
        <v/>
      </c>
      <c r="J147" s="79" t="str">
        <f>IF(ISNUMBER(deployment_raw[[#This Row],[Column19]]), IF(K147&lt;&gt;0,(deployment_raw[[#This Row],[Column19]]/IF(OR($E$2="Deployment",deployment_raw[[#This Row],[Column5]]=0),1,deployment_raw[[#This Row],[Column5]]))/K147,0),"")</f>
        <v/>
      </c>
      <c r="K147" s="72" t="str">
        <f>IF(ISNUMBER(deployment_raw[[#This Row],[Column8]]), (deployment_raw[[#This Row],[Column8]]  * IF($E$2="Deployment",deployment_raw[[#This Row],[Column5]],1)),"")</f>
        <v/>
      </c>
      <c r="L14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4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47" s="81" t="str">
        <f>IF(ISNUMBER(deployment_raw[[#This Row],[Column20]]), IF(O147&lt;&gt;0,deployment_raw[[#This Row],[Column20]]/IF(OR($E$2="Deployment",deployment_raw[[#This Row],[Column5]]=0),1,deployment_raw[[#This Row],[Column5]])/1048576/O147,0),"")</f>
        <v/>
      </c>
      <c r="O147" s="74" t="str">
        <f>IF(ISNUMBER(deployment_raw[[#This Row],[Column7]]), (deployment_raw[[#This Row],[Column7]] * IF($E$2="Deployment",deployment_raw[[#This Row],[Column5]],1))/1048576,"")</f>
        <v/>
      </c>
      <c r="P147" s="81" t="str">
        <f>IF(ISNUMBER(deployment_raw[[#This Row],[Column20]]), IF(Q147&lt;&gt;0,deployment_raw[[#This Row],[Column20]]/IF(OR($E$2="Deployment",deployment_raw[[#This Row],[Column5]]=0),1,deployment_raw[[#This Row],[Column5]])/1048576/Q147,0),"")</f>
        <v/>
      </c>
      <c r="Q147" s="76" t="str">
        <f>IF(ISNUMBER(deployment_raw[[#This Row],[Column9]]), (deployment_raw[[#This Row],[Column9]] * IF($E$2="Deployment",deployment_raw[[#This Row],[Column5]],1))/1048576,"")</f>
        <v/>
      </c>
      <c r="R147" s="57" t="str">
        <f>IF(ISNUMBER(deployment_raw[[#This Row],[Column10]]), (deployment_raw[[#This Row],[Column10]] * IF($E$2="Deployment",deployment_raw[[#This Row],[Column5]],1)),"")</f>
        <v/>
      </c>
      <c r="S147" s="48" t="str">
        <f>IF(ISNUMBER(deployment_raw[[#This Row],[Column11]]), (deployment_raw[[#This Row],[Column11]] * IF($E$2="Deployment",deployment_raw[[#This Row],[Column5]],1))/1048576,"")</f>
        <v/>
      </c>
      <c r="T147" s="59" t="str">
        <f>IF(ISNUMBER(deployment_raw[[#This Row],[Column8]]),IF(OR(deployment_raw[[#This Row],[Column5]] &lt;&gt; 0,$E$2 &lt;&gt; "Deployment"), MAX(V147, ($T$2 * IF($E$2="Deployment",deployment_raw[[#This Row],[Column5]],1))), 0),"")</f>
        <v/>
      </c>
      <c r="U147" s="50" t="str">
        <f>IF(ISNUMBER(deployment_raw[[#This Row],[Column9]]),IF(OR(deployment_raw[[#This Row],[Column5]] &lt;&gt; 0,$E$2&lt;&gt;"Deployment"), MAX(W147, ($U$2 * IF($E$2="Deployment",deployment_raw[[#This Row],[Column5]],1))), 0),"")</f>
        <v/>
      </c>
      <c r="V147" s="15" t="str">
        <f>IF(ISNUMBER(deployment_raw[[#This Row],[Column12]]), (deployment_raw[[#This Row],[Column12]] * IF($E$2="Deployment",deployment_raw[[#This Row],[Column5]],1)*(1+$V$2)),"")</f>
        <v/>
      </c>
      <c r="W147" s="14" t="str">
        <f>IF(ISNUMBER(deployment_raw[[#This Row],[Column13]]), (deployment_raw[[#This Row],[Column13]] * IF($E$2="Deployment",deployment_raw[[#This Row],[Column5]],1)*(1+$W$2))/1048576,"")</f>
        <v/>
      </c>
    </row>
    <row r="148" spans="1:23" ht="15.75" customHeight="1" x14ac:dyDescent="0.25">
      <c r="A148" s="5" t="str">
        <f>IF(ISNONTEXT(deployment_raw[[#This Row],[Column1]]), "", deployment_raw[[#This Row],[Column1]])</f>
        <v/>
      </c>
      <c r="B148" s="6" t="str">
        <f>IF(ISNONTEXT(deployment_raw[[#This Row],[Column2]]), "", deployment_raw[[#This Row],[Column2]])</f>
        <v/>
      </c>
      <c r="C148" s="6" t="str">
        <f>IF(ISNONTEXT(deployment_raw[[#This Row],[Column3]]), "", deployment_raw[[#This Row],[Column3]])</f>
        <v/>
      </c>
      <c r="D148" s="6" t="str">
        <f>IF(ISNONTEXT(deployment_raw[[#This Row],[Column4]]), "", deployment_raw[[#This Row],[Column4]])</f>
        <v/>
      </c>
      <c r="E148" s="7" t="str">
        <f>IF(ISNUMBER(deployment_raw[[#This Row],[Column5]]), deployment_raw[[#This Row],[Column5]],"")</f>
        <v/>
      </c>
      <c r="F148" s="32" t="str">
        <f>IF(ISNUMBER(deployment_raw[[#This Row],[Column17]]), deployment_raw[[#This Row],[Column17]]/IF(OR($E$2="Deployment",deployment_raw[[#This Row],[Column5]]=0),1,deployment_raw[[#This Row],[Column5]]),"")</f>
        <v/>
      </c>
      <c r="G148" s="42" t="str">
        <f>IF(ISNUMBER(deployment_raw[[#This Row],[Column14]]), deployment_raw[[#This Row],[Column14]]/IF(OR($E$2="Deployment",deployment_raw[[#This Row],[Column5]]=0),1,deployment_raw[[#This Row],[Column5]]),"")</f>
        <v/>
      </c>
      <c r="H148" s="79" t="str">
        <f>IF(ISNUMBER(deployment_raw[[#This Row],[Column19]]), IF(I148&lt;&gt;0,(deployment_raw[[#This Row],[Column19]]/IF(OR($E$2="Deployment",deployment_raw[[#This Row],[Column5]]=0),1,deployment_raw[[#This Row],[Column5]]))/I148,0),"")</f>
        <v/>
      </c>
      <c r="I148" s="69" t="str">
        <f>IF(ISNUMBER(deployment_raw[[#This Row],[Column6]]), (deployment_raw[[#This Row],[Column6]] * IF($E$2="Deployment",deployment_raw[[#This Row],[Column5]],1)),"")</f>
        <v/>
      </c>
      <c r="J148" s="79" t="str">
        <f>IF(ISNUMBER(deployment_raw[[#This Row],[Column19]]), IF(K148&lt;&gt;0,(deployment_raw[[#This Row],[Column19]]/IF(OR($E$2="Deployment",deployment_raw[[#This Row],[Column5]]=0),1,deployment_raw[[#This Row],[Column5]]))/K148,0),"")</f>
        <v/>
      </c>
      <c r="K148" s="72" t="str">
        <f>IF(ISNUMBER(deployment_raw[[#This Row],[Column8]]), (deployment_raw[[#This Row],[Column8]]  * IF($E$2="Deployment",deployment_raw[[#This Row],[Column5]],1)),"")</f>
        <v/>
      </c>
      <c r="L14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4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48" s="81" t="str">
        <f>IF(ISNUMBER(deployment_raw[[#This Row],[Column20]]), IF(O148&lt;&gt;0,deployment_raw[[#This Row],[Column20]]/IF(OR($E$2="Deployment",deployment_raw[[#This Row],[Column5]]=0),1,deployment_raw[[#This Row],[Column5]])/1048576/O148,0),"")</f>
        <v/>
      </c>
      <c r="O148" s="74" t="str">
        <f>IF(ISNUMBER(deployment_raw[[#This Row],[Column7]]), (deployment_raw[[#This Row],[Column7]] * IF($E$2="Deployment",deployment_raw[[#This Row],[Column5]],1))/1048576,"")</f>
        <v/>
      </c>
      <c r="P148" s="81" t="str">
        <f>IF(ISNUMBER(deployment_raw[[#This Row],[Column20]]), IF(Q148&lt;&gt;0,deployment_raw[[#This Row],[Column20]]/IF(OR($E$2="Deployment",deployment_raw[[#This Row],[Column5]]=0),1,deployment_raw[[#This Row],[Column5]])/1048576/Q148,0),"")</f>
        <v/>
      </c>
      <c r="Q148" s="76" t="str">
        <f>IF(ISNUMBER(deployment_raw[[#This Row],[Column9]]), (deployment_raw[[#This Row],[Column9]] * IF($E$2="Deployment",deployment_raw[[#This Row],[Column5]],1))/1048576,"")</f>
        <v/>
      </c>
      <c r="R148" s="57" t="str">
        <f>IF(ISNUMBER(deployment_raw[[#This Row],[Column10]]), (deployment_raw[[#This Row],[Column10]] * IF($E$2="Deployment",deployment_raw[[#This Row],[Column5]],1)),"")</f>
        <v/>
      </c>
      <c r="S148" s="48" t="str">
        <f>IF(ISNUMBER(deployment_raw[[#This Row],[Column11]]), (deployment_raw[[#This Row],[Column11]] * IF($E$2="Deployment",deployment_raw[[#This Row],[Column5]],1))/1048576,"")</f>
        <v/>
      </c>
      <c r="T148" s="59" t="str">
        <f>IF(ISNUMBER(deployment_raw[[#This Row],[Column8]]),IF(OR(deployment_raw[[#This Row],[Column5]] &lt;&gt; 0,$E$2 &lt;&gt; "Deployment"), MAX(V148, ($T$2 * IF($E$2="Deployment",deployment_raw[[#This Row],[Column5]],1))), 0),"")</f>
        <v/>
      </c>
      <c r="U148" s="50" t="str">
        <f>IF(ISNUMBER(deployment_raw[[#This Row],[Column9]]),IF(OR(deployment_raw[[#This Row],[Column5]] &lt;&gt; 0,$E$2&lt;&gt;"Deployment"), MAX(W148, ($U$2 * IF($E$2="Deployment",deployment_raw[[#This Row],[Column5]],1))), 0),"")</f>
        <v/>
      </c>
      <c r="V148" s="15" t="str">
        <f>IF(ISNUMBER(deployment_raw[[#This Row],[Column12]]), (deployment_raw[[#This Row],[Column12]] * IF($E$2="Deployment",deployment_raw[[#This Row],[Column5]],1)*(1+$V$2)),"")</f>
        <v/>
      </c>
      <c r="W148" s="14" t="str">
        <f>IF(ISNUMBER(deployment_raw[[#This Row],[Column13]]), (deployment_raw[[#This Row],[Column13]] * IF($E$2="Deployment",deployment_raw[[#This Row],[Column5]],1)*(1+$W$2))/1048576,"")</f>
        <v/>
      </c>
    </row>
    <row r="149" spans="1:23" ht="15.75" customHeight="1" x14ac:dyDescent="0.25">
      <c r="A149" s="5" t="str">
        <f>IF(ISNONTEXT(deployment_raw[[#This Row],[Column1]]), "", deployment_raw[[#This Row],[Column1]])</f>
        <v/>
      </c>
      <c r="B149" s="6" t="str">
        <f>IF(ISNONTEXT(deployment_raw[[#This Row],[Column2]]), "", deployment_raw[[#This Row],[Column2]])</f>
        <v/>
      </c>
      <c r="C149" s="6" t="str">
        <f>IF(ISNONTEXT(deployment_raw[[#This Row],[Column3]]), "", deployment_raw[[#This Row],[Column3]])</f>
        <v/>
      </c>
      <c r="D149" s="6" t="str">
        <f>IF(ISNONTEXT(deployment_raw[[#This Row],[Column4]]), "", deployment_raw[[#This Row],[Column4]])</f>
        <v/>
      </c>
      <c r="E149" s="7" t="str">
        <f>IF(ISNUMBER(deployment_raw[[#This Row],[Column5]]), deployment_raw[[#This Row],[Column5]],"")</f>
        <v/>
      </c>
      <c r="F149" s="32" t="str">
        <f>IF(ISNUMBER(deployment_raw[[#This Row],[Column17]]), deployment_raw[[#This Row],[Column17]]/IF(OR($E$2="Deployment",deployment_raw[[#This Row],[Column5]]=0),1,deployment_raw[[#This Row],[Column5]]),"")</f>
        <v/>
      </c>
      <c r="G149" s="42" t="str">
        <f>IF(ISNUMBER(deployment_raw[[#This Row],[Column14]]), deployment_raw[[#This Row],[Column14]]/IF(OR($E$2="Deployment",deployment_raw[[#This Row],[Column5]]=0),1,deployment_raw[[#This Row],[Column5]]),"")</f>
        <v/>
      </c>
      <c r="H149" s="79" t="str">
        <f>IF(ISNUMBER(deployment_raw[[#This Row],[Column19]]), IF(I149&lt;&gt;0,(deployment_raw[[#This Row],[Column19]]/IF(OR($E$2="Deployment",deployment_raw[[#This Row],[Column5]]=0),1,deployment_raw[[#This Row],[Column5]]))/I149,0),"")</f>
        <v/>
      </c>
      <c r="I149" s="69" t="str">
        <f>IF(ISNUMBER(deployment_raw[[#This Row],[Column6]]), (deployment_raw[[#This Row],[Column6]] * IF($E$2="Deployment",deployment_raw[[#This Row],[Column5]],1)),"")</f>
        <v/>
      </c>
      <c r="J149" s="79" t="str">
        <f>IF(ISNUMBER(deployment_raw[[#This Row],[Column19]]), IF(K149&lt;&gt;0,(deployment_raw[[#This Row],[Column19]]/IF(OR($E$2="Deployment",deployment_raw[[#This Row],[Column5]]=0),1,deployment_raw[[#This Row],[Column5]]))/K149,0),"")</f>
        <v/>
      </c>
      <c r="K149" s="72" t="str">
        <f>IF(ISNUMBER(deployment_raw[[#This Row],[Column8]]), (deployment_raw[[#This Row],[Column8]]  * IF($E$2="Deployment",deployment_raw[[#This Row],[Column5]],1)),"")</f>
        <v/>
      </c>
      <c r="L14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4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49" s="81" t="str">
        <f>IF(ISNUMBER(deployment_raw[[#This Row],[Column20]]), IF(O149&lt;&gt;0,deployment_raw[[#This Row],[Column20]]/IF(OR($E$2="Deployment",deployment_raw[[#This Row],[Column5]]=0),1,deployment_raw[[#This Row],[Column5]])/1048576/O149,0),"")</f>
        <v/>
      </c>
      <c r="O149" s="74" t="str">
        <f>IF(ISNUMBER(deployment_raw[[#This Row],[Column7]]), (deployment_raw[[#This Row],[Column7]] * IF($E$2="Deployment",deployment_raw[[#This Row],[Column5]],1))/1048576,"")</f>
        <v/>
      </c>
      <c r="P149" s="81" t="str">
        <f>IF(ISNUMBER(deployment_raw[[#This Row],[Column20]]), IF(Q149&lt;&gt;0,deployment_raw[[#This Row],[Column20]]/IF(OR($E$2="Deployment",deployment_raw[[#This Row],[Column5]]=0),1,deployment_raw[[#This Row],[Column5]])/1048576/Q149,0),"")</f>
        <v/>
      </c>
      <c r="Q149" s="76" t="str">
        <f>IF(ISNUMBER(deployment_raw[[#This Row],[Column9]]), (deployment_raw[[#This Row],[Column9]] * IF($E$2="Deployment",deployment_raw[[#This Row],[Column5]],1))/1048576,"")</f>
        <v/>
      </c>
      <c r="R149" s="57" t="str">
        <f>IF(ISNUMBER(deployment_raw[[#This Row],[Column10]]), (deployment_raw[[#This Row],[Column10]] * IF($E$2="Deployment",deployment_raw[[#This Row],[Column5]],1)),"")</f>
        <v/>
      </c>
      <c r="S149" s="48" t="str">
        <f>IF(ISNUMBER(deployment_raw[[#This Row],[Column11]]), (deployment_raw[[#This Row],[Column11]] * IF($E$2="Deployment",deployment_raw[[#This Row],[Column5]],1))/1048576,"")</f>
        <v/>
      </c>
      <c r="T149" s="59" t="str">
        <f>IF(ISNUMBER(deployment_raw[[#This Row],[Column8]]),IF(OR(deployment_raw[[#This Row],[Column5]] &lt;&gt; 0,$E$2 &lt;&gt; "Deployment"), MAX(V149, ($T$2 * IF($E$2="Deployment",deployment_raw[[#This Row],[Column5]],1))), 0),"")</f>
        <v/>
      </c>
      <c r="U149" s="50" t="str">
        <f>IF(ISNUMBER(deployment_raw[[#This Row],[Column9]]),IF(OR(deployment_raw[[#This Row],[Column5]] &lt;&gt; 0,$E$2&lt;&gt;"Deployment"), MAX(W149, ($U$2 * IF($E$2="Deployment",deployment_raw[[#This Row],[Column5]],1))), 0),"")</f>
        <v/>
      </c>
      <c r="V149" s="15" t="str">
        <f>IF(ISNUMBER(deployment_raw[[#This Row],[Column12]]), (deployment_raw[[#This Row],[Column12]] * IF($E$2="Deployment",deployment_raw[[#This Row],[Column5]],1)*(1+$V$2)),"")</f>
        <v/>
      </c>
      <c r="W149" s="14" t="str">
        <f>IF(ISNUMBER(deployment_raw[[#This Row],[Column13]]), (deployment_raw[[#This Row],[Column13]] * IF($E$2="Deployment",deployment_raw[[#This Row],[Column5]],1)*(1+$W$2))/1048576,"")</f>
        <v/>
      </c>
    </row>
    <row r="150" spans="1:23" ht="15.75" customHeight="1" x14ac:dyDescent="0.25">
      <c r="A150" s="5" t="str">
        <f>IF(ISNONTEXT(deployment_raw[[#This Row],[Column1]]), "", deployment_raw[[#This Row],[Column1]])</f>
        <v/>
      </c>
      <c r="B150" s="6" t="str">
        <f>IF(ISNONTEXT(deployment_raw[[#This Row],[Column2]]), "", deployment_raw[[#This Row],[Column2]])</f>
        <v/>
      </c>
      <c r="C150" s="6" t="str">
        <f>IF(ISNONTEXT(deployment_raw[[#This Row],[Column3]]), "", deployment_raw[[#This Row],[Column3]])</f>
        <v/>
      </c>
      <c r="D150" s="6" t="str">
        <f>IF(ISNONTEXT(deployment_raw[[#This Row],[Column4]]), "", deployment_raw[[#This Row],[Column4]])</f>
        <v/>
      </c>
      <c r="E150" s="7" t="str">
        <f>IF(ISNUMBER(deployment_raw[[#This Row],[Column5]]), deployment_raw[[#This Row],[Column5]],"")</f>
        <v/>
      </c>
      <c r="F150" s="32" t="str">
        <f>IF(ISNUMBER(deployment_raw[[#This Row],[Column17]]), deployment_raw[[#This Row],[Column17]]/IF(OR($E$2="Deployment",deployment_raw[[#This Row],[Column5]]=0),1,deployment_raw[[#This Row],[Column5]]),"")</f>
        <v/>
      </c>
      <c r="G150" s="42" t="str">
        <f>IF(ISNUMBER(deployment_raw[[#This Row],[Column14]]), deployment_raw[[#This Row],[Column14]]/IF(OR($E$2="Deployment",deployment_raw[[#This Row],[Column5]]=0),1,deployment_raw[[#This Row],[Column5]]),"")</f>
        <v/>
      </c>
      <c r="H150" s="79" t="str">
        <f>IF(ISNUMBER(deployment_raw[[#This Row],[Column19]]), IF(I150&lt;&gt;0,(deployment_raw[[#This Row],[Column19]]/IF(OR($E$2="Deployment",deployment_raw[[#This Row],[Column5]]=0),1,deployment_raw[[#This Row],[Column5]]))/I150,0),"")</f>
        <v/>
      </c>
      <c r="I150" s="69" t="str">
        <f>IF(ISNUMBER(deployment_raw[[#This Row],[Column6]]), (deployment_raw[[#This Row],[Column6]] * IF($E$2="Deployment",deployment_raw[[#This Row],[Column5]],1)),"")</f>
        <v/>
      </c>
      <c r="J150" s="79" t="str">
        <f>IF(ISNUMBER(deployment_raw[[#This Row],[Column19]]), IF(K150&lt;&gt;0,(deployment_raw[[#This Row],[Column19]]/IF(OR($E$2="Deployment",deployment_raw[[#This Row],[Column5]]=0),1,deployment_raw[[#This Row],[Column5]]))/K150,0),"")</f>
        <v/>
      </c>
      <c r="K150" s="72" t="str">
        <f>IF(ISNUMBER(deployment_raw[[#This Row],[Column8]]), (deployment_raw[[#This Row],[Column8]]  * IF($E$2="Deployment",deployment_raw[[#This Row],[Column5]],1)),"")</f>
        <v/>
      </c>
      <c r="L15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5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50" s="81" t="str">
        <f>IF(ISNUMBER(deployment_raw[[#This Row],[Column20]]), IF(O150&lt;&gt;0,deployment_raw[[#This Row],[Column20]]/IF(OR($E$2="Deployment",deployment_raw[[#This Row],[Column5]]=0),1,deployment_raw[[#This Row],[Column5]])/1048576/O150,0),"")</f>
        <v/>
      </c>
      <c r="O150" s="74" t="str">
        <f>IF(ISNUMBER(deployment_raw[[#This Row],[Column7]]), (deployment_raw[[#This Row],[Column7]] * IF($E$2="Deployment",deployment_raw[[#This Row],[Column5]],1))/1048576,"")</f>
        <v/>
      </c>
      <c r="P150" s="81" t="str">
        <f>IF(ISNUMBER(deployment_raw[[#This Row],[Column20]]), IF(Q150&lt;&gt;0,deployment_raw[[#This Row],[Column20]]/IF(OR($E$2="Deployment",deployment_raw[[#This Row],[Column5]]=0),1,deployment_raw[[#This Row],[Column5]])/1048576/Q150,0),"")</f>
        <v/>
      </c>
      <c r="Q150" s="76" t="str">
        <f>IF(ISNUMBER(deployment_raw[[#This Row],[Column9]]), (deployment_raw[[#This Row],[Column9]] * IF($E$2="Deployment",deployment_raw[[#This Row],[Column5]],1))/1048576,"")</f>
        <v/>
      </c>
      <c r="R150" s="57" t="str">
        <f>IF(ISNUMBER(deployment_raw[[#This Row],[Column10]]), (deployment_raw[[#This Row],[Column10]] * IF($E$2="Deployment",deployment_raw[[#This Row],[Column5]],1)),"")</f>
        <v/>
      </c>
      <c r="S150" s="48" t="str">
        <f>IF(ISNUMBER(deployment_raw[[#This Row],[Column11]]), (deployment_raw[[#This Row],[Column11]] * IF($E$2="Deployment",deployment_raw[[#This Row],[Column5]],1))/1048576,"")</f>
        <v/>
      </c>
      <c r="T150" s="59" t="str">
        <f>IF(ISNUMBER(deployment_raw[[#This Row],[Column8]]),IF(OR(deployment_raw[[#This Row],[Column5]] &lt;&gt; 0,$E$2 &lt;&gt; "Deployment"), MAX(V150, ($T$2 * IF($E$2="Deployment",deployment_raw[[#This Row],[Column5]],1))), 0),"")</f>
        <v/>
      </c>
      <c r="U150" s="50" t="str">
        <f>IF(ISNUMBER(deployment_raw[[#This Row],[Column9]]),IF(OR(deployment_raw[[#This Row],[Column5]] &lt;&gt; 0,$E$2&lt;&gt;"Deployment"), MAX(W150, ($U$2 * IF($E$2="Deployment",deployment_raw[[#This Row],[Column5]],1))), 0),"")</f>
        <v/>
      </c>
      <c r="V150" s="15" t="str">
        <f>IF(ISNUMBER(deployment_raw[[#This Row],[Column12]]), (deployment_raw[[#This Row],[Column12]] * IF($E$2="Deployment",deployment_raw[[#This Row],[Column5]],1)*(1+$V$2)),"")</f>
        <v/>
      </c>
      <c r="W150" s="14" t="str">
        <f>IF(ISNUMBER(deployment_raw[[#This Row],[Column13]]), (deployment_raw[[#This Row],[Column13]] * IF($E$2="Deployment",deployment_raw[[#This Row],[Column5]],1)*(1+$W$2))/1048576,"")</f>
        <v/>
      </c>
    </row>
    <row r="151" spans="1:23" ht="15.75" customHeight="1" x14ac:dyDescent="0.25">
      <c r="A151" s="5" t="str">
        <f>IF(ISNONTEXT(deployment_raw[[#This Row],[Column1]]), "", deployment_raw[[#This Row],[Column1]])</f>
        <v/>
      </c>
      <c r="B151" s="6" t="str">
        <f>IF(ISNONTEXT(deployment_raw[[#This Row],[Column2]]), "", deployment_raw[[#This Row],[Column2]])</f>
        <v/>
      </c>
      <c r="C151" s="6" t="str">
        <f>IF(ISNONTEXT(deployment_raw[[#This Row],[Column3]]), "", deployment_raw[[#This Row],[Column3]])</f>
        <v/>
      </c>
      <c r="D151" s="6" t="str">
        <f>IF(ISNONTEXT(deployment_raw[[#This Row],[Column4]]), "", deployment_raw[[#This Row],[Column4]])</f>
        <v/>
      </c>
      <c r="E151" s="7" t="str">
        <f>IF(ISNUMBER(deployment_raw[[#This Row],[Column5]]), deployment_raw[[#This Row],[Column5]],"")</f>
        <v/>
      </c>
      <c r="F151" s="32" t="str">
        <f>IF(ISNUMBER(deployment_raw[[#This Row],[Column17]]), deployment_raw[[#This Row],[Column17]]/IF(OR($E$2="Deployment",deployment_raw[[#This Row],[Column5]]=0),1,deployment_raw[[#This Row],[Column5]]),"")</f>
        <v/>
      </c>
      <c r="G151" s="42" t="str">
        <f>IF(ISNUMBER(deployment_raw[[#This Row],[Column14]]), deployment_raw[[#This Row],[Column14]]/IF(OR($E$2="Deployment",deployment_raw[[#This Row],[Column5]]=0),1,deployment_raw[[#This Row],[Column5]]),"")</f>
        <v/>
      </c>
      <c r="H151" s="79" t="str">
        <f>IF(ISNUMBER(deployment_raw[[#This Row],[Column19]]), IF(I151&lt;&gt;0,(deployment_raw[[#This Row],[Column19]]/IF(OR($E$2="Deployment",deployment_raw[[#This Row],[Column5]]=0),1,deployment_raw[[#This Row],[Column5]]))/I151,0),"")</f>
        <v/>
      </c>
      <c r="I151" s="69" t="str">
        <f>IF(ISNUMBER(deployment_raw[[#This Row],[Column6]]), (deployment_raw[[#This Row],[Column6]] * IF($E$2="Deployment",deployment_raw[[#This Row],[Column5]],1)),"")</f>
        <v/>
      </c>
      <c r="J151" s="79" t="str">
        <f>IF(ISNUMBER(deployment_raw[[#This Row],[Column19]]), IF(K151&lt;&gt;0,(deployment_raw[[#This Row],[Column19]]/IF(OR($E$2="Deployment",deployment_raw[[#This Row],[Column5]]=0),1,deployment_raw[[#This Row],[Column5]]))/K151,0),"")</f>
        <v/>
      </c>
      <c r="K151" s="72" t="str">
        <f>IF(ISNUMBER(deployment_raw[[#This Row],[Column8]]), (deployment_raw[[#This Row],[Column8]]  * IF($E$2="Deployment",deployment_raw[[#This Row],[Column5]],1)),"")</f>
        <v/>
      </c>
      <c r="L15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5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51" s="81" t="str">
        <f>IF(ISNUMBER(deployment_raw[[#This Row],[Column20]]), IF(O151&lt;&gt;0,deployment_raw[[#This Row],[Column20]]/IF(OR($E$2="Deployment",deployment_raw[[#This Row],[Column5]]=0),1,deployment_raw[[#This Row],[Column5]])/1048576/O151,0),"")</f>
        <v/>
      </c>
      <c r="O151" s="74" t="str">
        <f>IF(ISNUMBER(deployment_raw[[#This Row],[Column7]]), (deployment_raw[[#This Row],[Column7]] * IF($E$2="Deployment",deployment_raw[[#This Row],[Column5]],1))/1048576,"")</f>
        <v/>
      </c>
      <c r="P151" s="81" t="str">
        <f>IF(ISNUMBER(deployment_raw[[#This Row],[Column20]]), IF(Q151&lt;&gt;0,deployment_raw[[#This Row],[Column20]]/IF(OR($E$2="Deployment",deployment_raw[[#This Row],[Column5]]=0),1,deployment_raw[[#This Row],[Column5]])/1048576/Q151,0),"")</f>
        <v/>
      </c>
      <c r="Q151" s="76" t="str">
        <f>IF(ISNUMBER(deployment_raw[[#This Row],[Column9]]), (deployment_raw[[#This Row],[Column9]] * IF($E$2="Deployment",deployment_raw[[#This Row],[Column5]],1))/1048576,"")</f>
        <v/>
      </c>
      <c r="R151" s="57" t="str">
        <f>IF(ISNUMBER(deployment_raw[[#This Row],[Column10]]), (deployment_raw[[#This Row],[Column10]] * IF($E$2="Deployment",deployment_raw[[#This Row],[Column5]],1)),"")</f>
        <v/>
      </c>
      <c r="S151" s="48" t="str">
        <f>IF(ISNUMBER(deployment_raw[[#This Row],[Column11]]), (deployment_raw[[#This Row],[Column11]] * IF($E$2="Deployment",deployment_raw[[#This Row],[Column5]],1))/1048576,"")</f>
        <v/>
      </c>
      <c r="T151" s="59" t="str">
        <f>IF(ISNUMBER(deployment_raw[[#This Row],[Column8]]),IF(OR(deployment_raw[[#This Row],[Column5]] &lt;&gt; 0,$E$2 &lt;&gt; "Deployment"), MAX(V151, ($T$2 * IF($E$2="Deployment",deployment_raw[[#This Row],[Column5]],1))), 0),"")</f>
        <v/>
      </c>
      <c r="U151" s="50" t="str">
        <f>IF(ISNUMBER(deployment_raw[[#This Row],[Column9]]),IF(OR(deployment_raw[[#This Row],[Column5]] &lt;&gt; 0,$E$2&lt;&gt;"Deployment"), MAX(W151, ($U$2 * IF($E$2="Deployment",deployment_raw[[#This Row],[Column5]],1))), 0),"")</f>
        <v/>
      </c>
      <c r="V151" s="15" t="str">
        <f>IF(ISNUMBER(deployment_raw[[#This Row],[Column12]]), (deployment_raw[[#This Row],[Column12]] * IF($E$2="Deployment",deployment_raw[[#This Row],[Column5]],1)*(1+$V$2)),"")</f>
        <v/>
      </c>
      <c r="W151" s="14" t="str">
        <f>IF(ISNUMBER(deployment_raw[[#This Row],[Column13]]), (deployment_raw[[#This Row],[Column13]] * IF($E$2="Deployment",deployment_raw[[#This Row],[Column5]],1)*(1+$W$2))/1048576,"")</f>
        <v/>
      </c>
    </row>
    <row r="152" spans="1:23" ht="15.75" customHeight="1" x14ac:dyDescent="0.25">
      <c r="A152" s="5" t="str">
        <f>IF(ISNONTEXT(deployment_raw[[#This Row],[Column1]]), "", deployment_raw[[#This Row],[Column1]])</f>
        <v/>
      </c>
      <c r="B152" s="6" t="str">
        <f>IF(ISNONTEXT(deployment_raw[[#This Row],[Column2]]), "", deployment_raw[[#This Row],[Column2]])</f>
        <v/>
      </c>
      <c r="C152" s="6" t="str">
        <f>IF(ISNONTEXT(deployment_raw[[#This Row],[Column3]]), "", deployment_raw[[#This Row],[Column3]])</f>
        <v/>
      </c>
      <c r="D152" s="6" t="str">
        <f>IF(ISNONTEXT(deployment_raw[[#This Row],[Column4]]), "", deployment_raw[[#This Row],[Column4]])</f>
        <v/>
      </c>
      <c r="E152" s="7" t="str">
        <f>IF(ISNUMBER(deployment_raw[[#This Row],[Column5]]), deployment_raw[[#This Row],[Column5]],"")</f>
        <v/>
      </c>
      <c r="F152" s="32" t="str">
        <f>IF(ISNUMBER(deployment_raw[[#This Row],[Column17]]), deployment_raw[[#This Row],[Column17]]/IF(OR($E$2="Deployment",deployment_raw[[#This Row],[Column5]]=0),1,deployment_raw[[#This Row],[Column5]]),"")</f>
        <v/>
      </c>
      <c r="G152" s="42" t="str">
        <f>IF(ISNUMBER(deployment_raw[[#This Row],[Column14]]), deployment_raw[[#This Row],[Column14]]/IF(OR($E$2="Deployment",deployment_raw[[#This Row],[Column5]]=0),1,deployment_raw[[#This Row],[Column5]]),"")</f>
        <v/>
      </c>
      <c r="H152" s="79" t="str">
        <f>IF(ISNUMBER(deployment_raw[[#This Row],[Column19]]), IF(I152&lt;&gt;0,(deployment_raw[[#This Row],[Column19]]/IF(OR($E$2="Deployment",deployment_raw[[#This Row],[Column5]]=0),1,deployment_raw[[#This Row],[Column5]]))/I152,0),"")</f>
        <v/>
      </c>
      <c r="I152" s="69" t="str">
        <f>IF(ISNUMBER(deployment_raw[[#This Row],[Column6]]), (deployment_raw[[#This Row],[Column6]] * IF($E$2="Deployment",deployment_raw[[#This Row],[Column5]],1)),"")</f>
        <v/>
      </c>
      <c r="J152" s="79" t="str">
        <f>IF(ISNUMBER(deployment_raw[[#This Row],[Column19]]), IF(K152&lt;&gt;0,(deployment_raw[[#This Row],[Column19]]/IF(OR($E$2="Deployment",deployment_raw[[#This Row],[Column5]]=0),1,deployment_raw[[#This Row],[Column5]]))/K152,0),"")</f>
        <v/>
      </c>
      <c r="K152" s="72" t="str">
        <f>IF(ISNUMBER(deployment_raw[[#This Row],[Column8]]), (deployment_raw[[#This Row],[Column8]]  * IF($E$2="Deployment",deployment_raw[[#This Row],[Column5]],1)),"")</f>
        <v/>
      </c>
      <c r="L15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5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52" s="81" t="str">
        <f>IF(ISNUMBER(deployment_raw[[#This Row],[Column20]]), IF(O152&lt;&gt;0,deployment_raw[[#This Row],[Column20]]/IF(OR($E$2="Deployment",deployment_raw[[#This Row],[Column5]]=0),1,deployment_raw[[#This Row],[Column5]])/1048576/O152,0),"")</f>
        <v/>
      </c>
      <c r="O152" s="74" t="str">
        <f>IF(ISNUMBER(deployment_raw[[#This Row],[Column7]]), (deployment_raw[[#This Row],[Column7]] * IF($E$2="Deployment",deployment_raw[[#This Row],[Column5]],1))/1048576,"")</f>
        <v/>
      </c>
      <c r="P152" s="81" t="str">
        <f>IF(ISNUMBER(deployment_raw[[#This Row],[Column20]]), IF(Q152&lt;&gt;0,deployment_raw[[#This Row],[Column20]]/IF(OR($E$2="Deployment",deployment_raw[[#This Row],[Column5]]=0),1,deployment_raw[[#This Row],[Column5]])/1048576/Q152,0),"")</f>
        <v/>
      </c>
      <c r="Q152" s="76" t="str">
        <f>IF(ISNUMBER(deployment_raw[[#This Row],[Column9]]), (deployment_raw[[#This Row],[Column9]] * IF($E$2="Deployment",deployment_raw[[#This Row],[Column5]],1))/1048576,"")</f>
        <v/>
      </c>
      <c r="R152" s="57" t="str">
        <f>IF(ISNUMBER(deployment_raw[[#This Row],[Column10]]), (deployment_raw[[#This Row],[Column10]] * IF($E$2="Deployment",deployment_raw[[#This Row],[Column5]],1)),"")</f>
        <v/>
      </c>
      <c r="S152" s="48" t="str">
        <f>IF(ISNUMBER(deployment_raw[[#This Row],[Column11]]), (deployment_raw[[#This Row],[Column11]] * IF($E$2="Deployment",deployment_raw[[#This Row],[Column5]],1))/1048576,"")</f>
        <v/>
      </c>
      <c r="T152" s="59" t="str">
        <f>IF(ISNUMBER(deployment_raw[[#This Row],[Column8]]),IF(OR(deployment_raw[[#This Row],[Column5]] &lt;&gt; 0,$E$2 &lt;&gt; "Deployment"), MAX(V152, ($T$2 * IF($E$2="Deployment",deployment_raw[[#This Row],[Column5]],1))), 0),"")</f>
        <v/>
      </c>
      <c r="U152" s="50" t="str">
        <f>IF(ISNUMBER(deployment_raw[[#This Row],[Column9]]),IF(OR(deployment_raw[[#This Row],[Column5]] &lt;&gt; 0,$E$2&lt;&gt;"Deployment"), MAX(W152, ($U$2 * IF($E$2="Deployment",deployment_raw[[#This Row],[Column5]],1))), 0),"")</f>
        <v/>
      </c>
      <c r="V152" s="15" t="str">
        <f>IF(ISNUMBER(deployment_raw[[#This Row],[Column12]]), (deployment_raw[[#This Row],[Column12]] * IF($E$2="Deployment",deployment_raw[[#This Row],[Column5]],1)*(1+$V$2)),"")</f>
        <v/>
      </c>
      <c r="W152" s="14" t="str">
        <f>IF(ISNUMBER(deployment_raw[[#This Row],[Column13]]), (deployment_raw[[#This Row],[Column13]] * IF($E$2="Deployment",deployment_raw[[#This Row],[Column5]],1)*(1+$W$2))/1048576,"")</f>
        <v/>
      </c>
    </row>
    <row r="153" spans="1:23" ht="15.75" customHeight="1" x14ac:dyDescent="0.25">
      <c r="A153" s="5" t="str">
        <f>IF(ISNONTEXT(deployment_raw[[#This Row],[Column1]]), "", deployment_raw[[#This Row],[Column1]])</f>
        <v/>
      </c>
      <c r="B153" s="6" t="str">
        <f>IF(ISNONTEXT(deployment_raw[[#This Row],[Column2]]), "", deployment_raw[[#This Row],[Column2]])</f>
        <v/>
      </c>
      <c r="C153" s="6" t="str">
        <f>IF(ISNONTEXT(deployment_raw[[#This Row],[Column3]]), "", deployment_raw[[#This Row],[Column3]])</f>
        <v/>
      </c>
      <c r="D153" s="6" t="str">
        <f>IF(ISNONTEXT(deployment_raw[[#This Row],[Column4]]), "", deployment_raw[[#This Row],[Column4]])</f>
        <v/>
      </c>
      <c r="E153" s="7" t="str">
        <f>IF(ISNUMBER(deployment_raw[[#This Row],[Column5]]), deployment_raw[[#This Row],[Column5]],"")</f>
        <v/>
      </c>
      <c r="F153" s="32" t="str">
        <f>IF(ISNUMBER(deployment_raw[[#This Row],[Column17]]), deployment_raw[[#This Row],[Column17]]/IF(OR($E$2="Deployment",deployment_raw[[#This Row],[Column5]]=0),1,deployment_raw[[#This Row],[Column5]]),"")</f>
        <v/>
      </c>
      <c r="G153" s="42" t="str">
        <f>IF(ISNUMBER(deployment_raw[[#This Row],[Column14]]), deployment_raw[[#This Row],[Column14]]/IF(OR($E$2="Deployment",deployment_raw[[#This Row],[Column5]]=0),1,deployment_raw[[#This Row],[Column5]]),"")</f>
        <v/>
      </c>
      <c r="H153" s="79" t="str">
        <f>IF(ISNUMBER(deployment_raw[[#This Row],[Column19]]), IF(I153&lt;&gt;0,(deployment_raw[[#This Row],[Column19]]/IF(OR($E$2="Deployment",deployment_raw[[#This Row],[Column5]]=0),1,deployment_raw[[#This Row],[Column5]]))/I153,0),"")</f>
        <v/>
      </c>
      <c r="I153" s="69" t="str">
        <f>IF(ISNUMBER(deployment_raw[[#This Row],[Column6]]), (deployment_raw[[#This Row],[Column6]] * IF($E$2="Deployment",deployment_raw[[#This Row],[Column5]],1)),"")</f>
        <v/>
      </c>
      <c r="J153" s="79" t="str">
        <f>IF(ISNUMBER(deployment_raw[[#This Row],[Column19]]), IF(K153&lt;&gt;0,(deployment_raw[[#This Row],[Column19]]/IF(OR($E$2="Deployment",deployment_raw[[#This Row],[Column5]]=0),1,deployment_raw[[#This Row],[Column5]]))/K153,0),"")</f>
        <v/>
      </c>
      <c r="K153" s="72" t="str">
        <f>IF(ISNUMBER(deployment_raw[[#This Row],[Column8]]), (deployment_raw[[#This Row],[Column8]]  * IF($E$2="Deployment",deployment_raw[[#This Row],[Column5]],1)),"")</f>
        <v/>
      </c>
      <c r="L15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5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53" s="81" t="str">
        <f>IF(ISNUMBER(deployment_raw[[#This Row],[Column20]]), IF(O153&lt;&gt;0,deployment_raw[[#This Row],[Column20]]/IF(OR($E$2="Deployment",deployment_raw[[#This Row],[Column5]]=0),1,deployment_raw[[#This Row],[Column5]])/1048576/O153,0),"")</f>
        <v/>
      </c>
      <c r="O153" s="74" t="str">
        <f>IF(ISNUMBER(deployment_raw[[#This Row],[Column7]]), (deployment_raw[[#This Row],[Column7]] * IF($E$2="Deployment",deployment_raw[[#This Row],[Column5]],1))/1048576,"")</f>
        <v/>
      </c>
      <c r="P153" s="81" t="str">
        <f>IF(ISNUMBER(deployment_raw[[#This Row],[Column20]]), IF(Q153&lt;&gt;0,deployment_raw[[#This Row],[Column20]]/IF(OR($E$2="Deployment",deployment_raw[[#This Row],[Column5]]=0),1,deployment_raw[[#This Row],[Column5]])/1048576/Q153,0),"")</f>
        <v/>
      </c>
      <c r="Q153" s="76" t="str">
        <f>IF(ISNUMBER(deployment_raw[[#This Row],[Column9]]), (deployment_raw[[#This Row],[Column9]] * IF($E$2="Deployment",deployment_raw[[#This Row],[Column5]],1))/1048576,"")</f>
        <v/>
      </c>
      <c r="R153" s="57" t="str">
        <f>IF(ISNUMBER(deployment_raw[[#This Row],[Column10]]), (deployment_raw[[#This Row],[Column10]] * IF($E$2="Deployment",deployment_raw[[#This Row],[Column5]],1)),"")</f>
        <v/>
      </c>
      <c r="S153" s="48" t="str">
        <f>IF(ISNUMBER(deployment_raw[[#This Row],[Column11]]), (deployment_raw[[#This Row],[Column11]] * IF($E$2="Deployment",deployment_raw[[#This Row],[Column5]],1))/1048576,"")</f>
        <v/>
      </c>
      <c r="T153" s="59" t="str">
        <f>IF(ISNUMBER(deployment_raw[[#This Row],[Column8]]),IF(OR(deployment_raw[[#This Row],[Column5]] &lt;&gt; 0,$E$2 &lt;&gt; "Deployment"), MAX(V153, ($T$2 * IF($E$2="Deployment",deployment_raw[[#This Row],[Column5]],1))), 0),"")</f>
        <v/>
      </c>
      <c r="U153" s="50" t="str">
        <f>IF(ISNUMBER(deployment_raw[[#This Row],[Column9]]),IF(OR(deployment_raw[[#This Row],[Column5]] &lt;&gt; 0,$E$2&lt;&gt;"Deployment"), MAX(W153, ($U$2 * IF($E$2="Deployment",deployment_raw[[#This Row],[Column5]],1))), 0),"")</f>
        <v/>
      </c>
      <c r="V153" s="15" t="str">
        <f>IF(ISNUMBER(deployment_raw[[#This Row],[Column12]]), (deployment_raw[[#This Row],[Column12]] * IF($E$2="Deployment",deployment_raw[[#This Row],[Column5]],1)*(1+$V$2)),"")</f>
        <v/>
      </c>
      <c r="W153" s="14" t="str">
        <f>IF(ISNUMBER(deployment_raw[[#This Row],[Column13]]), (deployment_raw[[#This Row],[Column13]] * IF($E$2="Deployment",deployment_raw[[#This Row],[Column5]],1)*(1+$W$2))/1048576,"")</f>
        <v/>
      </c>
    </row>
    <row r="154" spans="1:23" ht="15.75" customHeight="1" x14ac:dyDescent="0.25">
      <c r="A154" s="5" t="str">
        <f>IF(ISNONTEXT(deployment_raw[[#This Row],[Column1]]), "", deployment_raw[[#This Row],[Column1]])</f>
        <v/>
      </c>
      <c r="B154" s="6" t="str">
        <f>IF(ISNONTEXT(deployment_raw[[#This Row],[Column2]]), "", deployment_raw[[#This Row],[Column2]])</f>
        <v/>
      </c>
      <c r="C154" s="6" t="str">
        <f>IF(ISNONTEXT(deployment_raw[[#This Row],[Column3]]), "", deployment_raw[[#This Row],[Column3]])</f>
        <v/>
      </c>
      <c r="D154" s="6" t="str">
        <f>IF(ISNONTEXT(deployment_raw[[#This Row],[Column4]]), "", deployment_raw[[#This Row],[Column4]])</f>
        <v/>
      </c>
      <c r="E154" s="7" t="str">
        <f>IF(ISNUMBER(deployment_raw[[#This Row],[Column5]]), deployment_raw[[#This Row],[Column5]],"")</f>
        <v/>
      </c>
      <c r="F154" s="32" t="str">
        <f>IF(ISNUMBER(deployment_raw[[#This Row],[Column17]]), deployment_raw[[#This Row],[Column17]]/IF(OR($E$2="Deployment",deployment_raw[[#This Row],[Column5]]=0),1,deployment_raw[[#This Row],[Column5]]),"")</f>
        <v/>
      </c>
      <c r="G154" s="42" t="str">
        <f>IF(ISNUMBER(deployment_raw[[#This Row],[Column14]]), deployment_raw[[#This Row],[Column14]]/IF(OR($E$2="Deployment",deployment_raw[[#This Row],[Column5]]=0),1,deployment_raw[[#This Row],[Column5]]),"")</f>
        <v/>
      </c>
      <c r="H154" s="79" t="str">
        <f>IF(ISNUMBER(deployment_raw[[#This Row],[Column19]]), IF(I154&lt;&gt;0,(deployment_raw[[#This Row],[Column19]]/IF(OR($E$2="Deployment",deployment_raw[[#This Row],[Column5]]=0),1,deployment_raw[[#This Row],[Column5]]))/I154,0),"")</f>
        <v/>
      </c>
      <c r="I154" s="69" t="str">
        <f>IF(ISNUMBER(deployment_raw[[#This Row],[Column6]]), (deployment_raw[[#This Row],[Column6]] * IF($E$2="Deployment",deployment_raw[[#This Row],[Column5]],1)),"")</f>
        <v/>
      </c>
      <c r="J154" s="79" t="str">
        <f>IF(ISNUMBER(deployment_raw[[#This Row],[Column19]]), IF(K154&lt;&gt;0,(deployment_raw[[#This Row],[Column19]]/IF(OR($E$2="Deployment",deployment_raw[[#This Row],[Column5]]=0),1,deployment_raw[[#This Row],[Column5]]))/K154,0),"")</f>
        <v/>
      </c>
      <c r="K154" s="72" t="str">
        <f>IF(ISNUMBER(deployment_raw[[#This Row],[Column8]]), (deployment_raw[[#This Row],[Column8]]  * IF($E$2="Deployment",deployment_raw[[#This Row],[Column5]],1)),"")</f>
        <v/>
      </c>
      <c r="L15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5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54" s="81" t="str">
        <f>IF(ISNUMBER(deployment_raw[[#This Row],[Column20]]), IF(O154&lt;&gt;0,deployment_raw[[#This Row],[Column20]]/IF(OR($E$2="Deployment",deployment_raw[[#This Row],[Column5]]=0),1,deployment_raw[[#This Row],[Column5]])/1048576/O154,0),"")</f>
        <v/>
      </c>
      <c r="O154" s="74" t="str">
        <f>IF(ISNUMBER(deployment_raw[[#This Row],[Column7]]), (deployment_raw[[#This Row],[Column7]] * IF($E$2="Deployment",deployment_raw[[#This Row],[Column5]],1))/1048576,"")</f>
        <v/>
      </c>
      <c r="P154" s="81" t="str">
        <f>IF(ISNUMBER(deployment_raw[[#This Row],[Column20]]), IF(Q154&lt;&gt;0,deployment_raw[[#This Row],[Column20]]/IF(OR($E$2="Deployment",deployment_raw[[#This Row],[Column5]]=0),1,deployment_raw[[#This Row],[Column5]])/1048576/Q154,0),"")</f>
        <v/>
      </c>
      <c r="Q154" s="76" t="str">
        <f>IF(ISNUMBER(deployment_raw[[#This Row],[Column9]]), (deployment_raw[[#This Row],[Column9]] * IF($E$2="Deployment",deployment_raw[[#This Row],[Column5]],1))/1048576,"")</f>
        <v/>
      </c>
      <c r="R154" s="57" t="str">
        <f>IF(ISNUMBER(deployment_raw[[#This Row],[Column10]]), (deployment_raw[[#This Row],[Column10]] * IF($E$2="Deployment",deployment_raw[[#This Row],[Column5]],1)),"")</f>
        <v/>
      </c>
      <c r="S154" s="48" t="str">
        <f>IF(ISNUMBER(deployment_raw[[#This Row],[Column11]]), (deployment_raw[[#This Row],[Column11]] * IF($E$2="Deployment",deployment_raw[[#This Row],[Column5]],1))/1048576,"")</f>
        <v/>
      </c>
      <c r="T154" s="59" t="str">
        <f>IF(ISNUMBER(deployment_raw[[#This Row],[Column8]]),IF(OR(deployment_raw[[#This Row],[Column5]] &lt;&gt; 0,$E$2 &lt;&gt; "Deployment"), MAX(V154, ($T$2 * IF($E$2="Deployment",deployment_raw[[#This Row],[Column5]],1))), 0),"")</f>
        <v/>
      </c>
      <c r="U154" s="50" t="str">
        <f>IF(ISNUMBER(deployment_raw[[#This Row],[Column9]]),IF(OR(deployment_raw[[#This Row],[Column5]] &lt;&gt; 0,$E$2&lt;&gt;"Deployment"), MAX(W154, ($U$2 * IF($E$2="Deployment",deployment_raw[[#This Row],[Column5]],1))), 0),"")</f>
        <v/>
      </c>
      <c r="V154" s="15" t="str">
        <f>IF(ISNUMBER(deployment_raw[[#This Row],[Column12]]), (deployment_raw[[#This Row],[Column12]] * IF($E$2="Deployment",deployment_raw[[#This Row],[Column5]],1)*(1+$V$2)),"")</f>
        <v/>
      </c>
      <c r="W154" s="14" t="str">
        <f>IF(ISNUMBER(deployment_raw[[#This Row],[Column13]]), (deployment_raw[[#This Row],[Column13]] * IF($E$2="Deployment",deployment_raw[[#This Row],[Column5]],1)*(1+$W$2))/1048576,"")</f>
        <v/>
      </c>
    </row>
    <row r="155" spans="1:23" ht="15.75" customHeight="1" x14ac:dyDescent="0.25">
      <c r="A155" s="5" t="str">
        <f>IF(ISNONTEXT(deployment_raw[[#This Row],[Column1]]), "", deployment_raw[[#This Row],[Column1]])</f>
        <v/>
      </c>
      <c r="B155" s="6" t="str">
        <f>IF(ISNONTEXT(deployment_raw[[#This Row],[Column2]]), "", deployment_raw[[#This Row],[Column2]])</f>
        <v/>
      </c>
      <c r="C155" s="6" t="str">
        <f>IF(ISNONTEXT(deployment_raw[[#This Row],[Column3]]), "", deployment_raw[[#This Row],[Column3]])</f>
        <v/>
      </c>
      <c r="D155" s="6" t="str">
        <f>IF(ISNONTEXT(deployment_raw[[#This Row],[Column4]]), "", deployment_raw[[#This Row],[Column4]])</f>
        <v/>
      </c>
      <c r="E155" s="7" t="str">
        <f>IF(ISNUMBER(deployment_raw[[#This Row],[Column5]]), deployment_raw[[#This Row],[Column5]],"")</f>
        <v/>
      </c>
      <c r="F155" s="32" t="str">
        <f>IF(ISNUMBER(deployment_raw[[#This Row],[Column17]]), deployment_raw[[#This Row],[Column17]]/IF(OR($E$2="Deployment",deployment_raw[[#This Row],[Column5]]=0),1,deployment_raw[[#This Row],[Column5]]),"")</f>
        <v/>
      </c>
      <c r="G155" s="42" t="str">
        <f>IF(ISNUMBER(deployment_raw[[#This Row],[Column14]]), deployment_raw[[#This Row],[Column14]]/IF(OR($E$2="Deployment",deployment_raw[[#This Row],[Column5]]=0),1,deployment_raw[[#This Row],[Column5]]),"")</f>
        <v/>
      </c>
      <c r="H155" s="79" t="str">
        <f>IF(ISNUMBER(deployment_raw[[#This Row],[Column19]]), IF(I155&lt;&gt;0,(deployment_raw[[#This Row],[Column19]]/IF(OR($E$2="Deployment",deployment_raw[[#This Row],[Column5]]=0),1,deployment_raw[[#This Row],[Column5]]))/I155,0),"")</f>
        <v/>
      </c>
      <c r="I155" s="69" t="str">
        <f>IF(ISNUMBER(deployment_raw[[#This Row],[Column6]]), (deployment_raw[[#This Row],[Column6]] * IF($E$2="Deployment",deployment_raw[[#This Row],[Column5]],1)),"")</f>
        <v/>
      </c>
      <c r="J155" s="79" t="str">
        <f>IF(ISNUMBER(deployment_raw[[#This Row],[Column19]]), IF(K155&lt;&gt;0,(deployment_raw[[#This Row],[Column19]]/IF(OR($E$2="Deployment",deployment_raw[[#This Row],[Column5]]=0),1,deployment_raw[[#This Row],[Column5]]))/K155,0),"")</f>
        <v/>
      </c>
      <c r="K155" s="72" t="str">
        <f>IF(ISNUMBER(deployment_raw[[#This Row],[Column8]]), (deployment_raw[[#This Row],[Column8]]  * IF($E$2="Deployment",deployment_raw[[#This Row],[Column5]],1)),"")</f>
        <v/>
      </c>
      <c r="L15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5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55" s="81" t="str">
        <f>IF(ISNUMBER(deployment_raw[[#This Row],[Column20]]), IF(O155&lt;&gt;0,deployment_raw[[#This Row],[Column20]]/IF(OR($E$2="Deployment",deployment_raw[[#This Row],[Column5]]=0),1,deployment_raw[[#This Row],[Column5]])/1048576/O155,0),"")</f>
        <v/>
      </c>
      <c r="O155" s="74" t="str">
        <f>IF(ISNUMBER(deployment_raw[[#This Row],[Column7]]), (deployment_raw[[#This Row],[Column7]] * IF($E$2="Deployment",deployment_raw[[#This Row],[Column5]],1))/1048576,"")</f>
        <v/>
      </c>
      <c r="P155" s="81" t="str">
        <f>IF(ISNUMBER(deployment_raw[[#This Row],[Column20]]), IF(Q155&lt;&gt;0,deployment_raw[[#This Row],[Column20]]/IF(OR($E$2="Deployment",deployment_raw[[#This Row],[Column5]]=0),1,deployment_raw[[#This Row],[Column5]])/1048576/Q155,0),"")</f>
        <v/>
      </c>
      <c r="Q155" s="76" t="str">
        <f>IF(ISNUMBER(deployment_raw[[#This Row],[Column9]]), (deployment_raw[[#This Row],[Column9]] * IF($E$2="Deployment",deployment_raw[[#This Row],[Column5]],1))/1048576,"")</f>
        <v/>
      </c>
      <c r="R155" s="57" t="str">
        <f>IF(ISNUMBER(deployment_raw[[#This Row],[Column10]]), (deployment_raw[[#This Row],[Column10]] * IF($E$2="Deployment",deployment_raw[[#This Row],[Column5]],1)),"")</f>
        <v/>
      </c>
      <c r="S155" s="48" t="str">
        <f>IF(ISNUMBER(deployment_raw[[#This Row],[Column11]]), (deployment_raw[[#This Row],[Column11]] * IF($E$2="Deployment",deployment_raw[[#This Row],[Column5]],1))/1048576,"")</f>
        <v/>
      </c>
      <c r="T155" s="59" t="str">
        <f>IF(ISNUMBER(deployment_raw[[#This Row],[Column8]]),IF(OR(deployment_raw[[#This Row],[Column5]] &lt;&gt; 0,$E$2 &lt;&gt; "Deployment"), MAX(V155, ($T$2 * IF($E$2="Deployment",deployment_raw[[#This Row],[Column5]],1))), 0),"")</f>
        <v/>
      </c>
      <c r="U155" s="50" t="str">
        <f>IF(ISNUMBER(deployment_raw[[#This Row],[Column9]]),IF(OR(deployment_raw[[#This Row],[Column5]] &lt;&gt; 0,$E$2&lt;&gt;"Deployment"), MAX(W155, ($U$2 * IF($E$2="Deployment",deployment_raw[[#This Row],[Column5]],1))), 0),"")</f>
        <v/>
      </c>
      <c r="V155" s="15" t="str">
        <f>IF(ISNUMBER(deployment_raw[[#This Row],[Column12]]), (deployment_raw[[#This Row],[Column12]] * IF($E$2="Deployment",deployment_raw[[#This Row],[Column5]],1)*(1+$V$2)),"")</f>
        <v/>
      </c>
      <c r="W155" s="14" t="str">
        <f>IF(ISNUMBER(deployment_raw[[#This Row],[Column13]]), (deployment_raw[[#This Row],[Column13]] * IF($E$2="Deployment",deployment_raw[[#This Row],[Column5]],1)*(1+$W$2))/1048576,"")</f>
        <v/>
      </c>
    </row>
    <row r="156" spans="1:23" ht="15.75" customHeight="1" x14ac:dyDescent="0.25">
      <c r="A156" s="5" t="str">
        <f>IF(ISNONTEXT(deployment_raw[[#This Row],[Column1]]), "", deployment_raw[[#This Row],[Column1]])</f>
        <v/>
      </c>
      <c r="B156" s="6" t="str">
        <f>IF(ISNONTEXT(deployment_raw[[#This Row],[Column2]]), "", deployment_raw[[#This Row],[Column2]])</f>
        <v/>
      </c>
      <c r="C156" s="6" t="str">
        <f>IF(ISNONTEXT(deployment_raw[[#This Row],[Column3]]), "", deployment_raw[[#This Row],[Column3]])</f>
        <v/>
      </c>
      <c r="D156" s="6" t="str">
        <f>IF(ISNONTEXT(deployment_raw[[#This Row],[Column4]]), "", deployment_raw[[#This Row],[Column4]])</f>
        <v/>
      </c>
      <c r="E156" s="7" t="str">
        <f>IF(ISNUMBER(deployment_raw[[#This Row],[Column5]]), deployment_raw[[#This Row],[Column5]],"")</f>
        <v/>
      </c>
      <c r="F156" s="32" t="str">
        <f>IF(ISNUMBER(deployment_raw[[#This Row],[Column17]]), deployment_raw[[#This Row],[Column17]]/IF(OR($E$2="Deployment",deployment_raw[[#This Row],[Column5]]=0),1,deployment_raw[[#This Row],[Column5]]),"")</f>
        <v/>
      </c>
      <c r="G156" s="42" t="str">
        <f>IF(ISNUMBER(deployment_raw[[#This Row],[Column14]]), deployment_raw[[#This Row],[Column14]]/IF(OR($E$2="Deployment",deployment_raw[[#This Row],[Column5]]=0),1,deployment_raw[[#This Row],[Column5]]),"")</f>
        <v/>
      </c>
      <c r="H156" s="79" t="str">
        <f>IF(ISNUMBER(deployment_raw[[#This Row],[Column19]]), IF(I156&lt;&gt;0,(deployment_raw[[#This Row],[Column19]]/IF(OR($E$2="Deployment",deployment_raw[[#This Row],[Column5]]=0),1,deployment_raw[[#This Row],[Column5]]))/I156,0),"")</f>
        <v/>
      </c>
      <c r="I156" s="69" t="str">
        <f>IF(ISNUMBER(deployment_raw[[#This Row],[Column6]]), (deployment_raw[[#This Row],[Column6]] * IF($E$2="Deployment",deployment_raw[[#This Row],[Column5]],1)),"")</f>
        <v/>
      </c>
      <c r="J156" s="79" t="str">
        <f>IF(ISNUMBER(deployment_raw[[#This Row],[Column19]]), IF(K156&lt;&gt;0,(deployment_raw[[#This Row],[Column19]]/IF(OR($E$2="Deployment",deployment_raw[[#This Row],[Column5]]=0),1,deployment_raw[[#This Row],[Column5]]))/K156,0),"")</f>
        <v/>
      </c>
      <c r="K156" s="72" t="str">
        <f>IF(ISNUMBER(deployment_raw[[#This Row],[Column8]]), (deployment_raw[[#This Row],[Column8]]  * IF($E$2="Deployment",deployment_raw[[#This Row],[Column5]],1)),"")</f>
        <v/>
      </c>
      <c r="L15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5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56" s="81" t="str">
        <f>IF(ISNUMBER(deployment_raw[[#This Row],[Column20]]), IF(O156&lt;&gt;0,deployment_raw[[#This Row],[Column20]]/IF(OR($E$2="Deployment",deployment_raw[[#This Row],[Column5]]=0),1,deployment_raw[[#This Row],[Column5]])/1048576/O156,0),"")</f>
        <v/>
      </c>
      <c r="O156" s="74" t="str">
        <f>IF(ISNUMBER(deployment_raw[[#This Row],[Column7]]), (deployment_raw[[#This Row],[Column7]] * IF($E$2="Deployment",deployment_raw[[#This Row],[Column5]],1))/1048576,"")</f>
        <v/>
      </c>
      <c r="P156" s="81" t="str">
        <f>IF(ISNUMBER(deployment_raw[[#This Row],[Column20]]), IF(Q156&lt;&gt;0,deployment_raw[[#This Row],[Column20]]/IF(OR($E$2="Deployment",deployment_raw[[#This Row],[Column5]]=0),1,deployment_raw[[#This Row],[Column5]])/1048576/Q156,0),"")</f>
        <v/>
      </c>
      <c r="Q156" s="76" t="str">
        <f>IF(ISNUMBER(deployment_raw[[#This Row],[Column9]]), (deployment_raw[[#This Row],[Column9]] * IF($E$2="Deployment",deployment_raw[[#This Row],[Column5]],1))/1048576,"")</f>
        <v/>
      </c>
      <c r="R156" s="57" t="str">
        <f>IF(ISNUMBER(deployment_raw[[#This Row],[Column10]]), (deployment_raw[[#This Row],[Column10]] * IF($E$2="Deployment",deployment_raw[[#This Row],[Column5]],1)),"")</f>
        <v/>
      </c>
      <c r="S156" s="48" t="str">
        <f>IF(ISNUMBER(deployment_raw[[#This Row],[Column11]]), (deployment_raw[[#This Row],[Column11]] * IF($E$2="Deployment",deployment_raw[[#This Row],[Column5]],1))/1048576,"")</f>
        <v/>
      </c>
      <c r="T156" s="59" t="str">
        <f>IF(ISNUMBER(deployment_raw[[#This Row],[Column8]]),IF(OR(deployment_raw[[#This Row],[Column5]] &lt;&gt; 0,$E$2 &lt;&gt; "Deployment"), MAX(V156, ($T$2 * IF($E$2="Deployment",deployment_raw[[#This Row],[Column5]],1))), 0),"")</f>
        <v/>
      </c>
      <c r="U156" s="50" t="str">
        <f>IF(ISNUMBER(deployment_raw[[#This Row],[Column9]]),IF(OR(deployment_raw[[#This Row],[Column5]] &lt;&gt; 0,$E$2&lt;&gt;"Deployment"), MAX(W156, ($U$2 * IF($E$2="Deployment",deployment_raw[[#This Row],[Column5]],1))), 0),"")</f>
        <v/>
      </c>
      <c r="V156" s="15" t="str">
        <f>IF(ISNUMBER(deployment_raw[[#This Row],[Column12]]), (deployment_raw[[#This Row],[Column12]] * IF($E$2="Deployment",deployment_raw[[#This Row],[Column5]],1)*(1+$V$2)),"")</f>
        <v/>
      </c>
      <c r="W156" s="14" t="str">
        <f>IF(ISNUMBER(deployment_raw[[#This Row],[Column13]]), (deployment_raw[[#This Row],[Column13]] * IF($E$2="Deployment",deployment_raw[[#This Row],[Column5]],1)*(1+$W$2))/1048576,"")</f>
        <v/>
      </c>
    </row>
    <row r="157" spans="1:23" ht="15.75" customHeight="1" x14ac:dyDescent="0.25">
      <c r="A157" s="5" t="str">
        <f>IF(ISNONTEXT(deployment_raw[[#This Row],[Column1]]), "", deployment_raw[[#This Row],[Column1]])</f>
        <v/>
      </c>
      <c r="B157" s="6" t="str">
        <f>IF(ISNONTEXT(deployment_raw[[#This Row],[Column2]]), "", deployment_raw[[#This Row],[Column2]])</f>
        <v/>
      </c>
      <c r="C157" s="6" t="str">
        <f>IF(ISNONTEXT(deployment_raw[[#This Row],[Column3]]), "", deployment_raw[[#This Row],[Column3]])</f>
        <v/>
      </c>
      <c r="D157" s="6" t="str">
        <f>IF(ISNONTEXT(deployment_raw[[#This Row],[Column4]]), "", deployment_raw[[#This Row],[Column4]])</f>
        <v/>
      </c>
      <c r="E157" s="7" t="str">
        <f>IF(ISNUMBER(deployment_raw[[#This Row],[Column5]]), deployment_raw[[#This Row],[Column5]],"")</f>
        <v/>
      </c>
      <c r="F157" s="32" t="str">
        <f>IF(ISNUMBER(deployment_raw[[#This Row],[Column17]]), deployment_raw[[#This Row],[Column17]]/IF(OR($E$2="Deployment",deployment_raw[[#This Row],[Column5]]=0),1,deployment_raw[[#This Row],[Column5]]),"")</f>
        <v/>
      </c>
      <c r="G157" s="42" t="str">
        <f>IF(ISNUMBER(deployment_raw[[#This Row],[Column14]]), deployment_raw[[#This Row],[Column14]]/IF(OR($E$2="Deployment",deployment_raw[[#This Row],[Column5]]=0),1,deployment_raw[[#This Row],[Column5]]),"")</f>
        <v/>
      </c>
      <c r="H157" s="79" t="str">
        <f>IF(ISNUMBER(deployment_raw[[#This Row],[Column19]]), IF(I157&lt;&gt;0,(deployment_raw[[#This Row],[Column19]]/IF(OR($E$2="Deployment",deployment_raw[[#This Row],[Column5]]=0),1,deployment_raw[[#This Row],[Column5]]))/I157,0),"")</f>
        <v/>
      </c>
      <c r="I157" s="69" t="str">
        <f>IF(ISNUMBER(deployment_raw[[#This Row],[Column6]]), (deployment_raw[[#This Row],[Column6]] * IF($E$2="Deployment",deployment_raw[[#This Row],[Column5]],1)),"")</f>
        <v/>
      </c>
      <c r="J157" s="79" t="str">
        <f>IF(ISNUMBER(deployment_raw[[#This Row],[Column19]]), IF(K157&lt;&gt;0,(deployment_raw[[#This Row],[Column19]]/IF(OR($E$2="Deployment",deployment_raw[[#This Row],[Column5]]=0),1,deployment_raw[[#This Row],[Column5]]))/K157,0),"")</f>
        <v/>
      </c>
      <c r="K157" s="72" t="str">
        <f>IF(ISNUMBER(deployment_raw[[#This Row],[Column8]]), (deployment_raw[[#This Row],[Column8]]  * IF($E$2="Deployment",deployment_raw[[#This Row],[Column5]],1)),"")</f>
        <v/>
      </c>
      <c r="L15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5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57" s="81" t="str">
        <f>IF(ISNUMBER(deployment_raw[[#This Row],[Column20]]), IF(O157&lt;&gt;0,deployment_raw[[#This Row],[Column20]]/IF(OR($E$2="Deployment",deployment_raw[[#This Row],[Column5]]=0),1,deployment_raw[[#This Row],[Column5]])/1048576/O157,0),"")</f>
        <v/>
      </c>
      <c r="O157" s="74" t="str">
        <f>IF(ISNUMBER(deployment_raw[[#This Row],[Column7]]), (deployment_raw[[#This Row],[Column7]] * IF($E$2="Deployment",deployment_raw[[#This Row],[Column5]],1))/1048576,"")</f>
        <v/>
      </c>
      <c r="P157" s="81" t="str">
        <f>IF(ISNUMBER(deployment_raw[[#This Row],[Column20]]), IF(Q157&lt;&gt;0,deployment_raw[[#This Row],[Column20]]/IF(OR($E$2="Deployment",deployment_raw[[#This Row],[Column5]]=0),1,deployment_raw[[#This Row],[Column5]])/1048576/Q157,0),"")</f>
        <v/>
      </c>
      <c r="Q157" s="76" t="str">
        <f>IF(ISNUMBER(deployment_raw[[#This Row],[Column9]]), (deployment_raw[[#This Row],[Column9]] * IF($E$2="Deployment",deployment_raw[[#This Row],[Column5]],1))/1048576,"")</f>
        <v/>
      </c>
      <c r="R157" s="57" t="str">
        <f>IF(ISNUMBER(deployment_raw[[#This Row],[Column10]]), (deployment_raw[[#This Row],[Column10]] * IF($E$2="Deployment",deployment_raw[[#This Row],[Column5]],1)),"")</f>
        <v/>
      </c>
      <c r="S157" s="48" t="str">
        <f>IF(ISNUMBER(deployment_raw[[#This Row],[Column11]]), (deployment_raw[[#This Row],[Column11]] * IF($E$2="Deployment",deployment_raw[[#This Row],[Column5]],1))/1048576,"")</f>
        <v/>
      </c>
      <c r="T157" s="59" t="str">
        <f>IF(ISNUMBER(deployment_raw[[#This Row],[Column8]]),IF(OR(deployment_raw[[#This Row],[Column5]] &lt;&gt; 0,$E$2 &lt;&gt; "Deployment"), MAX(V157, ($T$2 * IF($E$2="Deployment",deployment_raw[[#This Row],[Column5]],1))), 0),"")</f>
        <v/>
      </c>
      <c r="U157" s="50" t="str">
        <f>IF(ISNUMBER(deployment_raw[[#This Row],[Column9]]),IF(OR(deployment_raw[[#This Row],[Column5]] &lt;&gt; 0,$E$2&lt;&gt;"Deployment"), MAX(W157, ($U$2 * IF($E$2="Deployment",deployment_raw[[#This Row],[Column5]],1))), 0),"")</f>
        <v/>
      </c>
      <c r="V157" s="15" t="str">
        <f>IF(ISNUMBER(deployment_raw[[#This Row],[Column12]]), (deployment_raw[[#This Row],[Column12]] * IF($E$2="Deployment",deployment_raw[[#This Row],[Column5]],1)*(1+$V$2)),"")</f>
        <v/>
      </c>
      <c r="W157" s="14" t="str">
        <f>IF(ISNUMBER(deployment_raw[[#This Row],[Column13]]), (deployment_raw[[#This Row],[Column13]] * IF($E$2="Deployment",deployment_raw[[#This Row],[Column5]],1)*(1+$W$2))/1048576,"")</f>
        <v/>
      </c>
    </row>
    <row r="158" spans="1:23" ht="15.75" customHeight="1" x14ac:dyDescent="0.25">
      <c r="A158" s="5" t="str">
        <f>IF(ISNONTEXT(deployment_raw[[#This Row],[Column1]]), "", deployment_raw[[#This Row],[Column1]])</f>
        <v/>
      </c>
      <c r="B158" s="6" t="str">
        <f>IF(ISNONTEXT(deployment_raw[[#This Row],[Column2]]), "", deployment_raw[[#This Row],[Column2]])</f>
        <v/>
      </c>
      <c r="C158" s="6" t="str">
        <f>IF(ISNONTEXT(deployment_raw[[#This Row],[Column3]]), "", deployment_raw[[#This Row],[Column3]])</f>
        <v/>
      </c>
      <c r="D158" s="6" t="str">
        <f>IF(ISNONTEXT(deployment_raw[[#This Row],[Column4]]), "", deployment_raw[[#This Row],[Column4]])</f>
        <v/>
      </c>
      <c r="E158" s="7" t="str">
        <f>IF(ISNUMBER(deployment_raw[[#This Row],[Column5]]), deployment_raw[[#This Row],[Column5]],"")</f>
        <v/>
      </c>
      <c r="F158" s="32" t="str">
        <f>IF(ISNUMBER(deployment_raw[[#This Row],[Column17]]), deployment_raw[[#This Row],[Column17]]/IF(OR($E$2="Deployment",deployment_raw[[#This Row],[Column5]]=0),1,deployment_raw[[#This Row],[Column5]]),"")</f>
        <v/>
      </c>
      <c r="G158" s="42" t="str">
        <f>IF(ISNUMBER(deployment_raw[[#This Row],[Column14]]), deployment_raw[[#This Row],[Column14]]/IF(OR($E$2="Deployment",deployment_raw[[#This Row],[Column5]]=0),1,deployment_raw[[#This Row],[Column5]]),"")</f>
        <v/>
      </c>
      <c r="H158" s="79" t="str">
        <f>IF(ISNUMBER(deployment_raw[[#This Row],[Column19]]), IF(I158&lt;&gt;0,(deployment_raw[[#This Row],[Column19]]/IF(OR($E$2="Deployment",deployment_raw[[#This Row],[Column5]]=0),1,deployment_raw[[#This Row],[Column5]]))/I158,0),"")</f>
        <v/>
      </c>
      <c r="I158" s="69" t="str">
        <f>IF(ISNUMBER(deployment_raw[[#This Row],[Column6]]), (deployment_raw[[#This Row],[Column6]] * IF($E$2="Deployment",deployment_raw[[#This Row],[Column5]],1)),"")</f>
        <v/>
      </c>
      <c r="J158" s="79" t="str">
        <f>IF(ISNUMBER(deployment_raw[[#This Row],[Column19]]), IF(K158&lt;&gt;0,(deployment_raw[[#This Row],[Column19]]/IF(OR($E$2="Deployment",deployment_raw[[#This Row],[Column5]]=0),1,deployment_raw[[#This Row],[Column5]]))/K158,0),"")</f>
        <v/>
      </c>
      <c r="K158" s="72" t="str">
        <f>IF(ISNUMBER(deployment_raw[[#This Row],[Column8]]), (deployment_raw[[#This Row],[Column8]]  * IF($E$2="Deployment",deployment_raw[[#This Row],[Column5]],1)),"")</f>
        <v/>
      </c>
      <c r="L15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5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58" s="81" t="str">
        <f>IF(ISNUMBER(deployment_raw[[#This Row],[Column20]]), IF(O158&lt;&gt;0,deployment_raw[[#This Row],[Column20]]/IF(OR($E$2="Deployment",deployment_raw[[#This Row],[Column5]]=0),1,deployment_raw[[#This Row],[Column5]])/1048576/O158,0),"")</f>
        <v/>
      </c>
      <c r="O158" s="74" t="str">
        <f>IF(ISNUMBER(deployment_raw[[#This Row],[Column7]]), (deployment_raw[[#This Row],[Column7]] * IF($E$2="Deployment",deployment_raw[[#This Row],[Column5]],1))/1048576,"")</f>
        <v/>
      </c>
      <c r="P158" s="81" t="str">
        <f>IF(ISNUMBER(deployment_raw[[#This Row],[Column20]]), IF(Q158&lt;&gt;0,deployment_raw[[#This Row],[Column20]]/IF(OR($E$2="Deployment",deployment_raw[[#This Row],[Column5]]=0),1,deployment_raw[[#This Row],[Column5]])/1048576/Q158,0),"")</f>
        <v/>
      </c>
      <c r="Q158" s="76" t="str">
        <f>IF(ISNUMBER(deployment_raw[[#This Row],[Column9]]), (deployment_raw[[#This Row],[Column9]] * IF($E$2="Deployment",deployment_raw[[#This Row],[Column5]],1))/1048576,"")</f>
        <v/>
      </c>
      <c r="R158" s="57" t="str">
        <f>IF(ISNUMBER(deployment_raw[[#This Row],[Column10]]), (deployment_raw[[#This Row],[Column10]] * IF($E$2="Deployment",deployment_raw[[#This Row],[Column5]],1)),"")</f>
        <v/>
      </c>
      <c r="S158" s="48" t="str">
        <f>IF(ISNUMBER(deployment_raw[[#This Row],[Column11]]), (deployment_raw[[#This Row],[Column11]] * IF($E$2="Deployment",deployment_raw[[#This Row],[Column5]],1))/1048576,"")</f>
        <v/>
      </c>
      <c r="T158" s="59" t="str">
        <f>IF(ISNUMBER(deployment_raw[[#This Row],[Column8]]),IF(OR(deployment_raw[[#This Row],[Column5]] &lt;&gt; 0,$E$2 &lt;&gt; "Deployment"), MAX(V158, ($T$2 * IF($E$2="Deployment",deployment_raw[[#This Row],[Column5]],1))), 0),"")</f>
        <v/>
      </c>
      <c r="U158" s="50" t="str">
        <f>IF(ISNUMBER(deployment_raw[[#This Row],[Column9]]),IF(OR(deployment_raw[[#This Row],[Column5]] &lt;&gt; 0,$E$2&lt;&gt;"Deployment"), MAX(W158, ($U$2 * IF($E$2="Deployment",deployment_raw[[#This Row],[Column5]],1))), 0),"")</f>
        <v/>
      </c>
      <c r="V158" s="15" t="str">
        <f>IF(ISNUMBER(deployment_raw[[#This Row],[Column12]]), (deployment_raw[[#This Row],[Column12]] * IF($E$2="Deployment",deployment_raw[[#This Row],[Column5]],1)*(1+$V$2)),"")</f>
        <v/>
      </c>
      <c r="W158" s="14" t="str">
        <f>IF(ISNUMBER(deployment_raw[[#This Row],[Column13]]), (deployment_raw[[#This Row],[Column13]] * IF($E$2="Deployment",deployment_raw[[#This Row],[Column5]],1)*(1+$W$2))/1048576,"")</f>
        <v/>
      </c>
    </row>
    <row r="159" spans="1:23" ht="15.75" customHeight="1" x14ac:dyDescent="0.25">
      <c r="A159" s="5" t="str">
        <f>IF(ISNONTEXT(deployment_raw[[#This Row],[Column1]]), "", deployment_raw[[#This Row],[Column1]])</f>
        <v/>
      </c>
      <c r="B159" s="6" t="str">
        <f>IF(ISNONTEXT(deployment_raw[[#This Row],[Column2]]), "", deployment_raw[[#This Row],[Column2]])</f>
        <v/>
      </c>
      <c r="C159" s="6" t="str">
        <f>IF(ISNONTEXT(deployment_raw[[#This Row],[Column3]]), "", deployment_raw[[#This Row],[Column3]])</f>
        <v/>
      </c>
      <c r="D159" s="6" t="str">
        <f>IF(ISNONTEXT(deployment_raw[[#This Row],[Column4]]), "", deployment_raw[[#This Row],[Column4]])</f>
        <v/>
      </c>
      <c r="E159" s="7" t="str">
        <f>IF(ISNUMBER(deployment_raw[[#This Row],[Column5]]), deployment_raw[[#This Row],[Column5]],"")</f>
        <v/>
      </c>
      <c r="F159" s="32" t="str">
        <f>IF(ISNUMBER(deployment_raw[[#This Row],[Column17]]), deployment_raw[[#This Row],[Column17]]/IF(OR($E$2="Deployment",deployment_raw[[#This Row],[Column5]]=0),1,deployment_raw[[#This Row],[Column5]]),"")</f>
        <v/>
      </c>
      <c r="G159" s="42" t="str">
        <f>IF(ISNUMBER(deployment_raw[[#This Row],[Column14]]), deployment_raw[[#This Row],[Column14]]/IF(OR($E$2="Deployment",deployment_raw[[#This Row],[Column5]]=0),1,deployment_raw[[#This Row],[Column5]]),"")</f>
        <v/>
      </c>
      <c r="H159" s="79" t="str">
        <f>IF(ISNUMBER(deployment_raw[[#This Row],[Column19]]), IF(I159&lt;&gt;0,(deployment_raw[[#This Row],[Column19]]/IF(OR($E$2="Deployment",deployment_raw[[#This Row],[Column5]]=0),1,deployment_raw[[#This Row],[Column5]]))/I159,0),"")</f>
        <v/>
      </c>
      <c r="I159" s="69" t="str">
        <f>IF(ISNUMBER(deployment_raw[[#This Row],[Column6]]), (deployment_raw[[#This Row],[Column6]] * IF($E$2="Deployment",deployment_raw[[#This Row],[Column5]],1)),"")</f>
        <v/>
      </c>
      <c r="J159" s="79" t="str">
        <f>IF(ISNUMBER(deployment_raw[[#This Row],[Column19]]), IF(K159&lt;&gt;0,(deployment_raw[[#This Row],[Column19]]/IF(OR($E$2="Deployment",deployment_raw[[#This Row],[Column5]]=0),1,deployment_raw[[#This Row],[Column5]]))/K159,0),"")</f>
        <v/>
      </c>
      <c r="K159" s="72" t="str">
        <f>IF(ISNUMBER(deployment_raw[[#This Row],[Column8]]), (deployment_raw[[#This Row],[Column8]]  * IF($E$2="Deployment",deployment_raw[[#This Row],[Column5]],1)),"")</f>
        <v/>
      </c>
      <c r="L15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5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59" s="81" t="str">
        <f>IF(ISNUMBER(deployment_raw[[#This Row],[Column20]]), IF(O159&lt;&gt;0,deployment_raw[[#This Row],[Column20]]/IF(OR($E$2="Deployment",deployment_raw[[#This Row],[Column5]]=0),1,deployment_raw[[#This Row],[Column5]])/1048576/O159,0),"")</f>
        <v/>
      </c>
      <c r="O159" s="74" t="str">
        <f>IF(ISNUMBER(deployment_raw[[#This Row],[Column7]]), (deployment_raw[[#This Row],[Column7]] * IF($E$2="Deployment",deployment_raw[[#This Row],[Column5]],1))/1048576,"")</f>
        <v/>
      </c>
      <c r="P159" s="81" t="str">
        <f>IF(ISNUMBER(deployment_raw[[#This Row],[Column20]]), IF(Q159&lt;&gt;0,deployment_raw[[#This Row],[Column20]]/IF(OR($E$2="Deployment",deployment_raw[[#This Row],[Column5]]=0),1,deployment_raw[[#This Row],[Column5]])/1048576/Q159,0),"")</f>
        <v/>
      </c>
      <c r="Q159" s="76" t="str">
        <f>IF(ISNUMBER(deployment_raw[[#This Row],[Column9]]), (deployment_raw[[#This Row],[Column9]] * IF($E$2="Deployment",deployment_raw[[#This Row],[Column5]],1))/1048576,"")</f>
        <v/>
      </c>
      <c r="R159" s="57" t="str">
        <f>IF(ISNUMBER(deployment_raw[[#This Row],[Column10]]), (deployment_raw[[#This Row],[Column10]] * IF($E$2="Deployment",deployment_raw[[#This Row],[Column5]],1)),"")</f>
        <v/>
      </c>
      <c r="S159" s="48" t="str">
        <f>IF(ISNUMBER(deployment_raw[[#This Row],[Column11]]), (deployment_raw[[#This Row],[Column11]] * IF($E$2="Deployment",deployment_raw[[#This Row],[Column5]],1))/1048576,"")</f>
        <v/>
      </c>
      <c r="T159" s="59" t="str">
        <f>IF(ISNUMBER(deployment_raw[[#This Row],[Column8]]),IF(OR(deployment_raw[[#This Row],[Column5]] &lt;&gt; 0,$E$2 &lt;&gt; "Deployment"), MAX(V159, ($T$2 * IF($E$2="Deployment",deployment_raw[[#This Row],[Column5]],1))), 0),"")</f>
        <v/>
      </c>
      <c r="U159" s="50" t="str">
        <f>IF(ISNUMBER(deployment_raw[[#This Row],[Column9]]),IF(OR(deployment_raw[[#This Row],[Column5]] &lt;&gt; 0,$E$2&lt;&gt;"Deployment"), MAX(W159, ($U$2 * IF($E$2="Deployment",deployment_raw[[#This Row],[Column5]],1))), 0),"")</f>
        <v/>
      </c>
      <c r="V159" s="15" t="str">
        <f>IF(ISNUMBER(deployment_raw[[#This Row],[Column12]]), (deployment_raw[[#This Row],[Column12]] * IF($E$2="Deployment",deployment_raw[[#This Row],[Column5]],1)*(1+$V$2)),"")</f>
        <v/>
      </c>
      <c r="W159" s="14" t="str">
        <f>IF(ISNUMBER(deployment_raw[[#This Row],[Column13]]), (deployment_raw[[#This Row],[Column13]] * IF($E$2="Deployment",deployment_raw[[#This Row],[Column5]],1)*(1+$W$2))/1048576,"")</f>
        <v/>
      </c>
    </row>
    <row r="160" spans="1:23" ht="15.75" customHeight="1" x14ac:dyDescent="0.25">
      <c r="A160" s="5" t="str">
        <f>IF(ISNONTEXT(deployment_raw[[#This Row],[Column1]]), "", deployment_raw[[#This Row],[Column1]])</f>
        <v/>
      </c>
      <c r="B160" s="6" t="str">
        <f>IF(ISNONTEXT(deployment_raw[[#This Row],[Column2]]), "", deployment_raw[[#This Row],[Column2]])</f>
        <v/>
      </c>
      <c r="C160" s="6" t="str">
        <f>IF(ISNONTEXT(deployment_raw[[#This Row],[Column3]]), "", deployment_raw[[#This Row],[Column3]])</f>
        <v/>
      </c>
      <c r="D160" s="6" t="str">
        <f>IF(ISNONTEXT(deployment_raw[[#This Row],[Column4]]), "", deployment_raw[[#This Row],[Column4]])</f>
        <v/>
      </c>
      <c r="E160" s="7" t="str">
        <f>IF(ISNUMBER(deployment_raw[[#This Row],[Column5]]), deployment_raw[[#This Row],[Column5]],"")</f>
        <v/>
      </c>
      <c r="F160" s="32" t="str">
        <f>IF(ISNUMBER(deployment_raw[[#This Row],[Column17]]), deployment_raw[[#This Row],[Column17]]/IF(OR($E$2="Deployment",deployment_raw[[#This Row],[Column5]]=0),1,deployment_raw[[#This Row],[Column5]]),"")</f>
        <v/>
      </c>
      <c r="G160" s="42" t="str">
        <f>IF(ISNUMBER(deployment_raw[[#This Row],[Column14]]), deployment_raw[[#This Row],[Column14]]/IF(OR($E$2="Deployment",deployment_raw[[#This Row],[Column5]]=0),1,deployment_raw[[#This Row],[Column5]]),"")</f>
        <v/>
      </c>
      <c r="H160" s="79" t="str">
        <f>IF(ISNUMBER(deployment_raw[[#This Row],[Column19]]), IF(I160&lt;&gt;0,(deployment_raw[[#This Row],[Column19]]/IF(OR($E$2="Deployment",deployment_raw[[#This Row],[Column5]]=0),1,deployment_raw[[#This Row],[Column5]]))/I160,0),"")</f>
        <v/>
      </c>
      <c r="I160" s="69" t="str">
        <f>IF(ISNUMBER(deployment_raw[[#This Row],[Column6]]), (deployment_raw[[#This Row],[Column6]] * IF($E$2="Deployment",deployment_raw[[#This Row],[Column5]],1)),"")</f>
        <v/>
      </c>
      <c r="J160" s="79" t="str">
        <f>IF(ISNUMBER(deployment_raw[[#This Row],[Column19]]), IF(K160&lt;&gt;0,(deployment_raw[[#This Row],[Column19]]/IF(OR($E$2="Deployment",deployment_raw[[#This Row],[Column5]]=0),1,deployment_raw[[#This Row],[Column5]]))/K160,0),"")</f>
        <v/>
      </c>
      <c r="K160" s="72" t="str">
        <f>IF(ISNUMBER(deployment_raw[[#This Row],[Column8]]), (deployment_raw[[#This Row],[Column8]]  * IF($E$2="Deployment",deployment_raw[[#This Row],[Column5]],1)),"")</f>
        <v/>
      </c>
      <c r="L16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6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60" s="81" t="str">
        <f>IF(ISNUMBER(deployment_raw[[#This Row],[Column20]]), IF(O160&lt;&gt;0,deployment_raw[[#This Row],[Column20]]/IF(OR($E$2="Deployment",deployment_raw[[#This Row],[Column5]]=0),1,deployment_raw[[#This Row],[Column5]])/1048576/O160,0),"")</f>
        <v/>
      </c>
      <c r="O160" s="74" t="str">
        <f>IF(ISNUMBER(deployment_raw[[#This Row],[Column7]]), (deployment_raw[[#This Row],[Column7]] * IF($E$2="Deployment",deployment_raw[[#This Row],[Column5]],1))/1048576,"")</f>
        <v/>
      </c>
      <c r="P160" s="81" t="str">
        <f>IF(ISNUMBER(deployment_raw[[#This Row],[Column20]]), IF(Q160&lt;&gt;0,deployment_raw[[#This Row],[Column20]]/IF(OR($E$2="Deployment",deployment_raw[[#This Row],[Column5]]=0),1,deployment_raw[[#This Row],[Column5]])/1048576/Q160,0),"")</f>
        <v/>
      </c>
      <c r="Q160" s="76" t="str">
        <f>IF(ISNUMBER(deployment_raw[[#This Row],[Column9]]), (deployment_raw[[#This Row],[Column9]] * IF($E$2="Deployment",deployment_raw[[#This Row],[Column5]],1))/1048576,"")</f>
        <v/>
      </c>
      <c r="R160" s="57" t="str">
        <f>IF(ISNUMBER(deployment_raw[[#This Row],[Column10]]), (deployment_raw[[#This Row],[Column10]] * IF($E$2="Deployment",deployment_raw[[#This Row],[Column5]],1)),"")</f>
        <v/>
      </c>
      <c r="S160" s="48" t="str">
        <f>IF(ISNUMBER(deployment_raw[[#This Row],[Column11]]), (deployment_raw[[#This Row],[Column11]] * IF($E$2="Deployment",deployment_raw[[#This Row],[Column5]],1))/1048576,"")</f>
        <v/>
      </c>
      <c r="T160" s="59" t="str">
        <f>IF(ISNUMBER(deployment_raw[[#This Row],[Column8]]),IF(OR(deployment_raw[[#This Row],[Column5]] &lt;&gt; 0,$E$2 &lt;&gt; "Deployment"), MAX(V160, ($T$2 * IF($E$2="Deployment",deployment_raw[[#This Row],[Column5]],1))), 0),"")</f>
        <v/>
      </c>
      <c r="U160" s="50" t="str">
        <f>IF(ISNUMBER(deployment_raw[[#This Row],[Column9]]),IF(OR(deployment_raw[[#This Row],[Column5]] &lt;&gt; 0,$E$2&lt;&gt;"Deployment"), MAX(W160, ($U$2 * IF($E$2="Deployment",deployment_raw[[#This Row],[Column5]],1))), 0),"")</f>
        <v/>
      </c>
      <c r="V160" s="15" t="str">
        <f>IF(ISNUMBER(deployment_raw[[#This Row],[Column12]]), (deployment_raw[[#This Row],[Column12]] * IF($E$2="Deployment",deployment_raw[[#This Row],[Column5]],1)*(1+$V$2)),"")</f>
        <v/>
      </c>
      <c r="W160" s="14" t="str">
        <f>IF(ISNUMBER(deployment_raw[[#This Row],[Column13]]), (deployment_raw[[#This Row],[Column13]] * IF($E$2="Deployment",deployment_raw[[#This Row],[Column5]],1)*(1+$W$2))/1048576,"")</f>
        <v/>
      </c>
    </row>
    <row r="161" spans="1:23" ht="15.75" customHeight="1" x14ac:dyDescent="0.25">
      <c r="A161" s="5" t="str">
        <f>IF(ISNONTEXT(deployment_raw[[#This Row],[Column1]]), "", deployment_raw[[#This Row],[Column1]])</f>
        <v/>
      </c>
      <c r="B161" s="6" t="str">
        <f>IF(ISNONTEXT(deployment_raw[[#This Row],[Column2]]), "", deployment_raw[[#This Row],[Column2]])</f>
        <v/>
      </c>
      <c r="C161" s="6" t="str">
        <f>IF(ISNONTEXT(deployment_raw[[#This Row],[Column3]]), "", deployment_raw[[#This Row],[Column3]])</f>
        <v/>
      </c>
      <c r="D161" s="6" t="str">
        <f>IF(ISNONTEXT(deployment_raw[[#This Row],[Column4]]), "", deployment_raw[[#This Row],[Column4]])</f>
        <v/>
      </c>
      <c r="E161" s="7" t="str">
        <f>IF(ISNUMBER(deployment_raw[[#This Row],[Column5]]), deployment_raw[[#This Row],[Column5]],"")</f>
        <v/>
      </c>
      <c r="F161" s="32" t="str">
        <f>IF(ISNUMBER(deployment_raw[[#This Row],[Column17]]), deployment_raw[[#This Row],[Column17]]/IF(OR($E$2="Deployment",deployment_raw[[#This Row],[Column5]]=0),1,deployment_raw[[#This Row],[Column5]]),"")</f>
        <v/>
      </c>
      <c r="G161" s="42" t="str">
        <f>IF(ISNUMBER(deployment_raw[[#This Row],[Column14]]), deployment_raw[[#This Row],[Column14]]/IF(OR($E$2="Deployment",deployment_raw[[#This Row],[Column5]]=0),1,deployment_raw[[#This Row],[Column5]]),"")</f>
        <v/>
      </c>
      <c r="H161" s="79" t="str">
        <f>IF(ISNUMBER(deployment_raw[[#This Row],[Column19]]), IF(I161&lt;&gt;0,(deployment_raw[[#This Row],[Column19]]/IF(OR($E$2="Deployment",deployment_raw[[#This Row],[Column5]]=0),1,deployment_raw[[#This Row],[Column5]]))/I161,0),"")</f>
        <v/>
      </c>
      <c r="I161" s="69" t="str">
        <f>IF(ISNUMBER(deployment_raw[[#This Row],[Column6]]), (deployment_raw[[#This Row],[Column6]] * IF($E$2="Deployment",deployment_raw[[#This Row],[Column5]],1)),"")</f>
        <v/>
      </c>
      <c r="J161" s="79" t="str">
        <f>IF(ISNUMBER(deployment_raw[[#This Row],[Column19]]), IF(K161&lt;&gt;0,(deployment_raw[[#This Row],[Column19]]/IF(OR($E$2="Deployment",deployment_raw[[#This Row],[Column5]]=0),1,deployment_raw[[#This Row],[Column5]]))/K161,0),"")</f>
        <v/>
      </c>
      <c r="K161" s="72" t="str">
        <f>IF(ISNUMBER(deployment_raw[[#This Row],[Column8]]), (deployment_raw[[#This Row],[Column8]]  * IF($E$2="Deployment",deployment_raw[[#This Row],[Column5]],1)),"")</f>
        <v/>
      </c>
      <c r="L16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6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61" s="81" t="str">
        <f>IF(ISNUMBER(deployment_raw[[#This Row],[Column20]]), IF(O161&lt;&gt;0,deployment_raw[[#This Row],[Column20]]/IF(OR($E$2="Deployment",deployment_raw[[#This Row],[Column5]]=0),1,deployment_raw[[#This Row],[Column5]])/1048576/O161,0),"")</f>
        <v/>
      </c>
      <c r="O161" s="74" t="str">
        <f>IF(ISNUMBER(deployment_raw[[#This Row],[Column7]]), (deployment_raw[[#This Row],[Column7]] * IF($E$2="Deployment",deployment_raw[[#This Row],[Column5]],1))/1048576,"")</f>
        <v/>
      </c>
      <c r="P161" s="81" t="str">
        <f>IF(ISNUMBER(deployment_raw[[#This Row],[Column20]]), IF(Q161&lt;&gt;0,deployment_raw[[#This Row],[Column20]]/IF(OR($E$2="Deployment",deployment_raw[[#This Row],[Column5]]=0),1,deployment_raw[[#This Row],[Column5]])/1048576/Q161,0),"")</f>
        <v/>
      </c>
      <c r="Q161" s="76" t="str">
        <f>IF(ISNUMBER(deployment_raw[[#This Row],[Column9]]), (deployment_raw[[#This Row],[Column9]] * IF($E$2="Deployment",deployment_raw[[#This Row],[Column5]],1))/1048576,"")</f>
        <v/>
      </c>
      <c r="R161" s="57" t="str">
        <f>IF(ISNUMBER(deployment_raw[[#This Row],[Column10]]), (deployment_raw[[#This Row],[Column10]] * IF($E$2="Deployment",deployment_raw[[#This Row],[Column5]],1)),"")</f>
        <v/>
      </c>
      <c r="S161" s="48" t="str">
        <f>IF(ISNUMBER(deployment_raw[[#This Row],[Column11]]), (deployment_raw[[#This Row],[Column11]] * IF($E$2="Deployment",deployment_raw[[#This Row],[Column5]],1))/1048576,"")</f>
        <v/>
      </c>
      <c r="T161" s="59" t="str">
        <f>IF(ISNUMBER(deployment_raw[[#This Row],[Column8]]),IF(OR(deployment_raw[[#This Row],[Column5]] &lt;&gt; 0,$E$2 &lt;&gt; "Deployment"), MAX(V161, ($T$2 * IF($E$2="Deployment",deployment_raw[[#This Row],[Column5]],1))), 0),"")</f>
        <v/>
      </c>
      <c r="U161" s="50" t="str">
        <f>IF(ISNUMBER(deployment_raw[[#This Row],[Column9]]),IF(OR(deployment_raw[[#This Row],[Column5]] &lt;&gt; 0,$E$2&lt;&gt;"Deployment"), MAX(W161, ($U$2 * IF($E$2="Deployment",deployment_raw[[#This Row],[Column5]],1))), 0),"")</f>
        <v/>
      </c>
      <c r="V161" s="15" t="str">
        <f>IF(ISNUMBER(deployment_raw[[#This Row],[Column12]]), (deployment_raw[[#This Row],[Column12]] * IF($E$2="Deployment",deployment_raw[[#This Row],[Column5]],1)*(1+$V$2)),"")</f>
        <v/>
      </c>
      <c r="W161" s="14" t="str">
        <f>IF(ISNUMBER(deployment_raw[[#This Row],[Column13]]), (deployment_raw[[#This Row],[Column13]] * IF($E$2="Deployment",deployment_raw[[#This Row],[Column5]],1)*(1+$W$2))/1048576,"")</f>
        <v/>
      </c>
    </row>
    <row r="162" spans="1:23" ht="15.75" customHeight="1" x14ac:dyDescent="0.25">
      <c r="A162" s="5" t="str">
        <f>IF(ISNONTEXT(deployment_raw[[#This Row],[Column1]]), "", deployment_raw[[#This Row],[Column1]])</f>
        <v/>
      </c>
      <c r="B162" s="6" t="str">
        <f>IF(ISNONTEXT(deployment_raw[[#This Row],[Column2]]), "", deployment_raw[[#This Row],[Column2]])</f>
        <v/>
      </c>
      <c r="C162" s="6" t="str">
        <f>IF(ISNONTEXT(deployment_raw[[#This Row],[Column3]]), "", deployment_raw[[#This Row],[Column3]])</f>
        <v/>
      </c>
      <c r="D162" s="6" t="str">
        <f>IF(ISNONTEXT(deployment_raw[[#This Row],[Column4]]), "", deployment_raw[[#This Row],[Column4]])</f>
        <v/>
      </c>
      <c r="E162" s="7" t="str">
        <f>IF(ISNUMBER(deployment_raw[[#This Row],[Column5]]), deployment_raw[[#This Row],[Column5]],"")</f>
        <v/>
      </c>
      <c r="F162" s="32" t="str">
        <f>IF(ISNUMBER(deployment_raw[[#This Row],[Column17]]), deployment_raw[[#This Row],[Column17]]/IF(OR($E$2="Deployment",deployment_raw[[#This Row],[Column5]]=0),1,deployment_raw[[#This Row],[Column5]]),"")</f>
        <v/>
      </c>
      <c r="G162" s="42" t="str">
        <f>IF(ISNUMBER(deployment_raw[[#This Row],[Column14]]), deployment_raw[[#This Row],[Column14]]/IF(OR($E$2="Deployment",deployment_raw[[#This Row],[Column5]]=0),1,deployment_raw[[#This Row],[Column5]]),"")</f>
        <v/>
      </c>
      <c r="H162" s="79" t="str">
        <f>IF(ISNUMBER(deployment_raw[[#This Row],[Column19]]), IF(I162&lt;&gt;0,(deployment_raw[[#This Row],[Column19]]/IF(OR($E$2="Deployment",deployment_raw[[#This Row],[Column5]]=0),1,deployment_raw[[#This Row],[Column5]]))/I162,0),"")</f>
        <v/>
      </c>
      <c r="I162" s="69" t="str">
        <f>IF(ISNUMBER(deployment_raw[[#This Row],[Column6]]), (deployment_raw[[#This Row],[Column6]] * IF($E$2="Deployment",deployment_raw[[#This Row],[Column5]],1)),"")</f>
        <v/>
      </c>
      <c r="J162" s="79" t="str">
        <f>IF(ISNUMBER(deployment_raw[[#This Row],[Column19]]), IF(K162&lt;&gt;0,(deployment_raw[[#This Row],[Column19]]/IF(OR($E$2="Deployment",deployment_raw[[#This Row],[Column5]]=0),1,deployment_raw[[#This Row],[Column5]]))/K162,0),"")</f>
        <v/>
      </c>
      <c r="K162" s="72" t="str">
        <f>IF(ISNUMBER(deployment_raw[[#This Row],[Column8]]), (deployment_raw[[#This Row],[Column8]]  * IF($E$2="Deployment",deployment_raw[[#This Row],[Column5]],1)),"")</f>
        <v/>
      </c>
      <c r="L16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6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62" s="81" t="str">
        <f>IF(ISNUMBER(deployment_raw[[#This Row],[Column20]]), IF(O162&lt;&gt;0,deployment_raw[[#This Row],[Column20]]/IF(OR($E$2="Deployment",deployment_raw[[#This Row],[Column5]]=0),1,deployment_raw[[#This Row],[Column5]])/1048576/O162,0),"")</f>
        <v/>
      </c>
      <c r="O162" s="74" t="str">
        <f>IF(ISNUMBER(deployment_raw[[#This Row],[Column7]]), (deployment_raw[[#This Row],[Column7]] * IF($E$2="Deployment",deployment_raw[[#This Row],[Column5]],1))/1048576,"")</f>
        <v/>
      </c>
      <c r="P162" s="81" t="str">
        <f>IF(ISNUMBER(deployment_raw[[#This Row],[Column20]]), IF(Q162&lt;&gt;0,deployment_raw[[#This Row],[Column20]]/IF(OR($E$2="Deployment",deployment_raw[[#This Row],[Column5]]=0),1,deployment_raw[[#This Row],[Column5]])/1048576/Q162,0),"")</f>
        <v/>
      </c>
      <c r="Q162" s="76" t="str">
        <f>IF(ISNUMBER(deployment_raw[[#This Row],[Column9]]), (deployment_raw[[#This Row],[Column9]] * IF($E$2="Deployment",deployment_raw[[#This Row],[Column5]],1))/1048576,"")</f>
        <v/>
      </c>
      <c r="R162" s="57" t="str">
        <f>IF(ISNUMBER(deployment_raw[[#This Row],[Column10]]), (deployment_raw[[#This Row],[Column10]] * IF($E$2="Deployment",deployment_raw[[#This Row],[Column5]],1)),"")</f>
        <v/>
      </c>
      <c r="S162" s="48" t="str">
        <f>IF(ISNUMBER(deployment_raw[[#This Row],[Column11]]), (deployment_raw[[#This Row],[Column11]] * IF($E$2="Deployment",deployment_raw[[#This Row],[Column5]],1))/1048576,"")</f>
        <v/>
      </c>
      <c r="T162" s="59" t="str">
        <f>IF(ISNUMBER(deployment_raw[[#This Row],[Column8]]),IF(OR(deployment_raw[[#This Row],[Column5]] &lt;&gt; 0,$E$2 &lt;&gt; "Deployment"), MAX(V162, ($T$2 * IF($E$2="Deployment",deployment_raw[[#This Row],[Column5]],1))), 0),"")</f>
        <v/>
      </c>
      <c r="U162" s="50" t="str">
        <f>IF(ISNUMBER(deployment_raw[[#This Row],[Column9]]),IF(OR(deployment_raw[[#This Row],[Column5]] &lt;&gt; 0,$E$2&lt;&gt;"Deployment"), MAX(W162, ($U$2 * IF($E$2="Deployment",deployment_raw[[#This Row],[Column5]],1))), 0),"")</f>
        <v/>
      </c>
      <c r="V162" s="15" t="str">
        <f>IF(ISNUMBER(deployment_raw[[#This Row],[Column12]]), (deployment_raw[[#This Row],[Column12]] * IF($E$2="Deployment",deployment_raw[[#This Row],[Column5]],1)*(1+$V$2)),"")</f>
        <v/>
      </c>
      <c r="W162" s="14" t="str">
        <f>IF(ISNUMBER(deployment_raw[[#This Row],[Column13]]), (deployment_raw[[#This Row],[Column13]] * IF($E$2="Deployment",deployment_raw[[#This Row],[Column5]],1)*(1+$W$2))/1048576,"")</f>
        <v/>
      </c>
    </row>
    <row r="163" spans="1:23" ht="15.75" customHeight="1" x14ac:dyDescent="0.25">
      <c r="A163" s="5" t="str">
        <f>IF(ISNONTEXT(deployment_raw[[#This Row],[Column1]]), "", deployment_raw[[#This Row],[Column1]])</f>
        <v/>
      </c>
      <c r="B163" s="6" t="str">
        <f>IF(ISNONTEXT(deployment_raw[[#This Row],[Column2]]), "", deployment_raw[[#This Row],[Column2]])</f>
        <v/>
      </c>
      <c r="C163" s="6" t="str">
        <f>IF(ISNONTEXT(deployment_raw[[#This Row],[Column3]]), "", deployment_raw[[#This Row],[Column3]])</f>
        <v/>
      </c>
      <c r="D163" s="6" t="str">
        <f>IF(ISNONTEXT(deployment_raw[[#This Row],[Column4]]), "", deployment_raw[[#This Row],[Column4]])</f>
        <v/>
      </c>
      <c r="E163" s="7" t="str">
        <f>IF(ISNUMBER(deployment_raw[[#This Row],[Column5]]), deployment_raw[[#This Row],[Column5]],"")</f>
        <v/>
      </c>
      <c r="F163" s="32" t="str">
        <f>IF(ISNUMBER(deployment_raw[[#This Row],[Column17]]), deployment_raw[[#This Row],[Column17]]/IF(OR($E$2="Deployment",deployment_raw[[#This Row],[Column5]]=0),1,deployment_raw[[#This Row],[Column5]]),"")</f>
        <v/>
      </c>
      <c r="G163" s="42" t="str">
        <f>IF(ISNUMBER(deployment_raw[[#This Row],[Column14]]), deployment_raw[[#This Row],[Column14]]/IF(OR($E$2="Deployment",deployment_raw[[#This Row],[Column5]]=0),1,deployment_raw[[#This Row],[Column5]]),"")</f>
        <v/>
      </c>
      <c r="H163" s="79" t="str">
        <f>IF(ISNUMBER(deployment_raw[[#This Row],[Column19]]), IF(I163&lt;&gt;0,(deployment_raw[[#This Row],[Column19]]/IF(OR($E$2="Deployment",deployment_raw[[#This Row],[Column5]]=0),1,deployment_raw[[#This Row],[Column5]]))/I163,0),"")</f>
        <v/>
      </c>
      <c r="I163" s="69" t="str">
        <f>IF(ISNUMBER(deployment_raw[[#This Row],[Column6]]), (deployment_raw[[#This Row],[Column6]] * IF($E$2="Deployment",deployment_raw[[#This Row],[Column5]],1)),"")</f>
        <v/>
      </c>
      <c r="J163" s="79" t="str">
        <f>IF(ISNUMBER(deployment_raw[[#This Row],[Column19]]), IF(K163&lt;&gt;0,(deployment_raw[[#This Row],[Column19]]/IF(OR($E$2="Deployment",deployment_raw[[#This Row],[Column5]]=0),1,deployment_raw[[#This Row],[Column5]]))/K163,0),"")</f>
        <v/>
      </c>
      <c r="K163" s="72" t="str">
        <f>IF(ISNUMBER(deployment_raw[[#This Row],[Column8]]), (deployment_raw[[#This Row],[Column8]]  * IF($E$2="Deployment",deployment_raw[[#This Row],[Column5]],1)),"")</f>
        <v/>
      </c>
      <c r="L16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6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63" s="81" t="str">
        <f>IF(ISNUMBER(deployment_raw[[#This Row],[Column20]]), IF(O163&lt;&gt;0,deployment_raw[[#This Row],[Column20]]/IF(OR($E$2="Deployment",deployment_raw[[#This Row],[Column5]]=0),1,deployment_raw[[#This Row],[Column5]])/1048576/O163,0),"")</f>
        <v/>
      </c>
      <c r="O163" s="74" t="str">
        <f>IF(ISNUMBER(deployment_raw[[#This Row],[Column7]]), (deployment_raw[[#This Row],[Column7]] * IF($E$2="Deployment",deployment_raw[[#This Row],[Column5]],1))/1048576,"")</f>
        <v/>
      </c>
      <c r="P163" s="81" t="str">
        <f>IF(ISNUMBER(deployment_raw[[#This Row],[Column20]]), IF(Q163&lt;&gt;0,deployment_raw[[#This Row],[Column20]]/IF(OR($E$2="Deployment",deployment_raw[[#This Row],[Column5]]=0),1,deployment_raw[[#This Row],[Column5]])/1048576/Q163,0),"")</f>
        <v/>
      </c>
      <c r="Q163" s="76" t="str">
        <f>IF(ISNUMBER(deployment_raw[[#This Row],[Column9]]), (deployment_raw[[#This Row],[Column9]] * IF($E$2="Deployment",deployment_raw[[#This Row],[Column5]],1))/1048576,"")</f>
        <v/>
      </c>
      <c r="R163" s="57" t="str">
        <f>IF(ISNUMBER(deployment_raw[[#This Row],[Column10]]), (deployment_raw[[#This Row],[Column10]] * IF($E$2="Deployment",deployment_raw[[#This Row],[Column5]],1)),"")</f>
        <v/>
      </c>
      <c r="S163" s="48" t="str">
        <f>IF(ISNUMBER(deployment_raw[[#This Row],[Column11]]), (deployment_raw[[#This Row],[Column11]] * IF($E$2="Deployment",deployment_raw[[#This Row],[Column5]],1))/1048576,"")</f>
        <v/>
      </c>
      <c r="T163" s="59" t="str">
        <f>IF(ISNUMBER(deployment_raw[[#This Row],[Column8]]),IF(OR(deployment_raw[[#This Row],[Column5]] &lt;&gt; 0,$E$2 &lt;&gt; "Deployment"), MAX(V163, ($T$2 * IF($E$2="Deployment",deployment_raw[[#This Row],[Column5]],1))), 0),"")</f>
        <v/>
      </c>
      <c r="U163" s="50" t="str">
        <f>IF(ISNUMBER(deployment_raw[[#This Row],[Column9]]),IF(OR(deployment_raw[[#This Row],[Column5]] &lt;&gt; 0,$E$2&lt;&gt;"Deployment"), MAX(W163, ($U$2 * IF($E$2="Deployment",deployment_raw[[#This Row],[Column5]],1))), 0),"")</f>
        <v/>
      </c>
      <c r="V163" s="15" t="str">
        <f>IF(ISNUMBER(deployment_raw[[#This Row],[Column12]]), (deployment_raw[[#This Row],[Column12]] * IF($E$2="Deployment",deployment_raw[[#This Row],[Column5]],1)*(1+$V$2)),"")</f>
        <v/>
      </c>
      <c r="W163" s="14" t="str">
        <f>IF(ISNUMBER(deployment_raw[[#This Row],[Column13]]), (deployment_raw[[#This Row],[Column13]] * IF($E$2="Deployment",deployment_raw[[#This Row],[Column5]],1)*(1+$W$2))/1048576,"")</f>
        <v/>
      </c>
    </row>
    <row r="164" spans="1:23" ht="15.75" customHeight="1" x14ac:dyDescent="0.25">
      <c r="A164" s="5" t="str">
        <f>IF(ISNONTEXT(deployment_raw[[#This Row],[Column1]]), "", deployment_raw[[#This Row],[Column1]])</f>
        <v/>
      </c>
      <c r="B164" s="6" t="str">
        <f>IF(ISNONTEXT(deployment_raw[[#This Row],[Column2]]), "", deployment_raw[[#This Row],[Column2]])</f>
        <v/>
      </c>
      <c r="C164" s="6" t="str">
        <f>IF(ISNONTEXT(deployment_raw[[#This Row],[Column3]]), "", deployment_raw[[#This Row],[Column3]])</f>
        <v/>
      </c>
      <c r="D164" s="6" t="str">
        <f>IF(ISNONTEXT(deployment_raw[[#This Row],[Column4]]), "", deployment_raw[[#This Row],[Column4]])</f>
        <v/>
      </c>
      <c r="E164" s="7" t="str">
        <f>IF(ISNUMBER(deployment_raw[[#This Row],[Column5]]), deployment_raw[[#This Row],[Column5]],"")</f>
        <v/>
      </c>
      <c r="F164" s="32" t="str">
        <f>IF(ISNUMBER(deployment_raw[[#This Row],[Column17]]), deployment_raw[[#This Row],[Column17]]/IF(OR($E$2="Deployment",deployment_raw[[#This Row],[Column5]]=0),1,deployment_raw[[#This Row],[Column5]]),"")</f>
        <v/>
      </c>
      <c r="G164" s="42" t="str">
        <f>IF(ISNUMBER(deployment_raw[[#This Row],[Column14]]), deployment_raw[[#This Row],[Column14]]/IF(OR($E$2="Deployment",deployment_raw[[#This Row],[Column5]]=0),1,deployment_raw[[#This Row],[Column5]]),"")</f>
        <v/>
      </c>
      <c r="H164" s="79" t="str">
        <f>IF(ISNUMBER(deployment_raw[[#This Row],[Column19]]), IF(I164&lt;&gt;0,(deployment_raw[[#This Row],[Column19]]/IF(OR($E$2="Deployment",deployment_raw[[#This Row],[Column5]]=0),1,deployment_raw[[#This Row],[Column5]]))/I164,0),"")</f>
        <v/>
      </c>
      <c r="I164" s="69" t="str">
        <f>IF(ISNUMBER(deployment_raw[[#This Row],[Column6]]), (deployment_raw[[#This Row],[Column6]] * IF($E$2="Deployment",deployment_raw[[#This Row],[Column5]],1)),"")</f>
        <v/>
      </c>
      <c r="J164" s="79" t="str">
        <f>IF(ISNUMBER(deployment_raw[[#This Row],[Column19]]), IF(K164&lt;&gt;0,(deployment_raw[[#This Row],[Column19]]/IF(OR($E$2="Deployment",deployment_raw[[#This Row],[Column5]]=0),1,deployment_raw[[#This Row],[Column5]]))/K164,0),"")</f>
        <v/>
      </c>
      <c r="K164" s="72" t="str">
        <f>IF(ISNUMBER(deployment_raw[[#This Row],[Column8]]), (deployment_raw[[#This Row],[Column8]]  * IF($E$2="Deployment",deployment_raw[[#This Row],[Column5]],1)),"")</f>
        <v/>
      </c>
      <c r="L16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6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64" s="81" t="str">
        <f>IF(ISNUMBER(deployment_raw[[#This Row],[Column20]]), IF(O164&lt;&gt;0,deployment_raw[[#This Row],[Column20]]/IF(OR($E$2="Deployment",deployment_raw[[#This Row],[Column5]]=0),1,deployment_raw[[#This Row],[Column5]])/1048576/O164,0),"")</f>
        <v/>
      </c>
      <c r="O164" s="74" t="str">
        <f>IF(ISNUMBER(deployment_raw[[#This Row],[Column7]]), (deployment_raw[[#This Row],[Column7]] * IF($E$2="Deployment",deployment_raw[[#This Row],[Column5]],1))/1048576,"")</f>
        <v/>
      </c>
      <c r="P164" s="81" t="str">
        <f>IF(ISNUMBER(deployment_raw[[#This Row],[Column20]]), IF(Q164&lt;&gt;0,deployment_raw[[#This Row],[Column20]]/IF(OR($E$2="Deployment",deployment_raw[[#This Row],[Column5]]=0),1,deployment_raw[[#This Row],[Column5]])/1048576/Q164,0),"")</f>
        <v/>
      </c>
      <c r="Q164" s="76" t="str">
        <f>IF(ISNUMBER(deployment_raw[[#This Row],[Column9]]), (deployment_raw[[#This Row],[Column9]] * IF($E$2="Deployment",deployment_raw[[#This Row],[Column5]],1))/1048576,"")</f>
        <v/>
      </c>
      <c r="R164" s="57" t="str">
        <f>IF(ISNUMBER(deployment_raw[[#This Row],[Column10]]), (deployment_raw[[#This Row],[Column10]] * IF($E$2="Deployment",deployment_raw[[#This Row],[Column5]],1)),"")</f>
        <v/>
      </c>
      <c r="S164" s="48" t="str">
        <f>IF(ISNUMBER(deployment_raw[[#This Row],[Column11]]), (deployment_raw[[#This Row],[Column11]] * IF($E$2="Deployment",deployment_raw[[#This Row],[Column5]],1))/1048576,"")</f>
        <v/>
      </c>
      <c r="T164" s="59" t="str">
        <f>IF(ISNUMBER(deployment_raw[[#This Row],[Column8]]),IF(OR(deployment_raw[[#This Row],[Column5]] &lt;&gt; 0,$E$2 &lt;&gt; "Deployment"), MAX(V164, ($T$2 * IF($E$2="Deployment",deployment_raw[[#This Row],[Column5]],1))), 0),"")</f>
        <v/>
      </c>
      <c r="U164" s="50" t="str">
        <f>IF(ISNUMBER(deployment_raw[[#This Row],[Column9]]),IF(OR(deployment_raw[[#This Row],[Column5]] &lt;&gt; 0,$E$2&lt;&gt;"Deployment"), MAX(W164, ($U$2 * IF($E$2="Deployment",deployment_raw[[#This Row],[Column5]],1))), 0),"")</f>
        <v/>
      </c>
      <c r="V164" s="15" t="str">
        <f>IF(ISNUMBER(deployment_raw[[#This Row],[Column12]]), (deployment_raw[[#This Row],[Column12]] * IF($E$2="Deployment",deployment_raw[[#This Row],[Column5]],1)*(1+$V$2)),"")</f>
        <v/>
      </c>
      <c r="W164" s="14" t="str">
        <f>IF(ISNUMBER(deployment_raw[[#This Row],[Column13]]), (deployment_raw[[#This Row],[Column13]] * IF($E$2="Deployment",deployment_raw[[#This Row],[Column5]],1)*(1+$W$2))/1048576,"")</f>
        <v/>
      </c>
    </row>
    <row r="165" spans="1:23" ht="15.75" customHeight="1" x14ac:dyDescent="0.25">
      <c r="A165" s="5" t="str">
        <f>IF(ISNONTEXT(deployment_raw[[#This Row],[Column1]]), "", deployment_raw[[#This Row],[Column1]])</f>
        <v/>
      </c>
      <c r="B165" s="6" t="str">
        <f>IF(ISNONTEXT(deployment_raw[[#This Row],[Column2]]), "", deployment_raw[[#This Row],[Column2]])</f>
        <v/>
      </c>
      <c r="C165" s="6" t="str">
        <f>IF(ISNONTEXT(deployment_raw[[#This Row],[Column3]]), "", deployment_raw[[#This Row],[Column3]])</f>
        <v/>
      </c>
      <c r="D165" s="6" t="str">
        <f>IF(ISNONTEXT(deployment_raw[[#This Row],[Column4]]), "", deployment_raw[[#This Row],[Column4]])</f>
        <v/>
      </c>
      <c r="E165" s="7" t="str">
        <f>IF(ISNUMBER(deployment_raw[[#This Row],[Column5]]), deployment_raw[[#This Row],[Column5]],"")</f>
        <v/>
      </c>
      <c r="F165" s="32" t="str">
        <f>IF(ISNUMBER(deployment_raw[[#This Row],[Column17]]), deployment_raw[[#This Row],[Column17]]/IF(OR($E$2="Deployment",deployment_raw[[#This Row],[Column5]]=0),1,deployment_raw[[#This Row],[Column5]]),"")</f>
        <v/>
      </c>
      <c r="G165" s="42" t="str">
        <f>IF(ISNUMBER(deployment_raw[[#This Row],[Column14]]), deployment_raw[[#This Row],[Column14]]/IF(OR($E$2="Deployment",deployment_raw[[#This Row],[Column5]]=0),1,deployment_raw[[#This Row],[Column5]]),"")</f>
        <v/>
      </c>
      <c r="H165" s="79" t="str">
        <f>IF(ISNUMBER(deployment_raw[[#This Row],[Column19]]), IF(I165&lt;&gt;0,(deployment_raw[[#This Row],[Column19]]/IF(OR($E$2="Deployment",deployment_raw[[#This Row],[Column5]]=0),1,deployment_raw[[#This Row],[Column5]]))/I165,0),"")</f>
        <v/>
      </c>
      <c r="I165" s="69" t="str">
        <f>IF(ISNUMBER(deployment_raw[[#This Row],[Column6]]), (deployment_raw[[#This Row],[Column6]] * IF($E$2="Deployment",deployment_raw[[#This Row],[Column5]],1)),"")</f>
        <v/>
      </c>
      <c r="J165" s="79" t="str">
        <f>IF(ISNUMBER(deployment_raw[[#This Row],[Column19]]), IF(K165&lt;&gt;0,(deployment_raw[[#This Row],[Column19]]/IF(OR($E$2="Deployment",deployment_raw[[#This Row],[Column5]]=0),1,deployment_raw[[#This Row],[Column5]]))/K165,0),"")</f>
        <v/>
      </c>
      <c r="K165" s="72" t="str">
        <f>IF(ISNUMBER(deployment_raw[[#This Row],[Column8]]), (deployment_raw[[#This Row],[Column8]]  * IF($E$2="Deployment",deployment_raw[[#This Row],[Column5]],1)),"")</f>
        <v/>
      </c>
      <c r="L16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6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65" s="81" t="str">
        <f>IF(ISNUMBER(deployment_raw[[#This Row],[Column20]]), IF(O165&lt;&gt;0,deployment_raw[[#This Row],[Column20]]/IF(OR($E$2="Deployment",deployment_raw[[#This Row],[Column5]]=0),1,deployment_raw[[#This Row],[Column5]])/1048576/O165,0),"")</f>
        <v/>
      </c>
      <c r="O165" s="74" t="str">
        <f>IF(ISNUMBER(deployment_raw[[#This Row],[Column7]]), (deployment_raw[[#This Row],[Column7]] * IF($E$2="Deployment",deployment_raw[[#This Row],[Column5]],1))/1048576,"")</f>
        <v/>
      </c>
      <c r="P165" s="81" t="str">
        <f>IF(ISNUMBER(deployment_raw[[#This Row],[Column20]]), IF(Q165&lt;&gt;0,deployment_raw[[#This Row],[Column20]]/IF(OR($E$2="Deployment",deployment_raw[[#This Row],[Column5]]=0),1,deployment_raw[[#This Row],[Column5]])/1048576/Q165,0),"")</f>
        <v/>
      </c>
      <c r="Q165" s="76" t="str">
        <f>IF(ISNUMBER(deployment_raw[[#This Row],[Column9]]), (deployment_raw[[#This Row],[Column9]] * IF($E$2="Deployment",deployment_raw[[#This Row],[Column5]],1))/1048576,"")</f>
        <v/>
      </c>
      <c r="R165" s="57" t="str">
        <f>IF(ISNUMBER(deployment_raw[[#This Row],[Column10]]), (deployment_raw[[#This Row],[Column10]] * IF($E$2="Deployment",deployment_raw[[#This Row],[Column5]],1)),"")</f>
        <v/>
      </c>
      <c r="S165" s="48" t="str">
        <f>IF(ISNUMBER(deployment_raw[[#This Row],[Column11]]), (deployment_raw[[#This Row],[Column11]] * IF($E$2="Deployment",deployment_raw[[#This Row],[Column5]],1))/1048576,"")</f>
        <v/>
      </c>
      <c r="T165" s="59" t="str">
        <f>IF(ISNUMBER(deployment_raw[[#This Row],[Column8]]),IF(OR(deployment_raw[[#This Row],[Column5]] &lt;&gt; 0,$E$2 &lt;&gt; "Deployment"), MAX(V165, ($T$2 * IF($E$2="Deployment",deployment_raw[[#This Row],[Column5]],1))), 0),"")</f>
        <v/>
      </c>
      <c r="U165" s="50" t="str">
        <f>IF(ISNUMBER(deployment_raw[[#This Row],[Column9]]),IF(OR(deployment_raw[[#This Row],[Column5]] &lt;&gt; 0,$E$2&lt;&gt;"Deployment"), MAX(W165, ($U$2 * IF($E$2="Deployment",deployment_raw[[#This Row],[Column5]],1))), 0),"")</f>
        <v/>
      </c>
      <c r="V165" s="15" t="str">
        <f>IF(ISNUMBER(deployment_raw[[#This Row],[Column12]]), (deployment_raw[[#This Row],[Column12]] * IF($E$2="Deployment",deployment_raw[[#This Row],[Column5]],1)*(1+$V$2)),"")</f>
        <v/>
      </c>
      <c r="W165" s="14" t="str">
        <f>IF(ISNUMBER(deployment_raw[[#This Row],[Column13]]), (deployment_raw[[#This Row],[Column13]] * IF($E$2="Deployment",deployment_raw[[#This Row],[Column5]],1)*(1+$W$2))/1048576,"")</f>
        <v/>
      </c>
    </row>
    <row r="166" spans="1:23" ht="15.75" customHeight="1" x14ac:dyDescent="0.25">
      <c r="A166" s="5" t="str">
        <f>IF(ISNONTEXT(deployment_raw[[#This Row],[Column1]]), "", deployment_raw[[#This Row],[Column1]])</f>
        <v/>
      </c>
      <c r="B166" s="6" t="str">
        <f>IF(ISNONTEXT(deployment_raw[[#This Row],[Column2]]), "", deployment_raw[[#This Row],[Column2]])</f>
        <v/>
      </c>
      <c r="C166" s="6" t="str">
        <f>IF(ISNONTEXT(deployment_raw[[#This Row],[Column3]]), "", deployment_raw[[#This Row],[Column3]])</f>
        <v/>
      </c>
      <c r="D166" s="6" t="str">
        <f>IF(ISNONTEXT(deployment_raw[[#This Row],[Column4]]), "", deployment_raw[[#This Row],[Column4]])</f>
        <v/>
      </c>
      <c r="E166" s="7" t="str">
        <f>IF(ISNUMBER(deployment_raw[[#This Row],[Column5]]), deployment_raw[[#This Row],[Column5]],"")</f>
        <v/>
      </c>
      <c r="F166" s="32" t="str">
        <f>IF(ISNUMBER(deployment_raw[[#This Row],[Column17]]), deployment_raw[[#This Row],[Column17]]/IF(OR($E$2="Deployment",deployment_raw[[#This Row],[Column5]]=0),1,deployment_raw[[#This Row],[Column5]]),"")</f>
        <v/>
      </c>
      <c r="G166" s="42" t="str">
        <f>IF(ISNUMBER(deployment_raw[[#This Row],[Column14]]), deployment_raw[[#This Row],[Column14]]/IF(OR($E$2="Deployment",deployment_raw[[#This Row],[Column5]]=0),1,deployment_raw[[#This Row],[Column5]]),"")</f>
        <v/>
      </c>
      <c r="H166" s="79" t="str">
        <f>IF(ISNUMBER(deployment_raw[[#This Row],[Column19]]), IF(I166&lt;&gt;0,(deployment_raw[[#This Row],[Column19]]/IF(OR($E$2="Deployment",deployment_raw[[#This Row],[Column5]]=0),1,deployment_raw[[#This Row],[Column5]]))/I166,0),"")</f>
        <v/>
      </c>
      <c r="I166" s="69" t="str">
        <f>IF(ISNUMBER(deployment_raw[[#This Row],[Column6]]), (deployment_raw[[#This Row],[Column6]] * IF($E$2="Deployment",deployment_raw[[#This Row],[Column5]],1)),"")</f>
        <v/>
      </c>
      <c r="J166" s="79" t="str">
        <f>IF(ISNUMBER(deployment_raw[[#This Row],[Column19]]), IF(K166&lt;&gt;0,(deployment_raw[[#This Row],[Column19]]/IF(OR($E$2="Deployment",deployment_raw[[#This Row],[Column5]]=0),1,deployment_raw[[#This Row],[Column5]]))/K166,0),"")</f>
        <v/>
      </c>
      <c r="K166" s="72" t="str">
        <f>IF(ISNUMBER(deployment_raw[[#This Row],[Column8]]), (deployment_raw[[#This Row],[Column8]]  * IF($E$2="Deployment",deployment_raw[[#This Row],[Column5]],1)),"")</f>
        <v/>
      </c>
      <c r="L16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6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66" s="81" t="str">
        <f>IF(ISNUMBER(deployment_raw[[#This Row],[Column20]]), IF(O166&lt;&gt;0,deployment_raw[[#This Row],[Column20]]/IF(OR($E$2="Deployment",deployment_raw[[#This Row],[Column5]]=0),1,deployment_raw[[#This Row],[Column5]])/1048576/O166,0),"")</f>
        <v/>
      </c>
      <c r="O166" s="74" t="str">
        <f>IF(ISNUMBER(deployment_raw[[#This Row],[Column7]]), (deployment_raw[[#This Row],[Column7]] * IF($E$2="Deployment",deployment_raw[[#This Row],[Column5]],1))/1048576,"")</f>
        <v/>
      </c>
      <c r="P166" s="81" t="str">
        <f>IF(ISNUMBER(deployment_raw[[#This Row],[Column20]]), IF(Q166&lt;&gt;0,deployment_raw[[#This Row],[Column20]]/IF(OR($E$2="Deployment",deployment_raw[[#This Row],[Column5]]=0),1,deployment_raw[[#This Row],[Column5]])/1048576/Q166,0),"")</f>
        <v/>
      </c>
      <c r="Q166" s="76" t="str">
        <f>IF(ISNUMBER(deployment_raw[[#This Row],[Column9]]), (deployment_raw[[#This Row],[Column9]] * IF($E$2="Deployment",deployment_raw[[#This Row],[Column5]],1))/1048576,"")</f>
        <v/>
      </c>
      <c r="R166" s="57" t="str">
        <f>IF(ISNUMBER(deployment_raw[[#This Row],[Column10]]), (deployment_raw[[#This Row],[Column10]] * IF($E$2="Deployment",deployment_raw[[#This Row],[Column5]],1)),"")</f>
        <v/>
      </c>
      <c r="S166" s="48" t="str">
        <f>IF(ISNUMBER(deployment_raw[[#This Row],[Column11]]), (deployment_raw[[#This Row],[Column11]] * IF($E$2="Deployment",deployment_raw[[#This Row],[Column5]],1))/1048576,"")</f>
        <v/>
      </c>
      <c r="T166" s="59" t="str">
        <f>IF(ISNUMBER(deployment_raw[[#This Row],[Column8]]),IF(OR(deployment_raw[[#This Row],[Column5]] &lt;&gt; 0,$E$2 &lt;&gt; "Deployment"), MAX(V166, ($T$2 * IF($E$2="Deployment",deployment_raw[[#This Row],[Column5]],1))), 0),"")</f>
        <v/>
      </c>
      <c r="U166" s="50" t="str">
        <f>IF(ISNUMBER(deployment_raw[[#This Row],[Column9]]),IF(OR(deployment_raw[[#This Row],[Column5]] &lt;&gt; 0,$E$2&lt;&gt;"Deployment"), MAX(W166, ($U$2 * IF($E$2="Deployment",deployment_raw[[#This Row],[Column5]],1))), 0),"")</f>
        <v/>
      </c>
      <c r="V166" s="15" t="str">
        <f>IF(ISNUMBER(deployment_raw[[#This Row],[Column12]]), (deployment_raw[[#This Row],[Column12]] * IF($E$2="Deployment",deployment_raw[[#This Row],[Column5]],1)*(1+$V$2)),"")</f>
        <v/>
      </c>
      <c r="W166" s="14" t="str">
        <f>IF(ISNUMBER(deployment_raw[[#This Row],[Column13]]), (deployment_raw[[#This Row],[Column13]] * IF($E$2="Deployment",deployment_raw[[#This Row],[Column5]],1)*(1+$W$2))/1048576,"")</f>
        <v/>
      </c>
    </row>
    <row r="167" spans="1:23" ht="15.75" customHeight="1" x14ac:dyDescent="0.25">
      <c r="A167" s="5" t="str">
        <f>IF(ISNONTEXT(deployment_raw[[#This Row],[Column1]]), "", deployment_raw[[#This Row],[Column1]])</f>
        <v/>
      </c>
      <c r="B167" s="6" t="str">
        <f>IF(ISNONTEXT(deployment_raw[[#This Row],[Column2]]), "", deployment_raw[[#This Row],[Column2]])</f>
        <v/>
      </c>
      <c r="C167" s="6" t="str">
        <f>IF(ISNONTEXT(deployment_raw[[#This Row],[Column3]]), "", deployment_raw[[#This Row],[Column3]])</f>
        <v/>
      </c>
      <c r="D167" s="6" t="str">
        <f>IF(ISNONTEXT(deployment_raw[[#This Row],[Column4]]), "", deployment_raw[[#This Row],[Column4]])</f>
        <v/>
      </c>
      <c r="E167" s="7" t="str">
        <f>IF(ISNUMBER(deployment_raw[[#This Row],[Column5]]), deployment_raw[[#This Row],[Column5]],"")</f>
        <v/>
      </c>
      <c r="F167" s="32" t="str">
        <f>IF(ISNUMBER(deployment_raw[[#This Row],[Column17]]), deployment_raw[[#This Row],[Column17]]/IF(OR($E$2="Deployment",deployment_raw[[#This Row],[Column5]]=0),1,deployment_raw[[#This Row],[Column5]]),"")</f>
        <v/>
      </c>
      <c r="G167" s="42" t="str">
        <f>IF(ISNUMBER(deployment_raw[[#This Row],[Column14]]), deployment_raw[[#This Row],[Column14]]/IF(OR($E$2="Deployment",deployment_raw[[#This Row],[Column5]]=0),1,deployment_raw[[#This Row],[Column5]]),"")</f>
        <v/>
      </c>
      <c r="H167" s="79" t="str">
        <f>IF(ISNUMBER(deployment_raw[[#This Row],[Column19]]), IF(I167&lt;&gt;0,(deployment_raw[[#This Row],[Column19]]/IF(OR($E$2="Deployment",deployment_raw[[#This Row],[Column5]]=0),1,deployment_raw[[#This Row],[Column5]]))/I167,0),"")</f>
        <v/>
      </c>
      <c r="I167" s="69" t="str">
        <f>IF(ISNUMBER(deployment_raw[[#This Row],[Column6]]), (deployment_raw[[#This Row],[Column6]] * IF($E$2="Deployment",deployment_raw[[#This Row],[Column5]],1)),"")</f>
        <v/>
      </c>
      <c r="J167" s="79" t="str">
        <f>IF(ISNUMBER(deployment_raw[[#This Row],[Column19]]), IF(K167&lt;&gt;0,(deployment_raw[[#This Row],[Column19]]/IF(OR($E$2="Deployment",deployment_raw[[#This Row],[Column5]]=0),1,deployment_raw[[#This Row],[Column5]]))/K167,0),"")</f>
        <v/>
      </c>
      <c r="K167" s="72" t="str">
        <f>IF(ISNUMBER(deployment_raw[[#This Row],[Column8]]), (deployment_raw[[#This Row],[Column8]]  * IF($E$2="Deployment",deployment_raw[[#This Row],[Column5]],1)),"")</f>
        <v/>
      </c>
      <c r="L16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6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67" s="81" t="str">
        <f>IF(ISNUMBER(deployment_raw[[#This Row],[Column20]]), IF(O167&lt;&gt;0,deployment_raw[[#This Row],[Column20]]/IF(OR($E$2="Deployment",deployment_raw[[#This Row],[Column5]]=0),1,deployment_raw[[#This Row],[Column5]])/1048576/O167,0),"")</f>
        <v/>
      </c>
      <c r="O167" s="74" t="str">
        <f>IF(ISNUMBER(deployment_raw[[#This Row],[Column7]]), (deployment_raw[[#This Row],[Column7]] * IF($E$2="Deployment",deployment_raw[[#This Row],[Column5]],1))/1048576,"")</f>
        <v/>
      </c>
      <c r="P167" s="81" t="str">
        <f>IF(ISNUMBER(deployment_raw[[#This Row],[Column20]]), IF(Q167&lt;&gt;0,deployment_raw[[#This Row],[Column20]]/IF(OR($E$2="Deployment",deployment_raw[[#This Row],[Column5]]=0),1,deployment_raw[[#This Row],[Column5]])/1048576/Q167,0),"")</f>
        <v/>
      </c>
      <c r="Q167" s="76" t="str">
        <f>IF(ISNUMBER(deployment_raw[[#This Row],[Column9]]), (deployment_raw[[#This Row],[Column9]] * IF($E$2="Deployment",deployment_raw[[#This Row],[Column5]],1))/1048576,"")</f>
        <v/>
      </c>
      <c r="R167" s="57" t="str">
        <f>IF(ISNUMBER(deployment_raw[[#This Row],[Column10]]), (deployment_raw[[#This Row],[Column10]] * IF($E$2="Deployment",deployment_raw[[#This Row],[Column5]],1)),"")</f>
        <v/>
      </c>
      <c r="S167" s="48" t="str">
        <f>IF(ISNUMBER(deployment_raw[[#This Row],[Column11]]), (deployment_raw[[#This Row],[Column11]] * IF($E$2="Deployment",deployment_raw[[#This Row],[Column5]],1))/1048576,"")</f>
        <v/>
      </c>
      <c r="T167" s="59" t="str">
        <f>IF(ISNUMBER(deployment_raw[[#This Row],[Column8]]),IF(OR(deployment_raw[[#This Row],[Column5]] &lt;&gt; 0,$E$2 &lt;&gt; "Deployment"), MAX(V167, ($T$2 * IF($E$2="Deployment",deployment_raw[[#This Row],[Column5]],1))), 0),"")</f>
        <v/>
      </c>
      <c r="U167" s="50" t="str">
        <f>IF(ISNUMBER(deployment_raw[[#This Row],[Column9]]),IF(OR(deployment_raw[[#This Row],[Column5]] &lt;&gt; 0,$E$2&lt;&gt;"Deployment"), MAX(W167, ($U$2 * IF($E$2="Deployment",deployment_raw[[#This Row],[Column5]],1))), 0),"")</f>
        <v/>
      </c>
      <c r="V167" s="15" t="str">
        <f>IF(ISNUMBER(deployment_raw[[#This Row],[Column12]]), (deployment_raw[[#This Row],[Column12]] * IF($E$2="Deployment",deployment_raw[[#This Row],[Column5]],1)*(1+$V$2)),"")</f>
        <v/>
      </c>
      <c r="W167" s="14" t="str">
        <f>IF(ISNUMBER(deployment_raw[[#This Row],[Column13]]), (deployment_raw[[#This Row],[Column13]] * IF($E$2="Deployment",deployment_raw[[#This Row],[Column5]],1)*(1+$W$2))/1048576,"")</f>
        <v/>
      </c>
    </row>
    <row r="168" spans="1:23" ht="15.75" customHeight="1" x14ac:dyDescent="0.25">
      <c r="A168" s="5" t="str">
        <f>IF(ISNONTEXT(deployment_raw[[#This Row],[Column1]]), "", deployment_raw[[#This Row],[Column1]])</f>
        <v/>
      </c>
      <c r="B168" s="6" t="str">
        <f>IF(ISNONTEXT(deployment_raw[[#This Row],[Column2]]), "", deployment_raw[[#This Row],[Column2]])</f>
        <v/>
      </c>
      <c r="C168" s="6" t="str">
        <f>IF(ISNONTEXT(deployment_raw[[#This Row],[Column3]]), "", deployment_raw[[#This Row],[Column3]])</f>
        <v/>
      </c>
      <c r="D168" s="6" t="str">
        <f>IF(ISNONTEXT(deployment_raw[[#This Row],[Column4]]), "", deployment_raw[[#This Row],[Column4]])</f>
        <v/>
      </c>
      <c r="E168" s="7" t="str">
        <f>IF(ISNUMBER(deployment_raw[[#This Row],[Column5]]), deployment_raw[[#This Row],[Column5]],"")</f>
        <v/>
      </c>
      <c r="F168" s="32" t="str">
        <f>IF(ISNUMBER(deployment_raw[[#This Row],[Column17]]), deployment_raw[[#This Row],[Column17]]/IF(OR($E$2="Deployment",deployment_raw[[#This Row],[Column5]]=0),1,deployment_raw[[#This Row],[Column5]]),"")</f>
        <v/>
      </c>
      <c r="G168" s="42" t="str">
        <f>IF(ISNUMBER(deployment_raw[[#This Row],[Column14]]), deployment_raw[[#This Row],[Column14]]/IF(OR($E$2="Deployment",deployment_raw[[#This Row],[Column5]]=0),1,deployment_raw[[#This Row],[Column5]]),"")</f>
        <v/>
      </c>
      <c r="H168" s="79" t="str">
        <f>IF(ISNUMBER(deployment_raw[[#This Row],[Column19]]), IF(I168&lt;&gt;0,(deployment_raw[[#This Row],[Column19]]/IF(OR($E$2="Deployment",deployment_raw[[#This Row],[Column5]]=0),1,deployment_raw[[#This Row],[Column5]]))/I168,0),"")</f>
        <v/>
      </c>
      <c r="I168" s="69" t="str">
        <f>IF(ISNUMBER(deployment_raw[[#This Row],[Column6]]), (deployment_raw[[#This Row],[Column6]] * IF($E$2="Deployment",deployment_raw[[#This Row],[Column5]],1)),"")</f>
        <v/>
      </c>
      <c r="J168" s="79" t="str">
        <f>IF(ISNUMBER(deployment_raw[[#This Row],[Column19]]), IF(K168&lt;&gt;0,(deployment_raw[[#This Row],[Column19]]/IF(OR($E$2="Deployment",deployment_raw[[#This Row],[Column5]]=0),1,deployment_raw[[#This Row],[Column5]]))/K168,0),"")</f>
        <v/>
      </c>
      <c r="K168" s="72" t="str">
        <f>IF(ISNUMBER(deployment_raw[[#This Row],[Column8]]), (deployment_raw[[#This Row],[Column8]]  * IF($E$2="Deployment",deployment_raw[[#This Row],[Column5]],1)),"")</f>
        <v/>
      </c>
      <c r="L16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6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68" s="81" t="str">
        <f>IF(ISNUMBER(deployment_raw[[#This Row],[Column20]]), IF(O168&lt;&gt;0,deployment_raw[[#This Row],[Column20]]/IF(OR($E$2="Deployment",deployment_raw[[#This Row],[Column5]]=0),1,deployment_raw[[#This Row],[Column5]])/1048576/O168,0),"")</f>
        <v/>
      </c>
      <c r="O168" s="74" t="str">
        <f>IF(ISNUMBER(deployment_raw[[#This Row],[Column7]]), (deployment_raw[[#This Row],[Column7]] * IF($E$2="Deployment",deployment_raw[[#This Row],[Column5]],1))/1048576,"")</f>
        <v/>
      </c>
      <c r="P168" s="81" t="str">
        <f>IF(ISNUMBER(deployment_raw[[#This Row],[Column20]]), IF(Q168&lt;&gt;0,deployment_raw[[#This Row],[Column20]]/IF(OR($E$2="Deployment",deployment_raw[[#This Row],[Column5]]=0),1,deployment_raw[[#This Row],[Column5]])/1048576/Q168,0),"")</f>
        <v/>
      </c>
      <c r="Q168" s="76" t="str">
        <f>IF(ISNUMBER(deployment_raw[[#This Row],[Column9]]), (deployment_raw[[#This Row],[Column9]] * IF($E$2="Deployment",deployment_raw[[#This Row],[Column5]],1))/1048576,"")</f>
        <v/>
      </c>
      <c r="R168" s="57" t="str">
        <f>IF(ISNUMBER(deployment_raw[[#This Row],[Column10]]), (deployment_raw[[#This Row],[Column10]] * IF($E$2="Deployment",deployment_raw[[#This Row],[Column5]],1)),"")</f>
        <v/>
      </c>
      <c r="S168" s="48" t="str">
        <f>IF(ISNUMBER(deployment_raw[[#This Row],[Column11]]), (deployment_raw[[#This Row],[Column11]] * IF($E$2="Deployment",deployment_raw[[#This Row],[Column5]],1))/1048576,"")</f>
        <v/>
      </c>
      <c r="T168" s="59" t="str">
        <f>IF(ISNUMBER(deployment_raw[[#This Row],[Column8]]),IF(OR(deployment_raw[[#This Row],[Column5]] &lt;&gt; 0,$E$2 &lt;&gt; "Deployment"), MAX(V168, ($T$2 * IF($E$2="Deployment",deployment_raw[[#This Row],[Column5]],1))), 0),"")</f>
        <v/>
      </c>
      <c r="U168" s="50" t="str">
        <f>IF(ISNUMBER(deployment_raw[[#This Row],[Column9]]),IF(OR(deployment_raw[[#This Row],[Column5]] &lt;&gt; 0,$E$2&lt;&gt;"Deployment"), MAX(W168, ($U$2 * IF($E$2="Deployment",deployment_raw[[#This Row],[Column5]],1))), 0),"")</f>
        <v/>
      </c>
      <c r="V168" s="15" t="str">
        <f>IF(ISNUMBER(deployment_raw[[#This Row],[Column12]]), (deployment_raw[[#This Row],[Column12]] * IF($E$2="Deployment",deployment_raw[[#This Row],[Column5]],1)*(1+$V$2)),"")</f>
        <v/>
      </c>
      <c r="W168" s="14" t="str">
        <f>IF(ISNUMBER(deployment_raw[[#This Row],[Column13]]), (deployment_raw[[#This Row],[Column13]] * IF($E$2="Deployment",deployment_raw[[#This Row],[Column5]],1)*(1+$W$2))/1048576,"")</f>
        <v/>
      </c>
    </row>
    <row r="169" spans="1:23" ht="15.75" customHeight="1" x14ac:dyDescent="0.25">
      <c r="A169" s="5" t="str">
        <f>IF(ISNONTEXT(deployment_raw[[#This Row],[Column1]]), "", deployment_raw[[#This Row],[Column1]])</f>
        <v/>
      </c>
      <c r="B169" s="6" t="str">
        <f>IF(ISNONTEXT(deployment_raw[[#This Row],[Column2]]), "", deployment_raw[[#This Row],[Column2]])</f>
        <v/>
      </c>
      <c r="C169" s="6" t="str">
        <f>IF(ISNONTEXT(deployment_raw[[#This Row],[Column3]]), "", deployment_raw[[#This Row],[Column3]])</f>
        <v/>
      </c>
      <c r="D169" s="6" t="str">
        <f>IF(ISNONTEXT(deployment_raw[[#This Row],[Column4]]), "", deployment_raw[[#This Row],[Column4]])</f>
        <v/>
      </c>
      <c r="E169" s="7" t="str">
        <f>IF(ISNUMBER(deployment_raw[[#This Row],[Column5]]), deployment_raw[[#This Row],[Column5]],"")</f>
        <v/>
      </c>
      <c r="F169" s="32" t="str">
        <f>IF(ISNUMBER(deployment_raw[[#This Row],[Column17]]), deployment_raw[[#This Row],[Column17]]/IF(OR($E$2="Deployment",deployment_raw[[#This Row],[Column5]]=0),1,deployment_raw[[#This Row],[Column5]]),"")</f>
        <v/>
      </c>
      <c r="G169" s="42" t="str">
        <f>IF(ISNUMBER(deployment_raw[[#This Row],[Column14]]), deployment_raw[[#This Row],[Column14]]/IF(OR($E$2="Deployment",deployment_raw[[#This Row],[Column5]]=0),1,deployment_raw[[#This Row],[Column5]]),"")</f>
        <v/>
      </c>
      <c r="H169" s="79" t="str">
        <f>IF(ISNUMBER(deployment_raw[[#This Row],[Column19]]), IF(I169&lt;&gt;0,(deployment_raw[[#This Row],[Column19]]/IF(OR($E$2="Deployment",deployment_raw[[#This Row],[Column5]]=0),1,deployment_raw[[#This Row],[Column5]]))/I169,0),"")</f>
        <v/>
      </c>
      <c r="I169" s="69" t="str">
        <f>IF(ISNUMBER(deployment_raw[[#This Row],[Column6]]), (deployment_raw[[#This Row],[Column6]] * IF($E$2="Deployment",deployment_raw[[#This Row],[Column5]],1)),"")</f>
        <v/>
      </c>
      <c r="J169" s="79" t="str">
        <f>IF(ISNUMBER(deployment_raw[[#This Row],[Column19]]), IF(K169&lt;&gt;0,(deployment_raw[[#This Row],[Column19]]/IF(OR($E$2="Deployment",deployment_raw[[#This Row],[Column5]]=0),1,deployment_raw[[#This Row],[Column5]]))/K169,0),"")</f>
        <v/>
      </c>
      <c r="K169" s="72" t="str">
        <f>IF(ISNUMBER(deployment_raw[[#This Row],[Column8]]), (deployment_raw[[#This Row],[Column8]]  * IF($E$2="Deployment",deployment_raw[[#This Row],[Column5]],1)),"")</f>
        <v/>
      </c>
      <c r="L16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6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69" s="81" t="str">
        <f>IF(ISNUMBER(deployment_raw[[#This Row],[Column20]]), IF(O169&lt;&gt;0,deployment_raw[[#This Row],[Column20]]/IF(OR($E$2="Deployment",deployment_raw[[#This Row],[Column5]]=0),1,deployment_raw[[#This Row],[Column5]])/1048576/O169,0),"")</f>
        <v/>
      </c>
      <c r="O169" s="74" t="str">
        <f>IF(ISNUMBER(deployment_raw[[#This Row],[Column7]]), (deployment_raw[[#This Row],[Column7]] * IF($E$2="Deployment",deployment_raw[[#This Row],[Column5]],1))/1048576,"")</f>
        <v/>
      </c>
      <c r="P169" s="81" t="str">
        <f>IF(ISNUMBER(deployment_raw[[#This Row],[Column20]]), IF(Q169&lt;&gt;0,deployment_raw[[#This Row],[Column20]]/IF(OR($E$2="Deployment",deployment_raw[[#This Row],[Column5]]=0),1,deployment_raw[[#This Row],[Column5]])/1048576/Q169,0),"")</f>
        <v/>
      </c>
      <c r="Q169" s="76" t="str">
        <f>IF(ISNUMBER(deployment_raw[[#This Row],[Column9]]), (deployment_raw[[#This Row],[Column9]] * IF($E$2="Deployment",deployment_raw[[#This Row],[Column5]],1))/1048576,"")</f>
        <v/>
      </c>
      <c r="R169" s="57" t="str">
        <f>IF(ISNUMBER(deployment_raw[[#This Row],[Column10]]), (deployment_raw[[#This Row],[Column10]] * IF($E$2="Deployment",deployment_raw[[#This Row],[Column5]],1)),"")</f>
        <v/>
      </c>
      <c r="S169" s="48" t="str">
        <f>IF(ISNUMBER(deployment_raw[[#This Row],[Column11]]), (deployment_raw[[#This Row],[Column11]] * IF($E$2="Deployment",deployment_raw[[#This Row],[Column5]],1))/1048576,"")</f>
        <v/>
      </c>
      <c r="T169" s="59" t="str">
        <f>IF(ISNUMBER(deployment_raw[[#This Row],[Column8]]),IF(OR(deployment_raw[[#This Row],[Column5]] &lt;&gt; 0,$E$2 &lt;&gt; "Deployment"), MAX(V169, ($T$2 * IF($E$2="Deployment",deployment_raw[[#This Row],[Column5]],1))), 0),"")</f>
        <v/>
      </c>
      <c r="U169" s="50" t="str">
        <f>IF(ISNUMBER(deployment_raw[[#This Row],[Column9]]),IF(OR(deployment_raw[[#This Row],[Column5]] &lt;&gt; 0,$E$2&lt;&gt;"Deployment"), MAX(W169, ($U$2 * IF($E$2="Deployment",deployment_raw[[#This Row],[Column5]],1))), 0),"")</f>
        <v/>
      </c>
      <c r="V169" s="15" t="str">
        <f>IF(ISNUMBER(deployment_raw[[#This Row],[Column12]]), (deployment_raw[[#This Row],[Column12]] * IF($E$2="Deployment",deployment_raw[[#This Row],[Column5]],1)*(1+$V$2)),"")</f>
        <v/>
      </c>
      <c r="W169" s="14" t="str">
        <f>IF(ISNUMBER(deployment_raw[[#This Row],[Column13]]), (deployment_raw[[#This Row],[Column13]] * IF($E$2="Deployment",deployment_raw[[#This Row],[Column5]],1)*(1+$W$2))/1048576,"")</f>
        <v/>
      </c>
    </row>
    <row r="170" spans="1:23" ht="15.75" customHeight="1" x14ac:dyDescent="0.25">
      <c r="A170" s="5" t="str">
        <f>IF(ISNONTEXT(deployment_raw[[#This Row],[Column1]]), "", deployment_raw[[#This Row],[Column1]])</f>
        <v/>
      </c>
      <c r="B170" s="6" t="str">
        <f>IF(ISNONTEXT(deployment_raw[[#This Row],[Column2]]), "", deployment_raw[[#This Row],[Column2]])</f>
        <v/>
      </c>
      <c r="C170" s="6" t="str">
        <f>IF(ISNONTEXT(deployment_raw[[#This Row],[Column3]]), "", deployment_raw[[#This Row],[Column3]])</f>
        <v/>
      </c>
      <c r="D170" s="6" t="str">
        <f>IF(ISNONTEXT(deployment_raw[[#This Row],[Column4]]), "", deployment_raw[[#This Row],[Column4]])</f>
        <v/>
      </c>
      <c r="E170" s="7" t="str">
        <f>IF(ISNUMBER(deployment_raw[[#This Row],[Column5]]), deployment_raw[[#This Row],[Column5]],"")</f>
        <v/>
      </c>
      <c r="F170" s="32" t="str">
        <f>IF(ISNUMBER(deployment_raw[[#This Row],[Column17]]), deployment_raw[[#This Row],[Column17]]/IF(OR($E$2="Deployment",deployment_raw[[#This Row],[Column5]]=0),1,deployment_raw[[#This Row],[Column5]]),"")</f>
        <v/>
      </c>
      <c r="G170" s="42" t="str">
        <f>IF(ISNUMBER(deployment_raw[[#This Row],[Column14]]), deployment_raw[[#This Row],[Column14]]/IF(OR($E$2="Deployment",deployment_raw[[#This Row],[Column5]]=0),1,deployment_raw[[#This Row],[Column5]]),"")</f>
        <v/>
      </c>
      <c r="H170" s="79" t="str">
        <f>IF(ISNUMBER(deployment_raw[[#This Row],[Column19]]), IF(I170&lt;&gt;0,(deployment_raw[[#This Row],[Column19]]/IF(OR($E$2="Deployment",deployment_raw[[#This Row],[Column5]]=0),1,deployment_raw[[#This Row],[Column5]]))/I170,0),"")</f>
        <v/>
      </c>
      <c r="I170" s="69" t="str">
        <f>IF(ISNUMBER(deployment_raw[[#This Row],[Column6]]), (deployment_raw[[#This Row],[Column6]] * IF($E$2="Deployment",deployment_raw[[#This Row],[Column5]],1)),"")</f>
        <v/>
      </c>
      <c r="J170" s="79" t="str">
        <f>IF(ISNUMBER(deployment_raw[[#This Row],[Column19]]), IF(K170&lt;&gt;0,(deployment_raw[[#This Row],[Column19]]/IF(OR($E$2="Deployment",deployment_raw[[#This Row],[Column5]]=0),1,deployment_raw[[#This Row],[Column5]]))/K170,0),"")</f>
        <v/>
      </c>
      <c r="K170" s="72" t="str">
        <f>IF(ISNUMBER(deployment_raw[[#This Row],[Column8]]), (deployment_raw[[#This Row],[Column8]]  * IF($E$2="Deployment",deployment_raw[[#This Row],[Column5]],1)),"")</f>
        <v/>
      </c>
      <c r="L17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7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70" s="81" t="str">
        <f>IF(ISNUMBER(deployment_raw[[#This Row],[Column20]]), IF(O170&lt;&gt;0,deployment_raw[[#This Row],[Column20]]/IF(OR($E$2="Deployment",deployment_raw[[#This Row],[Column5]]=0),1,deployment_raw[[#This Row],[Column5]])/1048576/O170,0),"")</f>
        <v/>
      </c>
      <c r="O170" s="74" t="str">
        <f>IF(ISNUMBER(deployment_raw[[#This Row],[Column7]]), (deployment_raw[[#This Row],[Column7]] * IF($E$2="Deployment",deployment_raw[[#This Row],[Column5]],1))/1048576,"")</f>
        <v/>
      </c>
      <c r="P170" s="81" t="str">
        <f>IF(ISNUMBER(deployment_raw[[#This Row],[Column20]]), IF(Q170&lt;&gt;0,deployment_raw[[#This Row],[Column20]]/IF(OR($E$2="Deployment",deployment_raw[[#This Row],[Column5]]=0),1,deployment_raw[[#This Row],[Column5]])/1048576/Q170,0),"")</f>
        <v/>
      </c>
      <c r="Q170" s="76" t="str">
        <f>IF(ISNUMBER(deployment_raw[[#This Row],[Column9]]), (deployment_raw[[#This Row],[Column9]] * IF($E$2="Deployment",deployment_raw[[#This Row],[Column5]],1))/1048576,"")</f>
        <v/>
      </c>
      <c r="R170" s="57" t="str">
        <f>IF(ISNUMBER(deployment_raw[[#This Row],[Column10]]), (deployment_raw[[#This Row],[Column10]] * IF($E$2="Deployment",deployment_raw[[#This Row],[Column5]],1)),"")</f>
        <v/>
      </c>
      <c r="S170" s="48" t="str">
        <f>IF(ISNUMBER(deployment_raw[[#This Row],[Column11]]), (deployment_raw[[#This Row],[Column11]] * IF($E$2="Deployment",deployment_raw[[#This Row],[Column5]],1))/1048576,"")</f>
        <v/>
      </c>
      <c r="T170" s="59" t="str">
        <f>IF(ISNUMBER(deployment_raw[[#This Row],[Column8]]),IF(OR(deployment_raw[[#This Row],[Column5]] &lt;&gt; 0,$E$2 &lt;&gt; "Deployment"), MAX(V170, ($T$2 * IF($E$2="Deployment",deployment_raw[[#This Row],[Column5]],1))), 0),"")</f>
        <v/>
      </c>
      <c r="U170" s="50" t="str">
        <f>IF(ISNUMBER(deployment_raw[[#This Row],[Column9]]),IF(OR(deployment_raw[[#This Row],[Column5]] &lt;&gt; 0,$E$2&lt;&gt;"Deployment"), MAX(W170, ($U$2 * IF($E$2="Deployment",deployment_raw[[#This Row],[Column5]],1))), 0),"")</f>
        <v/>
      </c>
      <c r="V170" s="15" t="str">
        <f>IF(ISNUMBER(deployment_raw[[#This Row],[Column12]]), (deployment_raw[[#This Row],[Column12]] * IF($E$2="Deployment",deployment_raw[[#This Row],[Column5]],1)*(1+$V$2)),"")</f>
        <v/>
      </c>
      <c r="W170" s="14" t="str">
        <f>IF(ISNUMBER(deployment_raw[[#This Row],[Column13]]), (deployment_raw[[#This Row],[Column13]] * IF($E$2="Deployment",deployment_raw[[#This Row],[Column5]],1)*(1+$W$2))/1048576,"")</f>
        <v/>
      </c>
    </row>
    <row r="171" spans="1:23" ht="15.75" customHeight="1" x14ac:dyDescent="0.25">
      <c r="A171" s="5" t="str">
        <f>IF(ISNONTEXT(deployment_raw[[#This Row],[Column1]]), "", deployment_raw[[#This Row],[Column1]])</f>
        <v/>
      </c>
      <c r="B171" s="6" t="str">
        <f>IF(ISNONTEXT(deployment_raw[[#This Row],[Column2]]), "", deployment_raw[[#This Row],[Column2]])</f>
        <v/>
      </c>
      <c r="C171" s="6" t="str">
        <f>IF(ISNONTEXT(deployment_raw[[#This Row],[Column3]]), "", deployment_raw[[#This Row],[Column3]])</f>
        <v/>
      </c>
      <c r="D171" s="6" t="str">
        <f>IF(ISNONTEXT(deployment_raw[[#This Row],[Column4]]), "", deployment_raw[[#This Row],[Column4]])</f>
        <v/>
      </c>
      <c r="E171" s="7" t="str">
        <f>IF(ISNUMBER(deployment_raw[[#This Row],[Column5]]), deployment_raw[[#This Row],[Column5]],"")</f>
        <v/>
      </c>
      <c r="F171" s="32" t="str">
        <f>IF(ISNUMBER(deployment_raw[[#This Row],[Column17]]), deployment_raw[[#This Row],[Column17]]/IF(OR($E$2="Deployment",deployment_raw[[#This Row],[Column5]]=0),1,deployment_raw[[#This Row],[Column5]]),"")</f>
        <v/>
      </c>
      <c r="G171" s="42" t="str">
        <f>IF(ISNUMBER(deployment_raw[[#This Row],[Column14]]), deployment_raw[[#This Row],[Column14]]/IF(OR($E$2="Deployment",deployment_raw[[#This Row],[Column5]]=0),1,deployment_raw[[#This Row],[Column5]]),"")</f>
        <v/>
      </c>
      <c r="H171" s="79" t="str">
        <f>IF(ISNUMBER(deployment_raw[[#This Row],[Column19]]), IF(I171&lt;&gt;0,(deployment_raw[[#This Row],[Column19]]/IF(OR($E$2="Deployment",deployment_raw[[#This Row],[Column5]]=0),1,deployment_raw[[#This Row],[Column5]]))/I171,0),"")</f>
        <v/>
      </c>
      <c r="I171" s="69" t="str">
        <f>IF(ISNUMBER(deployment_raw[[#This Row],[Column6]]), (deployment_raw[[#This Row],[Column6]] * IF($E$2="Deployment",deployment_raw[[#This Row],[Column5]],1)),"")</f>
        <v/>
      </c>
      <c r="J171" s="79" t="str">
        <f>IF(ISNUMBER(deployment_raw[[#This Row],[Column19]]), IF(K171&lt;&gt;0,(deployment_raw[[#This Row],[Column19]]/IF(OR($E$2="Deployment",deployment_raw[[#This Row],[Column5]]=0),1,deployment_raw[[#This Row],[Column5]]))/K171,0),"")</f>
        <v/>
      </c>
      <c r="K171" s="72" t="str">
        <f>IF(ISNUMBER(deployment_raw[[#This Row],[Column8]]), (deployment_raw[[#This Row],[Column8]]  * IF($E$2="Deployment",deployment_raw[[#This Row],[Column5]],1)),"")</f>
        <v/>
      </c>
      <c r="L17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7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71" s="81" t="str">
        <f>IF(ISNUMBER(deployment_raw[[#This Row],[Column20]]), IF(O171&lt;&gt;0,deployment_raw[[#This Row],[Column20]]/IF(OR($E$2="Deployment",deployment_raw[[#This Row],[Column5]]=0),1,deployment_raw[[#This Row],[Column5]])/1048576/O171,0),"")</f>
        <v/>
      </c>
      <c r="O171" s="74" t="str">
        <f>IF(ISNUMBER(deployment_raw[[#This Row],[Column7]]), (deployment_raw[[#This Row],[Column7]] * IF($E$2="Deployment",deployment_raw[[#This Row],[Column5]],1))/1048576,"")</f>
        <v/>
      </c>
      <c r="P171" s="81" t="str">
        <f>IF(ISNUMBER(deployment_raw[[#This Row],[Column20]]), IF(Q171&lt;&gt;0,deployment_raw[[#This Row],[Column20]]/IF(OR($E$2="Deployment",deployment_raw[[#This Row],[Column5]]=0),1,deployment_raw[[#This Row],[Column5]])/1048576/Q171,0),"")</f>
        <v/>
      </c>
      <c r="Q171" s="76" t="str">
        <f>IF(ISNUMBER(deployment_raw[[#This Row],[Column9]]), (deployment_raw[[#This Row],[Column9]] * IF($E$2="Deployment",deployment_raw[[#This Row],[Column5]],1))/1048576,"")</f>
        <v/>
      </c>
      <c r="R171" s="57" t="str">
        <f>IF(ISNUMBER(deployment_raw[[#This Row],[Column10]]), (deployment_raw[[#This Row],[Column10]] * IF($E$2="Deployment",deployment_raw[[#This Row],[Column5]],1)),"")</f>
        <v/>
      </c>
      <c r="S171" s="48" t="str">
        <f>IF(ISNUMBER(deployment_raw[[#This Row],[Column11]]), (deployment_raw[[#This Row],[Column11]] * IF($E$2="Deployment",deployment_raw[[#This Row],[Column5]],1))/1048576,"")</f>
        <v/>
      </c>
      <c r="T171" s="59" t="str">
        <f>IF(ISNUMBER(deployment_raw[[#This Row],[Column8]]),IF(OR(deployment_raw[[#This Row],[Column5]] &lt;&gt; 0,$E$2 &lt;&gt; "Deployment"), MAX(V171, ($T$2 * IF($E$2="Deployment",deployment_raw[[#This Row],[Column5]],1))), 0),"")</f>
        <v/>
      </c>
      <c r="U171" s="50" t="str">
        <f>IF(ISNUMBER(deployment_raw[[#This Row],[Column9]]),IF(OR(deployment_raw[[#This Row],[Column5]] &lt;&gt; 0,$E$2&lt;&gt;"Deployment"), MAX(W171, ($U$2 * IF($E$2="Deployment",deployment_raw[[#This Row],[Column5]],1))), 0),"")</f>
        <v/>
      </c>
      <c r="V171" s="15" t="str">
        <f>IF(ISNUMBER(deployment_raw[[#This Row],[Column12]]), (deployment_raw[[#This Row],[Column12]] * IF($E$2="Deployment",deployment_raw[[#This Row],[Column5]],1)*(1+$V$2)),"")</f>
        <v/>
      </c>
      <c r="W171" s="14" t="str">
        <f>IF(ISNUMBER(deployment_raw[[#This Row],[Column13]]), (deployment_raw[[#This Row],[Column13]] * IF($E$2="Deployment",deployment_raw[[#This Row],[Column5]],1)*(1+$W$2))/1048576,"")</f>
        <v/>
      </c>
    </row>
    <row r="172" spans="1:23" ht="15.75" customHeight="1" x14ac:dyDescent="0.25">
      <c r="A172" s="5" t="str">
        <f>IF(ISNONTEXT(deployment_raw[[#This Row],[Column1]]), "", deployment_raw[[#This Row],[Column1]])</f>
        <v/>
      </c>
      <c r="B172" s="6" t="str">
        <f>IF(ISNONTEXT(deployment_raw[[#This Row],[Column2]]), "", deployment_raw[[#This Row],[Column2]])</f>
        <v/>
      </c>
      <c r="C172" s="6" t="str">
        <f>IF(ISNONTEXT(deployment_raw[[#This Row],[Column3]]), "", deployment_raw[[#This Row],[Column3]])</f>
        <v/>
      </c>
      <c r="D172" s="6" t="str">
        <f>IF(ISNONTEXT(deployment_raw[[#This Row],[Column4]]), "", deployment_raw[[#This Row],[Column4]])</f>
        <v/>
      </c>
      <c r="E172" s="7" t="str">
        <f>IF(ISNUMBER(deployment_raw[[#This Row],[Column5]]), deployment_raw[[#This Row],[Column5]],"")</f>
        <v/>
      </c>
      <c r="F172" s="32" t="str">
        <f>IF(ISNUMBER(deployment_raw[[#This Row],[Column17]]), deployment_raw[[#This Row],[Column17]]/IF(OR($E$2="Deployment",deployment_raw[[#This Row],[Column5]]=0),1,deployment_raw[[#This Row],[Column5]]),"")</f>
        <v/>
      </c>
      <c r="G172" s="42" t="str">
        <f>IF(ISNUMBER(deployment_raw[[#This Row],[Column14]]), deployment_raw[[#This Row],[Column14]]/IF(OR($E$2="Deployment",deployment_raw[[#This Row],[Column5]]=0),1,deployment_raw[[#This Row],[Column5]]),"")</f>
        <v/>
      </c>
      <c r="H172" s="79" t="str">
        <f>IF(ISNUMBER(deployment_raw[[#This Row],[Column19]]), IF(I172&lt;&gt;0,(deployment_raw[[#This Row],[Column19]]/IF(OR($E$2="Deployment",deployment_raw[[#This Row],[Column5]]=0),1,deployment_raw[[#This Row],[Column5]]))/I172,0),"")</f>
        <v/>
      </c>
      <c r="I172" s="69" t="str">
        <f>IF(ISNUMBER(deployment_raw[[#This Row],[Column6]]), (deployment_raw[[#This Row],[Column6]] * IF($E$2="Deployment",deployment_raw[[#This Row],[Column5]],1)),"")</f>
        <v/>
      </c>
      <c r="J172" s="79" t="str">
        <f>IF(ISNUMBER(deployment_raw[[#This Row],[Column19]]), IF(K172&lt;&gt;0,(deployment_raw[[#This Row],[Column19]]/IF(OR($E$2="Deployment",deployment_raw[[#This Row],[Column5]]=0),1,deployment_raw[[#This Row],[Column5]]))/K172,0),"")</f>
        <v/>
      </c>
      <c r="K172" s="72" t="str">
        <f>IF(ISNUMBER(deployment_raw[[#This Row],[Column8]]), (deployment_raw[[#This Row],[Column8]]  * IF($E$2="Deployment",deployment_raw[[#This Row],[Column5]],1)),"")</f>
        <v/>
      </c>
      <c r="L17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7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72" s="81" t="str">
        <f>IF(ISNUMBER(deployment_raw[[#This Row],[Column20]]), IF(O172&lt;&gt;0,deployment_raw[[#This Row],[Column20]]/IF(OR($E$2="Deployment",deployment_raw[[#This Row],[Column5]]=0),1,deployment_raw[[#This Row],[Column5]])/1048576/O172,0),"")</f>
        <v/>
      </c>
      <c r="O172" s="74" t="str">
        <f>IF(ISNUMBER(deployment_raw[[#This Row],[Column7]]), (deployment_raw[[#This Row],[Column7]] * IF($E$2="Deployment",deployment_raw[[#This Row],[Column5]],1))/1048576,"")</f>
        <v/>
      </c>
      <c r="P172" s="81" t="str">
        <f>IF(ISNUMBER(deployment_raw[[#This Row],[Column20]]), IF(Q172&lt;&gt;0,deployment_raw[[#This Row],[Column20]]/IF(OR($E$2="Deployment",deployment_raw[[#This Row],[Column5]]=0),1,deployment_raw[[#This Row],[Column5]])/1048576/Q172,0),"")</f>
        <v/>
      </c>
      <c r="Q172" s="76" t="str">
        <f>IF(ISNUMBER(deployment_raw[[#This Row],[Column9]]), (deployment_raw[[#This Row],[Column9]] * IF($E$2="Deployment",deployment_raw[[#This Row],[Column5]],1))/1048576,"")</f>
        <v/>
      </c>
      <c r="R172" s="57" t="str">
        <f>IF(ISNUMBER(deployment_raw[[#This Row],[Column10]]), (deployment_raw[[#This Row],[Column10]] * IF($E$2="Deployment",deployment_raw[[#This Row],[Column5]],1)),"")</f>
        <v/>
      </c>
      <c r="S172" s="48" t="str">
        <f>IF(ISNUMBER(deployment_raw[[#This Row],[Column11]]), (deployment_raw[[#This Row],[Column11]] * IF($E$2="Deployment",deployment_raw[[#This Row],[Column5]],1))/1048576,"")</f>
        <v/>
      </c>
      <c r="T172" s="59" t="str">
        <f>IF(ISNUMBER(deployment_raw[[#This Row],[Column8]]),IF(OR(deployment_raw[[#This Row],[Column5]] &lt;&gt; 0,$E$2 &lt;&gt; "Deployment"), MAX(V172, ($T$2 * IF($E$2="Deployment",deployment_raw[[#This Row],[Column5]],1))), 0),"")</f>
        <v/>
      </c>
      <c r="U172" s="50" t="str">
        <f>IF(ISNUMBER(deployment_raw[[#This Row],[Column9]]),IF(OR(deployment_raw[[#This Row],[Column5]] &lt;&gt; 0,$E$2&lt;&gt;"Deployment"), MAX(W172, ($U$2 * IF($E$2="Deployment",deployment_raw[[#This Row],[Column5]],1))), 0),"")</f>
        <v/>
      </c>
      <c r="V172" s="15" t="str">
        <f>IF(ISNUMBER(deployment_raw[[#This Row],[Column12]]), (deployment_raw[[#This Row],[Column12]] * IF($E$2="Deployment",deployment_raw[[#This Row],[Column5]],1)*(1+$V$2)),"")</f>
        <v/>
      </c>
      <c r="W172" s="14" t="str">
        <f>IF(ISNUMBER(deployment_raw[[#This Row],[Column13]]), (deployment_raw[[#This Row],[Column13]] * IF($E$2="Deployment",deployment_raw[[#This Row],[Column5]],1)*(1+$W$2))/1048576,"")</f>
        <v/>
      </c>
    </row>
    <row r="173" spans="1:23" ht="15.75" customHeight="1" x14ac:dyDescent="0.25">
      <c r="A173" s="5" t="str">
        <f>IF(ISNONTEXT(deployment_raw[[#This Row],[Column1]]), "", deployment_raw[[#This Row],[Column1]])</f>
        <v/>
      </c>
      <c r="B173" s="6" t="str">
        <f>IF(ISNONTEXT(deployment_raw[[#This Row],[Column2]]), "", deployment_raw[[#This Row],[Column2]])</f>
        <v/>
      </c>
      <c r="C173" s="6" t="str">
        <f>IF(ISNONTEXT(deployment_raw[[#This Row],[Column3]]), "", deployment_raw[[#This Row],[Column3]])</f>
        <v/>
      </c>
      <c r="D173" s="6" t="str">
        <f>IF(ISNONTEXT(deployment_raw[[#This Row],[Column4]]), "", deployment_raw[[#This Row],[Column4]])</f>
        <v/>
      </c>
      <c r="E173" s="7" t="str">
        <f>IF(ISNUMBER(deployment_raw[[#This Row],[Column5]]), deployment_raw[[#This Row],[Column5]],"")</f>
        <v/>
      </c>
      <c r="F173" s="32" t="str">
        <f>IF(ISNUMBER(deployment_raw[[#This Row],[Column17]]), deployment_raw[[#This Row],[Column17]]/IF(OR($E$2="Deployment",deployment_raw[[#This Row],[Column5]]=0),1,deployment_raw[[#This Row],[Column5]]),"")</f>
        <v/>
      </c>
      <c r="G173" s="42" t="str">
        <f>IF(ISNUMBER(deployment_raw[[#This Row],[Column14]]), deployment_raw[[#This Row],[Column14]]/IF(OR($E$2="Deployment",deployment_raw[[#This Row],[Column5]]=0),1,deployment_raw[[#This Row],[Column5]]),"")</f>
        <v/>
      </c>
      <c r="H173" s="79" t="str">
        <f>IF(ISNUMBER(deployment_raw[[#This Row],[Column19]]), IF(I173&lt;&gt;0,(deployment_raw[[#This Row],[Column19]]/IF(OR($E$2="Deployment",deployment_raw[[#This Row],[Column5]]=0),1,deployment_raw[[#This Row],[Column5]]))/I173,0),"")</f>
        <v/>
      </c>
      <c r="I173" s="69" t="str">
        <f>IF(ISNUMBER(deployment_raw[[#This Row],[Column6]]), (deployment_raw[[#This Row],[Column6]] * IF($E$2="Deployment",deployment_raw[[#This Row],[Column5]],1)),"")</f>
        <v/>
      </c>
      <c r="J173" s="79" t="str">
        <f>IF(ISNUMBER(deployment_raw[[#This Row],[Column19]]), IF(K173&lt;&gt;0,(deployment_raw[[#This Row],[Column19]]/IF(OR($E$2="Deployment",deployment_raw[[#This Row],[Column5]]=0),1,deployment_raw[[#This Row],[Column5]]))/K173,0),"")</f>
        <v/>
      </c>
      <c r="K173" s="72" t="str">
        <f>IF(ISNUMBER(deployment_raw[[#This Row],[Column8]]), (deployment_raw[[#This Row],[Column8]]  * IF($E$2="Deployment",deployment_raw[[#This Row],[Column5]],1)),"")</f>
        <v/>
      </c>
      <c r="L17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7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73" s="81" t="str">
        <f>IF(ISNUMBER(deployment_raw[[#This Row],[Column20]]), IF(O173&lt;&gt;0,deployment_raw[[#This Row],[Column20]]/IF(OR($E$2="Deployment",deployment_raw[[#This Row],[Column5]]=0),1,deployment_raw[[#This Row],[Column5]])/1048576/O173,0),"")</f>
        <v/>
      </c>
      <c r="O173" s="74" t="str">
        <f>IF(ISNUMBER(deployment_raw[[#This Row],[Column7]]), (deployment_raw[[#This Row],[Column7]] * IF($E$2="Deployment",deployment_raw[[#This Row],[Column5]],1))/1048576,"")</f>
        <v/>
      </c>
      <c r="P173" s="81" t="str">
        <f>IF(ISNUMBER(deployment_raw[[#This Row],[Column20]]), IF(Q173&lt;&gt;0,deployment_raw[[#This Row],[Column20]]/IF(OR($E$2="Deployment",deployment_raw[[#This Row],[Column5]]=0),1,deployment_raw[[#This Row],[Column5]])/1048576/Q173,0),"")</f>
        <v/>
      </c>
      <c r="Q173" s="76" t="str">
        <f>IF(ISNUMBER(deployment_raw[[#This Row],[Column9]]), (deployment_raw[[#This Row],[Column9]] * IF($E$2="Deployment",deployment_raw[[#This Row],[Column5]],1))/1048576,"")</f>
        <v/>
      </c>
      <c r="R173" s="57" t="str">
        <f>IF(ISNUMBER(deployment_raw[[#This Row],[Column10]]), (deployment_raw[[#This Row],[Column10]] * IF($E$2="Deployment",deployment_raw[[#This Row],[Column5]],1)),"")</f>
        <v/>
      </c>
      <c r="S173" s="48" t="str">
        <f>IF(ISNUMBER(deployment_raw[[#This Row],[Column11]]), (deployment_raw[[#This Row],[Column11]] * IF($E$2="Deployment",deployment_raw[[#This Row],[Column5]],1))/1048576,"")</f>
        <v/>
      </c>
      <c r="T173" s="59" t="str">
        <f>IF(ISNUMBER(deployment_raw[[#This Row],[Column8]]),IF(OR(deployment_raw[[#This Row],[Column5]] &lt;&gt; 0,$E$2 &lt;&gt; "Deployment"), MAX(V173, ($T$2 * IF($E$2="Deployment",deployment_raw[[#This Row],[Column5]],1))), 0),"")</f>
        <v/>
      </c>
      <c r="U173" s="50" t="str">
        <f>IF(ISNUMBER(deployment_raw[[#This Row],[Column9]]),IF(OR(deployment_raw[[#This Row],[Column5]] &lt;&gt; 0,$E$2&lt;&gt;"Deployment"), MAX(W173, ($U$2 * IF($E$2="Deployment",deployment_raw[[#This Row],[Column5]],1))), 0),"")</f>
        <v/>
      </c>
      <c r="V173" s="15" t="str">
        <f>IF(ISNUMBER(deployment_raw[[#This Row],[Column12]]), (deployment_raw[[#This Row],[Column12]] * IF($E$2="Deployment",deployment_raw[[#This Row],[Column5]],1)*(1+$V$2)),"")</f>
        <v/>
      </c>
      <c r="W173" s="14" t="str">
        <f>IF(ISNUMBER(deployment_raw[[#This Row],[Column13]]), (deployment_raw[[#This Row],[Column13]] * IF($E$2="Deployment",deployment_raw[[#This Row],[Column5]],1)*(1+$W$2))/1048576,"")</f>
        <v/>
      </c>
    </row>
    <row r="174" spans="1:23" ht="15.75" customHeight="1" x14ac:dyDescent="0.25">
      <c r="A174" s="5" t="str">
        <f>IF(ISNONTEXT(deployment_raw[[#This Row],[Column1]]), "", deployment_raw[[#This Row],[Column1]])</f>
        <v/>
      </c>
      <c r="B174" s="6" t="str">
        <f>IF(ISNONTEXT(deployment_raw[[#This Row],[Column2]]), "", deployment_raw[[#This Row],[Column2]])</f>
        <v/>
      </c>
      <c r="C174" s="6" t="str">
        <f>IF(ISNONTEXT(deployment_raw[[#This Row],[Column3]]), "", deployment_raw[[#This Row],[Column3]])</f>
        <v/>
      </c>
      <c r="D174" s="6" t="str">
        <f>IF(ISNONTEXT(deployment_raw[[#This Row],[Column4]]), "", deployment_raw[[#This Row],[Column4]])</f>
        <v/>
      </c>
      <c r="E174" s="7" t="str">
        <f>IF(ISNUMBER(deployment_raw[[#This Row],[Column5]]), deployment_raw[[#This Row],[Column5]],"")</f>
        <v/>
      </c>
      <c r="F174" s="32" t="str">
        <f>IF(ISNUMBER(deployment_raw[[#This Row],[Column17]]), deployment_raw[[#This Row],[Column17]]/IF(OR($E$2="Deployment",deployment_raw[[#This Row],[Column5]]=0),1,deployment_raw[[#This Row],[Column5]]),"")</f>
        <v/>
      </c>
      <c r="G174" s="42" t="str">
        <f>IF(ISNUMBER(deployment_raw[[#This Row],[Column14]]), deployment_raw[[#This Row],[Column14]]/IF(OR($E$2="Deployment",deployment_raw[[#This Row],[Column5]]=0),1,deployment_raw[[#This Row],[Column5]]),"")</f>
        <v/>
      </c>
      <c r="H174" s="79" t="str">
        <f>IF(ISNUMBER(deployment_raw[[#This Row],[Column19]]), IF(I174&lt;&gt;0,(deployment_raw[[#This Row],[Column19]]/IF(OR($E$2="Deployment",deployment_raw[[#This Row],[Column5]]=0),1,deployment_raw[[#This Row],[Column5]]))/I174,0),"")</f>
        <v/>
      </c>
      <c r="I174" s="69" t="str">
        <f>IF(ISNUMBER(deployment_raw[[#This Row],[Column6]]), (deployment_raw[[#This Row],[Column6]] * IF($E$2="Deployment",deployment_raw[[#This Row],[Column5]],1)),"")</f>
        <v/>
      </c>
      <c r="J174" s="79" t="str">
        <f>IF(ISNUMBER(deployment_raw[[#This Row],[Column19]]), IF(K174&lt;&gt;0,(deployment_raw[[#This Row],[Column19]]/IF(OR($E$2="Deployment",deployment_raw[[#This Row],[Column5]]=0),1,deployment_raw[[#This Row],[Column5]]))/K174,0),"")</f>
        <v/>
      </c>
      <c r="K174" s="72" t="str">
        <f>IF(ISNUMBER(deployment_raw[[#This Row],[Column8]]), (deployment_raw[[#This Row],[Column8]]  * IF($E$2="Deployment",deployment_raw[[#This Row],[Column5]],1)),"")</f>
        <v/>
      </c>
      <c r="L17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7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74" s="81" t="str">
        <f>IF(ISNUMBER(deployment_raw[[#This Row],[Column20]]), IF(O174&lt;&gt;0,deployment_raw[[#This Row],[Column20]]/IF(OR($E$2="Deployment",deployment_raw[[#This Row],[Column5]]=0),1,deployment_raw[[#This Row],[Column5]])/1048576/O174,0),"")</f>
        <v/>
      </c>
      <c r="O174" s="74" t="str">
        <f>IF(ISNUMBER(deployment_raw[[#This Row],[Column7]]), (deployment_raw[[#This Row],[Column7]] * IF($E$2="Deployment",deployment_raw[[#This Row],[Column5]],1))/1048576,"")</f>
        <v/>
      </c>
      <c r="P174" s="81" t="str">
        <f>IF(ISNUMBER(deployment_raw[[#This Row],[Column20]]), IF(Q174&lt;&gt;0,deployment_raw[[#This Row],[Column20]]/IF(OR($E$2="Deployment",deployment_raw[[#This Row],[Column5]]=0),1,deployment_raw[[#This Row],[Column5]])/1048576/Q174,0),"")</f>
        <v/>
      </c>
      <c r="Q174" s="76" t="str">
        <f>IF(ISNUMBER(deployment_raw[[#This Row],[Column9]]), (deployment_raw[[#This Row],[Column9]] * IF($E$2="Deployment",deployment_raw[[#This Row],[Column5]],1))/1048576,"")</f>
        <v/>
      </c>
      <c r="R174" s="57" t="str">
        <f>IF(ISNUMBER(deployment_raw[[#This Row],[Column10]]), (deployment_raw[[#This Row],[Column10]] * IF($E$2="Deployment",deployment_raw[[#This Row],[Column5]],1)),"")</f>
        <v/>
      </c>
      <c r="S174" s="48" t="str">
        <f>IF(ISNUMBER(deployment_raw[[#This Row],[Column11]]), (deployment_raw[[#This Row],[Column11]] * IF($E$2="Deployment",deployment_raw[[#This Row],[Column5]],1))/1048576,"")</f>
        <v/>
      </c>
      <c r="T174" s="59" t="str">
        <f>IF(ISNUMBER(deployment_raw[[#This Row],[Column8]]),IF(OR(deployment_raw[[#This Row],[Column5]] &lt;&gt; 0,$E$2 &lt;&gt; "Deployment"), MAX(V174, ($T$2 * IF($E$2="Deployment",deployment_raw[[#This Row],[Column5]],1))), 0),"")</f>
        <v/>
      </c>
      <c r="U174" s="50" t="str">
        <f>IF(ISNUMBER(deployment_raw[[#This Row],[Column9]]),IF(OR(deployment_raw[[#This Row],[Column5]] &lt;&gt; 0,$E$2&lt;&gt;"Deployment"), MAX(W174, ($U$2 * IF($E$2="Deployment",deployment_raw[[#This Row],[Column5]],1))), 0),"")</f>
        <v/>
      </c>
      <c r="V174" s="15" t="str">
        <f>IF(ISNUMBER(deployment_raw[[#This Row],[Column12]]), (deployment_raw[[#This Row],[Column12]] * IF($E$2="Deployment",deployment_raw[[#This Row],[Column5]],1)*(1+$V$2)),"")</f>
        <v/>
      </c>
      <c r="W174" s="14" t="str">
        <f>IF(ISNUMBER(deployment_raw[[#This Row],[Column13]]), (deployment_raw[[#This Row],[Column13]] * IF($E$2="Deployment",deployment_raw[[#This Row],[Column5]],1)*(1+$W$2))/1048576,"")</f>
        <v/>
      </c>
    </row>
    <row r="175" spans="1:23" ht="15.75" customHeight="1" x14ac:dyDescent="0.25">
      <c r="A175" s="5" t="str">
        <f>IF(ISNONTEXT(deployment_raw[[#This Row],[Column1]]), "", deployment_raw[[#This Row],[Column1]])</f>
        <v/>
      </c>
      <c r="B175" s="6" t="str">
        <f>IF(ISNONTEXT(deployment_raw[[#This Row],[Column2]]), "", deployment_raw[[#This Row],[Column2]])</f>
        <v/>
      </c>
      <c r="C175" s="6" t="str">
        <f>IF(ISNONTEXT(deployment_raw[[#This Row],[Column3]]), "", deployment_raw[[#This Row],[Column3]])</f>
        <v/>
      </c>
      <c r="D175" s="6" t="str">
        <f>IF(ISNONTEXT(deployment_raw[[#This Row],[Column4]]), "", deployment_raw[[#This Row],[Column4]])</f>
        <v/>
      </c>
      <c r="E175" s="7" t="str">
        <f>IF(ISNUMBER(deployment_raw[[#This Row],[Column5]]), deployment_raw[[#This Row],[Column5]],"")</f>
        <v/>
      </c>
      <c r="F175" s="32" t="str">
        <f>IF(ISNUMBER(deployment_raw[[#This Row],[Column17]]), deployment_raw[[#This Row],[Column17]]/IF(OR($E$2="Deployment",deployment_raw[[#This Row],[Column5]]=0),1,deployment_raw[[#This Row],[Column5]]),"")</f>
        <v/>
      </c>
      <c r="G175" s="42" t="str">
        <f>IF(ISNUMBER(deployment_raw[[#This Row],[Column14]]), deployment_raw[[#This Row],[Column14]]/IF(OR($E$2="Deployment",deployment_raw[[#This Row],[Column5]]=0),1,deployment_raw[[#This Row],[Column5]]),"")</f>
        <v/>
      </c>
      <c r="H175" s="79" t="str">
        <f>IF(ISNUMBER(deployment_raw[[#This Row],[Column19]]), IF(I175&lt;&gt;0,(deployment_raw[[#This Row],[Column19]]/IF(OR($E$2="Deployment",deployment_raw[[#This Row],[Column5]]=0),1,deployment_raw[[#This Row],[Column5]]))/I175,0),"")</f>
        <v/>
      </c>
      <c r="I175" s="69" t="str">
        <f>IF(ISNUMBER(deployment_raw[[#This Row],[Column6]]), (deployment_raw[[#This Row],[Column6]] * IF($E$2="Deployment",deployment_raw[[#This Row],[Column5]],1)),"")</f>
        <v/>
      </c>
      <c r="J175" s="79" t="str">
        <f>IF(ISNUMBER(deployment_raw[[#This Row],[Column19]]), IF(K175&lt;&gt;0,(deployment_raw[[#This Row],[Column19]]/IF(OR($E$2="Deployment",deployment_raw[[#This Row],[Column5]]=0),1,deployment_raw[[#This Row],[Column5]]))/K175,0),"")</f>
        <v/>
      </c>
      <c r="K175" s="72" t="str">
        <f>IF(ISNUMBER(deployment_raw[[#This Row],[Column8]]), (deployment_raw[[#This Row],[Column8]]  * IF($E$2="Deployment",deployment_raw[[#This Row],[Column5]],1)),"")</f>
        <v/>
      </c>
      <c r="L17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7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75" s="81" t="str">
        <f>IF(ISNUMBER(deployment_raw[[#This Row],[Column20]]), IF(O175&lt;&gt;0,deployment_raw[[#This Row],[Column20]]/IF(OR($E$2="Deployment",deployment_raw[[#This Row],[Column5]]=0),1,deployment_raw[[#This Row],[Column5]])/1048576/O175,0),"")</f>
        <v/>
      </c>
      <c r="O175" s="74" t="str">
        <f>IF(ISNUMBER(deployment_raw[[#This Row],[Column7]]), (deployment_raw[[#This Row],[Column7]] * IF($E$2="Deployment",deployment_raw[[#This Row],[Column5]],1))/1048576,"")</f>
        <v/>
      </c>
      <c r="P175" s="81" t="str">
        <f>IF(ISNUMBER(deployment_raw[[#This Row],[Column20]]), IF(Q175&lt;&gt;0,deployment_raw[[#This Row],[Column20]]/IF(OR($E$2="Deployment",deployment_raw[[#This Row],[Column5]]=0),1,deployment_raw[[#This Row],[Column5]])/1048576/Q175,0),"")</f>
        <v/>
      </c>
      <c r="Q175" s="76" t="str">
        <f>IF(ISNUMBER(deployment_raw[[#This Row],[Column9]]), (deployment_raw[[#This Row],[Column9]] * IF($E$2="Deployment",deployment_raw[[#This Row],[Column5]],1))/1048576,"")</f>
        <v/>
      </c>
      <c r="R175" s="57" t="str">
        <f>IF(ISNUMBER(deployment_raw[[#This Row],[Column10]]), (deployment_raw[[#This Row],[Column10]] * IF($E$2="Deployment",deployment_raw[[#This Row],[Column5]],1)),"")</f>
        <v/>
      </c>
      <c r="S175" s="48" t="str">
        <f>IF(ISNUMBER(deployment_raw[[#This Row],[Column11]]), (deployment_raw[[#This Row],[Column11]] * IF($E$2="Deployment",deployment_raw[[#This Row],[Column5]],1))/1048576,"")</f>
        <v/>
      </c>
      <c r="T175" s="59" t="str">
        <f>IF(ISNUMBER(deployment_raw[[#This Row],[Column8]]),IF(OR(deployment_raw[[#This Row],[Column5]] &lt;&gt; 0,$E$2 &lt;&gt; "Deployment"), MAX(V175, ($T$2 * IF($E$2="Deployment",deployment_raw[[#This Row],[Column5]],1))), 0),"")</f>
        <v/>
      </c>
      <c r="U175" s="50" t="str">
        <f>IF(ISNUMBER(deployment_raw[[#This Row],[Column9]]),IF(OR(deployment_raw[[#This Row],[Column5]] &lt;&gt; 0,$E$2&lt;&gt;"Deployment"), MAX(W175, ($U$2 * IF($E$2="Deployment",deployment_raw[[#This Row],[Column5]],1))), 0),"")</f>
        <v/>
      </c>
      <c r="V175" s="15" t="str">
        <f>IF(ISNUMBER(deployment_raw[[#This Row],[Column12]]), (deployment_raw[[#This Row],[Column12]] * IF($E$2="Deployment",deployment_raw[[#This Row],[Column5]],1)*(1+$V$2)),"")</f>
        <v/>
      </c>
      <c r="W175" s="14" t="str">
        <f>IF(ISNUMBER(deployment_raw[[#This Row],[Column13]]), (deployment_raw[[#This Row],[Column13]] * IF($E$2="Deployment",deployment_raw[[#This Row],[Column5]],1)*(1+$W$2))/1048576,"")</f>
        <v/>
      </c>
    </row>
    <row r="176" spans="1:23" ht="15.75" customHeight="1" x14ac:dyDescent="0.25">
      <c r="A176" s="5" t="str">
        <f>IF(ISNONTEXT(deployment_raw[[#This Row],[Column1]]), "", deployment_raw[[#This Row],[Column1]])</f>
        <v/>
      </c>
      <c r="B176" s="6" t="str">
        <f>IF(ISNONTEXT(deployment_raw[[#This Row],[Column2]]), "", deployment_raw[[#This Row],[Column2]])</f>
        <v/>
      </c>
      <c r="C176" s="6" t="str">
        <f>IF(ISNONTEXT(deployment_raw[[#This Row],[Column3]]), "", deployment_raw[[#This Row],[Column3]])</f>
        <v/>
      </c>
      <c r="D176" s="6" t="str">
        <f>IF(ISNONTEXT(deployment_raw[[#This Row],[Column4]]), "", deployment_raw[[#This Row],[Column4]])</f>
        <v/>
      </c>
      <c r="E176" s="7" t="str">
        <f>IF(ISNUMBER(deployment_raw[[#This Row],[Column5]]), deployment_raw[[#This Row],[Column5]],"")</f>
        <v/>
      </c>
      <c r="F176" s="32" t="str">
        <f>IF(ISNUMBER(deployment_raw[[#This Row],[Column17]]), deployment_raw[[#This Row],[Column17]]/IF(OR($E$2="Deployment",deployment_raw[[#This Row],[Column5]]=0),1,deployment_raw[[#This Row],[Column5]]),"")</f>
        <v/>
      </c>
      <c r="G176" s="42" t="str">
        <f>IF(ISNUMBER(deployment_raw[[#This Row],[Column14]]), deployment_raw[[#This Row],[Column14]]/IF(OR($E$2="Deployment",deployment_raw[[#This Row],[Column5]]=0),1,deployment_raw[[#This Row],[Column5]]),"")</f>
        <v/>
      </c>
      <c r="H176" s="79" t="str">
        <f>IF(ISNUMBER(deployment_raw[[#This Row],[Column19]]), IF(I176&lt;&gt;0,(deployment_raw[[#This Row],[Column19]]/IF(OR($E$2="Deployment",deployment_raw[[#This Row],[Column5]]=0),1,deployment_raw[[#This Row],[Column5]]))/I176,0),"")</f>
        <v/>
      </c>
      <c r="I176" s="69" t="str">
        <f>IF(ISNUMBER(deployment_raw[[#This Row],[Column6]]), (deployment_raw[[#This Row],[Column6]] * IF($E$2="Deployment",deployment_raw[[#This Row],[Column5]],1)),"")</f>
        <v/>
      </c>
      <c r="J176" s="79" t="str">
        <f>IF(ISNUMBER(deployment_raw[[#This Row],[Column19]]), IF(K176&lt;&gt;0,(deployment_raw[[#This Row],[Column19]]/IF(OR($E$2="Deployment",deployment_raw[[#This Row],[Column5]]=0),1,deployment_raw[[#This Row],[Column5]]))/K176,0),"")</f>
        <v/>
      </c>
      <c r="K176" s="72" t="str">
        <f>IF(ISNUMBER(deployment_raw[[#This Row],[Column8]]), (deployment_raw[[#This Row],[Column8]]  * IF($E$2="Deployment",deployment_raw[[#This Row],[Column5]],1)),"")</f>
        <v/>
      </c>
      <c r="L17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7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76" s="81" t="str">
        <f>IF(ISNUMBER(deployment_raw[[#This Row],[Column20]]), IF(O176&lt;&gt;0,deployment_raw[[#This Row],[Column20]]/IF(OR($E$2="Deployment",deployment_raw[[#This Row],[Column5]]=0),1,deployment_raw[[#This Row],[Column5]])/1048576/O176,0),"")</f>
        <v/>
      </c>
      <c r="O176" s="74" t="str">
        <f>IF(ISNUMBER(deployment_raw[[#This Row],[Column7]]), (deployment_raw[[#This Row],[Column7]] * IF($E$2="Deployment",deployment_raw[[#This Row],[Column5]],1))/1048576,"")</f>
        <v/>
      </c>
      <c r="P176" s="81" t="str">
        <f>IF(ISNUMBER(deployment_raw[[#This Row],[Column20]]), IF(Q176&lt;&gt;0,deployment_raw[[#This Row],[Column20]]/IF(OR($E$2="Deployment",deployment_raw[[#This Row],[Column5]]=0),1,deployment_raw[[#This Row],[Column5]])/1048576/Q176,0),"")</f>
        <v/>
      </c>
      <c r="Q176" s="76" t="str">
        <f>IF(ISNUMBER(deployment_raw[[#This Row],[Column9]]), (deployment_raw[[#This Row],[Column9]] * IF($E$2="Deployment",deployment_raw[[#This Row],[Column5]],1))/1048576,"")</f>
        <v/>
      </c>
      <c r="R176" s="57" t="str">
        <f>IF(ISNUMBER(deployment_raw[[#This Row],[Column10]]), (deployment_raw[[#This Row],[Column10]] * IF($E$2="Deployment",deployment_raw[[#This Row],[Column5]],1)),"")</f>
        <v/>
      </c>
      <c r="S176" s="48" t="str">
        <f>IF(ISNUMBER(deployment_raw[[#This Row],[Column11]]), (deployment_raw[[#This Row],[Column11]] * IF($E$2="Deployment",deployment_raw[[#This Row],[Column5]],1))/1048576,"")</f>
        <v/>
      </c>
      <c r="T176" s="59" t="str">
        <f>IF(ISNUMBER(deployment_raw[[#This Row],[Column8]]),IF(OR(deployment_raw[[#This Row],[Column5]] &lt;&gt; 0,$E$2 &lt;&gt; "Deployment"), MAX(V176, ($T$2 * IF($E$2="Deployment",deployment_raw[[#This Row],[Column5]],1))), 0),"")</f>
        <v/>
      </c>
      <c r="U176" s="50" t="str">
        <f>IF(ISNUMBER(deployment_raw[[#This Row],[Column9]]),IF(OR(deployment_raw[[#This Row],[Column5]] &lt;&gt; 0,$E$2&lt;&gt;"Deployment"), MAX(W176, ($U$2 * IF($E$2="Deployment",deployment_raw[[#This Row],[Column5]],1))), 0),"")</f>
        <v/>
      </c>
      <c r="V176" s="15" t="str">
        <f>IF(ISNUMBER(deployment_raw[[#This Row],[Column12]]), (deployment_raw[[#This Row],[Column12]] * IF($E$2="Deployment",deployment_raw[[#This Row],[Column5]],1)*(1+$V$2)),"")</f>
        <v/>
      </c>
      <c r="W176" s="14" t="str">
        <f>IF(ISNUMBER(deployment_raw[[#This Row],[Column13]]), (deployment_raw[[#This Row],[Column13]] * IF($E$2="Deployment",deployment_raw[[#This Row],[Column5]],1)*(1+$W$2))/1048576,"")</f>
        <v/>
      </c>
    </row>
    <row r="177" spans="1:23" ht="15.75" customHeight="1" x14ac:dyDescent="0.25">
      <c r="A177" s="5" t="str">
        <f>IF(ISNONTEXT(deployment_raw[[#This Row],[Column1]]), "", deployment_raw[[#This Row],[Column1]])</f>
        <v/>
      </c>
      <c r="B177" s="6" t="str">
        <f>IF(ISNONTEXT(deployment_raw[[#This Row],[Column2]]), "", deployment_raw[[#This Row],[Column2]])</f>
        <v/>
      </c>
      <c r="C177" s="6" t="str">
        <f>IF(ISNONTEXT(deployment_raw[[#This Row],[Column3]]), "", deployment_raw[[#This Row],[Column3]])</f>
        <v/>
      </c>
      <c r="D177" s="6" t="str">
        <f>IF(ISNONTEXT(deployment_raw[[#This Row],[Column4]]), "", deployment_raw[[#This Row],[Column4]])</f>
        <v/>
      </c>
      <c r="E177" s="7" t="str">
        <f>IF(ISNUMBER(deployment_raw[[#This Row],[Column5]]), deployment_raw[[#This Row],[Column5]],"")</f>
        <v/>
      </c>
      <c r="F177" s="32" t="str">
        <f>IF(ISNUMBER(deployment_raw[[#This Row],[Column17]]), deployment_raw[[#This Row],[Column17]]/IF(OR($E$2="Deployment",deployment_raw[[#This Row],[Column5]]=0),1,deployment_raw[[#This Row],[Column5]]),"")</f>
        <v/>
      </c>
      <c r="G177" s="42" t="str">
        <f>IF(ISNUMBER(deployment_raw[[#This Row],[Column14]]), deployment_raw[[#This Row],[Column14]]/IF(OR($E$2="Deployment",deployment_raw[[#This Row],[Column5]]=0),1,deployment_raw[[#This Row],[Column5]]),"")</f>
        <v/>
      </c>
      <c r="H177" s="79" t="str">
        <f>IF(ISNUMBER(deployment_raw[[#This Row],[Column19]]), IF(I177&lt;&gt;0,(deployment_raw[[#This Row],[Column19]]/IF(OR($E$2="Deployment",deployment_raw[[#This Row],[Column5]]=0),1,deployment_raw[[#This Row],[Column5]]))/I177,0),"")</f>
        <v/>
      </c>
      <c r="I177" s="69" t="str">
        <f>IF(ISNUMBER(deployment_raw[[#This Row],[Column6]]), (deployment_raw[[#This Row],[Column6]] * IF($E$2="Deployment",deployment_raw[[#This Row],[Column5]],1)),"")</f>
        <v/>
      </c>
      <c r="J177" s="79" t="str">
        <f>IF(ISNUMBER(deployment_raw[[#This Row],[Column19]]), IF(K177&lt;&gt;0,(deployment_raw[[#This Row],[Column19]]/IF(OR($E$2="Deployment",deployment_raw[[#This Row],[Column5]]=0),1,deployment_raw[[#This Row],[Column5]]))/K177,0),"")</f>
        <v/>
      </c>
      <c r="K177" s="72" t="str">
        <f>IF(ISNUMBER(deployment_raw[[#This Row],[Column8]]), (deployment_raw[[#This Row],[Column8]]  * IF($E$2="Deployment",deployment_raw[[#This Row],[Column5]],1)),"")</f>
        <v/>
      </c>
      <c r="L17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7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77" s="81" t="str">
        <f>IF(ISNUMBER(deployment_raw[[#This Row],[Column20]]), IF(O177&lt;&gt;0,deployment_raw[[#This Row],[Column20]]/IF(OR($E$2="Deployment",deployment_raw[[#This Row],[Column5]]=0),1,deployment_raw[[#This Row],[Column5]])/1048576/O177,0),"")</f>
        <v/>
      </c>
      <c r="O177" s="74" t="str">
        <f>IF(ISNUMBER(deployment_raw[[#This Row],[Column7]]), (deployment_raw[[#This Row],[Column7]] * IF($E$2="Deployment",deployment_raw[[#This Row],[Column5]],1))/1048576,"")</f>
        <v/>
      </c>
      <c r="P177" s="81" t="str">
        <f>IF(ISNUMBER(deployment_raw[[#This Row],[Column20]]), IF(Q177&lt;&gt;0,deployment_raw[[#This Row],[Column20]]/IF(OR($E$2="Deployment",deployment_raw[[#This Row],[Column5]]=0),1,deployment_raw[[#This Row],[Column5]])/1048576/Q177,0),"")</f>
        <v/>
      </c>
      <c r="Q177" s="76" t="str">
        <f>IF(ISNUMBER(deployment_raw[[#This Row],[Column9]]), (deployment_raw[[#This Row],[Column9]] * IF($E$2="Deployment",deployment_raw[[#This Row],[Column5]],1))/1048576,"")</f>
        <v/>
      </c>
      <c r="R177" s="57" t="str">
        <f>IF(ISNUMBER(deployment_raw[[#This Row],[Column10]]), (deployment_raw[[#This Row],[Column10]] * IF($E$2="Deployment",deployment_raw[[#This Row],[Column5]],1)),"")</f>
        <v/>
      </c>
      <c r="S177" s="48" t="str">
        <f>IF(ISNUMBER(deployment_raw[[#This Row],[Column11]]), (deployment_raw[[#This Row],[Column11]] * IF($E$2="Deployment",deployment_raw[[#This Row],[Column5]],1))/1048576,"")</f>
        <v/>
      </c>
      <c r="T177" s="59" t="str">
        <f>IF(ISNUMBER(deployment_raw[[#This Row],[Column8]]),IF(OR(deployment_raw[[#This Row],[Column5]] &lt;&gt; 0,$E$2 &lt;&gt; "Deployment"), MAX(V177, ($T$2 * IF($E$2="Deployment",deployment_raw[[#This Row],[Column5]],1))), 0),"")</f>
        <v/>
      </c>
      <c r="U177" s="50" t="str">
        <f>IF(ISNUMBER(deployment_raw[[#This Row],[Column9]]),IF(OR(deployment_raw[[#This Row],[Column5]] &lt;&gt; 0,$E$2&lt;&gt;"Deployment"), MAX(W177, ($U$2 * IF($E$2="Deployment",deployment_raw[[#This Row],[Column5]],1))), 0),"")</f>
        <v/>
      </c>
      <c r="V177" s="15" t="str">
        <f>IF(ISNUMBER(deployment_raw[[#This Row],[Column12]]), (deployment_raw[[#This Row],[Column12]] * IF($E$2="Deployment",deployment_raw[[#This Row],[Column5]],1)*(1+$V$2)),"")</f>
        <v/>
      </c>
      <c r="W177" s="14" t="str">
        <f>IF(ISNUMBER(deployment_raw[[#This Row],[Column13]]), (deployment_raw[[#This Row],[Column13]] * IF($E$2="Deployment",deployment_raw[[#This Row],[Column5]],1)*(1+$W$2))/1048576,"")</f>
        <v/>
      </c>
    </row>
    <row r="178" spans="1:23" ht="15.75" customHeight="1" x14ac:dyDescent="0.25">
      <c r="A178" s="5" t="str">
        <f>IF(ISNONTEXT(deployment_raw[[#This Row],[Column1]]), "", deployment_raw[[#This Row],[Column1]])</f>
        <v/>
      </c>
      <c r="B178" s="6" t="str">
        <f>IF(ISNONTEXT(deployment_raw[[#This Row],[Column2]]), "", deployment_raw[[#This Row],[Column2]])</f>
        <v/>
      </c>
      <c r="C178" s="6" t="str">
        <f>IF(ISNONTEXT(deployment_raw[[#This Row],[Column3]]), "", deployment_raw[[#This Row],[Column3]])</f>
        <v/>
      </c>
      <c r="D178" s="6" t="str">
        <f>IF(ISNONTEXT(deployment_raw[[#This Row],[Column4]]), "", deployment_raw[[#This Row],[Column4]])</f>
        <v/>
      </c>
      <c r="E178" s="7" t="str">
        <f>IF(ISNUMBER(deployment_raw[[#This Row],[Column5]]), deployment_raw[[#This Row],[Column5]],"")</f>
        <v/>
      </c>
      <c r="F178" s="32" t="str">
        <f>IF(ISNUMBER(deployment_raw[[#This Row],[Column17]]), deployment_raw[[#This Row],[Column17]]/IF(OR($E$2="Deployment",deployment_raw[[#This Row],[Column5]]=0),1,deployment_raw[[#This Row],[Column5]]),"")</f>
        <v/>
      </c>
      <c r="G178" s="42" t="str">
        <f>IF(ISNUMBER(deployment_raw[[#This Row],[Column14]]), deployment_raw[[#This Row],[Column14]]/IF(OR($E$2="Deployment",deployment_raw[[#This Row],[Column5]]=0),1,deployment_raw[[#This Row],[Column5]]),"")</f>
        <v/>
      </c>
      <c r="H178" s="79" t="str">
        <f>IF(ISNUMBER(deployment_raw[[#This Row],[Column19]]), IF(I178&lt;&gt;0,(deployment_raw[[#This Row],[Column19]]/IF(OR($E$2="Deployment",deployment_raw[[#This Row],[Column5]]=0),1,deployment_raw[[#This Row],[Column5]]))/I178,0),"")</f>
        <v/>
      </c>
      <c r="I178" s="69" t="str">
        <f>IF(ISNUMBER(deployment_raw[[#This Row],[Column6]]), (deployment_raw[[#This Row],[Column6]] * IF($E$2="Deployment",deployment_raw[[#This Row],[Column5]],1)),"")</f>
        <v/>
      </c>
      <c r="J178" s="79" t="str">
        <f>IF(ISNUMBER(deployment_raw[[#This Row],[Column19]]), IF(K178&lt;&gt;0,(deployment_raw[[#This Row],[Column19]]/IF(OR($E$2="Deployment",deployment_raw[[#This Row],[Column5]]=0),1,deployment_raw[[#This Row],[Column5]]))/K178,0),"")</f>
        <v/>
      </c>
      <c r="K178" s="72" t="str">
        <f>IF(ISNUMBER(deployment_raw[[#This Row],[Column8]]), (deployment_raw[[#This Row],[Column8]]  * IF($E$2="Deployment",deployment_raw[[#This Row],[Column5]],1)),"")</f>
        <v/>
      </c>
      <c r="L17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7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78" s="81" t="str">
        <f>IF(ISNUMBER(deployment_raw[[#This Row],[Column20]]), IF(O178&lt;&gt;0,deployment_raw[[#This Row],[Column20]]/IF(OR($E$2="Deployment",deployment_raw[[#This Row],[Column5]]=0),1,deployment_raw[[#This Row],[Column5]])/1048576/O178,0),"")</f>
        <v/>
      </c>
      <c r="O178" s="74" t="str">
        <f>IF(ISNUMBER(deployment_raw[[#This Row],[Column7]]), (deployment_raw[[#This Row],[Column7]] * IF($E$2="Deployment",deployment_raw[[#This Row],[Column5]],1))/1048576,"")</f>
        <v/>
      </c>
      <c r="P178" s="81" t="str">
        <f>IF(ISNUMBER(deployment_raw[[#This Row],[Column20]]), IF(Q178&lt;&gt;0,deployment_raw[[#This Row],[Column20]]/IF(OR($E$2="Deployment",deployment_raw[[#This Row],[Column5]]=0),1,deployment_raw[[#This Row],[Column5]])/1048576/Q178,0),"")</f>
        <v/>
      </c>
      <c r="Q178" s="76" t="str">
        <f>IF(ISNUMBER(deployment_raw[[#This Row],[Column9]]), (deployment_raw[[#This Row],[Column9]] * IF($E$2="Deployment",deployment_raw[[#This Row],[Column5]],1))/1048576,"")</f>
        <v/>
      </c>
      <c r="R178" s="57" t="str">
        <f>IF(ISNUMBER(deployment_raw[[#This Row],[Column10]]), (deployment_raw[[#This Row],[Column10]] * IF($E$2="Deployment",deployment_raw[[#This Row],[Column5]],1)),"")</f>
        <v/>
      </c>
      <c r="S178" s="48" t="str">
        <f>IF(ISNUMBER(deployment_raw[[#This Row],[Column11]]), (deployment_raw[[#This Row],[Column11]] * IF($E$2="Deployment",deployment_raw[[#This Row],[Column5]],1))/1048576,"")</f>
        <v/>
      </c>
      <c r="T178" s="59" t="str">
        <f>IF(ISNUMBER(deployment_raw[[#This Row],[Column8]]),IF(OR(deployment_raw[[#This Row],[Column5]] &lt;&gt; 0,$E$2 &lt;&gt; "Deployment"), MAX(V178, ($T$2 * IF($E$2="Deployment",deployment_raw[[#This Row],[Column5]],1))), 0),"")</f>
        <v/>
      </c>
      <c r="U178" s="50" t="str">
        <f>IF(ISNUMBER(deployment_raw[[#This Row],[Column9]]),IF(OR(deployment_raw[[#This Row],[Column5]] &lt;&gt; 0,$E$2&lt;&gt;"Deployment"), MAX(W178, ($U$2 * IF($E$2="Deployment",deployment_raw[[#This Row],[Column5]],1))), 0),"")</f>
        <v/>
      </c>
      <c r="V178" s="15" t="str">
        <f>IF(ISNUMBER(deployment_raw[[#This Row],[Column12]]), (deployment_raw[[#This Row],[Column12]] * IF($E$2="Deployment",deployment_raw[[#This Row],[Column5]],1)*(1+$V$2)),"")</f>
        <v/>
      </c>
      <c r="W178" s="14" t="str">
        <f>IF(ISNUMBER(deployment_raw[[#This Row],[Column13]]), (deployment_raw[[#This Row],[Column13]] * IF($E$2="Deployment",deployment_raw[[#This Row],[Column5]],1)*(1+$W$2))/1048576,"")</f>
        <v/>
      </c>
    </row>
    <row r="179" spans="1:23" ht="15.75" customHeight="1" x14ac:dyDescent="0.25">
      <c r="A179" s="5" t="str">
        <f>IF(ISNONTEXT(deployment_raw[[#This Row],[Column1]]), "", deployment_raw[[#This Row],[Column1]])</f>
        <v/>
      </c>
      <c r="B179" s="6" t="str">
        <f>IF(ISNONTEXT(deployment_raw[[#This Row],[Column2]]), "", deployment_raw[[#This Row],[Column2]])</f>
        <v/>
      </c>
      <c r="C179" s="6" t="str">
        <f>IF(ISNONTEXT(deployment_raw[[#This Row],[Column3]]), "", deployment_raw[[#This Row],[Column3]])</f>
        <v/>
      </c>
      <c r="D179" s="6" t="str">
        <f>IF(ISNONTEXT(deployment_raw[[#This Row],[Column4]]), "", deployment_raw[[#This Row],[Column4]])</f>
        <v/>
      </c>
      <c r="E179" s="7" t="str">
        <f>IF(ISNUMBER(deployment_raw[[#This Row],[Column5]]), deployment_raw[[#This Row],[Column5]],"")</f>
        <v/>
      </c>
      <c r="F179" s="32" t="str">
        <f>IF(ISNUMBER(deployment_raw[[#This Row],[Column17]]), deployment_raw[[#This Row],[Column17]]/IF(OR($E$2="Deployment",deployment_raw[[#This Row],[Column5]]=0),1,deployment_raw[[#This Row],[Column5]]),"")</f>
        <v/>
      </c>
      <c r="G179" s="42" t="str">
        <f>IF(ISNUMBER(deployment_raw[[#This Row],[Column14]]), deployment_raw[[#This Row],[Column14]]/IF(OR($E$2="Deployment",deployment_raw[[#This Row],[Column5]]=0),1,deployment_raw[[#This Row],[Column5]]),"")</f>
        <v/>
      </c>
      <c r="H179" s="79" t="str">
        <f>IF(ISNUMBER(deployment_raw[[#This Row],[Column19]]), IF(I179&lt;&gt;0,(deployment_raw[[#This Row],[Column19]]/IF(OR($E$2="Deployment",deployment_raw[[#This Row],[Column5]]=0),1,deployment_raw[[#This Row],[Column5]]))/I179,0),"")</f>
        <v/>
      </c>
      <c r="I179" s="69" t="str">
        <f>IF(ISNUMBER(deployment_raw[[#This Row],[Column6]]), (deployment_raw[[#This Row],[Column6]] * IF($E$2="Deployment",deployment_raw[[#This Row],[Column5]],1)),"")</f>
        <v/>
      </c>
      <c r="J179" s="79" t="str">
        <f>IF(ISNUMBER(deployment_raw[[#This Row],[Column19]]), IF(K179&lt;&gt;0,(deployment_raw[[#This Row],[Column19]]/IF(OR($E$2="Deployment",deployment_raw[[#This Row],[Column5]]=0),1,deployment_raw[[#This Row],[Column5]]))/K179,0),"")</f>
        <v/>
      </c>
      <c r="K179" s="72" t="str">
        <f>IF(ISNUMBER(deployment_raw[[#This Row],[Column8]]), (deployment_raw[[#This Row],[Column8]]  * IF($E$2="Deployment",deployment_raw[[#This Row],[Column5]],1)),"")</f>
        <v/>
      </c>
      <c r="L17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7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79" s="81" t="str">
        <f>IF(ISNUMBER(deployment_raw[[#This Row],[Column20]]), IF(O179&lt;&gt;0,deployment_raw[[#This Row],[Column20]]/IF(OR($E$2="Deployment",deployment_raw[[#This Row],[Column5]]=0),1,deployment_raw[[#This Row],[Column5]])/1048576/O179,0),"")</f>
        <v/>
      </c>
      <c r="O179" s="74" t="str">
        <f>IF(ISNUMBER(deployment_raw[[#This Row],[Column7]]), (deployment_raw[[#This Row],[Column7]] * IF($E$2="Deployment",deployment_raw[[#This Row],[Column5]],1))/1048576,"")</f>
        <v/>
      </c>
      <c r="P179" s="81" t="str">
        <f>IF(ISNUMBER(deployment_raw[[#This Row],[Column20]]), IF(Q179&lt;&gt;0,deployment_raw[[#This Row],[Column20]]/IF(OR($E$2="Deployment",deployment_raw[[#This Row],[Column5]]=0),1,deployment_raw[[#This Row],[Column5]])/1048576/Q179,0),"")</f>
        <v/>
      </c>
      <c r="Q179" s="76" t="str">
        <f>IF(ISNUMBER(deployment_raw[[#This Row],[Column9]]), (deployment_raw[[#This Row],[Column9]] * IF($E$2="Deployment",deployment_raw[[#This Row],[Column5]],1))/1048576,"")</f>
        <v/>
      </c>
      <c r="R179" s="57" t="str">
        <f>IF(ISNUMBER(deployment_raw[[#This Row],[Column10]]), (deployment_raw[[#This Row],[Column10]] * IF($E$2="Deployment",deployment_raw[[#This Row],[Column5]],1)),"")</f>
        <v/>
      </c>
      <c r="S179" s="48" t="str">
        <f>IF(ISNUMBER(deployment_raw[[#This Row],[Column11]]), (deployment_raw[[#This Row],[Column11]] * IF($E$2="Deployment",deployment_raw[[#This Row],[Column5]],1))/1048576,"")</f>
        <v/>
      </c>
      <c r="T179" s="59" t="str">
        <f>IF(ISNUMBER(deployment_raw[[#This Row],[Column8]]),IF(OR(deployment_raw[[#This Row],[Column5]] &lt;&gt; 0,$E$2 &lt;&gt; "Deployment"), MAX(V179, ($T$2 * IF($E$2="Deployment",deployment_raw[[#This Row],[Column5]],1))), 0),"")</f>
        <v/>
      </c>
      <c r="U179" s="50" t="str">
        <f>IF(ISNUMBER(deployment_raw[[#This Row],[Column9]]),IF(OR(deployment_raw[[#This Row],[Column5]] &lt;&gt; 0,$E$2&lt;&gt;"Deployment"), MAX(W179, ($U$2 * IF($E$2="Deployment",deployment_raw[[#This Row],[Column5]],1))), 0),"")</f>
        <v/>
      </c>
      <c r="V179" s="15" t="str">
        <f>IF(ISNUMBER(deployment_raw[[#This Row],[Column12]]), (deployment_raw[[#This Row],[Column12]] * IF($E$2="Deployment",deployment_raw[[#This Row],[Column5]],1)*(1+$V$2)),"")</f>
        <v/>
      </c>
      <c r="W179" s="14" t="str">
        <f>IF(ISNUMBER(deployment_raw[[#This Row],[Column13]]), (deployment_raw[[#This Row],[Column13]] * IF($E$2="Deployment",deployment_raw[[#This Row],[Column5]],1)*(1+$W$2))/1048576,"")</f>
        <v/>
      </c>
    </row>
    <row r="180" spans="1:23" ht="15.75" customHeight="1" x14ac:dyDescent="0.25">
      <c r="A180" s="5" t="str">
        <f>IF(ISNONTEXT(deployment_raw[[#This Row],[Column1]]), "", deployment_raw[[#This Row],[Column1]])</f>
        <v/>
      </c>
      <c r="B180" s="6" t="str">
        <f>IF(ISNONTEXT(deployment_raw[[#This Row],[Column2]]), "", deployment_raw[[#This Row],[Column2]])</f>
        <v/>
      </c>
      <c r="C180" s="6" t="str">
        <f>IF(ISNONTEXT(deployment_raw[[#This Row],[Column3]]), "", deployment_raw[[#This Row],[Column3]])</f>
        <v/>
      </c>
      <c r="D180" s="6" t="str">
        <f>IF(ISNONTEXT(deployment_raw[[#This Row],[Column4]]), "", deployment_raw[[#This Row],[Column4]])</f>
        <v/>
      </c>
      <c r="E180" s="7" t="str">
        <f>IF(ISNUMBER(deployment_raw[[#This Row],[Column5]]), deployment_raw[[#This Row],[Column5]],"")</f>
        <v/>
      </c>
      <c r="F180" s="32" t="str">
        <f>IF(ISNUMBER(deployment_raw[[#This Row],[Column17]]), deployment_raw[[#This Row],[Column17]]/IF(OR($E$2="Deployment",deployment_raw[[#This Row],[Column5]]=0),1,deployment_raw[[#This Row],[Column5]]),"")</f>
        <v/>
      </c>
      <c r="G180" s="42" t="str">
        <f>IF(ISNUMBER(deployment_raw[[#This Row],[Column14]]), deployment_raw[[#This Row],[Column14]]/IF(OR($E$2="Deployment",deployment_raw[[#This Row],[Column5]]=0),1,deployment_raw[[#This Row],[Column5]]),"")</f>
        <v/>
      </c>
      <c r="H180" s="79" t="str">
        <f>IF(ISNUMBER(deployment_raw[[#This Row],[Column19]]), IF(I180&lt;&gt;0,(deployment_raw[[#This Row],[Column19]]/IF(OR($E$2="Deployment",deployment_raw[[#This Row],[Column5]]=0),1,deployment_raw[[#This Row],[Column5]]))/I180,0),"")</f>
        <v/>
      </c>
      <c r="I180" s="69" t="str">
        <f>IF(ISNUMBER(deployment_raw[[#This Row],[Column6]]), (deployment_raw[[#This Row],[Column6]] * IF($E$2="Deployment",deployment_raw[[#This Row],[Column5]],1)),"")</f>
        <v/>
      </c>
      <c r="J180" s="79" t="str">
        <f>IF(ISNUMBER(deployment_raw[[#This Row],[Column19]]), IF(K180&lt;&gt;0,(deployment_raw[[#This Row],[Column19]]/IF(OR($E$2="Deployment",deployment_raw[[#This Row],[Column5]]=0),1,deployment_raw[[#This Row],[Column5]]))/K180,0),"")</f>
        <v/>
      </c>
      <c r="K180" s="72" t="str">
        <f>IF(ISNUMBER(deployment_raw[[#This Row],[Column8]]), (deployment_raw[[#This Row],[Column8]]  * IF($E$2="Deployment",deployment_raw[[#This Row],[Column5]],1)),"")</f>
        <v/>
      </c>
      <c r="L18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8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80" s="81" t="str">
        <f>IF(ISNUMBER(deployment_raw[[#This Row],[Column20]]), IF(O180&lt;&gt;0,deployment_raw[[#This Row],[Column20]]/IF(OR($E$2="Deployment",deployment_raw[[#This Row],[Column5]]=0),1,deployment_raw[[#This Row],[Column5]])/1048576/O180,0),"")</f>
        <v/>
      </c>
      <c r="O180" s="74" t="str">
        <f>IF(ISNUMBER(deployment_raw[[#This Row],[Column7]]), (deployment_raw[[#This Row],[Column7]] * IF($E$2="Deployment",deployment_raw[[#This Row],[Column5]],1))/1048576,"")</f>
        <v/>
      </c>
      <c r="P180" s="81" t="str">
        <f>IF(ISNUMBER(deployment_raw[[#This Row],[Column20]]), IF(Q180&lt;&gt;0,deployment_raw[[#This Row],[Column20]]/IF(OR($E$2="Deployment",deployment_raw[[#This Row],[Column5]]=0),1,deployment_raw[[#This Row],[Column5]])/1048576/Q180,0),"")</f>
        <v/>
      </c>
      <c r="Q180" s="76" t="str">
        <f>IF(ISNUMBER(deployment_raw[[#This Row],[Column9]]), (deployment_raw[[#This Row],[Column9]] * IF($E$2="Deployment",deployment_raw[[#This Row],[Column5]],1))/1048576,"")</f>
        <v/>
      </c>
      <c r="R180" s="57" t="str">
        <f>IF(ISNUMBER(deployment_raw[[#This Row],[Column10]]), (deployment_raw[[#This Row],[Column10]] * IF($E$2="Deployment",deployment_raw[[#This Row],[Column5]],1)),"")</f>
        <v/>
      </c>
      <c r="S180" s="48" t="str">
        <f>IF(ISNUMBER(deployment_raw[[#This Row],[Column11]]), (deployment_raw[[#This Row],[Column11]] * IF($E$2="Deployment",deployment_raw[[#This Row],[Column5]],1))/1048576,"")</f>
        <v/>
      </c>
      <c r="T180" s="59" t="str">
        <f>IF(ISNUMBER(deployment_raw[[#This Row],[Column8]]),IF(OR(deployment_raw[[#This Row],[Column5]] &lt;&gt; 0,$E$2 &lt;&gt; "Deployment"), MAX(V180, ($T$2 * IF($E$2="Deployment",deployment_raw[[#This Row],[Column5]],1))), 0),"")</f>
        <v/>
      </c>
      <c r="U180" s="50" t="str">
        <f>IF(ISNUMBER(deployment_raw[[#This Row],[Column9]]),IF(OR(deployment_raw[[#This Row],[Column5]] &lt;&gt; 0,$E$2&lt;&gt;"Deployment"), MAX(W180, ($U$2 * IF($E$2="Deployment",deployment_raw[[#This Row],[Column5]],1))), 0),"")</f>
        <v/>
      </c>
      <c r="V180" s="15" t="str">
        <f>IF(ISNUMBER(deployment_raw[[#This Row],[Column12]]), (deployment_raw[[#This Row],[Column12]] * IF($E$2="Deployment",deployment_raw[[#This Row],[Column5]],1)*(1+$V$2)),"")</f>
        <v/>
      </c>
      <c r="W180" s="14" t="str">
        <f>IF(ISNUMBER(deployment_raw[[#This Row],[Column13]]), (deployment_raw[[#This Row],[Column13]] * IF($E$2="Deployment",deployment_raw[[#This Row],[Column5]],1)*(1+$W$2))/1048576,"")</f>
        <v/>
      </c>
    </row>
    <row r="181" spans="1:23" ht="15.75" customHeight="1" x14ac:dyDescent="0.25">
      <c r="A181" s="5" t="str">
        <f>IF(ISNONTEXT(deployment_raw[[#This Row],[Column1]]), "", deployment_raw[[#This Row],[Column1]])</f>
        <v/>
      </c>
      <c r="B181" s="6" t="str">
        <f>IF(ISNONTEXT(deployment_raw[[#This Row],[Column2]]), "", deployment_raw[[#This Row],[Column2]])</f>
        <v/>
      </c>
      <c r="C181" s="6" t="str">
        <f>IF(ISNONTEXT(deployment_raw[[#This Row],[Column3]]), "", deployment_raw[[#This Row],[Column3]])</f>
        <v/>
      </c>
      <c r="D181" s="6" t="str">
        <f>IF(ISNONTEXT(deployment_raw[[#This Row],[Column4]]), "", deployment_raw[[#This Row],[Column4]])</f>
        <v/>
      </c>
      <c r="E181" s="7" t="str">
        <f>IF(ISNUMBER(deployment_raw[[#This Row],[Column5]]), deployment_raw[[#This Row],[Column5]],"")</f>
        <v/>
      </c>
      <c r="F181" s="32" t="str">
        <f>IF(ISNUMBER(deployment_raw[[#This Row],[Column17]]), deployment_raw[[#This Row],[Column17]]/IF(OR($E$2="Deployment",deployment_raw[[#This Row],[Column5]]=0),1,deployment_raw[[#This Row],[Column5]]),"")</f>
        <v/>
      </c>
      <c r="G181" s="42" t="str">
        <f>IF(ISNUMBER(deployment_raw[[#This Row],[Column14]]), deployment_raw[[#This Row],[Column14]]/IF(OR($E$2="Deployment",deployment_raw[[#This Row],[Column5]]=0),1,deployment_raw[[#This Row],[Column5]]),"")</f>
        <v/>
      </c>
      <c r="H181" s="79" t="str">
        <f>IF(ISNUMBER(deployment_raw[[#This Row],[Column19]]), IF(I181&lt;&gt;0,(deployment_raw[[#This Row],[Column19]]/IF(OR($E$2="Deployment",deployment_raw[[#This Row],[Column5]]=0),1,deployment_raw[[#This Row],[Column5]]))/I181,0),"")</f>
        <v/>
      </c>
      <c r="I181" s="69" t="str">
        <f>IF(ISNUMBER(deployment_raw[[#This Row],[Column6]]), (deployment_raw[[#This Row],[Column6]] * IF($E$2="Deployment",deployment_raw[[#This Row],[Column5]],1)),"")</f>
        <v/>
      </c>
      <c r="J181" s="79" t="str">
        <f>IF(ISNUMBER(deployment_raw[[#This Row],[Column19]]), IF(K181&lt;&gt;0,(deployment_raw[[#This Row],[Column19]]/IF(OR($E$2="Deployment",deployment_raw[[#This Row],[Column5]]=0),1,deployment_raw[[#This Row],[Column5]]))/K181,0),"")</f>
        <v/>
      </c>
      <c r="K181" s="72" t="str">
        <f>IF(ISNUMBER(deployment_raw[[#This Row],[Column8]]), (deployment_raw[[#This Row],[Column8]]  * IF($E$2="Deployment",deployment_raw[[#This Row],[Column5]],1)),"")</f>
        <v/>
      </c>
      <c r="L18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8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81" s="81" t="str">
        <f>IF(ISNUMBER(deployment_raw[[#This Row],[Column20]]), IF(O181&lt;&gt;0,deployment_raw[[#This Row],[Column20]]/IF(OR($E$2="Deployment",deployment_raw[[#This Row],[Column5]]=0),1,deployment_raw[[#This Row],[Column5]])/1048576/O181,0),"")</f>
        <v/>
      </c>
      <c r="O181" s="74" t="str">
        <f>IF(ISNUMBER(deployment_raw[[#This Row],[Column7]]), (deployment_raw[[#This Row],[Column7]] * IF($E$2="Deployment",deployment_raw[[#This Row],[Column5]],1))/1048576,"")</f>
        <v/>
      </c>
      <c r="P181" s="81" t="str">
        <f>IF(ISNUMBER(deployment_raw[[#This Row],[Column20]]), IF(Q181&lt;&gt;0,deployment_raw[[#This Row],[Column20]]/IF(OR($E$2="Deployment",deployment_raw[[#This Row],[Column5]]=0),1,deployment_raw[[#This Row],[Column5]])/1048576/Q181,0),"")</f>
        <v/>
      </c>
      <c r="Q181" s="76" t="str">
        <f>IF(ISNUMBER(deployment_raw[[#This Row],[Column9]]), (deployment_raw[[#This Row],[Column9]] * IF($E$2="Deployment",deployment_raw[[#This Row],[Column5]],1))/1048576,"")</f>
        <v/>
      </c>
      <c r="R181" s="57" t="str">
        <f>IF(ISNUMBER(deployment_raw[[#This Row],[Column10]]), (deployment_raw[[#This Row],[Column10]] * IF($E$2="Deployment",deployment_raw[[#This Row],[Column5]],1)),"")</f>
        <v/>
      </c>
      <c r="S181" s="48" t="str">
        <f>IF(ISNUMBER(deployment_raw[[#This Row],[Column11]]), (deployment_raw[[#This Row],[Column11]] * IF($E$2="Deployment",deployment_raw[[#This Row],[Column5]],1))/1048576,"")</f>
        <v/>
      </c>
      <c r="T181" s="59" t="str">
        <f>IF(ISNUMBER(deployment_raw[[#This Row],[Column8]]),IF(OR(deployment_raw[[#This Row],[Column5]] &lt;&gt; 0,$E$2 &lt;&gt; "Deployment"), MAX(V181, ($T$2 * IF($E$2="Deployment",deployment_raw[[#This Row],[Column5]],1))), 0),"")</f>
        <v/>
      </c>
      <c r="U181" s="50" t="str">
        <f>IF(ISNUMBER(deployment_raw[[#This Row],[Column9]]),IF(OR(deployment_raw[[#This Row],[Column5]] &lt;&gt; 0,$E$2&lt;&gt;"Deployment"), MAX(W181, ($U$2 * IF($E$2="Deployment",deployment_raw[[#This Row],[Column5]],1))), 0),"")</f>
        <v/>
      </c>
      <c r="V181" s="15" t="str">
        <f>IF(ISNUMBER(deployment_raw[[#This Row],[Column12]]), (deployment_raw[[#This Row],[Column12]] * IF($E$2="Deployment",deployment_raw[[#This Row],[Column5]],1)*(1+$V$2)),"")</f>
        <v/>
      </c>
      <c r="W181" s="14" t="str">
        <f>IF(ISNUMBER(deployment_raw[[#This Row],[Column13]]), (deployment_raw[[#This Row],[Column13]] * IF($E$2="Deployment",deployment_raw[[#This Row],[Column5]],1)*(1+$W$2))/1048576,"")</f>
        <v/>
      </c>
    </row>
    <row r="182" spans="1:23" ht="15.75" customHeight="1" x14ac:dyDescent="0.25">
      <c r="A182" s="5" t="str">
        <f>IF(ISNONTEXT(deployment_raw[[#This Row],[Column1]]), "", deployment_raw[[#This Row],[Column1]])</f>
        <v/>
      </c>
      <c r="B182" s="6" t="str">
        <f>IF(ISNONTEXT(deployment_raw[[#This Row],[Column2]]), "", deployment_raw[[#This Row],[Column2]])</f>
        <v/>
      </c>
      <c r="C182" s="6" t="str">
        <f>IF(ISNONTEXT(deployment_raw[[#This Row],[Column3]]), "", deployment_raw[[#This Row],[Column3]])</f>
        <v/>
      </c>
      <c r="D182" s="6" t="str">
        <f>IF(ISNONTEXT(deployment_raw[[#This Row],[Column4]]), "", deployment_raw[[#This Row],[Column4]])</f>
        <v/>
      </c>
      <c r="E182" s="7" t="str">
        <f>IF(ISNUMBER(deployment_raw[[#This Row],[Column5]]), deployment_raw[[#This Row],[Column5]],"")</f>
        <v/>
      </c>
      <c r="F182" s="32" t="str">
        <f>IF(ISNUMBER(deployment_raw[[#This Row],[Column17]]), deployment_raw[[#This Row],[Column17]]/IF(OR($E$2="Deployment",deployment_raw[[#This Row],[Column5]]=0),1,deployment_raw[[#This Row],[Column5]]),"")</f>
        <v/>
      </c>
      <c r="G182" s="42" t="str">
        <f>IF(ISNUMBER(deployment_raw[[#This Row],[Column14]]), deployment_raw[[#This Row],[Column14]]/IF(OR($E$2="Deployment",deployment_raw[[#This Row],[Column5]]=0),1,deployment_raw[[#This Row],[Column5]]),"")</f>
        <v/>
      </c>
      <c r="H182" s="79" t="str">
        <f>IF(ISNUMBER(deployment_raw[[#This Row],[Column19]]), IF(I182&lt;&gt;0,(deployment_raw[[#This Row],[Column19]]/IF(OR($E$2="Deployment",deployment_raw[[#This Row],[Column5]]=0),1,deployment_raw[[#This Row],[Column5]]))/I182,0),"")</f>
        <v/>
      </c>
      <c r="I182" s="69" t="str">
        <f>IF(ISNUMBER(deployment_raw[[#This Row],[Column6]]), (deployment_raw[[#This Row],[Column6]] * IF($E$2="Deployment",deployment_raw[[#This Row],[Column5]],1)),"")</f>
        <v/>
      </c>
      <c r="J182" s="79" t="str">
        <f>IF(ISNUMBER(deployment_raw[[#This Row],[Column19]]), IF(K182&lt;&gt;0,(deployment_raw[[#This Row],[Column19]]/IF(OR($E$2="Deployment",deployment_raw[[#This Row],[Column5]]=0),1,deployment_raw[[#This Row],[Column5]]))/K182,0),"")</f>
        <v/>
      </c>
      <c r="K182" s="72" t="str">
        <f>IF(ISNUMBER(deployment_raw[[#This Row],[Column8]]), (deployment_raw[[#This Row],[Column8]]  * IF($E$2="Deployment",deployment_raw[[#This Row],[Column5]],1)),"")</f>
        <v/>
      </c>
      <c r="L18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8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82" s="81" t="str">
        <f>IF(ISNUMBER(deployment_raw[[#This Row],[Column20]]), IF(O182&lt;&gt;0,deployment_raw[[#This Row],[Column20]]/IF(OR($E$2="Deployment",deployment_raw[[#This Row],[Column5]]=0),1,deployment_raw[[#This Row],[Column5]])/1048576/O182,0),"")</f>
        <v/>
      </c>
      <c r="O182" s="74" t="str">
        <f>IF(ISNUMBER(deployment_raw[[#This Row],[Column7]]), (deployment_raw[[#This Row],[Column7]] * IF($E$2="Deployment",deployment_raw[[#This Row],[Column5]],1))/1048576,"")</f>
        <v/>
      </c>
      <c r="P182" s="81" t="str">
        <f>IF(ISNUMBER(deployment_raw[[#This Row],[Column20]]), IF(Q182&lt;&gt;0,deployment_raw[[#This Row],[Column20]]/IF(OR($E$2="Deployment",deployment_raw[[#This Row],[Column5]]=0),1,deployment_raw[[#This Row],[Column5]])/1048576/Q182,0),"")</f>
        <v/>
      </c>
      <c r="Q182" s="76" t="str">
        <f>IF(ISNUMBER(deployment_raw[[#This Row],[Column9]]), (deployment_raw[[#This Row],[Column9]] * IF($E$2="Deployment",deployment_raw[[#This Row],[Column5]],1))/1048576,"")</f>
        <v/>
      </c>
      <c r="R182" s="57" t="str">
        <f>IF(ISNUMBER(deployment_raw[[#This Row],[Column10]]), (deployment_raw[[#This Row],[Column10]] * IF($E$2="Deployment",deployment_raw[[#This Row],[Column5]],1)),"")</f>
        <v/>
      </c>
      <c r="S182" s="48" t="str">
        <f>IF(ISNUMBER(deployment_raw[[#This Row],[Column11]]), (deployment_raw[[#This Row],[Column11]] * IF($E$2="Deployment",deployment_raw[[#This Row],[Column5]],1))/1048576,"")</f>
        <v/>
      </c>
      <c r="T182" s="59" t="str">
        <f>IF(ISNUMBER(deployment_raw[[#This Row],[Column8]]),IF(OR(deployment_raw[[#This Row],[Column5]] &lt;&gt; 0,$E$2 &lt;&gt; "Deployment"), MAX(V182, ($T$2 * IF($E$2="Deployment",deployment_raw[[#This Row],[Column5]],1))), 0),"")</f>
        <v/>
      </c>
      <c r="U182" s="50" t="str">
        <f>IF(ISNUMBER(deployment_raw[[#This Row],[Column9]]),IF(OR(deployment_raw[[#This Row],[Column5]] &lt;&gt; 0,$E$2&lt;&gt;"Deployment"), MAX(W182, ($U$2 * IF($E$2="Deployment",deployment_raw[[#This Row],[Column5]],1))), 0),"")</f>
        <v/>
      </c>
      <c r="V182" s="15" t="str">
        <f>IF(ISNUMBER(deployment_raw[[#This Row],[Column12]]), (deployment_raw[[#This Row],[Column12]] * IF($E$2="Deployment",deployment_raw[[#This Row],[Column5]],1)*(1+$V$2)),"")</f>
        <v/>
      </c>
      <c r="W182" s="14" t="str">
        <f>IF(ISNUMBER(deployment_raw[[#This Row],[Column13]]), (deployment_raw[[#This Row],[Column13]] * IF($E$2="Deployment",deployment_raw[[#This Row],[Column5]],1)*(1+$W$2))/1048576,"")</f>
        <v/>
      </c>
    </row>
    <row r="183" spans="1:23" ht="15.75" customHeight="1" x14ac:dyDescent="0.25">
      <c r="A183" s="5" t="str">
        <f>IF(ISNONTEXT(deployment_raw[[#This Row],[Column1]]), "", deployment_raw[[#This Row],[Column1]])</f>
        <v/>
      </c>
      <c r="B183" s="6" t="str">
        <f>IF(ISNONTEXT(deployment_raw[[#This Row],[Column2]]), "", deployment_raw[[#This Row],[Column2]])</f>
        <v/>
      </c>
      <c r="C183" s="6" t="str">
        <f>IF(ISNONTEXT(deployment_raw[[#This Row],[Column3]]), "", deployment_raw[[#This Row],[Column3]])</f>
        <v/>
      </c>
      <c r="D183" s="6" t="str">
        <f>IF(ISNONTEXT(deployment_raw[[#This Row],[Column4]]), "", deployment_raw[[#This Row],[Column4]])</f>
        <v/>
      </c>
      <c r="E183" s="7" t="str">
        <f>IF(ISNUMBER(deployment_raw[[#This Row],[Column5]]), deployment_raw[[#This Row],[Column5]],"")</f>
        <v/>
      </c>
      <c r="F183" s="32" t="str">
        <f>IF(ISNUMBER(deployment_raw[[#This Row],[Column17]]), deployment_raw[[#This Row],[Column17]]/IF(OR($E$2="Deployment",deployment_raw[[#This Row],[Column5]]=0),1,deployment_raw[[#This Row],[Column5]]),"")</f>
        <v/>
      </c>
      <c r="G183" s="42" t="str">
        <f>IF(ISNUMBER(deployment_raw[[#This Row],[Column14]]), deployment_raw[[#This Row],[Column14]]/IF(OR($E$2="Deployment",deployment_raw[[#This Row],[Column5]]=0),1,deployment_raw[[#This Row],[Column5]]),"")</f>
        <v/>
      </c>
      <c r="H183" s="79" t="str">
        <f>IF(ISNUMBER(deployment_raw[[#This Row],[Column19]]), IF(I183&lt;&gt;0,(deployment_raw[[#This Row],[Column19]]/IF(OR($E$2="Deployment",deployment_raw[[#This Row],[Column5]]=0),1,deployment_raw[[#This Row],[Column5]]))/I183,0),"")</f>
        <v/>
      </c>
      <c r="I183" s="69" t="str">
        <f>IF(ISNUMBER(deployment_raw[[#This Row],[Column6]]), (deployment_raw[[#This Row],[Column6]] * IF($E$2="Deployment",deployment_raw[[#This Row],[Column5]],1)),"")</f>
        <v/>
      </c>
      <c r="J183" s="79" t="str">
        <f>IF(ISNUMBER(deployment_raw[[#This Row],[Column19]]), IF(K183&lt;&gt;0,(deployment_raw[[#This Row],[Column19]]/IF(OR($E$2="Deployment",deployment_raw[[#This Row],[Column5]]=0),1,deployment_raw[[#This Row],[Column5]]))/K183,0),"")</f>
        <v/>
      </c>
      <c r="K183" s="72" t="str">
        <f>IF(ISNUMBER(deployment_raw[[#This Row],[Column8]]), (deployment_raw[[#This Row],[Column8]]  * IF($E$2="Deployment",deployment_raw[[#This Row],[Column5]],1)),"")</f>
        <v/>
      </c>
      <c r="L18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8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83" s="81" t="str">
        <f>IF(ISNUMBER(deployment_raw[[#This Row],[Column20]]), IF(O183&lt;&gt;0,deployment_raw[[#This Row],[Column20]]/IF(OR($E$2="Deployment",deployment_raw[[#This Row],[Column5]]=0),1,deployment_raw[[#This Row],[Column5]])/1048576/O183,0),"")</f>
        <v/>
      </c>
      <c r="O183" s="74" t="str">
        <f>IF(ISNUMBER(deployment_raw[[#This Row],[Column7]]), (deployment_raw[[#This Row],[Column7]] * IF($E$2="Deployment",deployment_raw[[#This Row],[Column5]],1))/1048576,"")</f>
        <v/>
      </c>
      <c r="P183" s="81" t="str">
        <f>IF(ISNUMBER(deployment_raw[[#This Row],[Column20]]), IF(Q183&lt;&gt;0,deployment_raw[[#This Row],[Column20]]/IF(OR($E$2="Deployment",deployment_raw[[#This Row],[Column5]]=0),1,deployment_raw[[#This Row],[Column5]])/1048576/Q183,0),"")</f>
        <v/>
      </c>
      <c r="Q183" s="76" t="str">
        <f>IF(ISNUMBER(deployment_raw[[#This Row],[Column9]]), (deployment_raw[[#This Row],[Column9]] * IF($E$2="Deployment",deployment_raw[[#This Row],[Column5]],1))/1048576,"")</f>
        <v/>
      </c>
      <c r="R183" s="57" t="str">
        <f>IF(ISNUMBER(deployment_raw[[#This Row],[Column10]]), (deployment_raw[[#This Row],[Column10]] * IF($E$2="Deployment",deployment_raw[[#This Row],[Column5]],1)),"")</f>
        <v/>
      </c>
      <c r="S183" s="48" t="str">
        <f>IF(ISNUMBER(deployment_raw[[#This Row],[Column11]]), (deployment_raw[[#This Row],[Column11]] * IF($E$2="Deployment",deployment_raw[[#This Row],[Column5]],1))/1048576,"")</f>
        <v/>
      </c>
      <c r="T183" s="59" t="str">
        <f>IF(ISNUMBER(deployment_raw[[#This Row],[Column8]]),IF(OR(deployment_raw[[#This Row],[Column5]] &lt;&gt; 0,$E$2 &lt;&gt; "Deployment"), MAX(V183, ($T$2 * IF($E$2="Deployment",deployment_raw[[#This Row],[Column5]],1))), 0),"")</f>
        <v/>
      </c>
      <c r="U183" s="50" t="str">
        <f>IF(ISNUMBER(deployment_raw[[#This Row],[Column9]]),IF(OR(deployment_raw[[#This Row],[Column5]] &lt;&gt; 0,$E$2&lt;&gt;"Deployment"), MAX(W183, ($U$2 * IF($E$2="Deployment",deployment_raw[[#This Row],[Column5]],1))), 0),"")</f>
        <v/>
      </c>
      <c r="V183" s="15" t="str">
        <f>IF(ISNUMBER(deployment_raw[[#This Row],[Column12]]), (deployment_raw[[#This Row],[Column12]] * IF($E$2="Deployment",deployment_raw[[#This Row],[Column5]],1)*(1+$V$2)),"")</f>
        <v/>
      </c>
      <c r="W183" s="14" t="str">
        <f>IF(ISNUMBER(deployment_raw[[#This Row],[Column13]]), (deployment_raw[[#This Row],[Column13]] * IF($E$2="Deployment",deployment_raw[[#This Row],[Column5]],1)*(1+$W$2))/1048576,"")</f>
        <v/>
      </c>
    </row>
    <row r="184" spans="1:23" ht="15.75" customHeight="1" x14ac:dyDescent="0.25">
      <c r="A184" s="5" t="str">
        <f>IF(ISNONTEXT(deployment_raw[[#This Row],[Column1]]), "", deployment_raw[[#This Row],[Column1]])</f>
        <v/>
      </c>
      <c r="B184" s="6" t="str">
        <f>IF(ISNONTEXT(deployment_raw[[#This Row],[Column2]]), "", deployment_raw[[#This Row],[Column2]])</f>
        <v/>
      </c>
      <c r="C184" s="6" t="str">
        <f>IF(ISNONTEXT(deployment_raw[[#This Row],[Column3]]), "", deployment_raw[[#This Row],[Column3]])</f>
        <v/>
      </c>
      <c r="D184" s="6" t="str">
        <f>IF(ISNONTEXT(deployment_raw[[#This Row],[Column4]]), "", deployment_raw[[#This Row],[Column4]])</f>
        <v/>
      </c>
      <c r="E184" s="7" t="str">
        <f>IF(ISNUMBER(deployment_raw[[#This Row],[Column5]]), deployment_raw[[#This Row],[Column5]],"")</f>
        <v/>
      </c>
      <c r="F184" s="32" t="str">
        <f>IF(ISNUMBER(deployment_raw[[#This Row],[Column17]]), deployment_raw[[#This Row],[Column17]]/IF(OR($E$2="Deployment",deployment_raw[[#This Row],[Column5]]=0),1,deployment_raw[[#This Row],[Column5]]),"")</f>
        <v/>
      </c>
      <c r="G184" s="42" t="str">
        <f>IF(ISNUMBER(deployment_raw[[#This Row],[Column14]]), deployment_raw[[#This Row],[Column14]]/IF(OR($E$2="Deployment",deployment_raw[[#This Row],[Column5]]=0),1,deployment_raw[[#This Row],[Column5]]),"")</f>
        <v/>
      </c>
      <c r="H184" s="79" t="str">
        <f>IF(ISNUMBER(deployment_raw[[#This Row],[Column19]]), IF(I184&lt;&gt;0,(deployment_raw[[#This Row],[Column19]]/IF(OR($E$2="Deployment",deployment_raw[[#This Row],[Column5]]=0),1,deployment_raw[[#This Row],[Column5]]))/I184,0),"")</f>
        <v/>
      </c>
      <c r="I184" s="69" t="str">
        <f>IF(ISNUMBER(deployment_raw[[#This Row],[Column6]]), (deployment_raw[[#This Row],[Column6]] * IF($E$2="Deployment",deployment_raw[[#This Row],[Column5]],1)),"")</f>
        <v/>
      </c>
      <c r="J184" s="79" t="str">
        <f>IF(ISNUMBER(deployment_raw[[#This Row],[Column19]]), IF(K184&lt;&gt;0,(deployment_raw[[#This Row],[Column19]]/IF(OR($E$2="Deployment",deployment_raw[[#This Row],[Column5]]=0),1,deployment_raw[[#This Row],[Column5]]))/K184,0),"")</f>
        <v/>
      </c>
      <c r="K184" s="72" t="str">
        <f>IF(ISNUMBER(deployment_raw[[#This Row],[Column8]]), (deployment_raw[[#This Row],[Column8]]  * IF($E$2="Deployment",deployment_raw[[#This Row],[Column5]],1)),"")</f>
        <v/>
      </c>
      <c r="L18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8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84" s="81" t="str">
        <f>IF(ISNUMBER(deployment_raw[[#This Row],[Column20]]), IF(O184&lt;&gt;0,deployment_raw[[#This Row],[Column20]]/IF(OR($E$2="Deployment",deployment_raw[[#This Row],[Column5]]=0),1,deployment_raw[[#This Row],[Column5]])/1048576/O184,0),"")</f>
        <v/>
      </c>
      <c r="O184" s="74" t="str">
        <f>IF(ISNUMBER(deployment_raw[[#This Row],[Column7]]), (deployment_raw[[#This Row],[Column7]] * IF($E$2="Deployment",deployment_raw[[#This Row],[Column5]],1))/1048576,"")</f>
        <v/>
      </c>
      <c r="P184" s="81" t="str">
        <f>IF(ISNUMBER(deployment_raw[[#This Row],[Column20]]), IF(Q184&lt;&gt;0,deployment_raw[[#This Row],[Column20]]/IF(OR($E$2="Deployment",deployment_raw[[#This Row],[Column5]]=0),1,deployment_raw[[#This Row],[Column5]])/1048576/Q184,0),"")</f>
        <v/>
      </c>
      <c r="Q184" s="76" t="str">
        <f>IF(ISNUMBER(deployment_raw[[#This Row],[Column9]]), (deployment_raw[[#This Row],[Column9]] * IF($E$2="Deployment",deployment_raw[[#This Row],[Column5]],1))/1048576,"")</f>
        <v/>
      </c>
      <c r="R184" s="57" t="str">
        <f>IF(ISNUMBER(deployment_raw[[#This Row],[Column10]]), (deployment_raw[[#This Row],[Column10]] * IF($E$2="Deployment",deployment_raw[[#This Row],[Column5]],1)),"")</f>
        <v/>
      </c>
      <c r="S184" s="48" t="str">
        <f>IF(ISNUMBER(deployment_raw[[#This Row],[Column11]]), (deployment_raw[[#This Row],[Column11]] * IF($E$2="Deployment",deployment_raw[[#This Row],[Column5]],1))/1048576,"")</f>
        <v/>
      </c>
      <c r="T184" s="59" t="str">
        <f>IF(ISNUMBER(deployment_raw[[#This Row],[Column8]]),IF(OR(deployment_raw[[#This Row],[Column5]] &lt;&gt; 0,$E$2 &lt;&gt; "Deployment"), MAX(V184, ($T$2 * IF($E$2="Deployment",deployment_raw[[#This Row],[Column5]],1))), 0),"")</f>
        <v/>
      </c>
      <c r="U184" s="50" t="str">
        <f>IF(ISNUMBER(deployment_raw[[#This Row],[Column9]]),IF(OR(deployment_raw[[#This Row],[Column5]] &lt;&gt; 0,$E$2&lt;&gt;"Deployment"), MAX(W184, ($U$2 * IF($E$2="Deployment",deployment_raw[[#This Row],[Column5]],1))), 0),"")</f>
        <v/>
      </c>
      <c r="V184" s="15" t="str">
        <f>IF(ISNUMBER(deployment_raw[[#This Row],[Column12]]), (deployment_raw[[#This Row],[Column12]] * IF($E$2="Deployment",deployment_raw[[#This Row],[Column5]],1)*(1+$V$2)),"")</f>
        <v/>
      </c>
      <c r="W184" s="14" t="str">
        <f>IF(ISNUMBER(deployment_raw[[#This Row],[Column13]]), (deployment_raw[[#This Row],[Column13]] * IF($E$2="Deployment",deployment_raw[[#This Row],[Column5]],1)*(1+$W$2))/1048576,"")</f>
        <v/>
      </c>
    </row>
    <row r="185" spans="1:23" ht="15.75" customHeight="1" x14ac:dyDescent="0.25">
      <c r="A185" s="5" t="str">
        <f>IF(ISNONTEXT(deployment_raw[[#This Row],[Column1]]), "", deployment_raw[[#This Row],[Column1]])</f>
        <v/>
      </c>
      <c r="B185" s="6" t="str">
        <f>IF(ISNONTEXT(deployment_raw[[#This Row],[Column2]]), "", deployment_raw[[#This Row],[Column2]])</f>
        <v/>
      </c>
      <c r="C185" s="6" t="str">
        <f>IF(ISNONTEXT(deployment_raw[[#This Row],[Column3]]), "", deployment_raw[[#This Row],[Column3]])</f>
        <v/>
      </c>
      <c r="D185" s="6" t="str">
        <f>IF(ISNONTEXT(deployment_raw[[#This Row],[Column4]]), "", deployment_raw[[#This Row],[Column4]])</f>
        <v/>
      </c>
      <c r="E185" s="7" t="str">
        <f>IF(ISNUMBER(deployment_raw[[#This Row],[Column5]]), deployment_raw[[#This Row],[Column5]],"")</f>
        <v/>
      </c>
      <c r="F185" s="32" t="str">
        <f>IF(ISNUMBER(deployment_raw[[#This Row],[Column17]]), deployment_raw[[#This Row],[Column17]]/IF(OR($E$2="Deployment",deployment_raw[[#This Row],[Column5]]=0),1,deployment_raw[[#This Row],[Column5]]),"")</f>
        <v/>
      </c>
      <c r="G185" s="42" t="str">
        <f>IF(ISNUMBER(deployment_raw[[#This Row],[Column14]]), deployment_raw[[#This Row],[Column14]]/IF(OR($E$2="Deployment",deployment_raw[[#This Row],[Column5]]=0),1,deployment_raw[[#This Row],[Column5]]),"")</f>
        <v/>
      </c>
      <c r="H185" s="79" t="str">
        <f>IF(ISNUMBER(deployment_raw[[#This Row],[Column19]]), IF(I185&lt;&gt;0,(deployment_raw[[#This Row],[Column19]]/IF(OR($E$2="Deployment",deployment_raw[[#This Row],[Column5]]=0),1,deployment_raw[[#This Row],[Column5]]))/I185,0),"")</f>
        <v/>
      </c>
      <c r="I185" s="69" t="str">
        <f>IF(ISNUMBER(deployment_raw[[#This Row],[Column6]]), (deployment_raw[[#This Row],[Column6]] * IF($E$2="Deployment",deployment_raw[[#This Row],[Column5]],1)),"")</f>
        <v/>
      </c>
      <c r="J185" s="79" t="str">
        <f>IF(ISNUMBER(deployment_raw[[#This Row],[Column19]]), IF(K185&lt;&gt;0,(deployment_raw[[#This Row],[Column19]]/IF(OR($E$2="Deployment",deployment_raw[[#This Row],[Column5]]=0),1,deployment_raw[[#This Row],[Column5]]))/K185,0),"")</f>
        <v/>
      </c>
      <c r="K185" s="72" t="str">
        <f>IF(ISNUMBER(deployment_raw[[#This Row],[Column8]]), (deployment_raw[[#This Row],[Column8]]  * IF($E$2="Deployment",deployment_raw[[#This Row],[Column5]],1)),"")</f>
        <v/>
      </c>
      <c r="L18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8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85" s="81" t="str">
        <f>IF(ISNUMBER(deployment_raw[[#This Row],[Column20]]), IF(O185&lt;&gt;0,deployment_raw[[#This Row],[Column20]]/IF(OR($E$2="Deployment",deployment_raw[[#This Row],[Column5]]=0),1,deployment_raw[[#This Row],[Column5]])/1048576/O185,0),"")</f>
        <v/>
      </c>
      <c r="O185" s="74" t="str">
        <f>IF(ISNUMBER(deployment_raw[[#This Row],[Column7]]), (deployment_raw[[#This Row],[Column7]] * IF($E$2="Deployment",deployment_raw[[#This Row],[Column5]],1))/1048576,"")</f>
        <v/>
      </c>
      <c r="P185" s="81" t="str">
        <f>IF(ISNUMBER(deployment_raw[[#This Row],[Column20]]), IF(Q185&lt;&gt;0,deployment_raw[[#This Row],[Column20]]/IF(OR($E$2="Deployment",deployment_raw[[#This Row],[Column5]]=0),1,deployment_raw[[#This Row],[Column5]])/1048576/Q185,0),"")</f>
        <v/>
      </c>
      <c r="Q185" s="76" t="str">
        <f>IF(ISNUMBER(deployment_raw[[#This Row],[Column9]]), (deployment_raw[[#This Row],[Column9]] * IF($E$2="Deployment",deployment_raw[[#This Row],[Column5]],1))/1048576,"")</f>
        <v/>
      </c>
      <c r="R185" s="57" t="str">
        <f>IF(ISNUMBER(deployment_raw[[#This Row],[Column10]]), (deployment_raw[[#This Row],[Column10]] * IF($E$2="Deployment",deployment_raw[[#This Row],[Column5]],1)),"")</f>
        <v/>
      </c>
      <c r="S185" s="48" t="str">
        <f>IF(ISNUMBER(deployment_raw[[#This Row],[Column11]]), (deployment_raw[[#This Row],[Column11]] * IF($E$2="Deployment",deployment_raw[[#This Row],[Column5]],1))/1048576,"")</f>
        <v/>
      </c>
      <c r="T185" s="59" t="str">
        <f>IF(ISNUMBER(deployment_raw[[#This Row],[Column8]]),IF(OR(deployment_raw[[#This Row],[Column5]] &lt;&gt; 0,$E$2 &lt;&gt; "Deployment"), MAX(V185, ($T$2 * IF($E$2="Deployment",deployment_raw[[#This Row],[Column5]],1))), 0),"")</f>
        <v/>
      </c>
      <c r="U185" s="50" t="str">
        <f>IF(ISNUMBER(deployment_raw[[#This Row],[Column9]]),IF(OR(deployment_raw[[#This Row],[Column5]] &lt;&gt; 0,$E$2&lt;&gt;"Deployment"), MAX(W185, ($U$2 * IF($E$2="Deployment",deployment_raw[[#This Row],[Column5]],1))), 0),"")</f>
        <v/>
      </c>
      <c r="V185" s="15" t="str">
        <f>IF(ISNUMBER(deployment_raw[[#This Row],[Column12]]), (deployment_raw[[#This Row],[Column12]] * IF($E$2="Deployment",deployment_raw[[#This Row],[Column5]],1)*(1+$V$2)),"")</f>
        <v/>
      </c>
      <c r="W185" s="14" t="str">
        <f>IF(ISNUMBER(deployment_raw[[#This Row],[Column13]]), (deployment_raw[[#This Row],[Column13]] * IF($E$2="Deployment",deployment_raw[[#This Row],[Column5]],1)*(1+$W$2))/1048576,"")</f>
        <v/>
      </c>
    </row>
    <row r="186" spans="1:23" ht="15.75" customHeight="1" x14ac:dyDescent="0.25">
      <c r="A186" s="5" t="str">
        <f>IF(ISNONTEXT(deployment_raw[[#This Row],[Column1]]), "", deployment_raw[[#This Row],[Column1]])</f>
        <v/>
      </c>
      <c r="B186" s="6" t="str">
        <f>IF(ISNONTEXT(deployment_raw[[#This Row],[Column2]]), "", deployment_raw[[#This Row],[Column2]])</f>
        <v/>
      </c>
      <c r="C186" s="6" t="str">
        <f>IF(ISNONTEXT(deployment_raw[[#This Row],[Column3]]), "", deployment_raw[[#This Row],[Column3]])</f>
        <v/>
      </c>
      <c r="D186" s="6" t="str">
        <f>IF(ISNONTEXT(deployment_raw[[#This Row],[Column4]]), "", deployment_raw[[#This Row],[Column4]])</f>
        <v/>
      </c>
      <c r="E186" s="7" t="str">
        <f>IF(ISNUMBER(deployment_raw[[#This Row],[Column5]]), deployment_raw[[#This Row],[Column5]],"")</f>
        <v/>
      </c>
      <c r="F186" s="32" t="str">
        <f>IF(ISNUMBER(deployment_raw[[#This Row],[Column17]]), deployment_raw[[#This Row],[Column17]]/IF(OR($E$2="Deployment",deployment_raw[[#This Row],[Column5]]=0),1,deployment_raw[[#This Row],[Column5]]),"")</f>
        <v/>
      </c>
      <c r="G186" s="42" t="str">
        <f>IF(ISNUMBER(deployment_raw[[#This Row],[Column14]]), deployment_raw[[#This Row],[Column14]]/IF(OR($E$2="Deployment",deployment_raw[[#This Row],[Column5]]=0),1,deployment_raw[[#This Row],[Column5]]),"")</f>
        <v/>
      </c>
      <c r="H186" s="79" t="str">
        <f>IF(ISNUMBER(deployment_raw[[#This Row],[Column19]]), IF(I186&lt;&gt;0,(deployment_raw[[#This Row],[Column19]]/IF(OR($E$2="Deployment",deployment_raw[[#This Row],[Column5]]=0),1,deployment_raw[[#This Row],[Column5]]))/I186,0),"")</f>
        <v/>
      </c>
      <c r="I186" s="69" t="str">
        <f>IF(ISNUMBER(deployment_raw[[#This Row],[Column6]]), (deployment_raw[[#This Row],[Column6]] * IF($E$2="Deployment",deployment_raw[[#This Row],[Column5]],1)),"")</f>
        <v/>
      </c>
      <c r="J186" s="79" t="str">
        <f>IF(ISNUMBER(deployment_raw[[#This Row],[Column19]]), IF(K186&lt;&gt;0,(deployment_raw[[#This Row],[Column19]]/IF(OR($E$2="Deployment",deployment_raw[[#This Row],[Column5]]=0),1,deployment_raw[[#This Row],[Column5]]))/K186,0),"")</f>
        <v/>
      </c>
      <c r="K186" s="72" t="str">
        <f>IF(ISNUMBER(deployment_raw[[#This Row],[Column8]]), (deployment_raw[[#This Row],[Column8]]  * IF($E$2="Deployment",deployment_raw[[#This Row],[Column5]],1)),"")</f>
        <v/>
      </c>
      <c r="L18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8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86" s="81" t="str">
        <f>IF(ISNUMBER(deployment_raw[[#This Row],[Column20]]), IF(O186&lt;&gt;0,deployment_raw[[#This Row],[Column20]]/IF(OR($E$2="Deployment",deployment_raw[[#This Row],[Column5]]=0),1,deployment_raw[[#This Row],[Column5]])/1048576/O186,0),"")</f>
        <v/>
      </c>
      <c r="O186" s="74" t="str">
        <f>IF(ISNUMBER(deployment_raw[[#This Row],[Column7]]), (deployment_raw[[#This Row],[Column7]] * IF($E$2="Deployment",deployment_raw[[#This Row],[Column5]],1))/1048576,"")</f>
        <v/>
      </c>
      <c r="P186" s="81" t="str">
        <f>IF(ISNUMBER(deployment_raw[[#This Row],[Column20]]), IF(Q186&lt;&gt;0,deployment_raw[[#This Row],[Column20]]/IF(OR($E$2="Deployment",deployment_raw[[#This Row],[Column5]]=0),1,deployment_raw[[#This Row],[Column5]])/1048576/Q186,0),"")</f>
        <v/>
      </c>
      <c r="Q186" s="76" t="str">
        <f>IF(ISNUMBER(deployment_raw[[#This Row],[Column9]]), (deployment_raw[[#This Row],[Column9]] * IF($E$2="Deployment",deployment_raw[[#This Row],[Column5]],1))/1048576,"")</f>
        <v/>
      </c>
      <c r="R186" s="57" t="str">
        <f>IF(ISNUMBER(deployment_raw[[#This Row],[Column10]]), (deployment_raw[[#This Row],[Column10]] * IF($E$2="Deployment",deployment_raw[[#This Row],[Column5]],1)),"")</f>
        <v/>
      </c>
      <c r="S186" s="48" t="str">
        <f>IF(ISNUMBER(deployment_raw[[#This Row],[Column11]]), (deployment_raw[[#This Row],[Column11]] * IF($E$2="Deployment",deployment_raw[[#This Row],[Column5]],1))/1048576,"")</f>
        <v/>
      </c>
      <c r="T186" s="59" t="str">
        <f>IF(ISNUMBER(deployment_raw[[#This Row],[Column8]]),IF(OR(deployment_raw[[#This Row],[Column5]] &lt;&gt; 0,$E$2 &lt;&gt; "Deployment"), MAX(V186, ($T$2 * IF($E$2="Deployment",deployment_raw[[#This Row],[Column5]],1))), 0),"")</f>
        <v/>
      </c>
      <c r="U186" s="50" t="str">
        <f>IF(ISNUMBER(deployment_raw[[#This Row],[Column9]]),IF(OR(deployment_raw[[#This Row],[Column5]] &lt;&gt; 0,$E$2&lt;&gt;"Deployment"), MAX(W186, ($U$2 * IF($E$2="Deployment",deployment_raw[[#This Row],[Column5]],1))), 0),"")</f>
        <v/>
      </c>
      <c r="V186" s="15" t="str">
        <f>IF(ISNUMBER(deployment_raw[[#This Row],[Column12]]), (deployment_raw[[#This Row],[Column12]] * IF($E$2="Deployment",deployment_raw[[#This Row],[Column5]],1)*(1+$V$2)),"")</f>
        <v/>
      </c>
      <c r="W186" s="14" t="str">
        <f>IF(ISNUMBER(deployment_raw[[#This Row],[Column13]]), (deployment_raw[[#This Row],[Column13]] * IF($E$2="Deployment",deployment_raw[[#This Row],[Column5]],1)*(1+$W$2))/1048576,"")</f>
        <v/>
      </c>
    </row>
    <row r="187" spans="1:23" ht="15.75" customHeight="1" x14ac:dyDescent="0.25">
      <c r="A187" s="5" t="str">
        <f>IF(ISNONTEXT(deployment_raw[[#This Row],[Column1]]), "", deployment_raw[[#This Row],[Column1]])</f>
        <v/>
      </c>
      <c r="B187" s="6" t="str">
        <f>IF(ISNONTEXT(deployment_raw[[#This Row],[Column2]]), "", deployment_raw[[#This Row],[Column2]])</f>
        <v/>
      </c>
      <c r="C187" s="6" t="str">
        <f>IF(ISNONTEXT(deployment_raw[[#This Row],[Column3]]), "", deployment_raw[[#This Row],[Column3]])</f>
        <v/>
      </c>
      <c r="D187" s="6" t="str">
        <f>IF(ISNONTEXT(deployment_raw[[#This Row],[Column4]]), "", deployment_raw[[#This Row],[Column4]])</f>
        <v/>
      </c>
      <c r="E187" s="7" t="str">
        <f>IF(ISNUMBER(deployment_raw[[#This Row],[Column5]]), deployment_raw[[#This Row],[Column5]],"")</f>
        <v/>
      </c>
      <c r="F187" s="32" t="str">
        <f>IF(ISNUMBER(deployment_raw[[#This Row],[Column17]]), deployment_raw[[#This Row],[Column17]]/IF(OR($E$2="Deployment",deployment_raw[[#This Row],[Column5]]=0),1,deployment_raw[[#This Row],[Column5]]),"")</f>
        <v/>
      </c>
      <c r="G187" s="42" t="str">
        <f>IF(ISNUMBER(deployment_raw[[#This Row],[Column14]]), deployment_raw[[#This Row],[Column14]]/IF(OR($E$2="Deployment",deployment_raw[[#This Row],[Column5]]=0),1,deployment_raw[[#This Row],[Column5]]),"")</f>
        <v/>
      </c>
      <c r="H187" s="79" t="str">
        <f>IF(ISNUMBER(deployment_raw[[#This Row],[Column19]]), IF(I187&lt;&gt;0,(deployment_raw[[#This Row],[Column19]]/IF(OR($E$2="Deployment",deployment_raw[[#This Row],[Column5]]=0),1,deployment_raw[[#This Row],[Column5]]))/I187,0),"")</f>
        <v/>
      </c>
      <c r="I187" s="69" t="str">
        <f>IF(ISNUMBER(deployment_raw[[#This Row],[Column6]]), (deployment_raw[[#This Row],[Column6]] * IF($E$2="Deployment",deployment_raw[[#This Row],[Column5]],1)),"")</f>
        <v/>
      </c>
      <c r="J187" s="79" t="str">
        <f>IF(ISNUMBER(deployment_raw[[#This Row],[Column19]]), IF(K187&lt;&gt;0,(deployment_raw[[#This Row],[Column19]]/IF(OR($E$2="Deployment",deployment_raw[[#This Row],[Column5]]=0),1,deployment_raw[[#This Row],[Column5]]))/K187,0),"")</f>
        <v/>
      </c>
      <c r="K187" s="72" t="str">
        <f>IF(ISNUMBER(deployment_raw[[#This Row],[Column8]]), (deployment_raw[[#This Row],[Column8]]  * IF($E$2="Deployment",deployment_raw[[#This Row],[Column5]],1)),"")</f>
        <v/>
      </c>
      <c r="L18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8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87" s="81" t="str">
        <f>IF(ISNUMBER(deployment_raw[[#This Row],[Column20]]), IF(O187&lt;&gt;0,deployment_raw[[#This Row],[Column20]]/IF(OR($E$2="Deployment",deployment_raw[[#This Row],[Column5]]=0),1,deployment_raw[[#This Row],[Column5]])/1048576/O187,0),"")</f>
        <v/>
      </c>
      <c r="O187" s="74" t="str">
        <f>IF(ISNUMBER(deployment_raw[[#This Row],[Column7]]), (deployment_raw[[#This Row],[Column7]] * IF($E$2="Deployment",deployment_raw[[#This Row],[Column5]],1))/1048576,"")</f>
        <v/>
      </c>
      <c r="P187" s="81" t="str">
        <f>IF(ISNUMBER(deployment_raw[[#This Row],[Column20]]), IF(Q187&lt;&gt;0,deployment_raw[[#This Row],[Column20]]/IF(OR($E$2="Deployment",deployment_raw[[#This Row],[Column5]]=0),1,deployment_raw[[#This Row],[Column5]])/1048576/Q187,0),"")</f>
        <v/>
      </c>
      <c r="Q187" s="76" t="str">
        <f>IF(ISNUMBER(deployment_raw[[#This Row],[Column9]]), (deployment_raw[[#This Row],[Column9]] * IF($E$2="Deployment",deployment_raw[[#This Row],[Column5]],1))/1048576,"")</f>
        <v/>
      </c>
      <c r="R187" s="57" t="str">
        <f>IF(ISNUMBER(deployment_raw[[#This Row],[Column10]]), (deployment_raw[[#This Row],[Column10]] * IF($E$2="Deployment",deployment_raw[[#This Row],[Column5]],1)),"")</f>
        <v/>
      </c>
      <c r="S187" s="48" t="str">
        <f>IF(ISNUMBER(deployment_raw[[#This Row],[Column11]]), (deployment_raw[[#This Row],[Column11]] * IF($E$2="Deployment",deployment_raw[[#This Row],[Column5]],1))/1048576,"")</f>
        <v/>
      </c>
      <c r="T187" s="59" t="str">
        <f>IF(ISNUMBER(deployment_raw[[#This Row],[Column8]]),IF(OR(deployment_raw[[#This Row],[Column5]] &lt;&gt; 0,$E$2 &lt;&gt; "Deployment"), MAX(V187, ($T$2 * IF($E$2="Deployment",deployment_raw[[#This Row],[Column5]],1))), 0),"")</f>
        <v/>
      </c>
      <c r="U187" s="50" t="str">
        <f>IF(ISNUMBER(deployment_raw[[#This Row],[Column9]]),IF(OR(deployment_raw[[#This Row],[Column5]] &lt;&gt; 0,$E$2&lt;&gt;"Deployment"), MAX(W187, ($U$2 * IF($E$2="Deployment",deployment_raw[[#This Row],[Column5]],1))), 0),"")</f>
        <v/>
      </c>
      <c r="V187" s="15" t="str">
        <f>IF(ISNUMBER(deployment_raw[[#This Row],[Column12]]), (deployment_raw[[#This Row],[Column12]] * IF($E$2="Deployment",deployment_raw[[#This Row],[Column5]],1)*(1+$V$2)),"")</f>
        <v/>
      </c>
      <c r="W187" s="14" t="str">
        <f>IF(ISNUMBER(deployment_raw[[#This Row],[Column13]]), (deployment_raw[[#This Row],[Column13]] * IF($E$2="Deployment",deployment_raw[[#This Row],[Column5]],1)*(1+$W$2))/1048576,"")</f>
        <v/>
      </c>
    </row>
    <row r="188" spans="1:23" ht="15.75" customHeight="1" x14ac:dyDescent="0.25">
      <c r="A188" s="5" t="str">
        <f>IF(ISNONTEXT(deployment_raw[[#This Row],[Column1]]), "", deployment_raw[[#This Row],[Column1]])</f>
        <v/>
      </c>
      <c r="B188" s="6" t="str">
        <f>IF(ISNONTEXT(deployment_raw[[#This Row],[Column2]]), "", deployment_raw[[#This Row],[Column2]])</f>
        <v/>
      </c>
      <c r="C188" s="6" t="str">
        <f>IF(ISNONTEXT(deployment_raw[[#This Row],[Column3]]), "", deployment_raw[[#This Row],[Column3]])</f>
        <v/>
      </c>
      <c r="D188" s="6" t="str">
        <f>IF(ISNONTEXT(deployment_raw[[#This Row],[Column4]]), "", deployment_raw[[#This Row],[Column4]])</f>
        <v/>
      </c>
      <c r="E188" s="7" t="str">
        <f>IF(ISNUMBER(deployment_raw[[#This Row],[Column5]]), deployment_raw[[#This Row],[Column5]],"")</f>
        <v/>
      </c>
      <c r="F188" s="32" t="str">
        <f>IF(ISNUMBER(deployment_raw[[#This Row],[Column17]]), deployment_raw[[#This Row],[Column17]]/IF(OR($E$2="Deployment",deployment_raw[[#This Row],[Column5]]=0),1,deployment_raw[[#This Row],[Column5]]),"")</f>
        <v/>
      </c>
      <c r="G188" s="42" t="str">
        <f>IF(ISNUMBER(deployment_raw[[#This Row],[Column14]]), deployment_raw[[#This Row],[Column14]]/IF(OR($E$2="Deployment",deployment_raw[[#This Row],[Column5]]=0),1,deployment_raw[[#This Row],[Column5]]),"")</f>
        <v/>
      </c>
      <c r="H188" s="79" t="str">
        <f>IF(ISNUMBER(deployment_raw[[#This Row],[Column19]]), IF(I188&lt;&gt;0,(deployment_raw[[#This Row],[Column19]]/IF(OR($E$2="Deployment",deployment_raw[[#This Row],[Column5]]=0),1,deployment_raw[[#This Row],[Column5]]))/I188,0),"")</f>
        <v/>
      </c>
      <c r="I188" s="69" t="str">
        <f>IF(ISNUMBER(deployment_raw[[#This Row],[Column6]]), (deployment_raw[[#This Row],[Column6]] * IF($E$2="Deployment",deployment_raw[[#This Row],[Column5]],1)),"")</f>
        <v/>
      </c>
      <c r="J188" s="79" t="str">
        <f>IF(ISNUMBER(deployment_raw[[#This Row],[Column19]]), IF(K188&lt;&gt;0,(deployment_raw[[#This Row],[Column19]]/IF(OR($E$2="Deployment",deployment_raw[[#This Row],[Column5]]=0),1,deployment_raw[[#This Row],[Column5]]))/K188,0),"")</f>
        <v/>
      </c>
      <c r="K188" s="72" t="str">
        <f>IF(ISNUMBER(deployment_raw[[#This Row],[Column8]]), (deployment_raw[[#This Row],[Column8]]  * IF($E$2="Deployment",deployment_raw[[#This Row],[Column5]],1)),"")</f>
        <v/>
      </c>
      <c r="L18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8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88" s="81" t="str">
        <f>IF(ISNUMBER(deployment_raw[[#This Row],[Column20]]), IF(O188&lt;&gt;0,deployment_raw[[#This Row],[Column20]]/IF(OR($E$2="Deployment",deployment_raw[[#This Row],[Column5]]=0),1,deployment_raw[[#This Row],[Column5]])/1048576/O188,0),"")</f>
        <v/>
      </c>
      <c r="O188" s="74" t="str">
        <f>IF(ISNUMBER(deployment_raw[[#This Row],[Column7]]), (deployment_raw[[#This Row],[Column7]] * IF($E$2="Deployment",deployment_raw[[#This Row],[Column5]],1))/1048576,"")</f>
        <v/>
      </c>
      <c r="P188" s="81" t="str">
        <f>IF(ISNUMBER(deployment_raw[[#This Row],[Column20]]), IF(Q188&lt;&gt;0,deployment_raw[[#This Row],[Column20]]/IF(OR($E$2="Deployment",deployment_raw[[#This Row],[Column5]]=0),1,deployment_raw[[#This Row],[Column5]])/1048576/Q188,0),"")</f>
        <v/>
      </c>
      <c r="Q188" s="76" t="str">
        <f>IF(ISNUMBER(deployment_raw[[#This Row],[Column9]]), (deployment_raw[[#This Row],[Column9]] * IF($E$2="Deployment",deployment_raw[[#This Row],[Column5]],1))/1048576,"")</f>
        <v/>
      </c>
      <c r="R188" s="57" t="str">
        <f>IF(ISNUMBER(deployment_raw[[#This Row],[Column10]]), (deployment_raw[[#This Row],[Column10]] * IF($E$2="Deployment",deployment_raw[[#This Row],[Column5]],1)),"")</f>
        <v/>
      </c>
      <c r="S188" s="48" t="str">
        <f>IF(ISNUMBER(deployment_raw[[#This Row],[Column11]]), (deployment_raw[[#This Row],[Column11]] * IF($E$2="Deployment",deployment_raw[[#This Row],[Column5]],1))/1048576,"")</f>
        <v/>
      </c>
      <c r="T188" s="59" t="str">
        <f>IF(ISNUMBER(deployment_raw[[#This Row],[Column8]]),IF(OR(deployment_raw[[#This Row],[Column5]] &lt;&gt; 0,$E$2 &lt;&gt; "Deployment"), MAX(V188, ($T$2 * IF($E$2="Deployment",deployment_raw[[#This Row],[Column5]],1))), 0),"")</f>
        <v/>
      </c>
      <c r="U188" s="50" t="str">
        <f>IF(ISNUMBER(deployment_raw[[#This Row],[Column9]]),IF(OR(deployment_raw[[#This Row],[Column5]] &lt;&gt; 0,$E$2&lt;&gt;"Deployment"), MAX(W188, ($U$2 * IF($E$2="Deployment",deployment_raw[[#This Row],[Column5]],1))), 0),"")</f>
        <v/>
      </c>
      <c r="V188" s="15" t="str">
        <f>IF(ISNUMBER(deployment_raw[[#This Row],[Column12]]), (deployment_raw[[#This Row],[Column12]] * IF($E$2="Deployment",deployment_raw[[#This Row],[Column5]],1)*(1+$V$2)),"")</f>
        <v/>
      </c>
      <c r="W188" s="14" t="str">
        <f>IF(ISNUMBER(deployment_raw[[#This Row],[Column13]]), (deployment_raw[[#This Row],[Column13]] * IF($E$2="Deployment",deployment_raw[[#This Row],[Column5]],1)*(1+$W$2))/1048576,"")</f>
        <v/>
      </c>
    </row>
    <row r="189" spans="1:23" ht="15.75" customHeight="1" x14ac:dyDescent="0.25">
      <c r="A189" s="5" t="str">
        <f>IF(ISNONTEXT(deployment_raw[[#This Row],[Column1]]), "", deployment_raw[[#This Row],[Column1]])</f>
        <v/>
      </c>
      <c r="B189" s="6" t="str">
        <f>IF(ISNONTEXT(deployment_raw[[#This Row],[Column2]]), "", deployment_raw[[#This Row],[Column2]])</f>
        <v/>
      </c>
      <c r="C189" s="6" t="str">
        <f>IF(ISNONTEXT(deployment_raw[[#This Row],[Column3]]), "", deployment_raw[[#This Row],[Column3]])</f>
        <v/>
      </c>
      <c r="D189" s="6" t="str">
        <f>IF(ISNONTEXT(deployment_raw[[#This Row],[Column4]]), "", deployment_raw[[#This Row],[Column4]])</f>
        <v/>
      </c>
      <c r="E189" s="7" t="str">
        <f>IF(ISNUMBER(deployment_raw[[#This Row],[Column5]]), deployment_raw[[#This Row],[Column5]],"")</f>
        <v/>
      </c>
      <c r="F189" s="32" t="str">
        <f>IF(ISNUMBER(deployment_raw[[#This Row],[Column17]]), deployment_raw[[#This Row],[Column17]]/IF(OR($E$2="Deployment",deployment_raw[[#This Row],[Column5]]=0),1,deployment_raw[[#This Row],[Column5]]),"")</f>
        <v/>
      </c>
      <c r="G189" s="42" t="str">
        <f>IF(ISNUMBER(deployment_raw[[#This Row],[Column14]]), deployment_raw[[#This Row],[Column14]]/IF(OR($E$2="Deployment",deployment_raw[[#This Row],[Column5]]=0),1,deployment_raw[[#This Row],[Column5]]),"")</f>
        <v/>
      </c>
      <c r="H189" s="79" t="str">
        <f>IF(ISNUMBER(deployment_raw[[#This Row],[Column19]]), IF(I189&lt;&gt;0,(deployment_raw[[#This Row],[Column19]]/IF(OR($E$2="Deployment",deployment_raw[[#This Row],[Column5]]=0),1,deployment_raw[[#This Row],[Column5]]))/I189,0),"")</f>
        <v/>
      </c>
      <c r="I189" s="69" t="str">
        <f>IF(ISNUMBER(deployment_raw[[#This Row],[Column6]]), (deployment_raw[[#This Row],[Column6]] * IF($E$2="Deployment",deployment_raw[[#This Row],[Column5]],1)),"")</f>
        <v/>
      </c>
      <c r="J189" s="79" t="str">
        <f>IF(ISNUMBER(deployment_raw[[#This Row],[Column19]]), IF(K189&lt;&gt;0,(deployment_raw[[#This Row],[Column19]]/IF(OR($E$2="Deployment",deployment_raw[[#This Row],[Column5]]=0),1,deployment_raw[[#This Row],[Column5]]))/K189,0),"")</f>
        <v/>
      </c>
      <c r="K189" s="72" t="str">
        <f>IF(ISNUMBER(deployment_raw[[#This Row],[Column8]]), (deployment_raw[[#This Row],[Column8]]  * IF($E$2="Deployment",deployment_raw[[#This Row],[Column5]],1)),"")</f>
        <v/>
      </c>
      <c r="L18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8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89" s="81" t="str">
        <f>IF(ISNUMBER(deployment_raw[[#This Row],[Column20]]), IF(O189&lt;&gt;0,deployment_raw[[#This Row],[Column20]]/IF(OR($E$2="Deployment",deployment_raw[[#This Row],[Column5]]=0),1,deployment_raw[[#This Row],[Column5]])/1048576/O189,0),"")</f>
        <v/>
      </c>
      <c r="O189" s="74" t="str">
        <f>IF(ISNUMBER(deployment_raw[[#This Row],[Column7]]), (deployment_raw[[#This Row],[Column7]] * IF($E$2="Deployment",deployment_raw[[#This Row],[Column5]],1))/1048576,"")</f>
        <v/>
      </c>
      <c r="P189" s="81" t="str">
        <f>IF(ISNUMBER(deployment_raw[[#This Row],[Column20]]), IF(Q189&lt;&gt;0,deployment_raw[[#This Row],[Column20]]/IF(OR($E$2="Deployment",deployment_raw[[#This Row],[Column5]]=0),1,deployment_raw[[#This Row],[Column5]])/1048576/Q189,0),"")</f>
        <v/>
      </c>
      <c r="Q189" s="76" t="str">
        <f>IF(ISNUMBER(deployment_raw[[#This Row],[Column9]]), (deployment_raw[[#This Row],[Column9]] * IF($E$2="Deployment",deployment_raw[[#This Row],[Column5]],1))/1048576,"")</f>
        <v/>
      </c>
      <c r="R189" s="57" t="str">
        <f>IF(ISNUMBER(deployment_raw[[#This Row],[Column10]]), (deployment_raw[[#This Row],[Column10]] * IF($E$2="Deployment",deployment_raw[[#This Row],[Column5]],1)),"")</f>
        <v/>
      </c>
      <c r="S189" s="48" t="str">
        <f>IF(ISNUMBER(deployment_raw[[#This Row],[Column11]]), (deployment_raw[[#This Row],[Column11]] * IF($E$2="Deployment",deployment_raw[[#This Row],[Column5]],1))/1048576,"")</f>
        <v/>
      </c>
      <c r="T189" s="59" t="str">
        <f>IF(ISNUMBER(deployment_raw[[#This Row],[Column8]]),IF(OR(deployment_raw[[#This Row],[Column5]] &lt;&gt; 0,$E$2 &lt;&gt; "Deployment"), MAX(V189, ($T$2 * IF($E$2="Deployment",deployment_raw[[#This Row],[Column5]],1))), 0),"")</f>
        <v/>
      </c>
      <c r="U189" s="50" t="str">
        <f>IF(ISNUMBER(deployment_raw[[#This Row],[Column9]]),IF(OR(deployment_raw[[#This Row],[Column5]] &lt;&gt; 0,$E$2&lt;&gt;"Deployment"), MAX(W189, ($U$2 * IF($E$2="Deployment",deployment_raw[[#This Row],[Column5]],1))), 0),"")</f>
        <v/>
      </c>
      <c r="V189" s="15" t="str">
        <f>IF(ISNUMBER(deployment_raw[[#This Row],[Column12]]), (deployment_raw[[#This Row],[Column12]] * IF($E$2="Deployment",deployment_raw[[#This Row],[Column5]],1)*(1+$V$2)),"")</f>
        <v/>
      </c>
      <c r="W189" s="14" t="str">
        <f>IF(ISNUMBER(deployment_raw[[#This Row],[Column13]]), (deployment_raw[[#This Row],[Column13]] * IF($E$2="Deployment",deployment_raw[[#This Row],[Column5]],1)*(1+$W$2))/1048576,"")</f>
        <v/>
      </c>
    </row>
    <row r="190" spans="1:23" ht="15.75" customHeight="1" x14ac:dyDescent="0.25">
      <c r="A190" s="5" t="str">
        <f>IF(ISNONTEXT(deployment_raw[[#This Row],[Column1]]), "", deployment_raw[[#This Row],[Column1]])</f>
        <v/>
      </c>
      <c r="B190" s="6" t="str">
        <f>IF(ISNONTEXT(deployment_raw[[#This Row],[Column2]]), "", deployment_raw[[#This Row],[Column2]])</f>
        <v/>
      </c>
      <c r="C190" s="6" t="str">
        <f>IF(ISNONTEXT(deployment_raw[[#This Row],[Column3]]), "", deployment_raw[[#This Row],[Column3]])</f>
        <v/>
      </c>
      <c r="D190" s="6" t="str">
        <f>IF(ISNONTEXT(deployment_raw[[#This Row],[Column4]]), "", deployment_raw[[#This Row],[Column4]])</f>
        <v/>
      </c>
      <c r="E190" s="7" t="str">
        <f>IF(ISNUMBER(deployment_raw[[#This Row],[Column5]]), deployment_raw[[#This Row],[Column5]],"")</f>
        <v/>
      </c>
      <c r="F190" s="32" t="str">
        <f>IF(ISNUMBER(deployment_raw[[#This Row],[Column17]]), deployment_raw[[#This Row],[Column17]]/IF(OR($E$2="Deployment",deployment_raw[[#This Row],[Column5]]=0),1,deployment_raw[[#This Row],[Column5]]),"")</f>
        <v/>
      </c>
      <c r="G190" s="42" t="str">
        <f>IF(ISNUMBER(deployment_raw[[#This Row],[Column14]]), deployment_raw[[#This Row],[Column14]]/IF(OR($E$2="Deployment",deployment_raw[[#This Row],[Column5]]=0),1,deployment_raw[[#This Row],[Column5]]),"")</f>
        <v/>
      </c>
      <c r="H190" s="79" t="str">
        <f>IF(ISNUMBER(deployment_raw[[#This Row],[Column19]]), IF(I190&lt;&gt;0,(deployment_raw[[#This Row],[Column19]]/IF(OR($E$2="Deployment",deployment_raw[[#This Row],[Column5]]=0),1,deployment_raw[[#This Row],[Column5]]))/I190,0),"")</f>
        <v/>
      </c>
      <c r="I190" s="69" t="str">
        <f>IF(ISNUMBER(deployment_raw[[#This Row],[Column6]]), (deployment_raw[[#This Row],[Column6]] * IF($E$2="Deployment",deployment_raw[[#This Row],[Column5]],1)),"")</f>
        <v/>
      </c>
      <c r="J190" s="79" t="str">
        <f>IF(ISNUMBER(deployment_raw[[#This Row],[Column19]]), IF(K190&lt;&gt;0,(deployment_raw[[#This Row],[Column19]]/IF(OR($E$2="Deployment",deployment_raw[[#This Row],[Column5]]=0),1,deployment_raw[[#This Row],[Column5]]))/K190,0),"")</f>
        <v/>
      </c>
      <c r="K190" s="72" t="str">
        <f>IF(ISNUMBER(deployment_raw[[#This Row],[Column8]]), (deployment_raw[[#This Row],[Column8]]  * IF($E$2="Deployment",deployment_raw[[#This Row],[Column5]],1)),"")</f>
        <v/>
      </c>
      <c r="L19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9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90" s="81" t="str">
        <f>IF(ISNUMBER(deployment_raw[[#This Row],[Column20]]), IF(O190&lt;&gt;0,deployment_raw[[#This Row],[Column20]]/IF(OR($E$2="Deployment",deployment_raw[[#This Row],[Column5]]=0),1,deployment_raw[[#This Row],[Column5]])/1048576/O190,0),"")</f>
        <v/>
      </c>
      <c r="O190" s="74" t="str">
        <f>IF(ISNUMBER(deployment_raw[[#This Row],[Column7]]), (deployment_raw[[#This Row],[Column7]] * IF($E$2="Deployment",deployment_raw[[#This Row],[Column5]],1))/1048576,"")</f>
        <v/>
      </c>
      <c r="P190" s="81" t="str">
        <f>IF(ISNUMBER(deployment_raw[[#This Row],[Column20]]), IF(Q190&lt;&gt;0,deployment_raw[[#This Row],[Column20]]/IF(OR($E$2="Deployment",deployment_raw[[#This Row],[Column5]]=0),1,deployment_raw[[#This Row],[Column5]])/1048576/Q190,0),"")</f>
        <v/>
      </c>
      <c r="Q190" s="76" t="str">
        <f>IF(ISNUMBER(deployment_raw[[#This Row],[Column9]]), (deployment_raw[[#This Row],[Column9]] * IF($E$2="Deployment",deployment_raw[[#This Row],[Column5]],1))/1048576,"")</f>
        <v/>
      </c>
      <c r="R190" s="57" t="str">
        <f>IF(ISNUMBER(deployment_raw[[#This Row],[Column10]]), (deployment_raw[[#This Row],[Column10]] * IF($E$2="Deployment",deployment_raw[[#This Row],[Column5]],1)),"")</f>
        <v/>
      </c>
      <c r="S190" s="48" t="str">
        <f>IF(ISNUMBER(deployment_raw[[#This Row],[Column11]]), (deployment_raw[[#This Row],[Column11]] * IF($E$2="Deployment",deployment_raw[[#This Row],[Column5]],1))/1048576,"")</f>
        <v/>
      </c>
      <c r="T190" s="59" t="str">
        <f>IF(ISNUMBER(deployment_raw[[#This Row],[Column8]]),IF(OR(deployment_raw[[#This Row],[Column5]] &lt;&gt; 0,$E$2 &lt;&gt; "Deployment"), MAX(V190, ($T$2 * IF($E$2="Deployment",deployment_raw[[#This Row],[Column5]],1))), 0),"")</f>
        <v/>
      </c>
      <c r="U190" s="50" t="str">
        <f>IF(ISNUMBER(deployment_raw[[#This Row],[Column9]]),IF(OR(deployment_raw[[#This Row],[Column5]] &lt;&gt; 0,$E$2&lt;&gt;"Deployment"), MAX(W190, ($U$2 * IF($E$2="Deployment",deployment_raw[[#This Row],[Column5]],1))), 0),"")</f>
        <v/>
      </c>
      <c r="V190" s="15" t="str">
        <f>IF(ISNUMBER(deployment_raw[[#This Row],[Column12]]), (deployment_raw[[#This Row],[Column12]] * IF($E$2="Deployment",deployment_raw[[#This Row],[Column5]],1)*(1+$V$2)),"")</f>
        <v/>
      </c>
      <c r="W190" s="14" t="str">
        <f>IF(ISNUMBER(deployment_raw[[#This Row],[Column13]]), (deployment_raw[[#This Row],[Column13]] * IF($E$2="Deployment",deployment_raw[[#This Row],[Column5]],1)*(1+$W$2))/1048576,"")</f>
        <v/>
      </c>
    </row>
    <row r="191" spans="1:23" ht="15.75" customHeight="1" x14ac:dyDescent="0.25">
      <c r="A191" s="5" t="str">
        <f>IF(ISNONTEXT(deployment_raw[[#This Row],[Column1]]), "", deployment_raw[[#This Row],[Column1]])</f>
        <v/>
      </c>
      <c r="B191" s="6" t="str">
        <f>IF(ISNONTEXT(deployment_raw[[#This Row],[Column2]]), "", deployment_raw[[#This Row],[Column2]])</f>
        <v/>
      </c>
      <c r="C191" s="6" t="str">
        <f>IF(ISNONTEXT(deployment_raw[[#This Row],[Column3]]), "", deployment_raw[[#This Row],[Column3]])</f>
        <v/>
      </c>
      <c r="D191" s="6" t="str">
        <f>IF(ISNONTEXT(deployment_raw[[#This Row],[Column4]]), "", deployment_raw[[#This Row],[Column4]])</f>
        <v/>
      </c>
      <c r="E191" s="7" t="str">
        <f>IF(ISNUMBER(deployment_raw[[#This Row],[Column5]]), deployment_raw[[#This Row],[Column5]],"")</f>
        <v/>
      </c>
      <c r="F191" s="32" t="str">
        <f>IF(ISNUMBER(deployment_raw[[#This Row],[Column17]]), deployment_raw[[#This Row],[Column17]]/IF(OR($E$2="Deployment",deployment_raw[[#This Row],[Column5]]=0),1,deployment_raw[[#This Row],[Column5]]),"")</f>
        <v/>
      </c>
      <c r="G191" s="42" t="str">
        <f>IF(ISNUMBER(deployment_raw[[#This Row],[Column14]]), deployment_raw[[#This Row],[Column14]]/IF(OR($E$2="Deployment",deployment_raw[[#This Row],[Column5]]=0),1,deployment_raw[[#This Row],[Column5]]),"")</f>
        <v/>
      </c>
      <c r="H191" s="79" t="str">
        <f>IF(ISNUMBER(deployment_raw[[#This Row],[Column19]]), IF(I191&lt;&gt;0,(deployment_raw[[#This Row],[Column19]]/IF(OR($E$2="Deployment",deployment_raw[[#This Row],[Column5]]=0),1,deployment_raw[[#This Row],[Column5]]))/I191,0),"")</f>
        <v/>
      </c>
      <c r="I191" s="69" t="str">
        <f>IF(ISNUMBER(deployment_raw[[#This Row],[Column6]]), (deployment_raw[[#This Row],[Column6]] * IF($E$2="Deployment",deployment_raw[[#This Row],[Column5]],1)),"")</f>
        <v/>
      </c>
      <c r="J191" s="79" t="str">
        <f>IF(ISNUMBER(deployment_raw[[#This Row],[Column19]]), IF(K191&lt;&gt;0,(deployment_raw[[#This Row],[Column19]]/IF(OR($E$2="Deployment",deployment_raw[[#This Row],[Column5]]=0),1,deployment_raw[[#This Row],[Column5]]))/K191,0),"")</f>
        <v/>
      </c>
      <c r="K191" s="72" t="str">
        <f>IF(ISNUMBER(deployment_raw[[#This Row],[Column8]]), (deployment_raw[[#This Row],[Column8]]  * IF($E$2="Deployment",deployment_raw[[#This Row],[Column5]],1)),"")</f>
        <v/>
      </c>
      <c r="L19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9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91" s="81" t="str">
        <f>IF(ISNUMBER(deployment_raw[[#This Row],[Column20]]), IF(O191&lt;&gt;0,deployment_raw[[#This Row],[Column20]]/IF(OR($E$2="Deployment",deployment_raw[[#This Row],[Column5]]=0),1,deployment_raw[[#This Row],[Column5]])/1048576/O191,0),"")</f>
        <v/>
      </c>
      <c r="O191" s="74" t="str">
        <f>IF(ISNUMBER(deployment_raw[[#This Row],[Column7]]), (deployment_raw[[#This Row],[Column7]] * IF($E$2="Deployment",deployment_raw[[#This Row],[Column5]],1))/1048576,"")</f>
        <v/>
      </c>
      <c r="P191" s="81" t="str">
        <f>IF(ISNUMBER(deployment_raw[[#This Row],[Column20]]), IF(Q191&lt;&gt;0,deployment_raw[[#This Row],[Column20]]/IF(OR($E$2="Deployment",deployment_raw[[#This Row],[Column5]]=0),1,deployment_raw[[#This Row],[Column5]])/1048576/Q191,0),"")</f>
        <v/>
      </c>
      <c r="Q191" s="76" t="str">
        <f>IF(ISNUMBER(deployment_raw[[#This Row],[Column9]]), (deployment_raw[[#This Row],[Column9]] * IF($E$2="Deployment",deployment_raw[[#This Row],[Column5]],1))/1048576,"")</f>
        <v/>
      </c>
      <c r="R191" s="57" t="str">
        <f>IF(ISNUMBER(deployment_raw[[#This Row],[Column10]]), (deployment_raw[[#This Row],[Column10]] * IF($E$2="Deployment",deployment_raw[[#This Row],[Column5]],1)),"")</f>
        <v/>
      </c>
      <c r="S191" s="48" t="str">
        <f>IF(ISNUMBER(deployment_raw[[#This Row],[Column11]]), (deployment_raw[[#This Row],[Column11]] * IF($E$2="Deployment",deployment_raw[[#This Row],[Column5]],1))/1048576,"")</f>
        <v/>
      </c>
      <c r="T191" s="59" t="str">
        <f>IF(ISNUMBER(deployment_raw[[#This Row],[Column8]]),IF(OR(deployment_raw[[#This Row],[Column5]] &lt;&gt; 0,$E$2 &lt;&gt; "Deployment"), MAX(V191, ($T$2 * IF($E$2="Deployment",deployment_raw[[#This Row],[Column5]],1))), 0),"")</f>
        <v/>
      </c>
      <c r="U191" s="50" t="str">
        <f>IF(ISNUMBER(deployment_raw[[#This Row],[Column9]]),IF(OR(deployment_raw[[#This Row],[Column5]] &lt;&gt; 0,$E$2&lt;&gt;"Deployment"), MAX(W191, ($U$2 * IF($E$2="Deployment",deployment_raw[[#This Row],[Column5]],1))), 0),"")</f>
        <v/>
      </c>
      <c r="V191" s="15" t="str">
        <f>IF(ISNUMBER(deployment_raw[[#This Row],[Column12]]), (deployment_raw[[#This Row],[Column12]] * IF($E$2="Deployment",deployment_raw[[#This Row],[Column5]],1)*(1+$V$2)),"")</f>
        <v/>
      </c>
      <c r="W191" s="14" t="str">
        <f>IF(ISNUMBER(deployment_raw[[#This Row],[Column13]]), (deployment_raw[[#This Row],[Column13]] * IF($E$2="Deployment",deployment_raw[[#This Row],[Column5]],1)*(1+$W$2))/1048576,"")</f>
        <v/>
      </c>
    </row>
    <row r="192" spans="1:23" ht="15.75" customHeight="1" x14ac:dyDescent="0.25">
      <c r="A192" s="5" t="str">
        <f>IF(ISNONTEXT(deployment_raw[[#This Row],[Column1]]), "", deployment_raw[[#This Row],[Column1]])</f>
        <v/>
      </c>
      <c r="B192" s="6" t="str">
        <f>IF(ISNONTEXT(deployment_raw[[#This Row],[Column2]]), "", deployment_raw[[#This Row],[Column2]])</f>
        <v/>
      </c>
      <c r="C192" s="6" t="str">
        <f>IF(ISNONTEXT(deployment_raw[[#This Row],[Column3]]), "", deployment_raw[[#This Row],[Column3]])</f>
        <v/>
      </c>
      <c r="D192" s="6" t="str">
        <f>IF(ISNONTEXT(deployment_raw[[#This Row],[Column4]]), "", deployment_raw[[#This Row],[Column4]])</f>
        <v/>
      </c>
      <c r="E192" s="7" t="str">
        <f>IF(ISNUMBER(deployment_raw[[#This Row],[Column5]]), deployment_raw[[#This Row],[Column5]],"")</f>
        <v/>
      </c>
      <c r="F192" s="32" t="str">
        <f>IF(ISNUMBER(deployment_raw[[#This Row],[Column17]]), deployment_raw[[#This Row],[Column17]]/IF(OR($E$2="Deployment",deployment_raw[[#This Row],[Column5]]=0),1,deployment_raw[[#This Row],[Column5]]),"")</f>
        <v/>
      </c>
      <c r="G192" s="42" t="str">
        <f>IF(ISNUMBER(deployment_raw[[#This Row],[Column14]]), deployment_raw[[#This Row],[Column14]]/IF(OR($E$2="Deployment",deployment_raw[[#This Row],[Column5]]=0),1,deployment_raw[[#This Row],[Column5]]),"")</f>
        <v/>
      </c>
      <c r="H192" s="79" t="str">
        <f>IF(ISNUMBER(deployment_raw[[#This Row],[Column19]]), IF(I192&lt;&gt;0,(deployment_raw[[#This Row],[Column19]]/IF(OR($E$2="Deployment",deployment_raw[[#This Row],[Column5]]=0),1,deployment_raw[[#This Row],[Column5]]))/I192,0),"")</f>
        <v/>
      </c>
      <c r="I192" s="69" t="str">
        <f>IF(ISNUMBER(deployment_raw[[#This Row],[Column6]]), (deployment_raw[[#This Row],[Column6]] * IF($E$2="Deployment",deployment_raw[[#This Row],[Column5]],1)),"")</f>
        <v/>
      </c>
      <c r="J192" s="79" t="str">
        <f>IF(ISNUMBER(deployment_raw[[#This Row],[Column19]]), IF(K192&lt;&gt;0,(deployment_raw[[#This Row],[Column19]]/IF(OR($E$2="Deployment",deployment_raw[[#This Row],[Column5]]=0),1,deployment_raw[[#This Row],[Column5]]))/K192,0),"")</f>
        <v/>
      </c>
      <c r="K192" s="72" t="str">
        <f>IF(ISNUMBER(deployment_raw[[#This Row],[Column8]]), (deployment_raw[[#This Row],[Column8]]  * IF($E$2="Deployment",deployment_raw[[#This Row],[Column5]],1)),"")</f>
        <v/>
      </c>
      <c r="L19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9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92" s="81" t="str">
        <f>IF(ISNUMBER(deployment_raw[[#This Row],[Column20]]), IF(O192&lt;&gt;0,deployment_raw[[#This Row],[Column20]]/IF(OR($E$2="Deployment",deployment_raw[[#This Row],[Column5]]=0),1,deployment_raw[[#This Row],[Column5]])/1048576/O192,0),"")</f>
        <v/>
      </c>
      <c r="O192" s="74" t="str">
        <f>IF(ISNUMBER(deployment_raw[[#This Row],[Column7]]), (deployment_raw[[#This Row],[Column7]] * IF($E$2="Deployment",deployment_raw[[#This Row],[Column5]],1))/1048576,"")</f>
        <v/>
      </c>
      <c r="P192" s="81" t="str">
        <f>IF(ISNUMBER(deployment_raw[[#This Row],[Column20]]), IF(Q192&lt;&gt;0,deployment_raw[[#This Row],[Column20]]/IF(OR($E$2="Deployment",deployment_raw[[#This Row],[Column5]]=0),1,deployment_raw[[#This Row],[Column5]])/1048576/Q192,0),"")</f>
        <v/>
      </c>
      <c r="Q192" s="76" t="str">
        <f>IF(ISNUMBER(deployment_raw[[#This Row],[Column9]]), (deployment_raw[[#This Row],[Column9]] * IF($E$2="Deployment",deployment_raw[[#This Row],[Column5]],1))/1048576,"")</f>
        <v/>
      </c>
      <c r="R192" s="57" t="str">
        <f>IF(ISNUMBER(deployment_raw[[#This Row],[Column10]]), (deployment_raw[[#This Row],[Column10]] * IF($E$2="Deployment",deployment_raw[[#This Row],[Column5]],1)),"")</f>
        <v/>
      </c>
      <c r="S192" s="48" t="str">
        <f>IF(ISNUMBER(deployment_raw[[#This Row],[Column11]]), (deployment_raw[[#This Row],[Column11]] * IF($E$2="Deployment",deployment_raw[[#This Row],[Column5]],1))/1048576,"")</f>
        <v/>
      </c>
      <c r="T192" s="59" t="str">
        <f>IF(ISNUMBER(deployment_raw[[#This Row],[Column8]]),IF(OR(deployment_raw[[#This Row],[Column5]] &lt;&gt; 0,$E$2 &lt;&gt; "Deployment"), MAX(V192, ($T$2 * IF($E$2="Deployment",deployment_raw[[#This Row],[Column5]],1))), 0),"")</f>
        <v/>
      </c>
      <c r="U192" s="50" t="str">
        <f>IF(ISNUMBER(deployment_raw[[#This Row],[Column9]]),IF(OR(deployment_raw[[#This Row],[Column5]] &lt;&gt; 0,$E$2&lt;&gt;"Deployment"), MAX(W192, ($U$2 * IF($E$2="Deployment",deployment_raw[[#This Row],[Column5]],1))), 0),"")</f>
        <v/>
      </c>
      <c r="V192" s="15" t="str">
        <f>IF(ISNUMBER(deployment_raw[[#This Row],[Column12]]), (deployment_raw[[#This Row],[Column12]] * IF($E$2="Deployment",deployment_raw[[#This Row],[Column5]],1)*(1+$V$2)),"")</f>
        <v/>
      </c>
      <c r="W192" s="14" t="str">
        <f>IF(ISNUMBER(deployment_raw[[#This Row],[Column13]]), (deployment_raw[[#This Row],[Column13]] * IF($E$2="Deployment",deployment_raw[[#This Row],[Column5]],1)*(1+$W$2))/1048576,"")</f>
        <v/>
      </c>
    </row>
    <row r="193" spans="1:23" ht="15.75" customHeight="1" x14ac:dyDescent="0.25">
      <c r="A193" s="5" t="str">
        <f>IF(ISNONTEXT(deployment_raw[[#This Row],[Column1]]), "", deployment_raw[[#This Row],[Column1]])</f>
        <v/>
      </c>
      <c r="B193" s="6" t="str">
        <f>IF(ISNONTEXT(deployment_raw[[#This Row],[Column2]]), "", deployment_raw[[#This Row],[Column2]])</f>
        <v/>
      </c>
      <c r="C193" s="6" t="str">
        <f>IF(ISNONTEXT(deployment_raw[[#This Row],[Column3]]), "", deployment_raw[[#This Row],[Column3]])</f>
        <v/>
      </c>
      <c r="D193" s="6" t="str">
        <f>IF(ISNONTEXT(deployment_raw[[#This Row],[Column4]]), "", deployment_raw[[#This Row],[Column4]])</f>
        <v/>
      </c>
      <c r="E193" s="7" t="str">
        <f>IF(ISNUMBER(deployment_raw[[#This Row],[Column5]]), deployment_raw[[#This Row],[Column5]],"")</f>
        <v/>
      </c>
      <c r="F193" s="32" t="str">
        <f>IF(ISNUMBER(deployment_raw[[#This Row],[Column17]]), deployment_raw[[#This Row],[Column17]]/IF(OR($E$2="Deployment",deployment_raw[[#This Row],[Column5]]=0),1,deployment_raw[[#This Row],[Column5]]),"")</f>
        <v/>
      </c>
      <c r="G193" s="42" t="str">
        <f>IF(ISNUMBER(deployment_raw[[#This Row],[Column14]]), deployment_raw[[#This Row],[Column14]]/IF(OR($E$2="Deployment",deployment_raw[[#This Row],[Column5]]=0),1,deployment_raw[[#This Row],[Column5]]),"")</f>
        <v/>
      </c>
      <c r="H193" s="79" t="str">
        <f>IF(ISNUMBER(deployment_raw[[#This Row],[Column19]]), IF(I193&lt;&gt;0,(deployment_raw[[#This Row],[Column19]]/IF(OR($E$2="Deployment",deployment_raw[[#This Row],[Column5]]=0),1,deployment_raw[[#This Row],[Column5]]))/I193,0),"")</f>
        <v/>
      </c>
      <c r="I193" s="69" t="str">
        <f>IF(ISNUMBER(deployment_raw[[#This Row],[Column6]]), (deployment_raw[[#This Row],[Column6]] * IF($E$2="Deployment",deployment_raw[[#This Row],[Column5]],1)),"")</f>
        <v/>
      </c>
      <c r="J193" s="79" t="str">
        <f>IF(ISNUMBER(deployment_raw[[#This Row],[Column19]]), IF(K193&lt;&gt;0,(deployment_raw[[#This Row],[Column19]]/IF(OR($E$2="Deployment",deployment_raw[[#This Row],[Column5]]=0),1,deployment_raw[[#This Row],[Column5]]))/K193,0),"")</f>
        <v/>
      </c>
      <c r="K193" s="72" t="str">
        <f>IF(ISNUMBER(deployment_raw[[#This Row],[Column8]]), (deployment_raw[[#This Row],[Column8]]  * IF($E$2="Deployment",deployment_raw[[#This Row],[Column5]],1)),"")</f>
        <v/>
      </c>
      <c r="L19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9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93" s="81" t="str">
        <f>IF(ISNUMBER(deployment_raw[[#This Row],[Column20]]), IF(O193&lt;&gt;0,deployment_raw[[#This Row],[Column20]]/IF(OR($E$2="Deployment",deployment_raw[[#This Row],[Column5]]=0),1,deployment_raw[[#This Row],[Column5]])/1048576/O193,0),"")</f>
        <v/>
      </c>
      <c r="O193" s="74" t="str">
        <f>IF(ISNUMBER(deployment_raw[[#This Row],[Column7]]), (deployment_raw[[#This Row],[Column7]] * IF($E$2="Deployment",deployment_raw[[#This Row],[Column5]],1))/1048576,"")</f>
        <v/>
      </c>
      <c r="P193" s="81" t="str">
        <f>IF(ISNUMBER(deployment_raw[[#This Row],[Column20]]), IF(Q193&lt;&gt;0,deployment_raw[[#This Row],[Column20]]/IF(OR($E$2="Deployment",deployment_raw[[#This Row],[Column5]]=0),1,deployment_raw[[#This Row],[Column5]])/1048576/Q193,0),"")</f>
        <v/>
      </c>
      <c r="Q193" s="76" t="str">
        <f>IF(ISNUMBER(deployment_raw[[#This Row],[Column9]]), (deployment_raw[[#This Row],[Column9]] * IF($E$2="Deployment",deployment_raw[[#This Row],[Column5]],1))/1048576,"")</f>
        <v/>
      </c>
      <c r="R193" s="57" t="str">
        <f>IF(ISNUMBER(deployment_raw[[#This Row],[Column10]]), (deployment_raw[[#This Row],[Column10]] * IF($E$2="Deployment",deployment_raw[[#This Row],[Column5]],1)),"")</f>
        <v/>
      </c>
      <c r="S193" s="48" t="str">
        <f>IF(ISNUMBER(deployment_raw[[#This Row],[Column11]]), (deployment_raw[[#This Row],[Column11]] * IF($E$2="Deployment",deployment_raw[[#This Row],[Column5]],1))/1048576,"")</f>
        <v/>
      </c>
      <c r="T193" s="59" t="str">
        <f>IF(ISNUMBER(deployment_raw[[#This Row],[Column8]]),IF(OR(deployment_raw[[#This Row],[Column5]] &lt;&gt; 0,$E$2 &lt;&gt; "Deployment"), MAX(V193, ($T$2 * IF($E$2="Deployment",deployment_raw[[#This Row],[Column5]],1))), 0),"")</f>
        <v/>
      </c>
      <c r="U193" s="50" t="str">
        <f>IF(ISNUMBER(deployment_raw[[#This Row],[Column9]]),IF(OR(deployment_raw[[#This Row],[Column5]] &lt;&gt; 0,$E$2&lt;&gt;"Deployment"), MAX(W193, ($U$2 * IF($E$2="Deployment",deployment_raw[[#This Row],[Column5]],1))), 0),"")</f>
        <v/>
      </c>
      <c r="V193" s="15" t="str">
        <f>IF(ISNUMBER(deployment_raw[[#This Row],[Column12]]), (deployment_raw[[#This Row],[Column12]] * IF($E$2="Deployment",deployment_raw[[#This Row],[Column5]],1)*(1+$V$2)),"")</f>
        <v/>
      </c>
      <c r="W193" s="14" t="str">
        <f>IF(ISNUMBER(deployment_raw[[#This Row],[Column13]]), (deployment_raw[[#This Row],[Column13]] * IF($E$2="Deployment",deployment_raw[[#This Row],[Column5]],1)*(1+$W$2))/1048576,"")</f>
        <v/>
      </c>
    </row>
    <row r="194" spans="1:23" ht="15.75" customHeight="1" x14ac:dyDescent="0.25">
      <c r="A194" s="5" t="str">
        <f>IF(ISNONTEXT(deployment_raw[[#This Row],[Column1]]), "", deployment_raw[[#This Row],[Column1]])</f>
        <v/>
      </c>
      <c r="B194" s="6" t="str">
        <f>IF(ISNONTEXT(deployment_raw[[#This Row],[Column2]]), "", deployment_raw[[#This Row],[Column2]])</f>
        <v/>
      </c>
      <c r="C194" s="6" t="str">
        <f>IF(ISNONTEXT(deployment_raw[[#This Row],[Column3]]), "", deployment_raw[[#This Row],[Column3]])</f>
        <v/>
      </c>
      <c r="D194" s="6" t="str">
        <f>IF(ISNONTEXT(deployment_raw[[#This Row],[Column4]]), "", deployment_raw[[#This Row],[Column4]])</f>
        <v/>
      </c>
      <c r="E194" s="7" t="str">
        <f>IF(ISNUMBER(deployment_raw[[#This Row],[Column5]]), deployment_raw[[#This Row],[Column5]],"")</f>
        <v/>
      </c>
      <c r="F194" s="32" t="str">
        <f>IF(ISNUMBER(deployment_raw[[#This Row],[Column17]]), deployment_raw[[#This Row],[Column17]]/IF(OR($E$2="Deployment",deployment_raw[[#This Row],[Column5]]=0),1,deployment_raw[[#This Row],[Column5]]),"")</f>
        <v/>
      </c>
      <c r="G194" s="42" t="str">
        <f>IF(ISNUMBER(deployment_raw[[#This Row],[Column14]]), deployment_raw[[#This Row],[Column14]]/IF(OR($E$2="Deployment",deployment_raw[[#This Row],[Column5]]=0),1,deployment_raw[[#This Row],[Column5]]),"")</f>
        <v/>
      </c>
      <c r="H194" s="79" t="str">
        <f>IF(ISNUMBER(deployment_raw[[#This Row],[Column19]]), IF(I194&lt;&gt;0,(deployment_raw[[#This Row],[Column19]]/IF(OR($E$2="Deployment",deployment_raw[[#This Row],[Column5]]=0),1,deployment_raw[[#This Row],[Column5]]))/I194,0),"")</f>
        <v/>
      </c>
      <c r="I194" s="69" t="str">
        <f>IF(ISNUMBER(deployment_raw[[#This Row],[Column6]]), (deployment_raw[[#This Row],[Column6]] * IF($E$2="Deployment",deployment_raw[[#This Row],[Column5]],1)),"")</f>
        <v/>
      </c>
      <c r="J194" s="79" t="str">
        <f>IF(ISNUMBER(deployment_raw[[#This Row],[Column19]]), IF(K194&lt;&gt;0,(deployment_raw[[#This Row],[Column19]]/IF(OR($E$2="Deployment",deployment_raw[[#This Row],[Column5]]=0),1,deployment_raw[[#This Row],[Column5]]))/K194,0),"")</f>
        <v/>
      </c>
      <c r="K194" s="72" t="str">
        <f>IF(ISNUMBER(deployment_raw[[#This Row],[Column8]]), (deployment_raw[[#This Row],[Column8]]  * IF($E$2="Deployment",deployment_raw[[#This Row],[Column5]],1)),"")</f>
        <v/>
      </c>
      <c r="L19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9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94" s="81" t="str">
        <f>IF(ISNUMBER(deployment_raw[[#This Row],[Column20]]), IF(O194&lt;&gt;0,deployment_raw[[#This Row],[Column20]]/IF(OR($E$2="Deployment",deployment_raw[[#This Row],[Column5]]=0),1,deployment_raw[[#This Row],[Column5]])/1048576/O194,0),"")</f>
        <v/>
      </c>
      <c r="O194" s="74" t="str">
        <f>IF(ISNUMBER(deployment_raw[[#This Row],[Column7]]), (deployment_raw[[#This Row],[Column7]] * IF($E$2="Deployment",deployment_raw[[#This Row],[Column5]],1))/1048576,"")</f>
        <v/>
      </c>
      <c r="P194" s="81" t="str">
        <f>IF(ISNUMBER(deployment_raw[[#This Row],[Column20]]), IF(Q194&lt;&gt;0,deployment_raw[[#This Row],[Column20]]/IF(OR($E$2="Deployment",deployment_raw[[#This Row],[Column5]]=0),1,deployment_raw[[#This Row],[Column5]])/1048576/Q194,0),"")</f>
        <v/>
      </c>
      <c r="Q194" s="76" t="str">
        <f>IF(ISNUMBER(deployment_raw[[#This Row],[Column9]]), (deployment_raw[[#This Row],[Column9]] * IF($E$2="Deployment",deployment_raw[[#This Row],[Column5]],1))/1048576,"")</f>
        <v/>
      </c>
      <c r="R194" s="57" t="str">
        <f>IF(ISNUMBER(deployment_raw[[#This Row],[Column10]]), (deployment_raw[[#This Row],[Column10]] * IF($E$2="Deployment",deployment_raw[[#This Row],[Column5]],1)),"")</f>
        <v/>
      </c>
      <c r="S194" s="48" t="str">
        <f>IF(ISNUMBER(deployment_raw[[#This Row],[Column11]]), (deployment_raw[[#This Row],[Column11]] * IF($E$2="Deployment",deployment_raw[[#This Row],[Column5]],1))/1048576,"")</f>
        <v/>
      </c>
      <c r="T194" s="59" t="str">
        <f>IF(ISNUMBER(deployment_raw[[#This Row],[Column8]]),IF(OR(deployment_raw[[#This Row],[Column5]] &lt;&gt; 0,$E$2 &lt;&gt; "Deployment"), MAX(V194, ($T$2 * IF($E$2="Deployment",deployment_raw[[#This Row],[Column5]],1))), 0),"")</f>
        <v/>
      </c>
      <c r="U194" s="50" t="str">
        <f>IF(ISNUMBER(deployment_raw[[#This Row],[Column9]]),IF(OR(deployment_raw[[#This Row],[Column5]] &lt;&gt; 0,$E$2&lt;&gt;"Deployment"), MAX(W194, ($U$2 * IF($E$2="Deployment",deployment_raw[[#This Row],[Column5]],1))), 0),"")</f>
        <v/>
      </c>
      <c r="V194" s="15" t="str">
        <f>IF(ISNUMBER(deployment_raw[[#This Row],[Column12]]), (deployment_raw[[#This Row],[Column12]] * IF($E$2="Deployment",deployment_raw[[#This Row],[Column5]],1)*(1+$V$2)),"")</f>
        <v/>
      </c>
      <c r="W194" s="14" t="str">
        <f>IF(ISNUMBER(deployment_raw[[#This Row],[Column13]]), (deployment_raw[[#This Row],[Column13]] * IF($E$2="Deployment",deployment_raw[[#This Row],[Column5]],1)*(1+$W$2))/1048576,"")</f>
        <v/>
      </c>
    </row>
    <row r="195" spans="1:23" ht="15.75" customHeight="1" x14ac:dyDescent="0.25">
      <c r="A195" s="5" t="str">
        <f>IF(ISNONTEXT(deployment_raw[[#This Row],[Column1]]), "", deployment_raw[[#This Row],[Column1]])</f>
        <v/>
      </c>
      <c r="B195" s="6" t="str">
        <f>IF(ISNONTEXT(deployment_raw[[#This Row],[Column2]]), "", deployment_raw[[#This Row],[Column2]])</f>
        <v/>
      </c>
      <c r="C195" s="6" t="str">
        <f>IF(ISNONTEXT(deployment_raw[[#This Row],[Column3]]), "", deployment_raw[[#This Row],[Column3]])</f>
        <v/>
      </c>
      <c r="D195" s="6" t="str">
        <f>IF(ISNONTEXT(deployment_raw[[#This Row],[Column4]]), "", deployment_raw[[#This Row],[Column4]])</f>
        <v/>
      </c>
      <c r="E195" s="7" t="str">
        <f>IF(ISNUMBER(deployment_raw[[#This Row],[Column5]]), deployment_raw[[#This Row],[Column5]],"")</f>
        <v/>
      </c>
      <c r="F195" s="32" t="str">
        <f>IF(ISNUMBER(deployment_raw[[#This Row],[Column17]]), deployment_raw[[#This Row],[Column17]]/IF(OR($E$2="Deployment",deployment_raw[[#This Row],[Column5]]=0),1,deployment_raw[[#This Row],[Column5]]),"")</f>
        <v/>
      </c>
      <c r="G195" s="42" t="str">
        <f>IF(ISNUMBER(deployment_raw[[#This Row],[Column14]]), deployment_raw[[#This Row],[Column14]]/IF(OR($E$2="Deployment",deployment_raw[[#This Row],[Column5]]=0),1,deployment_raw[[#This Row],[Column5]]),"")</f>
        <v/>
      </c>
      <c r="H195" s="79" t="str">
        <f>IF(ISNUMBER(deployment_raw[[#This Row],[Column19]]), IF(I195&lt;&gt;0,(deployment_raw[[#This Row],[Column19]]/IF(OR($E$2="Deployment",deployment_raw[[#This Row],[Column5]]=0),1,deployment_raw[[#This Row],[Column5]]))/I195,0),"")</f>
        <v/>
      </c>
      <c r="I195" s="69" t="str">
        <f>IF(ISNUMBER(deployment_raw[[#This Row],[Column6]]), (deployment_raw[[#This Row],[Column6]] * IF($E$2="Deployment",deployment_raw[[#This Row],[Column5]],1)),"")</f>
        <v/>
      </c>
      <c r="J195" s="79" t="str">
        <f>IF(ISNUMBER(deployment_raw[[#This Row],[Column19]]), IF(K195&lt;&gt;0,(deployment_raw[[#This Row],[Column19]]/IF(OR($E$2="Deployment",deployment_raw[[#This Row],[Column5]]=0),1,deployment_raw[[#This Row],[Column5]]))/K195,0),"")</f>
        <v/>
      </c>
      <c r="K195" s="72" t="str">
        <f>IF(ISNUMBER(deployment_raw[[#This Row],[Column8]]), (deployment_raw[[#This Row],[Column8]]  * IF($E$2="Deployment",deployment_raw[[#This Row],[Column5]],1)),"")</f>
        <v/>
      </c>
      <c r="L19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9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95" s="81" t="str">
        <f>IF(ISNUMBER(deployment_raw[[#This Row],[Column20]]), IF(O195&lt;&gt;0,deployment_raw[[#This Row],[Column20]]/IF(OR($E$2="Deployment",deployment_raw[[#This Row],[Column5]]=0),1,deployment_raw[[#This Row],[Column5]])/1048576/O195,0),"")</f>
        <v/>
      </c>
      <c r="O195" s="74" t="str">
        <f>IF(ISNUMBER(deployment_raw[[#This Row],[Column7]]), (deployment_raw[[#This Row],[Column7]] * IF($E$2="Deployment",deployment_raw[[#This Row],[Column5]],1))/1048576,"")</f>
        <v/>
      </c>
      <c r="P195" s="81" t="str">
        <f>IF(ISNUMBER(deployment_raw[[#This Row],[Column20]]), IF(Q195&lt;&gt;0,deployment_raw[[#This Row],[Column20]]/IF(OR($E$2="Deployment",deployment_raw[[#This Row],[Column5]]=0),1,deployment_raw[[#This Row],[Column5]])/1048576/Q195,0),"")</f>
        <v/>
      </c>
      <c r="Q195" s="76" t="str">
        <f>IF(ISNUMBER(deployment_raw[[#This Row],[Column9]]), (deployment_raw[[#This Row],[Column9]] * IF($E$2="Deployment",deployment_raw[[#This Row],[Column5]],1))/1048576,"")</f>
        <v/>
      </c>
      <c r="R195" s="57" t="str">
        <f>IF(ISNUMBER(deployment_raw[[#This Row],[Column10]]), (deployment_raw[[#This Row],[Column10]] * IF($E$2="Deployment",deployment_raw[[#This Row],[Column5]],1)),"")</f>
        <v/>
      </c>
      <c r="S195" s="48" t="str">
        <f>IF(ISNUMBER(deployment_raw[[#This Row],[Column11]]), (deployment_raw[[#This Row],[Column11]] * IF($E$2="Deployment",deployment_raw[[#This Row],[Column5]],1))/1048576,"")</f>
        <v/>
      </c>
      <c r="T195" s="59" t="str">
        <f>IF(ISNUMBER(deployment_raw[[#This Row],[Column8]]),IF(OR(deployment_raw[[#This Row],[Column5]] &lt;&gt; 0,$E$2 &lt;&gt; "Deployment"), MAX(V195, ($T$2 * IF($E$2="Deployment",deployment_raw[[#This Row],[Column5]],1))), 0),"")</f>
        <v/>
      </c>
      <c r="U195" s="50" t="str">
        <f>IF(ISNUMBER(deployment_raw[[#This Row],[Column9]]),IF(OR(deployment_raw[[#This Row],[Column5]] &lt;&gt; 0,$E$2&lt;&gt;"Deployment"), MAX(W195, ($U$2 * IF($E$2="Deployment",deployment_raw[[#This Row],[Column5]],1))), 0),"")</f>
        <v/>
      </c>
      <c r="V195" s="15" t="str">
        <f>IF(ISNUMBER(deployment_raw[[#This Row],[Column12]]), (deployment_raw[[#This Row],[Column12]] * IF($E$2="Deployment",deployment_raw[[#This Row],[Column5]],1)*(1+$V$2)),"")</f>
        <v/>
      </c>
      <c r="W195" s="14" t="str">
        <f>IF(ISNUMBER(deployment_raw[[#This Row],[Column13]]), (deployment_raw[[#This Row],[Column13]] * IF($E$2="Deployment",deployment_raw[[#This Row],[Column5]],1)*(1+$W$2))/1048576,"")</f>
        <v/>
      </c>
    </row>
    <row r="196" spans="1:23" ht="15.75" customHeight="1" x14ac:dyDescent="0.25">
      <c r="A196" s="5" t="str">
        <f>IF(ISNONTEXT(deployment_raw[[#This Row],[Column1]]), "", deployment_raw[[#This Row],[Column1]])</f>
        <v/>
      </c>
      <c r="B196" s="6" t="str">
        <f>IF(ISNONTEXT(deployment_raw[[#This Row],[Column2]]), "", deployment_raw[[#This Row],[Column2]])</f>
        <v/>
      </c>
      <c r="C196" s="6" t="str">
        <f>IF(ISNONTEXT(deployment_raw[[#This Row],[Column3]]), "", deployment_raw[[#This Row],[Column3]])</f>
        <v/>
      </c>
      <c r="D196" s="6" t="str">
        <f>IF(ISNONTEXT(deployment_raw[[#This Row],[Column4]]), "", deployment_raw[[#This Row],[Column4]])</f>
        <v/>
      </c>
      <c r="E196" s="7" t="str">
        <f>IF(ISNUMBER(deployment_raw[[#This Row],[Column5]]), deployment_raw[[#This Row],[Column5]],"")</f>
        <v/>
      </c>
      <c r="F196" s="32" t="str">
        <f>IF(ISNUMBER(deployment_raw[[#This Row],[Column17]]), deployment_raw[[#This Row],[Column17]]/IF(OR($E$2="Deployment",deployment_raw[[#This Row],[Column5]]=0),1,deployment_raw[[#This Row],[Column5]]),"")</f>
        <v/>
      </c>
      <c r="G196" s="42" t="str">
        <f>IF(ISNUMBER(deployment_raw[[#This Row],[Column14]]), deployment_raw[[#This Row],[Column14]]/IF(OR($E$2="Deployment",deployment_raw[[#This Row],[Column5]]=0),1,deployment_raw[[#This Row],[Column5]]),"")</f>
        <v/>
      </c>
      <c r="H196" s="79" t="str">
        <f>IF(ISNUMBER(deployment_raw[[#This Row],[Column19]]), IF(I196&lt;&gt;0,(deployment_raw[[#This Row],[Column19]]/IF(OR($E$2="Deployment",deployment_raw[[#This Row],[Column5]]=0),1,deployment_raw[[#This Row],[Column5]]))/I196,0),"")</f>
        <v/>
      </c>
      <c r="I196" s="69" t="str">
        <f>IF(ISNUMBER(deployment_raw[[#This Row],[Column6]]), (deployment_raw[[#This Row],[Column6]] * IF($E$2="Deployment",deployment_raw[[#This Row],[Column5]],1)),"")</f>
        <v/>
      </c>
      <c r="J196" s="79" t="str">
        <f>IF(ISNUMBER(deployment_raw[[#This Row],[Column19]]), IF(K196&lt;&gt;0,(deployment_raw[[#This Row],[Column19]]/IF(OR($E$2="Deployment",deployment_raw[[#This Row],[Column5]]=0),1,deployment_raw[[#This Row],[Column5]]))/K196,0),"")</f>
        <v/>
      </c>
      <c r="K196" s="72" t="str">
        <f>IF(ISNUMBER(deployment_raw[[#This Row],[Column8]]), (deployment_raw[[#This Row],[Column8]]  * IF($E$2="Deployment",deployment_raw[[#This Row],[Column5]],1)),"")</f>
        <v/>
      </c>
      <c r="L19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9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96" s="81" t="str">
        <f>IF(ISNUMBER(deployment_raw[[#This Row],[Column20]]), IF(O196&lt;&gt;0,deployment_raw[[#This Row],[Column20]]/IF(OR($E$2="Deployment",deployment_raw[[#This Row],[Column5]]=0),1,deployment_raw[[#This Row],[Column5]])/1048576/O196,0),"")</f>
        <v/>
      </c>
      <c r="O196" s="74" t="str">
        <f>IF(ISNUMBER(deployment_raw[[#This Row],[Column7]]), (deployment_raw[[#This Row],[Column7]] * IF($E$2="Deployment",deployment_raw[[#This Row],[Column5]],1))/1048576,"")</f>
        <v/>
      </c>
      <c r="P196" s="81" t="str">
        <f>IF(ISNUMBER(deployment_raw[[#This Row],[Column20]]), IF(Q196&lt;&gt;0,deployment_raw[[#This Row],[Column20]]/IF(OR($E$2="Deployment",deployment_raw[[#This Row],[Column5]]=0),1,deployment_raw[[#This Row],[Column5]])/1048576/Q196,0),"")</f>
        <v/>
      </c>
      <c r="Q196" s="76" t="str">
        <f>IF(ISNUMBER(deployment_raw[[#This Row],[Column9]]), (deployment_raw[[#This Row],[Column9]] * IF($E$2="Deployment",deployment_raw[[#This Row],[Column5]],1))/1048576,"")</f>
        <v/>
      </c>
      <c r="R196" s="57" t="str">
        <f>IF(ISNUMBER(deployment_raw[[#This Row],[Column10]]), (deployment_raw[[#This Row],[Column10]] * IF($E$2="Deployment",deployment_raw[[#This Row],[Column5]],1)),"")</f>
        <v/>
      </c>
      <c r="S196" s="48" t="str">
        <f>IF(ISNUMBER(deployment_raw[[#This Row],[Column11]]), (deployment_raw[[#This Row],[Column11]] * IF($E$2="Deployment",deployment_raw[[#This Row],[Column5]],1))/1048576,"")</f>
        <v/>
      </c>
      <c r="T196" s="59" t="str">
        <f>IF(ISNUMBER(deployment_raw[[#This Row],[Column8]]),IF(OR(deployment_raw[[#This Row],[Column5]] &lt;&gt; 0,$E$2 &lt;&gt; "Deployment"), MAX(V196, ($T$2 * IF($E$2="Deployment",deployment_raw[[#This Row],[Column5]],1))), 0),"")</f>
        <v/>
      </c>
      <c r="U196" s="50" t="str">
        <f>IF(ISNUMBER(deployment_raw[[#This Row],[Column9]]),IF(OR(deployment_raw[[#This Row],[Column5]] &lt;&gt; 0,$E$2&lt;&gt;"Deployment"), MAX(W196, ($U$2 * IF($E$2="Deployment",deployment_raw[[#This Row],[Column5]],1))), 0),"")</f>
        <v/>
      </c>
      <c r="V196" s="15" t="str">
        <f>IF(ISNUMBER(deployment_raw[[#This Row],[Column12]]), (deployment_raw[[#This Row],[Column12]] * IF($E$2="Deployment",deployment_raw[[#This Row],[Column5]],1)*(1+$V$2)),"")</f>
        <v/>
      </c>
      <c r="W196" s="14" t="str">
        <f>IF(ISNUMBER(deployment_raw[[#This Row],[Column13]]), (deployment_raw[[#This Row],[Column13]] * IF($E$2="Deployment",deployment_raw[[#This Row],[Column5]],1)*(1+$W$2))/1048576,"")</f>
        <v/>
      </c>
    </row>
    <row r="197" spans="1:23" ht="15.75" customHeight="1" x14ac:dyDescent="0.25">
      <c r="A197" s="5" t="str">
        <f>IF(ISNONTEXT(deployment_raw[[#This Row],[Column1]]), "", deployment_raw[[#This Row],[Column1]])</f>
        <v/>
      </c>
      <c r="B197" s="6" t="str">
        <f>IF(ISNONTEXT(deployment_raw[[#This Row],[Column2]]), "", deployment_raw[[#This Row],[Column2]])</f>
        <v/>
      </c>
      <c r="C197" s="6" t="str">
        <f>IF(ISNONTEXT(deployment_raw[[#This Row],[Column3]]), "", deployment_raw[[#This Row],[Column3]])</f>
        <v/>
      </c>
      <c r="D197" s="6" t="str">
        <f>IF(ISNONTEXT(deployment_raw[[#This Row],[Column4]]), "", deployment_raw[[#This Row],[Column4]])</f>
        <v/>
      </c>
      <c r="E197" s="7" t="str">
        <f>IF(ISNUMBER(deployment_raw[[#This Row],[Column5]]), deployment_raw[[#This Row],[Column5]],"")</f>
        <v/>
      </c>
      <c r="F197" s="32" t="str">
        <f>IF(ISNUMBER(deployment_raw[[#This Row],[Column17]]), deployment_raw[[#This Row],[Column17]]/IF(OR($E$2="Deployment",deployment_raw[[#This Row],[Column5]]=0),1,deployment_raw[[#This Row],[Column5]]),"")</f>
        <v/>
      </c>
      <c r="G197" s="42" t="str">
        <f>IF(ISNUMBER(deployment_raw[[#This Row],[Column14]]), deployment_raw[[#This Row],[Column14]]/IF(OR($E$2="Deployment",deployment_raw[[#This Row],[Column5]]=0),1,deployment_raw[[#This Row],[Column5]]),"")</f>
        <v/>
      </c>
      <c r="H197" s="79" t="str">
        <f>IF(ISNUMBER(deployment_raw[[#This Row],[Column19]]), IF(I197&lt;&gt;0,(deployment_raw[[#This Row],[Column19]]/IF(OR($E$2="Deployment",deployment_raw[[#This Row],[Column5]]=0),1,deployment_raw[[#This Row],[Column5]]))/I197,0),"")</f>
        <v/>
      </c>
      <c r="I197" s="69" t="str">
        <f>IF(ISNUMBER(deployment_raw[[#This Row],[Column6]]), (deployment_raw[[#This Row],[Column6]] * IF($E$2="Deployment",deployment_raw[[#This Row],[Column5]],1)),"")</f>
        <v/>
      </c>
      <c r="J197" s="79" t="str">
        <f>IF(ISNUMBER(deployment_raw[[#This Row],[Column19]]), IF(K197&lt;&gt;0,(deployment_raw[[#This Row],[Column19]]/IF(OR($E$2="Deployment",deployment_raw[[#This Row],[Column5]]=0),1,deployment_raw[[#This Row],[Column5]]))/K197,0),"")</f>
        <v/>
      </c>
      <c r="K197" s="72" t="str">
        <f>IF(ISNUMBER(deployment_raw[[#This Row],[Column8]]), (deployment_raw[[#This Row],[Column8]]  * IF($E$2="Deployment",deployment_raw[[#This Row],[Column5]],1)),"")</f>
        <v/>
      </c>
      <c r="L19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9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97" s="81" t="str">
        <f>IF(ISNUMBER(deployment_raw[[#This Row],[Column20]]), IF(O197&lt;&gt;0,deployment_raw[[#This Row],[Column20]]/IF(OR($E$2="Deployment",deployment_raw[[#This Row],[Column5]]=0),1,deployment_raw[[#This Row],[Column5]])/1048576/O197,0),"")</f>
        <v/>
      </c>
      <c r="O197" s="74" t="str">
        <f>IF(ISNUMBER(deployment_raw[[#This Row],[Column7]]), (deployment_raw[[#This Row],[Column7]] * IF($E$2="Deployment",deployment_raw[[#This Row],[Column5]],1))/1048576,"")</f>
        <v/>
      </c>
      <c r="P197" s="81" t="str">
        <f>IF(ISNUMBER(deployment_raw[[#This Row],[Column20]]), IF(Q197&lt;&gt;0,deployment_raw[[#This Row],[Column20]]/IF(OR($E$2="Deployment",deployment_raw[[#This Row],[Column5]]=0),1,deployment_raw[[#This Row],[Column5]])/1048576/Q197,0),"")</f>
        <v/>
      </c>
      <c r="Q197" s="76" t="str">
        <f>IF(ISNUMBER(deployment_raw[[#This Row],[Column9]]), (deployment_raw[[#This Row],[Column9]] * IF($E$2="Deployment",deployment_raw[[#This Row],[Column5]],1))/1048576,"")</f>
        <v/>
      </c>
      <c r="R197" s="57" t="str">
        <f>IF(ISNUMBER(deployment_raw[[#This Row],[Column10]]), (deployment_raw[[#This Row],[Column10]] * IF($E$2="Deployment",deployment_raw[[#This Row],[Column5]],1)),"")</f>
        <v/>
      </c>
      <c r="S197" s="48" t="str">
        <f>IF(ISNUMBER(deployment_raw[[#This Row],[Column11]]), (deployment_raw[[#This Row],[Column11]] * IF($E$2="Deployment",deployment_raw[[#This Row],[Column5]],1))/1048576,"")</f>
        <v/>
      </c>
      <c r="T197" s="59" t="str">
        <f>IF(ISNUMBER(deployment_raw[[#This Row],[Column8]]),IF(OR(deployment_raw[[#This Row],[Column5]] &lt;&gt; 0,$E$2 &lt;&gt; "Deployment"), MAX(V197, ($T$2 * IF($E$2="Deployment",deployment_raw[[#This Row],[Column5]],1))), 0),"")</f>
        <v/>
      </c>
      <c r="U197" s="50" t="str">
        <f>IF(ISNUMBER(deployment_raw[[#This Row],[Column9]]),IF(OR(deployment_raw[[#This Row],[Column5]] &lt;&gt; 0,$E$2&lt;&gt;"Deployment"), MAX(W197, ($U$2 * IF($E$2="Deployment",deployment_raw[[#This Row],[Column5]],1))), 0),"")</f>
        <v/>
      </c>
      <c r="V197" s="15" t="str">
        <f>IF(ISNUMBER(deployment_raw[[#This Row],[Column12]]), (deployment_raw[[#This Row],[Column12]] * IF($E$2="Deployment",deployment_raw[[#This Row],[Column5]],1)*(1+$V$2)),"")</f>
        <v/>
      </c>
      <c r="W197" s="14" t="str">
        <f>IF(ISNUMBER(deployment_raw[[#This Row],[Column13]]), (deployment_raw[[#This Row],[Column13]] * IF($E$2="Deployment",deployment_raw[[#This Row],[Column5]],1)*(1+$W$2))/1048576,"")</f>
        <v/>
      </c>
    </row>
    <row r="198" spans="1:23" ht="15.75" customHeight="1" x14ac:dyDescent="0.25">
      <c r="A198" s="5" t="str">
        <f>IF(ISNONTEXT(deployment_raw[[#This Row],[Column1]]), "", deployment_raw[[#This Row],[Column1]])</f>
        <v/>
      </c>
      <c r="B198" s="6" t="str">
        <f>IF(ISNONTEXT(deployment_raw[[#This Row],[Column2]]), "", deployment_raw[[#This Row],[Column2]])</f>
        <v/>
      </c>
      <c r="C198" s="6" t="str">
        <f>IF(ISNONTEXT(deployment_raw[[#This Row],[Column3]]), "", deployment_raw[[#This Row],[Column3]])</f>
        <v/>
      </c>
      <c r="D198" s="6" t="str">
        <f>IF(ISNONTEXT(deployment_raw[[#This Row],[Column4]]), "", deployment_raw[[#This Row],[Column4]])</f>
        <v/>
      </c>
      <c r="E198" s="7" t="str">
        <f>IF(ISNUMBER(deployment_raw[[#This Row],[Column5]]), deployment_raw[[#This Row],[Column5]],"")</f>
        <v/>
      </c>
      <c r="F198" s="32" t="str">
        <f>IF(ISNUMBER(deployment_raw[[#This Row],[Column17]]), deployment_raw[[#This Row],[Column17]]/IF(OR($E$2="Deployment",deployment_raw[[#This Row],[Column5]]=0),1,deployment_raw[[#This Row],[Column5]]),"")</f>
        <v/>
      </c>
      <c r="G198" s="42" t="str">
        <f>IF(ISNUMBER(deployment_raw[[#This Row],[Column14]]), deployment_raw[[#This Row],[Column14]]/IF(OR($E$2="Deployment",deployment_raw[[#This Row],[Column5]]=0),1,deployment_raw[[#This Row],[Column5]]),"")</f>
        <v/>
      </c>
      <c r="H198" s="79" t="str">
        <f>IF(ISNUMBER(deployment_raw[[#This Row],[Column19]]), IF(I198&lt;&gt;0,(deployment_raw[[#This Row],[Column19]]/IF(OR($E$2="Deployment",deployment_raw[[#This Row],[Column5]]=0),1,deployment_raw[[#This Row],[Column5]]))/I198,0),"")</f>
        <v/>
      </c>
      <c r="I198" s="69" t="str">
        <f>IF(ISNUMBER(deployment_raw[[#This Row],[Column6]]), (deployment_raw[[#This Row],[Column6]] * IF($E$2="Deployment",deployment_raw[[#This Row],[Column5]],1)),"")</f>
        <v/>
      </c>
      <c r="J198" s="79" t="str">
        <f>IF(ISNUMBER(deployment_raw[[#This Row],[Column19]]), IF(K198&lt;&gt;0,(deployment_raw[[#This Row],[Column19]]/IF(OR($E$2="Deployment",deployment_raw[[#This Row],[Column5]]=0),1,deployment_raw[[#This Row],[Column5]]))/K198,0),"")</f>
        <v/>
      </c>
      <c r="K198" s="72" t="str">
        <f>IF(ISNUMBER(deployment_raw[[#This Row],[Column8]]), (deployment_raw[[#This Row],[Column8]]  * IF($E$2="Deployment",deployment_raw[[#This Row],[Column5]],1)),"")</f>
        <v/>
      </c>
      <c r="L19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9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98" s="81" t="str">
        <f>IF(ISNUMBER(deployment_raw[[#This Row],[Column20]]), IF(O198&lt;&gt;0,deployment_raw[[#This Row],[Column20]]/IF(OR($E$2="Deployment",deployment_raw[[#This Row],[Column5]]=0),1,deployment_raw[[#This Row],[Column5]])/1048576/O198,0),"")</f>
        <v/>
      </c>
      <c r="O198" s="74" t="str">
        <f>IF(ISNUMBER(deployment_raw[[#This Row],[Column7]]), (deployment_raw[[#This Row],[Column7]] * IF($E$2="Deployment",deployment_raw[[#This Row],[Column5]],1))/1048576,"")</f>
        <v/>
      </c>
      <c r="P198" s="81" t="str">
        <f>IF(ISNUMBER(deployment_raw[[#This Row],[Column20]]), IF(Q198&lt;&gt;0,deployment_raw[[#This Row],[Column20]]/IF(OR($E$2="Deployment",deployment_raw[[#This Row],[Column5]]=0),1,deployment_raw[[#This Row],[Column5]])/1048576/Q198,0),"")</f>
        <v/>
      </c>
      <c r="Q198" s="76" t="str">
        <f>IF(ISNUMBER(deployment_raw[[#This Row],[Column9]]), (deployment_raw[[#This Row],[Column9]] * IF($E$2="Deployment",deployment_raw[[#This Row],[Column5]],1))/1048576,"")</f>
        <v/>
      </c>
      <c r="R198" s="57" t="str">
        <f>IF(ISNUMBER(deployment_raw[[#This Row],[Column10]]), (deployment_raw[[#This Row],[Column10]] * IF($E$2="Deployment",deployment_raw[[#This Row],[Column5]],1)),"")</f>
        <v/>
      </c>
      <c r="S198" s="48" t="str">
        <f>IF(ISNUMBER(deployment_raw[[#This Row],[Column11]]), (deployment_raw[[#This Row],[Column11]] * IF($E$2="Deployment",deployment_raw[[#This Row],[Column5]],1))/1048576,"")</f>
        <v/>
      </c>
      <c r="T198" s="59" t="str">
        <f>IF(ISNUMBER(deployment_raw[[#This Row],[Column8]]),IF(OR(deployment_raw[[#This Row],[Column5]] &lt;&gt; 0,$E$2 &lt;&gt; "Deployment"), MAX(V198, ($T$2 * IF($E$2="Deployment",deployment_raw[[#This Row],[Column5]],1))), 0),"")</f>
        <v/>
      </c>
      <c r="U198" s="50" t="str">
        <f>IF(ISNUMBER(deployment_raw[[#This Row],[Column9]]),IF(OR(deployment_raw[[#This Row],[Column5]] &lt;&gt; 0,$E$2&lt;&gt;"Deployment"), MAX(W198, ($U$2 * IF($E$2="Deployment",deployment_raw[[#This Row],[Column5]],1))), 0),"")</f>
        <v/>
      </c>
      <c r="V198" s="15" t="str">
        <f>IF(ISNUMBER(deployment_raw[[#This Row],[Column12]]), (deployment_raw[[#This Row],[Column12]] * IF($E$2="Deployment",deployment_raw[[#This Row],[Column5]],1)*(1+$V$2)),"")</f>
        <v/>
      </c>
      <c r="W198" s="14" t="str">
        <f>IF(ISNUMBER(deployment_raw[[#This Row],[Column13]]), (deployment_raw[[#This Row],[Column13]] * IF($E$2="Deployment",deployment_raw[[#This Row],[Column5]],1)*(1+$W$2))/1048576,"")</f>
        <v/>
      </c>
    </row>
    <row r="199" spans="1:23" ht="15.75" customHeight="1" x14ac:dyDescent="0.25">
      <c r="A199" s="5" t="str">
        <f>IF(ISNONTEXT(deployment_raw[[#This Row],[Column1]]), "", deployment_raw[[#This Row],[Column1]])</f>
        <v/>
      </c>
      <c r="B199" s="6" t="str">
        <f>IF(ISNONTEXT(deployment_raw[[#This Row],[Column2]]), "", deployment_raw[[#This Row],[Column2]])</f>
        <v/>
      </c>
      <c r="C199" s="6" t="str">
        <f>IF(ISNONTEXT(deployment_raw[[#This Row],[Column3]]), "", deployment_raw[[#This Row],[Column3]])</f>
        <v/>
      </c>
      <c r="D199" s="6" t="str">
        <f>IF(ISNONTEXT(deployment_raw[[#This Row],[Column4]]), "", deployment_raw[[#This Row],[Column4]])</f>
        <v/>
      </c>
      <c r="E199" s="7" t="str">
        <f>IF(ISNUMBER(deployment_raw[[#This Row],[Column5]]), deployment_raw[[#This Row],[Column5]],"")</f>
        <v/>
      </c>
      <c r="F199" s="32" t="str">
        <f>IF(ISNUMBER(deployment_raw[[#This Row],[Column17]]), deployment_raw[[#This Row],[Column17]]/IF(OR($E$2="Deployment",deployment_raw[[#This Row],[Column5]]=0),1,deployment_raw[[#This Row],[Column5]]),"")</f>
        <v/>
      </c>
      <c r="G199" s="42" t="str">
        <f>IF(ISNUMBER(deployment_raw[[#This Row],[Column14]]), deployment_raw[[#This Row],[Column14]]/IF(OR($E$2="Deployment",deployment_raw[[#This Row],[Column5]]=0),1,deployment_raw[[#This Row],[Column5]]),"")</f>
        <v/>
      </c>
      <c r="H199" s="79" t="str">
        <f>IF(ISNUMBER(deployment_raw[[#This Row],[Column19]]), IF(I199&lt;&gt;0,(deployment_raw[[#This Row],[Column19]]/IF(OR($E$2="Deployment",deployment_raw[[#This Row],[Column5]]=0),1,deployment_raw[[#This Row],[Column5]]))/I199,0),"")</f>
        <v/>
      </c>
      <c r="I199" s="69" t="str">
        <f>IF(ISNUMBER(deployment_raw[[#This Row],[Column6]]), (deployment_raw[[#This Row],[Column6]] * IF($E$2="Deployment",deployment_raw[[#This Row],[Column5]],1)),"")</f>
        <v/>
      </c>
      <c r="J199" s="79" t="str">
        <f>IF(ISNUMBER(deployment_raw[[#This Row],[Column19]]), IF(K199&lt;&gt;0,(deployment_raw[[#This Row],[Column19]]/IF(OR($E$2="Deployment",deployment_raw[[#This Row],[Column5]]=0),1,deployment_raw[[#This Row],[Column5]]))/K199,0),"")</f>
        <v/>
      </c>
      <c r="K199" s="72" t="str">
        <f>IF(ISNUMBER(deployment_raw[[#This Row],[Column8]]), (deployment_raw[[#This Row],[Column8]]  * IF($E$2="Deployment",deployment_raw[[#This Row],[Column5]],1)),"")</f>
        <v/>
      </c>
      <c r="L19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9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99" s="81" t="str">
        <f>IF(ISNUMBER(deployment_raw[[#This Row],[Column20]]), IF(O199&lt;&gt;0,deployment_raw[[#This Row],[Column20]]/IF(OR($E$2="Deployment",deployment_raw[[#This Row],[Column5]]=0),1,deployment_raw[[#This Row],[Column5]])/1048576/O199,0),"")</f>
        <v/>
      </c>
      <c r="O199" s="74" t="str">
        <f>IF(ISNUMBER(deployment_raw[[#This Row],[Column7]]), (deployment_raw[[#This Row],[Column7]] * IF($E$2="Deployment",deployment_raw[[#This Row],[Column5]],1))/1048576,"")</f>
        <v/>
      </c>
      <c r="P199" s="81" t="str">
        <f>IF(ISNUMBER(deployment_raw[[#This Row],[Column20]]), IF(Q199&lt;&gt;0,deployment_raw[[#This Row],[Column20]]/IF(OR($E$2="Deployment",deployment_raw[[#This Row],[Column5]]=0),1,deployment_raw[[#This Row],[Column5]])/1048576/Q199,0),"")</f>
        <v/>
      </c>
      <c r="Q199" s="76" t="str">
        <f>IF(ISNUMBER(deployment_raw[[#This Row],[Column9]]), (deployment_raw[[#This Row],[Column9]] * IF($E$2="Deployment",deployment_raw[[#This Row],[Column5]],1))/1048576,"")</f>
        <v/>
      </c>
      <c r="R199" s="57" t="str">
        <f>IF(ISNUMBER(deployment_raw[[#This Row],[Column10]]), (deployment_raw[[#This Row],[Column10]] * IF($E$2="Deployment",deployment_raw[[#This Row],[Column5]],1)),"")</f>
        <v/>
      </c>
      <c r="S199" s="48" t="str">
        <f>IF(ISNUMBER(deployment_raw[[#This Row],[Column11]]), (deployment_raw[[#This Row],[Column11]] * IF($E$2="Deployment",deployment_raw[[#This Row],[Column5]],1))/1048576,"")</f>
        <v/>
      </c>
      <c r="T199" s="59" t="str">
        <f>IF(ISNUMBER(deployment_raw[[#This Row],[Column8]]),IF(OR(deployment_raw[[#This Row],[Column5]] &lt;&gt; 0,$E$2 &lt;&gt; "Deployment"), MAX(V199, ($T$2 * IF($E$2="Deployment",deployment_raw[[#This Row],[Column5]],1))), 0),"")</f>
        <v/>
      </c>
      <c r="U199" s="50" t="str">
        <f>IF(ISNUMBER(deployment_raw[[#This Row],[Column9]]),IF(OR(deployment_raw[[#This Row],[Column5]] &lt;&gt; 0,$E$2&lt;&gt;"Deployment"), MAX(W199, ($U$2 * IF($E$2="Deployment",deployment_raw[[#This Row],[Column5]],1))), 0),"")</f>
        <v/>
      </c>
      <c r="V199" s="15" t="str">
        <f>IF(ISNUMBER(deployment_raw[[#This Row],[Column12]]), (deployment_raw[[#This Row],[Column12]] * IF($E$2="Deployment",deployment_raw[[#This Row],[Column5]],1)*(1+$V$2)),"")</f>
        <v/>
      </c>
      <c r="W199" s="14" t="str">
        <f>IF(ISNUMBER(deployment_raw[[#This Row],[Column13]]), (deployment_raw[[#This Row],[Column13]] * IF($E$2="Deployment",deployment_raw[[#This Row],[Column5]],1)*(1+$W$2))/1048576,"")</f>
        <v/>
      </c>
    </row>
    <row r="200" spans="1:23" ht="15.75" customHeight="1" x14ac:dyDescent="0.25">
      <c r="A200" s="5" t="str">
        <f>IF(ISNONTEXT(deployment_raw[[#This Row],[Column1]]), "", deployment_raw[[#This Row],[Column1]])</f>
        <v/>
      </c>
      <c r="B200" s="6" t="str">
        <f>IF(ISNONTEXT(deployment_raw[[#This Row],[Column2]]), "", deployment_raw[[#This Row],[Column2]])</f>
        <v/>
      </c>
      <c r="C200" s="6" t="str">
        <f>IF(ISNONTEXT(deployment_raw[[#This Row],[Column3]]), "", deployment_raw[[#This Row],[Column3]])</f>
        <v/>
      </c>
      <c r="D200" s="6" t="str">
        <f>IF(ISNONTEXT(deployment_raw[[#This Row],[Column4]]), "", deployment_raw[[#This Row],[Column4]])</f>
        <v/>
      </c>
      <c r="E200" s="7" t="str">
        <f>IF(ISNUMBER(deployment_raw[[#This Row],[Column5]]), deployment_raw[[#This Row],[Column5]],"")</f>
        <v/>
      </c>
      <c r="F200" s="32" t="str">
        <f>IF(ISNUMBER(deployment_raw[[#This Row],[Column17]]), deployment_raw[[#This Row],[Column17]]/IF(OR($E$2="Deployment",deployment_raw[[#This Row],[Column5]]=0),1,deployment_raw[[#This Row],[Column5]]),"")</f>
        <v/>
      </c>
      <c r="G200" s="42" t="str">
        <f>IF(ISNUMBER(deployment_raw[[#This Row],[Column14]]), deployment_raw[[#This Row],[Column14]]/IF(OR($E$2="Deployment",deployment_raw[[#This Row],[Column5]]=0),1,deployment_raw[[#This Row],[Column5]]),"")</f>
        <v/>
      </c>
      <c r="H200" s="79" t="str">
        <f>IF(ISNUMBER(deployment_raw[[#This Row],[Column19]]), IF(I200&lt;&gt;0,(deployment_raw[[#This Row],[Column19]]/IF(OR($E$2="Deployment",deployment_raw[[#This Row],[Column5]]=0),1,deployment_raw[[#This Row],[Column5]]))/I200,0),"")</f>
        <v/>
      </c>
      <c r="I200" s="69" t="str">
        <f>IF(ISNUMBER(deployment_raw[[#This Row],[Column6]]), (deployment_raw[[#This Row],[Column6]] * IF($E$2="Deployment",deployment_raw[[#This Row],[Column5]],1)),"")</f>
        <v/>
      </c>
      <c r="J200" s="79" t="str">
        <f>IF(ISNUMBER(deployment_raw[[#This Row],[Column19]]), IF(K200&lt;&gt;0,(deployment_raw[[#This Row],[Column19]]/IF(OR($E$2="Deployment",deployment_raw[[#This Row],[Column5]]=0),1,deployment_raw[[#This Row],[Column5]]))/K200,0),"")</f>
        <v/>
      </c>
      <c r="K200" s="72" t="str">
        <f>IF(ISNUMBER(deployment_raw[[#This Row],[Column8]]), (deployment_raw[[#This Row],[Column8]]  * IF($E$2="Deployment",deployment_raw[[#This Row],[Column5]],1)),"")</f>
        <v/>
      </c>
      <c r="L20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0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00" s="81" t="str">
        <f>IF(ISNUMBER(deployment_raw[[#This Row],[Column20]]), IF(O200&lt;&gt;0,deployment_raw[[#This Row],[Column20]]/IF(OR($E$2="Deployment",deployment_raw[[#This Row],[Column5]]=0),1,deployment_raw[[#This Row],[Column5]])/1048576/O200,0),"")</f>
        <v/>
      </c>
      <c r="O200" s="74" t="str">
        <f>IF(ISNUMBER(deployment_raw[[#This Row],[Column7]]), (deployment_raw[[#This Row],[Column7]] * IF($E$2="Deployment",deployment_raw[[#This Row],[Column5]],1))/1048576,"")</f>
        <v/>
      </c>
      <c r="P200" s="81" t="str">
        <f>IF(ISNUMBER(deployment_raw[[#This Row],[Column20]]), IF(Q200&lt;&gt;0,deployment_raw[[#This Row],[Column20]]/IF(OR($E$2="Deployment",deployment_raw[[#This Row],[Column5]]=0),1,deployment_raw[[#This Row],[Column5]])/1048576/Q200,0),"")</f>
        <v/>
      </c>
      <c r="Q200" s="76" t="str">
        <f>IF(ISNUMBER(deployment_raw[[#This Row],[Column9]]), (deployment_raw[[#This Row],[Column9]] * IF($E$2="Deployment",deployment_raw[[#This Row],[Column5]],1))/1048576,"")</f>
        <v/>
      </c>
      <c r="R200" s="57" t="str">
        <f>IF(ISNUMBER(deployment_raw[[#This Row],[Column10]]), (deployment_raw[[#This Row],[Column10]] * IF($E$2="Deployment",deployment_raw[[#This Row],[Column5]],1)),"")</f>
        <v/>
      </c>
      <c r="S200" s="48" t="str">
        <f>IF(ISNUMBER(deployment_raw[[#This Row],[Column11]]), (deployment_raw[[#This Row],[Column11]] * IF($E$2="Deployment",deployment_raw[[#This Row],[Column5]],1))/1048576,"")</f>
        <v/>
      </c>
      <c r="T200" s="59" t="str">
        <f>IF(ISNUMBER(deployment_raw[[#This Row],[Column8]]),IF(OR(deployment_raw[[#This Row],[Column5]] &lt;&gt; 0,$E$2 &lt;&gt; "Deployment"), MAX(V200, ($T$2 * IF($E$2="Deployment",deployment_raw[[#This Row],[Column5]],1))), 0),"")</f>
        <v/>
      </c>
      <c r="U200" s="50" t="str">
        <f>IF(ISNUMBER(deployment_raw[[#This Row],[Column9]]),IF(OR(deployment_raw[[#This Row],[Column5]] &lt;&gt; 0,$E$2&lt;&gt;"Deployment"), MAX(W200, ($U$2 * IF($E$2="Deployment",deployment_raw[[#This Row],[Column5]],1))), 0),"")</f>
        <v/>
      </c>
      <c r="V200" s="15" t="str">
        <f>IF(ISNUMBER(deployment_raw[[#This Row],[Column12]]), (deployment_raw[[#This Row],[Column12]] * IF($E$2="Deployment",deployment_raw[[#This Row],[Column5]],1)*(1+$V$2)),"")</f>
        <v/>
      </c>
      <c r="W200" s="14" t="str">
        <f>IF(ISNUMBER(deployment_raw[[#This Row],[Column13]]), (deployment_raw[[#This Row],[Column13]] * IF($E$2="Deployment",deployment_raw[[#This Row],[Column5]],1)*(1+$W$2))/1048576,"")</f>
        <v/>
      </c>
    </row>
    <row r="201" spans="1:23" ht="15.75" customHeight="1" x14ac:dyDescent="0.25">
      <c r="A201" s="5" t="str">
        <f>IF(ISNONTEXT(deployment_raw[[#This Row],[Column1]]), "", deployment_raw[[#This Row],[Column1]])</f>
        <v/>
      </c>
      <c r="B201" s="6" t="str">
        <f>IF(ISNONTEXT(deployment_raw[[#This Row],[Column2]]), "", deployment_raw[[#This Row],[Column2]])</f>
        <v/>
      </c>
      <c r="C201" s="6" t="str">
        <f>IF(ISNONTEXT(deployment_raw[[#This Row],[Column3]]), "", deployment_raw[[#This Row],[Column3]])</f>
        <v/>
      </c>
      <c r="D201" s="6" t="str">
        <f>IF(ISNONTEXT(deployment_raw[[#This Row],[Column4]]), "", deployment_raw[[#This Row],[Column4]])</f>
        <v/>
      </c>
      <c r="E201" s="7" t="str">
        <f>IF(ISNUMBER(deployment_raw[[#This Row],[Column5]]), deployment_raw[[#This Row],[Column5]],"")</f>
        <v/>
      </c>
      <c r="F201" s="32" t="str">
        <f>IF(ISNUMBER(deployment_raw[[#This Row],[Column17]]), deployment_raw[[#This Row],[Column17]]/IF(OR($E$2="Deployment",deployment_raw[[#This Row],[Column5]]=0),1,deployment_raw[[#This Row],[Column5]]),"")</f>
        <v/>
      </c>
      <c r="G201" s="42" t="str">
        <f>IF(ISNUMBER(deployment_raw[[#This Row],[Column14]]), deployment_raw[[#This Row],[Column14]]/IF(OR($E$2="Deployment",deployment_raw[[#This Row],[Column5]]=0),1,deployment_raw[[#This Row],[Column5]]),"")</f>
        <v/>
      </c>
      <c r="H201" s="79" t="str">
        <f>IF(ISNUMBER(deployment_raw[[#This Row],[Column19]]), IF(I201&lt;&gt;0,(deployment_raw[[#This Row],[Column19]]/IF(OR($E$2="Deployment",deployment_raw[[#This Row],[Column5]]=0),1,deployment_raw[[#This Row],[Column5]]))/I201,0),"")</f>
        <v/>
      </c>
      <c r="I201" s="69" t="str">
        <f>IF(ISNUMBER(deployment_raw[[#This Row],[Column6]]), (deployment_raw[[#This Row],[Column6]] * IF($E$2="Deployment",deployment_raw[[#This Row],[Column5]],1)),"")</f>
        <v/>
      </c>
      <c r="J201" s="79" t="str">
        <f>IF(ISNUMBER(deployment_raw[[#This Row],[Column19]]), IF(K201&lt;&gt;0,(deployment_raw[[#This Row],[Column19]]/IF(OR($E$2="Deployment",deployment_raw[[#This Row],[Column5]]=0),1,deployment_raw[[#This Row],[Column5]]))/K201,0),"")</f>
        <v/>
      </c>
      <c r="K201" s="72" t="str">
        <f>IF(ISNUMBER(deployment_raw[[#This Row],[Column8]]), (deployment_raw[[#This Row],[Column8]]  * IF($E$2="Deployment",deployment_raw[[#This Row],[Column5]],1)),"")</f>
        <v/>
      </c>
      <c r="L20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0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01" s="81" t="str">
        <f>IF(ISNUMBER(deployment_raw[[#This Row],[Column20]]), IF(O201&lt;&gt;0,deployment_raw[[#This Row],[Column20]]/IF(OR($E$2="Deployment",deployment_raw[[#This Row],[Column5]]=0),1,deployment_raw[[#This Row],[Column5]])/1048576/O201,0),"")</f>
        <v/>
      </c>
      <c r="O201" s="74" t="str">
        <f>IF(ISNUMBER(deployment_raw[[#This Row],[Column7]]), (deployment_raw[[#This Row],[Column7]] * IF($E$2="Deployment",deployment_raw[[#This Row],[Column5]],1))/1048576,"")</f>
        <v/>
      </c>
      <c r="P201" s="81" t="str">
        <f>IF(ISNUMBER(deployment_raw[[#This Row],[Column20]]), IF(Q201&lt;&gt;0,deployment_raw[[#This Row],[Column20]]/IF(OR($E$2="Deployment",deployment_raw[[#This Row],[Column5]]=0),1,deployment_raw[[#This Row],[Column5]])/1048576/Q201,0),"")</f>
        <v/>
      </c>
      <c r="Q201" s="76" t="str">
        <f>IF(ISNUMBER(deployment_raw[[#This Row],[Column9]]), (deployment_raw[[#This Row],[Column9]] * IF($E$2="Deployment",deployment_raw[[#This Row],[Column5]],1))/1048576,"")</f>
        <v/>
      </c>
      <c r="R201" s="57" t="str">
        <f>IF(ISNUMBER(deployment_raw[[#This Row],[Column10]]), (deployment_raw[[#This Row],[Column10]] * IF($E$2="Deployment",deployment_raw[[#This Row],[Column5]],1)),"")</f>
        <v/>
      </c>
      <c r="S201" s="48" t="str">
        <f>IF(ISNUMBER(deployment_raw[[#This Row],[Column11]]), (deployment_raw[[#This Row],[Column11]] * IF($E$2="Deployment",deployment_raw[[#This Row],[Column5]],1))/1048576,"")</f>
        <v/>
      </c>
      <c r="T201" s="59" t="str">
        <f>IF(ISNUMBER(deployment_raw[[#This Row],[Column8]]),IF(OR(deployment_raw[[#This Row],[Column5]] &lt;&gt; 0,$E$2 &lt;&gt; "Deployment"), MAX(V201, ($T$2 * IF($E$2="Deployment",deployment_raw[[#This Row],[Column5]],1))), 0),"")</f>
        <v/>
      </c>
      <c r="U201" s="50" t="str">
        <f>IF(ISNUMBER(deployment_raw[[#This Row],[Column9]]),IF(OR(deployment_raw[[#This Row],[Column5]] &lt;&gt; 0,$E$2&lt;&gt;"Deployment"), MAX(W201, ($U$2 * IF($E$2="Deployment",deployment_raw[[#This Row],[Column5]],1))), 0),"")</f>
        <v/>
      </c>
      <c r="V201" s="15" t="str">
        <f>IF(ISNUMBER(deployment_raw[[#This Row],[Column12]]), (deployment_raw[[#This Row],[Column12]] * IF($E$2="Deployment",deployment_raw[[#This Row],[Column5]],1)*(1+$V$2)),"")</f>
        <v/>
      </c>
      <c r="W201" s="14" t="str">
        <f>IF(ISNUMBER(deployment_raw[[#This Row],[Column13]]), (deployment_raw[[#This Row],[Column13]] * IF($E$2="Deployment",deployment_raw[[#This Row],[Column5]],1)*(1+$W$2))/1048576,"")</f>
        <v/>
      </c>
    </row>
    <row r="202" spans="1:23" ht="15.75" customHeight="1" x14ac:dyDescent="0.25">
      <c r="A202" s="5" t="str">
        <f>IF(ISNONTEXT(deployment_raw[[#This Row],[Column1]]), "", deployment_raw[[#This Row],[Column1]])</f>
        <v/>
      </c>
      <c r="B202" s="6" t="str">
        <f>IF(ISNONTEXT(deployment_raw[[#This Row],[Column2]]), "", deployment_raw[[#This Row],[Column2]])</f>
        <v/>
      </c>
      <c r="C202" s="6" t="str">
        <f>IF(ISNONTEXT(deployment_raw[[#This Row],[Column3]]), "", deployment_raw[[#This Row],[Column3]])</f>
        <v/>
      </c>
      <c r="D202" s="6" t="str">
        <f>IF(ISNONTEXT(deployment_raw[[#This Row],[Column4]]), "", deployment_raw[[#This Row],[Column4]])</f>
        <v/>
      </c>
      <c r="E202" s="7" t="str">
        <f>IF(ISNUMBER(deployment_raw[[#This Row],[Column5]]), deployment_raw[[#This Row],[Column5]],"")</f>
        <v/>
      </c>
      <c r="F202" s="32" t="str">
        <f>IF(ISNUMBER(deployment_raw[[#This Row],[Column17]]), deployment_raw[[#This Row],[Column17]]/IF(OR($E$2="Deployment",deployment_raw[[#This Row],[Column5]]=0),1,deployment_raw[[#This Row],[Column5]]),"")</f>
        <v/>
      </c>
      <c r="G202" s="42" t="str">
        <f>IF(ISNUMBER(deployment_raw[[#This Row],[Column14]]), deployment_raw[[#This Row],[Column14]]/IF(OR($E$2="Deployment",deployment_raw[[#This Row],[Column5]]=0),1,deployment_raw[[#This Row],[Column5]]),"")</f>
        <v/>
      </c>
      <c r="H202" s="79" t="str">
        <f>IF(ISNUMBER(deployment_raw[[#This Row],[Column19]]), IF(I202&lt;&gt;0,(deployment_raw[[#This Row],[Column19]]/IF(OR($E$2="Deployment",deployment_raw[[#This Row],[Column5]]=0),1,deployment_raw[[#This Row],[Column5]]))/I202,0),"")</f>
        <v/>
      </c>
      <c r="I202" s="69" t="str">
        <f>IF(ISNUMBER(deployment_raw[[#This Row],[Column6]]), (deployment_raw[[#This Row],[Column6]] * IF($E$2="Deployment",deployment_raw[[#This Row],[Column5]],1)),"")</f>
        <v/>
      </c>
      <c r="J202" s="79" t="str">
        <f>IF(ISNUMBER(deployment_raw[[#This Row],[Column19]]), IF(K202&lt;&gt;0,(deployment_raw[[#This Row],[Column19]]/IF(OR($E$2="Deployment",deployment_raw[[#This Row],[Column5]]=0),1,deployment_raw[[#This Row],[Column5]]))/K202,0),"")</f>
        <v/>
      </c>
      <c r="K202" s="72" t="str">
        <f>IF(ISNUMBER(deployment_raw[[#This Row],[Column8]]), (deployment_raw[[#This Row],[Column8]]  * IF($E$2="Deployment",deployment_raw[[#This Row],[Column5]],1)),"")</f>
        <v/>
      </c>
      <c r="L20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0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02" s="81" t="str">
        <f>IF(ISNUMBER(deployment_raw[[#This Row],[Column20]]), IF(O202&lt;&gt;0,deployment_raw[[#This Row],[Column20]]/IF(OR($E$2="Deployment",deployment_raw[[#This Row],[Column5]]=0),1,deployment_raw[[#This Row],[Column5]])/1048576/O202,0),"")</f>
        <v/>
      </c>
      <c r="O202" s="74" t="str">
        <f>IF(ISNUMBER(deployment_raw[[#This Row],[Column7]]), (deployment_raw[[#This Row],[Column7]] * IF($E$2="Deployment",deployment_raw[[#This Row],[Column5]],1))/1048576,"")</f>
        <v/>
      </c>
      <c r="P202" s="81" t="str">
        <f>IF(ISNUMBER(deployment_raw[[#This Row],[Column20]]), IF(Q202&lt;&gt;0,deployment_raw[[#This Row],[Column20]]/IF(OR($E$2="Deployment",deployment_raw[[#This Row],[Column5]]=0),1,deployment_raw[[#This Row],[Column5]])/1048576/Q202,0),"")</f>
        <v/>
      </c>
      <c r="Q202" s="76" t="str">
        <f>IF(ISNUMBER(deployment_raw[[#This Row],[Column9]]), (deployment_raw[[#This Row],[Column9]] * IF($E$2="Deployment",deployment_raw[[#This Row],[Column5]],1))/1048576,"")</f>
        <v/>
      </c>
      <c r="R202" s="57" t="str">
        <f>IF(ISNUMBER(deployment_raw[[#This Row],[Column10]]), (deployment_raw[[#This Row],[Column10]] * IF($E$2="Deployment",deployment_raw[[#This Row],[Column5]],1)),"")</f>
        <v/>
      </c>
      <c r="S202" s="48" t="str">
        <f>IF(ISNUMBER(deployment_raw[[#This Row],[Column11]]), (deployment_raw[[#This Row],[Column11]] * IF($E$2="Deployment",deployment_raw[[#This Row],[Column5]],1))/1048576,"")</f>
        <v/>
      </c>
      <c r="T202" s="59" t="str">
        <f>IF(ISNUMBER(deployment_raw[[#This Row],[Column8]]),IF(OR(deployment_raw[[#This Row],[Column5]] &lt;&gt; 0,$E$2 &lt;&gt; "Deployment"), MAX(V202, ($T$2 * IF($E$2="Deployment",deployment_raw[[#This Row],[Column5]],1))), 0),"")</f>
        <v/>
      </c>
      <c r="U202" s="50" t="str">
        <f>IF(ISNUMBER(deployment_raw[[#This Row],[Column9]]),IF(OR(deployment_raw[[#This Row],[Column5]] &lt;&gt; 0,$E$2&lt;&gt;"Deployment"), MAX(W202, ($U$2 * IF($E$2="Deployment",deployment_raw[[#This Row],[Column5]],1))), 0),"")</f>
        <v/>
      </c>
      <c r="V202" s="15" t="str">
        <f>IF(ISNUMBER(deployment_raw[[#This Row],[Column12]]), (deployment_raw[[#This Row],[Column12]] * IF($E$2="Deployment",deployment_raw[[#This Row],[Column5]],1)*(1+$V$2)),"")</f>
        <v/>
      </c>
      <c r="W202" s="14" t="str">
        <f>IF(ISNUMBER(deployment_raw[[#This Row],[Column13]]), (deployment_raw[[#This Row],[Column13]] * IF($E$2="Deployment",deployment_raw[[#This Row],[Column5]],1)*(1+$W$2))/1048576,"")</f>
        <v/>
      </c>
    </row>
    <row r="203" spans="1:23" ht="15.75" customHeight="1" x14ac:dyDescent="0.25">
      <c r="A203" s="5" t="str">
        <f>IF(ISNONTEXT(deployment_raw[[#This Row],[Column1]]), "", deployment_raw[[#This Row],[Column1]])</f>
        <v/>
      </c>
      <c r="B203" s="6" t="str">
        <f>IF(ISNONTEXT(deployment_raw[[#This Row],[Column2]]), "", deployment_raw[[#This Row],[Column2]])</f>
        <v/>
      </c>
      <c r="C203" s="6" t="str">
        <f>IF(ISNONTEXT(deployment_raw[[#This Row],[Column3]]), "", deployment_raw[[#This Row],[Column3]])</f>
        <v/>
      </c>
      <c r="D203" s="6" t="str">
        <f>IF(ISNONTEXT(deployment_raw[[#This Row],[Column4]]), "", deployment_raw[[#This Row],[Column4]])</f>
        <v/>
      </c>
      <c r="E203" s="7" t="str">
        <f>IF(ISNUMBER(deployment_raw[[#This Row],[Column5]]), deployment_raw[[#This Row],[Column5]],"")</f>
        <v/>
      </c>
      <c r="F203" s="32" t="str">
        <f>IF(ISNUMBER(deployment_raw[[#This Row],[Column17]]), deployment_raw[[#This Row],[Column17]]/IF(OR($E$2="Deployment",deployment_raw[[#This Row],[Column5]]=0),1,deployment_raw[[#This Row],[Column5]]),"")</f>
        <v/>
      </c>
      <c r="G203" s="42" t="str">
        <f>IF(ISNUMBER(deployment_raw[[#This Row],[Column14]]), deployment_raw[[#This Row],[Column14]]/IF(OR($E$2="Deployment",deployment_raw[[#This Row],[Column5]]=0),1,deployment_raw[[#This Row],[Column5]]),"")</f>
        <v/>
      </c>
      <c r="H203" s="79" t="str">
        <f>IF(ISNUMBER(deployment_raw[[#This Row],[Column19]]), IF(I203&lt;&gt;0,(deployment_raw[[#This Row],[Column19]]/IF(OR($E$2="Deployment",deployment_raw[[#This Row],[Column5]]=0),1,deployment_raw[[#This Row],[Column5]]))/I203,0),"")</f>
        <v/>
      </c>
      <c r="I203" s="69" t="str">
        <f>IF(ISNUMBER(deployment_raw[[#This Row],[Column6]]), (deployment_raw[[#This Row],[Column6]] * IF($E$2="Deployment",deployment_raw[[#This Row],[Column5]],1)),"")</f>
        <v/>
      </c>
      <c r="J203" s="79" t="str">
        <f>IF(ISNUMBER(deployment_raw[[#This Row],[Column19]]), IF(K203&lt;&gt;0,(deployment_raw[[#This Row],[Column19]]/IF(OR($E$2="Deployment",deployment_raw[[#This Row],[Column5]]=0),1,deployment_raw[[#This Row],[Column5]]))/K203,0),"")</f>
        <v/>
      </c>
      <c r="K203" s="72" t="str">
        <f>IF(ISNUMBER(deployment_raw[[#This Row],[Column8]]), (deployment_raw[[#This Row],[Column8]]  * IF($E$2="Deployment",deployment_raw[[#This Row],[Column5]],1)),"")</f>
        <v/>
      </c>
      <c r="L20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0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03" s="81" t="str">
        <f>IF(ISNUMBER(deployment_raw[[#This Row],[Column20]]), IF(O203&lt;&gt;0,deployment_raw[[#This Row],[Column20]]/IF(OR($E$2="Deployment",deployment_raw[[#This Row],[Column5]]=0),1,deployment_raw[[#This Row],[Column5]])/1048576/O203,0),"")</f>
        <v/>
      </c>
      <c r="O203" s="74" t="str">
        <f>IF(ISNUMBER(deployment_raw[[#This Row],[Column7]]), (deployment_raw[[#This Row],[Column7]] * IF($E$2="Deployment",deployment_raw[[#This Row],[Column5]],1))/1048576,"")</f>
        <v/>
      </c>
      <c r="P203" s="81" t="str">
        <f>IF(ISNUMBER(deployment_raw[[#This Row],[Column20]]), IF(Q203&lt;&gt;0,deployment_raw[[#This Row],[Column20]]/IF(OR($E$2="Deployment",deployment_raw[[#This Row],[Column5]]=0),1,deployment_raw[[#This Row],[Column5]])/1048576/Q203,0),"")</f>
        <v/>
      </c>
      <c r="Q203" s="76" t="str">
        <f>IF(ISNUMBER(deployment_raw[[#This Row],[Column9]]), (deployment_raw[[#This Row],[Column9]] * IF($E$2="Deployment",deployment_raw[[#This Row],[Column5]],1))/1048576,"")</f>
        <v/>
      </c>
      <c r="R203" s="57" t="str">
        <f>IF(ISNUMBER(deployment_raw[[#This Row],[Column10]]), (deployment_raw[[#This Row],[Column10]] * IF($E$2="Deployment",deployment_raw[[#This Row],[Column5]],1)),"")</f>
        <v/>
      </c>
      <c r="S203" s="48" t="str">
        <f>IF(ISNUMBER(deployment_raw[[#This Row],[Column11]]), (deployment_raw[[#This Row],[Column11]] * IF($E$2="Deployment",deployment_raw[[#This Row],[Column5]],1))/1048576,"")</f>
        <v/>
      </c>
      <c r="T203" s="59" t="str">
        <f>IF(ISNUMBER(deployment_raw[[#This Row],[Column8]]),IF(OR(deployment_raw[[#This Row],[Column5]] &lt;&gt; 0,$E$2 &lt;&gt; "Deployment"), MAX(V203, ($T$2 * IF($E$2="Deployment",deployment_raw[[#This Row],[Column5]],1))), 0),"")</f>
        <v/>
      </c>
      <c r="U203" s="50" t="str">
        <f>IF(ISNUMBER(deployment_raw[[#This Row],[Column9]]),IF(OR(deployment_raw[[#This Row],[Column5]] &lt;&gt; 0,$E$2&lt;&gt;"Deployment"), MAX(W203, ($U$2 * IF($E$2="Deployment",deployment_raw[[#This Row],[Column5]],1))), 0),"")</f>
        <v/>
      </c>
      <c r="V203" s="15" t="str">
        <f>IF(ISNUMBER(deployment_raw[[#This Row],[Column12]]), (deployment_raw[[#This Row],[Column12]] * IF($E$2="Deployment",deployment_raw[[#This Row],[Column5]],1)*(1+$V$2)),"")</f>
        <v/>
      </c>
      <c r="W203" s="14" t="str">
        <f>IF(ISNUMBER(deployment_raw[[#This Row],[Column13]]), (deployment_raw[[#This Row],[Column13]] * IF($E$2="Deployment",deployment_raw[[#This Row],[Column5]],1)*(1+$W$2))/1048576,"")</f>
        <v/>
      </c>
    </row>
    <row r="204" spans="1:23" ht="15.75" customHeight="1" x14ac:dyDescent="0.25">
      <c r="A204" s="5" t="str">
        <f>IF(ISNONTEXT(deployment_raw[[#This Row],[Column1]]), "", deployment_raw[[#This Row],[Column1]])</f>
        <v/>
      </c>
      <c r="B204" s="6" t="str">
        <f>IF(ISNONTEXT(deployment_raw[[#This Row],[Column2]]), "", deployment_raw[[#This Row],[Column2]])</f>
        <v/>
      </c>
      <c r="C204" s="6" t="str">
        <f>IF(ISNONTEXT(deployment_raw[[#This Row],[Column3]]), "", deployment_raw[[#This Row],[Column3]])</f>
        <v/>
      </c>
      <c r="D204" s="6" t="str">
        <f>IF(ISNONTEXT(deployment_raw[[#This Row],[Column4]]), "", deployment_raw[[#This Row],[Column4]])</f>
        <v/>
      </c>
      <c r="E204" s="7" t="str">
        <f>IF(ISNUMBER(deployment_raw[[#This Row],[Column5]]), deployment_raw[[#This Row],[Column5]],"")</f>
        <v/>
      </c>
      <c r="F204" s="32" t="str">
        <f>IF(ISNUMBER(deployment_raw[[#This Row],[Column17]]), deployment_raw[[#This Row],[Column17]]/IF(OR($E$2="Deployment",deployment_raw[[#This Row],[Column5]]=0),1,deployment_raw[[#This Row],[Column5]]),"")</f>
        <v/>
      </c>
      <c r="G204" s="42" t="str">
        <f>IF(ISNUMBER(deployment_raw[[#This Row],[Column14]]), deployment_raw[[#This Row],[Column14]]/IF(OR($E$2="Deployment",deployment_raw[[#This Row],[Column5]]=0),1,deployment_raw[[#This Row],[Column5]]),"")</f>
        <v/>
      </c>
      <c r="H204" s="79" t="str">
        <f>IF(ISNUMBER(deployment_raw[[#This Row],[Column19]]), IF(I204&lt;&gt;0,(deployment_raw[[#This Row],[Column19]]/IF(OR($E$2="Deployment",deployment_raw[[#This Row],[Column5]]=0),1,deployment_raw[[#This Row],[Column5]]))/I204,0),"")</f>
        <v/>
      </c>
      <c r="I204" s="69" t="str">
        <f>IF(ISNUMBER(deployment_raw[[#This Row],[Column6]]), (deployment_raw[[#This Row],[Column6]] * IF($E$2="Deployment",deployment_raw[[#This Row],[Column5]],1)),"")</f>
        <v/>
      </c>
      <c r="J204" s="79" t="str">
        <f>IF(ISNUMBER(deployment_raw[[#This Row],[Column19]]), IF(K204&lt;&gt;0,(deployment_raw[[#This Row],[Column19]]/IF(OR($E$2="Deployment",deployment_raw[[#This Row],[Column5]]=0),1,deployment_raw[[#This Row],[Column5]]))/K204,0),"")</f>
        <v/>
      </c>
      <c r="K204" s="72" t="str">
        <f>IF(ISNUMBER(deployment_raw[[#This Row],[Column8]]), (deployment_raw[[#This Row],[Column8]]  * IF($E$2="Deployment",deployment_raw[[#This Row],[Column5]],1)),"")</f>
        <v/>
      </c>
      <c r="L20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0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04" s="81" t="str">
        <f>IF(ISNUMBER(deployment_raw[[#This Row],[Column20]]), IF(O204&lt;&gt;0,deployment_raw[[#This Row],[Column20]]/IF(OR($E$2="Deployment",deployment_raw[[#This Row],[Column5]]=0),1,deployment_raw[[#This Row],[Column5]])/1048576/O204,0),"")</f>
        <v/>
      </c>
      <c r="O204" s="74" t="str">
        <f>IF(ISNUMBER(deployment_raw[[#This Row],[Column7]]), (deployment_raw[[#This Row],[Column7]] * IF($E$2="Deployment",deployment_raw[[#This Row],[Column5]],1))/1048576,"")</f>
        <v/>
      </c>
      <c r="P204" s="81" t="str">
        <f>IF(ISNUMBER(deployment_raw[[#This Row],[Column20]]), IF(Q204&lt;&gt;0,deployment_raw[[#This Row],[Column20]]/IF(OR($E$2="Deployment",deployment_raw[[#This Row],[Column5]]=0),1,deployment_raw[[#This Row],[Column5]])/1048576/Q204,0),"")</f>
        <v/>
      </c>
      <c r="Q204" s="76" t="str">
        <f>IF(ISNUMBER(deployment_raw[[#This Row],[Column9]]), (deployment_raw[[#This Row],[Column9]] * IF($E$2="Deployment",deployment_raw[[#This Row],[Column5]],1))/1048576,"")</f>
        <v/>
      </c>
      <c r="R204" s="57" t="str">
        <f>IF(ISNUMBER(deployment_raw[[#This Row],[Column10]]), (deployment_raw[[#This Row],[Column10]] * IF($E$2="Deployment",deployment_raw[[#This Row],[Column5]],1)),"")</f>
        <v/>
      </c>
      <c r="S204" s="48" t="str">
        <f>IF(ISNUMBER(deployment_raw[[#This Row],[Column11]]), (deployment_raw[[#This Row],[Column11]] * IF($E$2="Deployment",deployment_raw[[#This Row],[Column5]],1))/1048576,"")</f>
        <v/>
      </c>
      <c r="T204" s="59" t="str">
        <f>IF(ISNUMBER(deployment_raw[[#This Row],[Column8]]),IF(OR(deployment_raw[[#This Row],[Column5]] &lt;&gt; 0,$E$2 &lt;&gt; "Deployment"), MAX(V204, ($T$2 * IF($E$2="Deployment",deployment_raw[[#This Row],[Column5]],1))), 0),"")</f>
        <v/>
      </c>
      <c r="U204" s="50" t="str">
        <f>IF(ISNUMBER(deployment_raw[[#This Row],[Column9]]),IF(OR(deployment_raw[[#This Row],[Column5]] &lt;&gt; 0,$E$2&lt;&gt;"Deployment"), MAX(W204, ($U$2 * IF($E$2="Deployment",deployment_raw[[#This Row],[Column5]],1))), 0),"")</f>
        <v/>
      </c>
      <c r="V204" s="15" t="str">
        <f>IF(ISNUMBER(deployment_raw[[#This Row],[Column12]]), (deployment_raw[[#This Row],[Column12]] * IF($E$2="Deployment",deployment_raw[[#This Row],[Column5]],1)*(1+$V$2)),"")</f>
        <v/>
      </c>
      <c r="W204" s="14" t="str">
        <f>IF(ISNUMBER(deployment_raw[[#This Row],[Column13]]), (deployment_raw[[#This Row],[Column13]] * IF($E$2="Deployment",deployment_raw[[#This Row],[Column5]],1)*(1+$W$2))/1048576,"")</f>
        <v/>
      </c>
    </row>
    <row r="205" spans="1:23" ht="15.75" customHeight="1" x14ac:dyDescent="0.25">
      <c r="A205" s="5" t="str">
        <f>IF(ISNONTEXT(deployment_raw[[#This Row],[Column1]]), "", deployment_raw[[#This Row],[Column1]])</f>
        <v/>
      </c>
      <c r="B205" s="6" t="str">
        <f>IF(ISNONTEXT(deployment_raw[[#This Row],[Column2]]), "", deployment_raw[[#This Row],[Column2]])</f>
        <v/>
      </c>
      <c r="C205" s="6" t="str">
        <f>IF(ISNONTEXT(deployment_raw[[#This Row],[Column3]]), "", deployment_raw[[#This Row],[Column3]])</f>
        <v/>
      </c>
      <c r="D205" s="6" t="str">
        <f>IF(ISNONTEXT(deployment_raw[[#This Row],[Column4]]), "", deployment_raw[[#This Row],[Column4]])</f>
        <v/>
      </c>
      <c r="E205" s="7" t="str">
        <f>IF(ISNUMBER(deployment_raw[[#This Row],[Column5]]), deployment_raw[[#This Row],[Column5]],"")</f>
        <v/>
      </c>
      <c r="F205" s="32" t="str">
        <f>IF(ISNUMBER(deployment_raw[[#This Row],[Column17]]), deployment_raw[[#This Row],[Column17]]/IF(OR($E$2="Deployment",deployment_raw[[#This Row],[Column5]]=0),1,deployment_raw[[#This Row],[Column5]]),"")</f>
        <v/>
      </c>
      <c r="G205" s="42" t="str">
        <f>IF(ISNUMBER(deployment_raw[[#This Row],[Column14]]), deployment_raw[[#This Row],[Column14]]/IF(OR($E$2="Deployment",deployment_raw[[#This Row],[Column5]]=0),1,deployment_raw[[#This Row],[Column5]]),"")</f>
        <v/>
      </c>
      <c r="H205" s="79" t="str">
        <f>IF(ISNUMBER(deployment_raw[[#This Row],[Column19]]), IF(I205&lt;&gt;0,(deployment_raw[[#This Row],[Column19]]/IF(OR($E$2="Deployment",deployment_raw[[#This Row],[Column5]]=0),1,deployment_raw[[#This Row],[Column5]]))/I205,0),"")</f>
        <v/>
      </c>
      <c r="I205" s="69" t="str">
        <f>IF(ISNUMBER(deployment_raw[[#This Row],[Column6]]), (deployment_raw[[#This Row],[Column6]] * IF($E$2="Deployment",deployment_raw[[#This Row],[Column5]],1)),"")</f>
        <v/>
      </c>
      <c r="J205" s="79" t="str">
        <f>IF(ISNUMBER(deployment_raw[[#This Row],[Column19]]), IF(K205&lt;&gt;0,(deployment_raw[[#This Row],[Column19]]/IF(OR($E$2="Deployment",deployment_raw[[#This Row],[Column5]]=0),1,deployment_raw[[#This Row],[Column5]]))/K205,0),"")</f>
        <v/>
      </c>
      <c r="K205" s="72" t="str">
        <f>IF(ISNUMBER(deployment_raw[[#This Row],[Column8]]), (deployment_raw[[#This Row],[Column8]]  * IF($E$2="Deployment",deployment_raw[[#This Row],[Column5]],1)),"")</f>
        <v/>
      </c>
      <c r="L20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0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05" s="81" t="str">
        <f>IF(ISNUMBER(deployment_raw[[#This Row],[Column20]]), IF(O205&lt;&gt;0,deployment_raw[[#This Row],[Column20]]/IF(OR($E$2="Deployment",deployment_raw[[#This Row],[Column5]]=0),1,deployment_raw[[#This Row],[Column5]])/1048576/O205,0),"")</f>
        <v/>
      </c>
      <c r="O205" s="74" t="str">
        <f>IF(ISNUMBER(deployment_raw[[#This Row],[Column7]]), (deployment_raw[[#This Row],[Column7]] * IF($E$2="Deployment",deployment_raw[[#This Row],[Column5]],1))/1048576,"")</f>
        <v/>
      </c>
      <c r="P205" s="81" t="str">
        <f>IF(ISNUMBER(deployment_raw[[#This Row],[Column20]]), IF(Q205&lt;&gt;0,deployment_raw[[#This Row],[Column20]]/IF(OR($E$2="Deployment",deployment_raw[[#This Row],[Column5]]=0),1,deployment_raw[[#This Row],[Column5]])/1048576/Q205,0),"")</f>
        <v/>
      </c>
      <c r="Q205" s="76" t="str">
        <f>IF(ISNUMBER(deployment_raw[[#This Row],[Column9]]), (deployment_raw[[#This Row],[Column9]] * IF($E$2="Deployment",deployment_raw[[#This Row],[Column5]],1))/1048576,"")</f>
        <v/>
      </c>
      <c r="R205" s="57" t="str">
        <f>IF(ISNUMBER(deployment_raw[[#This Row],[Column10]]), (deployment_raw[[#This Row],[Column10]] * IF($E$2="Deployment",deployment_raw[[#This Row],[Column5]],1)),"")</f>
        <v/>
      </c>
      <c r="S205" s="48" t="str">
        <f>IF(ISNUMBER(deployment_raw[[#This Row],[Column11]]), (deployment_raw[[#This Row],[Column11]] * IF($E$2="Deployment",deployment_raw[[#This Row],[Column5]],1))/1048576,"")</f>
        <v/>
      </c>
      <c r="T205" s="59" t="str">
        <f>IF(ISNUMBER(deployment_raw[[#This Row],[Column8]]),IF(OR(deployment_raw[[#This Row],[Column5]] &lt;&gt; 0,$E$2 &lt;&gt; "Deployment"), MAX(V205, ($T$2 * IF($E$2="Deployment",deployment_raw[[#This Row],[Column5]],1))), 0),"")</f>
        <v/>
      </c>
      <c r="U205" s="50" t="str">
        <f>IF(ISNUMBER(deployment_raw[[#This Row],[Column9]]),IF(OR(deployment_raw[[#This Row],[Column5]] &lt;&gt; 0,$E$2&lt;&gt;"Deployment"), MAX(W205, ($U$2 * IF($E$2="Deployment",deployment_raw[[#This Row],[Column5]],1))), 0),"")</f>
        <v/>
      </c>
      <c r="V205" s="15" t="str">
        <f>IF(ISNUMBER(deployment_raw[[#This Row],[Column12]]), (deployment_raw[[#This Row],[Column12]] * IF($E$2="Deployment",deployment_raw[[#This Row],[Column5]],1)*(1+$V$2)),"")</f>
        <v/>
      </c>
      <c r="W205" s="14" t="str">
        <f>IF(ISNUMBER(deployment_raw[[#This Row],[Column13]]), (deployment_raw[[#This Row],[Column13]] * IF($E$2="Deployment",deployment_raw[[#This Row],[Column5]],1)*(1+$W$2))/1048576,"")</f>
        <v/>
      </c>
    </row>
    <row r="206" spans="1:23" ht="15.75" customHeight="1" x14ac:dyDescent="0.25">
      <c r="A206" s="5" t="str">
        <f>IF(ISNONTEXT(deployment_raw[[#This Row],[Column1]]), "", deployment_raw[[#This Row],[Column1]])</f>
        <v/>
      </c>
      <c r="B206" s="6" t="str">
        <f>IF(ISNONTEXT(deployment_raw[[#This Row],[Column2]]), "", deployment_raw[[#This Row],[Column2]])</f>
        <v/>
      </c>
      <c r="C206" s="6" t="str">
        <f>IF(ISNONTEXT(deployment_raw[[#This Row],[Column3]]), "", deployment_raw[[#This Row],[Column3]])</f>
        <v/>
      </c>
      <c r="D206" s="6" t="str">
        <f>IF(ISNONTEXT(deployment_raw[[#This Row],[Column4]]), "", deployment_raw[[#This Row],[Column4]])</f>
        <v/>
      </c>
      <c r="E206" s="7" t="str">
        <f>IF(ISNUMBER(deployment_raw[[#This Row],[Column5]]), deployment_raw[[#This Row],[Column5]],"")</f>
        <v/>
      </c>
      <c r="F206" s="32" t="str">
        <f>IF(ISNUMBER(deployment_raw[[#This Row],[Column17]]), deployment_raw[[#This Row],[Column17]]/IF(OR($E$2="Deployment",deployment_raw[[#This Row],[Column5]]=0),1,deployment_raw[[#This Row],[Column5]]),"")</f>
        <v/>
      </c>
      <c r="G206" s="42" t="str">
        <f>IF(ISNUMBER(deployment_raw[[#This Row],[Column14]]), deployment_raw[[#This Row],[Column14]]/IF(OR($E$2="Deployment",deployment_raw[[#This Row],[Column5]]=0),1,deployment_raw[[#This Row],[Column5]]),"")</f>
        <v/>
      </c>
      <c r="H206" s="79" t="str">
        <f>IF(ISNUMBER(deployment_raw[[#This Row],[Column19]]), IF(I206&lt;&gt;0,(deployment_raw[[#This Row],[Column19]]/IF(OR($E$2="Deployment",deployment_raw[[#This Row],[Column5]]=0),1,deployment_raw[[#This Row],[Column5]]))/I206,0),"")</f>
        <v/>
      </c>
      <c r="I206" s="69" t="str">
        <f>IF(ISNUMBER(deployment_raw[[#This Row],[Column6]]), (deployment_raw[[#This Row],[Column6]] * IF($E$2="Deployment",deployment_raw[[#This Row],[Column5]],1)),"")</f>
        <v/>
      </c>
      <c r="J206" s="79" t="str">
        <f>IF(ISNUMBER(deployment_raw[[#This Row],[Column19]]), IF(K206&lt;&gt;0,(deployment_raw[[#This Row],[Column19]]/IF(OR($E$2="Deployment",deployment_raw[[#This Row],[Column5]]=0),1,deployment_raw[[#This Row],[Column5]]))/K206,0),"")</f>
        <v/>
      </c>
      <c r="K206" s="72" t="str">
        <f>IF(ISNUMBER(deployment_raw[[#This Row],[Column8]]), (deployment_raw[[#This Row],[Column8]]  * IF($E$2="Deployment",deployment_raw[[#This Row],[Column5]],1)),"")</f>
        <v/>
      </c>
      <c r="L20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0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06" s="81" t="str">
        <f>IF(ISNUMBER(deployment_raw[[#This Row],[Column20]]), IF(O206&lt;&gt;0,deployment_raw[[#This Row],[Column20]]/IF(OR($E$2="Deployment",deployment_raw[[#This Row],[Column5]]=0),1,deployment_raw[[#This Row],[Column5]])/1048576/O206,0),"")</f>
        <v/>
      </c>
      <c r="O206" s="74" t="str">
        <f>IF(ISNUMBER(deployment_raw[[#This Row],[Column7]]), (deployment_raw[[#This Row],[Column7]] * IF($E$2="Deployment",deployment_raw[[#This Row],[Column5]],1))/1048576,"")</f>
        <v/>
      </c>
      <c r="P206" s="81" t="str">
        <f>IF(ISNUMBER(deployment_raw[[#This Row],[Column20]]), IF(Q206&lt;&gt;0,deployment_raw[[#This Row],[Column20]]/IF(OR($E$2="Deployment",deployment_raw[[#This Row],[Column5]]=0),1,deployment_raw[[#This Row],[Column5]])/1048576/Q206,0),"")</f>
        <v/>
      </c>
      <c r="Q206" s="76" t="str">
        <f>IF(ISNUMBER(deployment_raw[[#This Row],[Column9]]), (deployment_raw[[#This Row],[Column9]] * IF($E$2="Deployment",deployment_raw[[#This Row],[Column5]],1))/1048576,"")</f>
        <v/>
      </c>
      <c r="R206" s="57" t="str">
        <f>IF(ISNUMBER(deployment_raw[[#This Row],[Column10]]), (deployment_raw[[#This Row],[Column10]] * IF($E$2="Deployment",deployment_raw[[#This Row],[Column5]],1)),"")</f>
        <v/>
      </c>
      <c r="S206" s="48" t="str">
        <f>IF(ISNUMBER(deployment_raw[[#This Row],[Column11]]), (deployment_raw[[#This Row],[Column11]] * IF($E$2="Deployment",deployment_raw[[#This Row],[Column5]],1))/1048576,"")</f>
        <v/>
      </c>
      <c r="T206" s="59" t="str">
        <f>IF(ISNUMBER(deployment_raw[[#This Row],[Column8]]),IF(OR(deployment_raw[[#This Row],[Column5]] &lt;&gt; 0,$E$2 &lt;&gt; "Deployment"), MAX(V206, ($T$2 * IF($E$2="Deployment",deployment_raw[[#This Row],[Column5]],1))), 0),"")</f>
        <v/>
      </c>
      <c r="U206" s="50" t="str">
        <f>IF(ISNUMBER(deployment_raw[[#This Row],[Column9]]),IF(OR(deployment_raw[[#This Row],[Column5]] &lt;&gt; 0,$E$2&lt;&gt;"Deployment"), MAX(W206, ($U$2 * IF($E$2="Deployment",deployment_raw[[#This Row],[Column5]],1))), 0),"")</f>
        <v/>
      </c>
      <c r="V206" s="15" t="str">
        <f>IF(ISNUMBER(deployment_raw[[#This Row],[Column12]]), (deployment_raw[[#This Row],[Column12]] * IF($E$2="Deployment",deployment_raw[[#This Row],[Column5]],1)*(1+$V$2)),"")</f>
        <v/>
      </c>
      <c r="W206" s="14" t="str">
        <f>IF(ISNUMBER(deployment_raw[[#This Row],[Column13]]), (deployment_raw[[#This Row],[Column13]] * IF($E$2="Deployment",deployment_raw[[#This Row],[Column5]],1)*(1+$W$2))/1048576,"")</f>
        <v/>
      </c>
    </row>
    <row r="207" spans="1:23" ht="15.75" customHeight="1" x14ac:dyDescent="0.25">
      <c r="A207" s="5" t="str">
        <f>IF(ISNONTEXT(deployment_raw[[#This Row],[Column1]]), "", deployment_raw[[#This Row],[Column1]])</f>
        <v/>
      </c>
      <c r="B207" s="6" t="str">
        <f>IF(ISNONTEXT(deployment_raw[[#This Row],[Column2]]), "", deployment_raw[[#This Row],[Column2]])</f>
        <v/>
      </c>
      <c r="C207" s="6" t="str">
        <f>IF(ISNONTEXT(deployment_raw[[#This Row],[Column3]]), "", deployment_raw[[#This Row],[Column3]])</f>
        <v/>
      </c>
      <c r="D207" s="6" t="str">
        <f>IF(ISNONTEXT(deployment_raw[[#This Row],[Column4]]), "", deployment_raw[[#This Row],[Column4]])</f>
        <v/>
      </c>
      <c r="E207" s="7" t="str">
        <f>IF(ISNUMBER(deployment_raw[[#This Row],[Column5]]), deployment_raw[[#This Row],[Column5]],"")</f>
        <v/>
      </c>
      <c r="F207" s="32" t="str">
        <f>IF(ISNUMBER(deployment_raw[[#This Row],[Column17]]), deployment_raw[[#This Row],[Column17]]/IF(OR($E$2="Deployment",deployment_raw[[#This Row],[Column5]]=0),1,deployment_raw[[#This Row],[Column5]]),"")</f>
        <v/>
      </c>
      <c r="G207" s="42" t="str">
        <f>IF(ISNUMBER(deployment_raw[[#This Row],[Column14]]), deployment_raw[[#This Row],[Column14]]/IF(OR($E$2="Deployment",deployment_raw[[#This Row],[Column5]]=0),1,deployment_raw[[#This Row],[Column5]]),"")</f>
        <v/>
      </c>
      <c r="H207" s="79" t="str">
        <f>IF(ISNUMBER(deployment_raw[[#This Row],[Column19]]), IF(I207&lt;&gt;0,(deployment_raw[[#This Row],[Column19]]/IF(OR($E$2="Deployment",deployment_raw[[#This Row],[Column5]]=0),1,deployment_raw[[#This Row],[Column5]]))/I207,0),"")</f>
        <v/>
      </c>
      <c r="I207" s="69" t="str">
        <f>IF(ISNUMBER(deployment_raw[[#This Row],[Column6]]), (deployment_raw[[#This Row],[Column6]] * IF($E$2="Deployment",deployment_raw[[#This Row],[Column5]],1)),"")</f>
        <v/>
      </c>
      <c r="J207" s="79" t="str">
        <f>IF(ISNUMBER(deployment_raw[[#This Row],[Column19]]), IF(K207&lt;&gt;0,(deployment_raw[[#This Row],[Column19]]/IF(OR($E$2="Deployment",deployment_raw[[#This Row],[Column5]]=0),1,deployment_raw[[#This Row],[Column5]]))/K207,0),"")</f>
        <v/>
      </c>
      <c r="K207" s="72" t="str">
        <f>IF(ISNUMBER(deployment_raw[[#This Row],[Column8]]), (deployment_raw[[#This Row],[Column8]]  * IF($E$2="Deployment",deployment_raw[[#This Row],[Column5]],1)),"")</f>
        <v/>
      </c>
      <c r="L20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0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07" s="81" t="str">
        <f>IF(ISNUMBER(deployment_raw[[#This Row],[Column20]]), IF(O207&lt;&gt;0,deployment_raw[[#This Row],[Column20]]/IF(OR($E$2="Deployment",deployment_raw[[#This Row],[Column5]]=0),1,deployment_raw[[#This Row],[Column5]])/1048576/O207,0),"")</f>
        <v/>
      </c>
      <c r="O207" s="74" t="str">
        <f>IF(ISNUMBER(deployment_raw[[#This Row],[Column7]]), (deployment_raw[[#This Row],[Column7]] * IF($E$2="Deployment",deployment_raw[[#This Row],[Column5]],1))/1048576,"")</f>
        <v/>
      </c>
      <c r="P207" s="81" t="str">
        <f>IF(ISNUMBER(deployment_raw[[#This Row],[Column20]]), IF(Q207&lt;&gt;0,deployment_raw[[#This Row],[Column20]]/IF(OR($E$2="Deployment",deployment_raw[[#This Row],[Column5]]=0),1,deployment_raw[[#This Row],[Column5]])/1048576/Q207,0),"")</f>
        <v/>
      </c>
      <c r="Q207" s="76" t="str">
        <f>IF(ISNUMBER(deployment_raw[[#This Row],[Column9]]), (deployment_raw[[#This Row],[Column9]] * IF($E$2="Deployment",deployment_raw[[#This Row],[Column5]],1))/1048576,"")</f>
        <v/>
      </c>
      <c r="R207" s="57" t="str">
        <f>IF(ISNUMBER(deployment_raw[[#This Row],[Column10]]), (deployment_raw[[#This Row],[Column10]] * IF($E$2="Deployment",deployment_raw[[#This Row],[Column5]],1)),"")</f>
        <v/>
      </c>
      <c r="S207" s="48" t="str">
        <f>IF(ISNUMBER(deployment_raw[[#This Row],[Column11]]), (deployment_raw[[#This Row],[Column11]] * IF($E$2="Deployment",deployment_raw[[#This Row],[Column5]],1))/1048576,"")</f>
        <v/>
      </c>
      <c r="T207" s="59" t="str">
        <f>IF(ISNUMBER(deployment_raw[[#This Row],[Column8]]),IF(OR(deployment_raw[[#This Row],[Column5]] &lt;&gt; 0,$E$2 &lt;&gt; "Deployment"), MAX(V207, ($T$2 * IF($E$2="Deployment",deployment_raw[[#This Row],[Column5]],1))), 0),"")</f>
        <v/>
      </c>
      <c r="U207" s="50" t="str">
        <f>IF(ISNUMBER(deployment_raw[[#This Row],[Column9]]),IF(OR(deployment_raw[[#This Row],[Column5]] &lt;&gt; 0,$E$2&lt;&gt;"Deployment"), MAX(W207, ($U$2 * IF($E$2="Deployment",deployment_raw[[#This Row],[Column5]],1))), 0),"")</f>
        <v/>
      </c>
      <c r="V207" s="15" t="str">
        <f>IF(ISNUMBER(deployment_raw[[#This Row],[Column12]]), (deployment_raw[[#This Row],[Column12]] * IF($E$2="Deployment",deployment_raw[[#This Row],[Column5]],1)*(1+$V$2)),"")</f>
        <v/>
      </c>
      <c r="W207" s="14" t="str">
        <f>IF(ISNUMBER(deployment_raw[[#This Row],[Column13]]), (deployment_raw[[#This Row],[Column13]] * IF($E$2="Deployment",deployment_raw[[#This Row],[Column5]],1)*(1+$W$2))/1048576,"")</f>
        <v/>
      </c>
    </row>
    <row r="208" spans="1:23" ht="15.75" customHeight="1" x14ac:dyDescent="0.25">
      <c r="A208" s="5" t="str">
        <f>IF(ISNONTEXT(deployment_raw[[#This Row],[Column1]]), "", deployment_raw[[#This Row],[Column1]])</f>
        <v/>
      </c>
      <c r="B208" s="6" t="str">
        <f>IF(ISNONTEXT(deployment_raw[[#This Row],[Column2]]), "", deployment_raw[[#This Row],[Column2]])</f>
        <v/>
      </c>
      <c r="C208" s="6" t="str">
        <f>IF(ISNONTEXT(deployment_raw[[#This Row],[Column3]]), "", deployment_raw[[#This Row],[Column3]])</f>
        <v/>
      </c>
      <c r="D208" s="6" t="str">
        <f>IF(ISNONTEXT(deployment_raw[[#This Row],[Column4]]), "", deployment_raw[[#This Row],[Column4]])</f>
        <v/>
      </c>
      <c r="E208" s="7" t="str">
        <f>IF(ISNUMBER(deployment_raw[[#This Row],[Column5]]), deployment_raw[[#This Row],[Column5]],"")</f>
        <v/>
      </c>
      <c r="F208" s="32" t="str">
        <f>IF(ISNUMBER(deployment_raw[[#This Row],[Column17]]), deployment_raw[[#This Row],[Column17]]/IF(OR($E$2="Deployment",deployment_raw[[#This Row],[Column5]]=0),1,deployment_raw[[#This Row],[Column5]]),"")</f>
        <v/>
      </c>
      <c r="G208" s="42" t="str">
        <f>IF(ISNUMBER(deployment_raw[[#This Row],[Column14]]), deployment_raw[[#This Row],[Column14]]/IF(OR($E$2="Deployment",deployment_raw[[#This Row],[Column5]]=0),1,deployment_raw[[#This Row],[Column5]]),"")</f>
        <v/>
      </c>
      <c r="H208" s="79" t="str">
        <f>IF(ISNUMBER(deployment_raw[[#This Row],[Column19]]), IF(I208&lt;&gt;0,(deployment_raw[[#This Row],[Column19]]/IF(OR($E$2="Deployment",deployment_raw[[#This Row],[Column5]]=0),1,deployment_raw[[#This Row],[Column5]]))/I208,0),"")</f>
        <v/>
      </c>
      <c r="I208" s="69" t="str">
        <f>IF(ISNUMBER(deployment_raw[[#This Row],[Column6]]), (deployment_raw[[#This Row],[Column6]] * IF($E$2="Deployment",deployment_raw[[#This Row],[Column5]],1)),"")</f>
        <v/>
      </c>
      <c r="J208" s="79" t="str">
        <f>IF(ISNUMBER(deployment_raw[[#This Row],[Column19]]), IF(K208&lt;&gt;0,(deployment_raw[[#This Row],[Column19]]/IF(OR($E$2="Deployment",deployment_raw[[#This Row],[Column5]]=0),1,deployment_raw[[#This Row],[Column5]]))/K208,0),"")</f>
        <v/>
      </c>
      <c r="K208" s="72" t="str">
        <f>IF(ISNUMBER(deployment_raw[[#This Row],[Column8]]), (deployment_raw[[#This Row],[Column8]]  * IF($E$2="Deployment",deployment_raw[[#This Row],[Column5]],1)),"")</f>
        <v/>
      </c>
      <c r="L20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0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08" s="81" t="str">
        <f>IF(ISNUMBER(deployment_raw[[#This Row],[Column20]]), IF(O208&lt;&gt;0,deployment_raw[[#This Row],[Column20]]/IF(OR($E$2="Deployment",deployment_raw[[#This Row],[Column5]]=0),1,deployment_raw[[#This Row],[Column5]])/1048576/O208,0),"")</f>
        <v/>
      </c>
      <c r="O208" s="74" t="str">
        <f>IF(ISNUMBER(deployment_raw[[#This Row],[Column7]]), (deployment_raw[[#This Row],[Column7]] * IF($E$2="Deployment",deployment_raw[[#This Row],[Column5]],1))/1048576,"")</f>
        <v/>
      </c>
      <c r="P208" s="81" t="str">
        <f>IF(ISNUMBER(deployment_raw[[#This Row],[Column20]]), IF(Q208&lt;&gt;0,deployment_raw[[#This Row],[Column20]]/IF(OR($E$2="Deployment",deployment_raw[[#This Row],[Column5]]=0),1,deployment_raw[[#This Row],[Column5]])/1048576/Q208,0),"")</f>
        <v/>
      </c>
      <c r="Q208" s="76" t="str">
        <f>IF(ISNUMBER(deployment_raw[[#This Row],[Column9]]), (deployment_raw[[#This Row],[Column9]] * IF($E$2="Deployment",deployment_raw[[#This Row],[Column5]],1))/1048576,"")</f>
        <v/>
      </c>
      <c r="R208" s="57" t="str">
        <f>IF(ISNUMBER(deployment_raw[[#This Row],[Column10]]), (deployment_raw[[#This Row],[Column10]] * IF($E$2="Deployment",deployment_raw[[#This Row],[Column5]],1)),"")</f>
        <v/>
      </c>
      <c r="S208" s="48" t="str">
        <f>IF(ISNUMBER(deployment_raw[[#This Row],[Column11]]), (deployment_raw[[#This Row],[Column11]] * IF($E$2="Deployment",deployment_raw[[#This Row],[Column5]],1))/1048576,"")</f>
        <v/>
      </c>
      <c r="T208" s="59" t="str">
        <f>IF(ISNUMBER(deployment_raw[[#This Row],[Column8]]),IF(OR(deployment_raw[[#This Row],[Column5]] &lt;&gt; 0,$E$2 &lt;&gt; "Deployment"), MAX(V208, ($T$2 * IF($E$2="Deployment",deployment_raw[[#This Row],[Column5]],1))), 0),"")</f>
        <v/>
      </c>
      <c r="U208" s="50" t="str">
        <f>IF(ISNUMBER(deployment_raw[[#This Row],[Column9]]),IF(OR(deployment_raw[[#This Row],[Column5]] &lt;&gt; 0,$E$2&lt;&gt;"Deployment"), MAX(W208, ($U$2 * IF($E$2="Deployment",deployment_raw[[#This Row],[Column5]],1))), 0),"")</f>
        <v/>
      </c>
      <c r="V208" s="15" t="str">
        <f>IF(ISNUMBER(deployment_raw[[#This Row],[Column12]]), (deployment_raw[[#This Row],[Column12]] * IF($E$2="Deployment",deployment_raw[[#This Row],[Column5]],1)*(1+$V$2)),"")</f>
        <v/>
      </c>
      <c r="W208" s="14" t="str">
        <f>IF(ISNUMBER(deployment_raw[[#This Row],[Column13]]), (deployment_raw[[#This Row],[Column13]] * IF($E$2="Deployment",deployment_raw[[#This Row],[Column5]],1)*(1+$W$2))/1048576,"")</f>
        <v/>
      </c>
    </row>
    <row r="209" spans="1:23" ht="15.75" customHeight="1" x14ac:dyDescent="0.25">
      <c r="A209" s="5" t="str">
        <f>IF(ISNONTEXT(deployment_raw[[#This Row],[Column1]]), "", deployment_raw[[#This Row],[Column1]])</f>
        <v/>
      </c>
      <c r="B209" s="6" t="str">
        <f>IF(ISNONTEXT(deployment_raw[[#This Row],[Column2]]), "", deployment_raw[[#This Row],[Column2]])</f>
        <v/>
      </c>
      <c r="C209" s="6" t="str">
        <f>IF(ISNONTEXT(deployment_raw[[#This Row],[Column3]]), "", deployment_raw[[#This Row],[Column3]])</f>
        <v/>
      </c>
      <c r="D209" s="6" t="str">
        <f>IF(ISNONTEXT(deployment_raw[[#This Row],[Column4]]), "", deployment_raw[[#This Row],[Column4]])</f>
        <v/>
      </c>
      <c r="E209" s="7" t="str">
        <f>IF(ISNUMBER(deployment_raw[[#This Row],[Column5]]), deployment_raw[[#This Row],[Column5]],"")</f>
        <v/>
      </c>
      <c r="F209" s="32" t="str">
        <f>IF(ISNUMBER(deployment_raw[[#This Row],[Column17]]), deployment_raw[[#This Row],[Column17]]/IF(OR($E$2="Deployment",deployment_raw[[#This Row],[Column5]]=0),1,deployment_raw[[#This Row],[Column5]]),"")</f>
        <v/>
      </c>
      <c r="G209" s="42" t="str">
        <f>IF(ISNUMBER(deployment_raw[[#This Row],[Column14]]), deployment_raw[[#This Row],[Column14]]/IF(OR($E$2="Deployment",deployment_raw[[#This Row],[Column5]]=0),1,deployment_raw[[#This Row],[Column5]]),"")</f>
        <v/>
      </c>
      <c r="H209" s="79" t="str">
        <f>IF(ISNUMBER(deployment_raw[[#This Row],[Column19]]), IF(I209&lt;&gt;0,(deployment_raw[[#This Row],[Column19]]/IF(OR($E$2="Deployment",deployment_raw[[#This Row],[Column5]]=0),1,deployment_raw[[#This Row],[Column5]]))/I209,0),"")</f>
        <v/>
      </c>
      <c r="I209" s="69" t="str">
        <f>IF(ISNUMBER(deployment_raw[[#This Row],[Column6]]), (deployment_raw[[#This Row],[Column6]] * IF($E$2="Deployment",deployment_raw[[#This Row],[Column5]],1)),"")</f>
        <v/>
      </c>
      <c r="J209" s="79" t="str">
        <f>IF(ISNUMBER(deployment_raw[[#This Row],[Column19]]), IF(K209&lt;&gt;0,(deployment_raw[[#This Row],[Column19]]/IF(OR($E$2="Deployment",deployment_raw[[#This Row],[Column5]]=0),1,deployment_raw[[#This Row],[Column5]]))/K209,0),"")</f>
        <v/>
      </c>
      <c r="K209" s="72" t="str">
        <f>IF(ISNUMBER(deployment_raw[[#This Row],[Column8]]), (deployment_raw[[#This Row],[Column8]]  * IF($E$2="Deployment",deployment_raw[[#This Row],[Column5]],1)),"")</f>
        <v/>
      </c>
      <c r="L20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0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09" s="81" t="str">
        <f>IF(ISNUMBER(deployment_raw[[#This Row],[Column20]]), IF(O209&lt;&gt;0,deployment_raw[[#This Row],[Column20]]/IF(OR($E$2="Deployment",deployment_raw[[#This Row],[Column5]]=0),1,deployment_raw[[#This Row],[Column5]])/1048576/O209,0),"")</f>
        <v/>
      </c>
      <c r="O209" s="74" t="str">
        <f>IF(ISNUMBER(deployment_raw[[#This Row],[Column7]]), (deployment_raw[[#This Row],[Column7]] * IF($E$2="Deployment",deployment_raw[[#This Row],[Column5]],1))/1048576,"")</f>
        <v/>
      </c>
      <c r="P209" s="81" t="str">
        <f>IF(ISNUMBER(deployment_raw[[#This Row],[Column20]]), IF(Q209&lt;&gt;0,deployment_raw[[#This Row],[Column20]]/IF(OR($E$2="Deployment",deployment_raw[[#This Row],[Column5]]=0),1,deployment_raw[[#This Row],[Column5]])/1048576/Q209,0),"")</f>
        <v/>
      </c>
      <c r="Q209" s="76" t="str">
        <f>IF(ISNUMBER(deployment_raw[[#This Row],[Column9]]), (deployment_raw[[#This Row],[Column9]] * IF($E$2="Deployment",deployment_raw[[#This Row],[Column5]],1))/1048576,"")</f>
        <v/>
      </c>
      <c r="R209" s="57" t="str">
        <f>IF(ISNUMBER(deployment_raw[[#This Row],[Column10]]), (deployment_raw[[#This Row],[Column10]] * IF($E$2="Deployment",deployment_raw[[#This Row],[Column5]],1)),"")</f>
        <v/>
      </c>
      <c r="S209" s="48" t="str">
        <f>IF(ISNUMBER(deployment_raw[[#This Row],[Column11]]), (deployment_raw[[#This Row],[Column11]] * IF($E$2="Deployment",deployment_raw[[#This Row],[Column5]],1))/1048576,"")</f>
        <v/>
      </c>
      <c r="T209" s="59" t="str">
        <f>IF(ISNUMBER(deployment_raw[[#This Row],[Column8]]),IF(OR(deployment_raw[[#This Row],[Column5]] &lt;&gt; 0,$E$2 &lt;&gt; "Deployment"), MAX(V209, ($T$2 * IF($E$2="Deployment",deployment_raw[[#This Row],[Column5]],1))), 0),"")</f>
        <v/>
      </c>
      <c r="U209" s="50" t="str">
        <f>IF(ISNUMBER(deployment_raw[[#This Row],[Column9]]),IF(OR(deployment_raw[[#This Row],[Column5]] &lt;&gt; 0,$E$2&lt;&gt;"Deployment"), MAX(W209, ($U$2 * IF($E$2="Deployment",deployment_raw[[#This Row],[Column5]],1))), 0),"")</f>
        <v/>
      </c>
      <c r="V209" s="15" t="str">
        <f>IF(ISNUMBER(deployment_raw[[#This Row],[Column12]]), (deployment_raw[[#This Row],[Column12]] * IF($E$2="Deployment",deployment_raw[[#This Row],[Column5]],1)*(1+$V$2)),"")</f>
        <v/>
      </c>
      <c r="W209" s="14" t="str">
        <f>IF(ISNUMBER(deployment_raw[[#This Row],[Column13]]), (deployment_raw[[#This Row],[Column13]] * IF($E$2="Deployment",deployment_raw[[#This Row],[Column5]],1)*(1+$W$2))/1048576,"")</f>
        <v/>
      </c>
    </row>
    <row r="210" spans="1:23" ht="15.75" customHeight="1" x14ac:dyDescent="0.25">
      <c r="A210" s="5" t="str">
        <f>IF(ISNONTEXT(deployment_raw[[#This Row],[Column1]]), "", deployment_raw[[#This Row],[Column1]])</f>
        <v/>
      </c>
      <c r="B210" s="6" t="str">
        <f>IF(ISNONTEXT(deployment_raw[[#This Row],[Column2]]), "", deployment_raw[[#This Row],[Column2]])</f>
        <v/>
      </c>
      <c r="C210" s="6" t="str">
        <f>IF(ISNONTEXT(deployment_raw[[#This Row],[Column3]]), "", deployment_raw[[#This Row],[Column3]])</f>
        <v/>
      </c>
      <c r="D210" s="6" t="str">
        <f>IF(ISNONTEXT(deployment_raw[[#This Row],[Column4]]), "", deployment_raw[[#This Row],[Column4]])</f>
        <v/>
      </c>
      <c r="E210" s="7" t="str">
        <f>IF(ISNUMBER(deployment_raw[[#This Row],[Column5]]), deployment_raw[[#This Row],[Column5]],"")</f>
        <v/>
      </c>
      <c r="F210" s="32" t="str">
        <f>IF(ISNUMBER(deployment_raw[[#This Row],[Column17]]), deployment_raw[[#This Row],[Column17]]/IF(OR($E$2="Deployment",deployment_raw[[#This Row],[Column5]]=0),1,deployment_raw[[#This Row],[Column5]]),"")</f>
        <v/>
      </c>
      <c r="G210" s="42" t="str">
        <f>IF(ISNUMBER(deployment_raw[[#This Row],[Column14]]), deployment_raw[[#This Row],[Column14]]/IF(OR($E$2="Deployment",deployment_raw[[#This Row],[Column5]]=0),1,deployment_raw[[#This Row],[Column5]]),"")</f>
        <v/>
      </c>
      <c r="H210" s="79" t="str">
        <f>IF(ISNUMBER(deployment_raw[[#This Row],[Column19]]), IF(I210&lt;&gt;0,(deployment_raw[[#This Row],[Column19]]/IF(OR($E$2="Deployment",deployment_raw[[#This Row],[Column5]]=0),1,deployment_raw[[#This Row],[Column5]]))/I210,0),"")</f>
        <v/>
      </c>
      <c r="I210" s="69" t="str">
        <f>IF(ISNUMBER(deployment_raw[[#This Row],[Column6]]), (deployment_raw[[#This Row],[Column6]] * IF($E$2="Deployment",deployment_raw[[#This Row],[Column5]],1)),"")</f>
        <v/>
      </c>
      <c r="J210" s="79" t="str">
        <f>IF(ISNUMBER(deployment_raw[[#This Row],[Column19]]), IF(K210&lt;&gt;0,(deployment_raw[[#This Row],[Column19]]/IF(OR($E$2="Deployment",deployment_raw[[#This Row],[Column5]]=0),1,deployment_raw[[#This Row],[Column5]]))/K210,0),"")</f>
        <v/>
      </c>
      <c r="K210" s="72" t="str">
        <f>IF(ISNUMBER(deployment_raw[[#This Row],[Column8]]), (deployment_raw[[#This Row],[Column8]]  * IF($E$2="Deployment",deployment_raw[[#This Row],[Column5]],1)),"")</f>
        <v/>
      </c>
      <c r="L21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1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10" s="81" t="str">
        <f>IF(ISNUMBER(deployment_raw[[#This Row],[Column20]]), IF(O210&lt;&gt;0,deployment_raw[[#This Row],[Column20]]/IF(OR($E$2="Deployment",deployment_raw[[#This Row],[Column5]]=0),1,deployment_raw[[#This Row],[Column5]])/1048576/O210,0),"")</f>
        <v/>
      </c>
      <c r="O210" s="74" t="str">
        <f>IF(ISNUMBER(deployment_raw[[#This Row],[Column7]]), (deployment_raw[[#This Row],[Column7]] * IF($E$2="Deployment",deployment_raw[[#This Row],[Column5]],1))/1048576,"")</f>
        <v/>
      </c>
      <c r="P210" s="81" t="str">
        <f>IF(ISNUMBER(deployment_raw[[#This Row],[Column20]]), IF(Q210&lt;&gt;0,deployment_raw[[#This Row],[Column20]]/IF(OR($E$2="Deployment",deployment_raw[[#This Row],[Column5]]=0),1,deployment_raw[[#This Row],[Column5]])/1048576/Q210,0),"")</f>
        <v/>
      </c>
      <c r="Q210" s="76" t="str">
        <f>IF(ISNUMBER(deployment_raw[[#This Row],[Column9]]), (deployment_raw[[#This Row],[Column9]] * IF($E$2="Deployment",deployment_raw[[#This Row],[Column5]],1))/1048576,"")</f>
        <v/>
      </c>
      <c r="R210" s="57" t="str">
        <f>IF(ISNUMBER(deployment_raw[[#This Row],[Column10]]), (deployment_raw[[#This Row],[Column10]] * IF($E$2="Deployment",deployment_raw[[#This Row],[Column5]],1)),"")</f>
        <v/>
      </c>
      <c r="S210" s="48" t="str">
        <f>IF(ISNUMBER(deployment_raw[[#This Row],[Column11]]), (deployment_raw[[#This Row],[Column11]] * IF($E$2="Deployment",deployment_raw[[#This Row],[Column5]],1))/1048576,"")</f>
        <v/>
      </c>
      <c r="T210" s="59" t="str">
        <f>IF(ISNUMBER(deployment_raw[[#This Row],[Column8]]),IF(OR(deployment_raw[[#This Row],[Column5]] &lt;&gt; 0,$E$2 &lt;&gt; "Deployment"), MAX(V210, ($T$2 * IF($E$2="Deployment",deployment_raw[[#This Row],[Column5]],1))), 0),"")</f>
        <v/>
      </c>
      <c r="U210" s="50" t="str">
        <f>IF(ISNUMBER(deployment_raw[[#This Row],[Column9]]),IF(OR(deployment_raw[[#This Row],[Column5]] &lt;&gt; 0,$E$2&lt;&gt;"Deployment"), MAX(W210, ($U$2 * IF($E$2="Deployment",deployment_raw[[#This Row],[Column5]],1))), 0),"")</f>
        <v/>
      </c>
      <c r="V210" s="15" t="str">
        <f>IF(ISNUMBER(deployment_raw[[#This Row],[Column12]]), (deployment_raw[[#This Row],[Column12]] * IF($E$2="Deployment",deployment_raw[[#This Row],[Column5]],1)*(1+$V$2)),"")</f>
        <v/>
      </c>
      <c r="W210" s="14" t="str">
        <f>IF(ISNUMBER(deployment_raw[[#This Row],[Column13]]), (deployment_raw[[#This Row],[Column13]] * IF($E$2="Deployment",deployment_raw[[#This Row],[Column5]],1)*(1+$W$2))/1048576,"")</f>
        <v/>
      </c>
    </row>
    <row r="211" spans="1:23" ht="15.75" customHeight="1" x14ac:dyDescent="0.25">
      <c r="A211" s="5" t="str">
        <f>IF(ISNONTEXT(deployment_raw[[#This Row],[Column1]]), "", deployment_raw[[#This Row],[Column1]])</f>
        <v/>
      </c>
      <c r="B211" s="6" t="str">
        <f>IF(ISNONTEXT(deployment_raw[[#This Row],[Column2]]), "", deployment_raw[[#This Row],[Column2]])</f>
        <v/>
      </c>
      <c r="C211" s="6" t="str">
        <f>IF(ISNONTEXT(deployment_raw[[#This Row],[Column3]]), "", deployment_raw[[#This Row],[Column3]])</f>
        <v/>
      </c>
      <c r="D211" s="6" t="str">
        <f>IF(ISNONTEXT(deployment_raw[[#This Row],[Column4]]), "", deployment_raw[[#This Row],[Column4]])</f>
        <v/>
      </c>
      <c r="E211" s="7" t="str">
        <f>IF(ISNUMBER(deployment_raw[[#This Row],[Column5]]), deployment_raw[[#This Row],[Column5]],"")</f>
        <v/>
      </c>
      <c r="F211" s="32" t="str">
        <f>IF(ISNUMBER(deployment_raw[[#This Row],[Column17]]), deployment_raw[[#This Row],[Column17]]/IF(OR($E$2="Deployment",deployment_raw[[#This Row],[Column5]]=0),1,deployment_raw[[#This Row],[Column5]]),"")</f>
        <v/>
      </c>
      <c r="G211" s="42" t="str">
        <f>IF(ISNUMBER(deployment_raw[[#This Row],[Column14]]), deployment_raw[[#This Row],[Column14]]/IF(OR($E$2="Deployment",deployment_raw[[#This Row],[Column5]]=0),1,deployment_raw[[#This Row],[Column5]]),"")</f>
        <v/>
      </c>
      <c r="H211" s="79" t="str">
        <f>IF(ISNUMBER(deployment_raw[[#This Row],[Column19]]), IF(I211&lt;&gt;0,(deployment_raw[[#This Row],[Column19]]/IF(OR($E$2="Deployment",deployment_raw[[#This Row],[Column5]]=0),1,deployment_raw[[#This Row],[Column5]]))/I211,0),"")</f>
        <v/>
      </c>
      <c r="I211" s="69" t="str">
        <f>IF(ISNUMBER(deployment_raw[[#This Row],[Column6]]), (deployment_raw[[#This Row],[Column6]] * IF($E$2="Deployment",deployment_raw[[#This Row],[Column5]],1)),"")</f>
        <v/>
      </c>
      <c r="J211" s="79" t="str">
        <f>IF(ISNUMBER(deployment_raw[[#This Row],[Column19]]), IF(K211&lt;&gt;0,(deployment_raw[[#This Row],[Column19]]/IF(OR($E$2="Deployment",deployment_raw[[#This Row],[Column5]]=0),1,deployment_raw[[#This Row],[Column5]]))/K211,0),"")</f>
        <v/>
      </c>
      <c r="K211" s="72" t="str">
        <f>IF(ISNUMBER(deployment_raw[[#This Row],[Column8]]), (deployment_raw[[#This Row],[Column8]]  * IF($E$2="Deployment",deployment_raw[[#This Row],[Column5]],1)),"")</f>
        <v/>
      </c>
      <c r="L21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1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11" s="81" t="str">
        <f>IF(ISNUMBER(deployment_raw[[#This Row],[Column20]]), IF(O211&lt;&gt;0,deployment_raw[[#This Row],[Column20]]/IF(OR($E$2="Deployment",deployment_raw[[#This Row],[Column5]]=0),1,deployment_raw[[#This Row],[Column5]])/1048576/O211,0),"")</f>
        <v/>
      </c>
      <c r="O211" s="74" t="str">
        <f>IF(ISNUMBER(deployment_raw[[#This Row],[Column7]]), (deployment_raw[[#This Row],[Column7]] * IF($E$2="Deployment",deployment_raw[[#This Row],[Column5]],1))/1048576,"")</f>
        <v/>
      </c>
      <c r="P211" s="81" t="str">
        <f>IF(ISNUMBER(deployment_raw[[#This Row],[Column20]]), IF(Q211&lt;&gt;0,deployment_raw[[#This Row],[Column20]]/IF(OR($E$2="Deployment",deployment_raw[[#This Row],[Column5]]=0),1,deployment_raw[[#This Row],[Column5]])/1048576/Q211,0),"")</f>
        <v/>
      </c>
      <c r="Q211" s="76" t="str">
        <f>IF(ISNUMBER(deployment_raw[[#This Row],[Column9]]), (deployment_raw[[#This Row],[Column9]] * IF($E$2="Deployment",deployment_raw[[#This Row],[Column5]],1))/1048576,"")</f>
        <v/>
      </c>
      <c r="R211" s="57" t="str">
        <f>IF(ISNUMBER(deployment_raw[[#This Row],[Column10]]), (deployment_raw[[#This Row],[Column10]] * IF($E$2="Deployment",deployment_raw[[#This Row],[Column5]],1)),"")</f>
        <v/>
      </c>
      <c r="S211" s="48" t="str">
        <f>IF(ISNUMBER(deployment_raw[[#This Row],[Column11]]), (deployment_raw[[#This Row],[Column11]] * IF($E$2="Deployment",deployment_raw[[#This Row],[Column5]],1))/1048576,"")</f>
        <v/>
      </c>
      <c r="T211" s="59" t="str">
        <f>IF(ISNUMBER(deployment_raw[[#This Row],[Column8]]),IF(OR(deployment_raw[[#This Row],[Column5]] &lt;&gt; 0,$E$2 &lt;&gt; "Deployment"), MAX(V211, ($T$2 * IF($E$2="Deployment",deployment_raw[[#This Row],[Column5]],1))), 0),"")</f>
        <v/>
      </c>
      <c r="U211" s="50" t="str">
        <f>IF(ISNUMBER(deployment_raw[[#This Row],[Column9]]),IF(OR(deployment_raw[[#This Row],[Column5]] &lt;&gt; 0,$E$2&lt;&gt;"Deployment"), MAX(W211, ($U$2 * IF($E$2="Deployment",deployment_raw[[#This Row],[Column5]],1))), 0),"")</f>
        <v/>
      </c>
      <c r="V211" s="15" t="str">
        <f>IF(ISNUMBER(deployment_raw[[#This Row],[Column12]]), (deployment_raw[[#This Row],[Column12]] * IF($E$2="Deployment",deployment_raw[[#This Row],[Column5]],1)*(1+$V$2)),"")</f>
        <v/>
      </c>
      <c r="W211" s="14" t="str">
        <f>IF(ISNUMBER(deployment_raw[[#This Row],[Column13]]), (deployment_raw[[#This Row],[Column13]] * IF($E$2="Deployment",deployment_raw[[#This Row],[Column5]],1)*(1+$W$2))/1048576,"")</f>
        <v/>
      </c>
    </row>
    <row r="212" spans="1:23" ht="15.75" customHeight="1" x14ac:dyDescent="0.25">
      <c r="A212" s="5" t="str">
        <f>IF(ISNONTEXT(deployment_raw[[#This Row],[Column1]]), "", deployment_raw[[#This Row],[Column1]])</f>
        <v/>
      </c>
      <c r="B212" s="6" t="str">
        <f>IF(ISNONTEXT(deployment_raw[[#This Row],[Column2]]), "", deployment_raw[[#This Row],[Column2]])</f>
        <v/>
      </c>
      <c r="C212" s="6" t="str">
        <f>IF(ISNONTEXT(deployment_raw[[#This Row],[Column3]]), "", deployment_raw[[#This Row],[Column3]])</f>
        <v/>
      </c>
      <c r="D212" s="6" t="str">
        <f>IF(ISNONTEXT(deployment_raw[[#This Row],[Column4]]), "", deployment_raw[[#This Row],[Column4]])</f>
        <v/>
      </c>
      <c r="E212" s="7" t="str">
        <f>IF(ISNUMBER(deployment_raw[[#This Row],[Column5]]), deployment_raw[[#This Row],[Column5]],"")</f>
        <v/>
      </c>
      <c r="F212" s="32" t="str">
        <f>IF(ISNUMBER(deployment_raw[[#This Row],[Column17]]), deployment_raw[[#This Row],[Column17]]/IF(OR($E$2="Deployment",deployment_raw[[#This Row],[Column5]]=0),1,deployment_raw[[#This Row],[Column5]]),"")</f>
        <v/>
      </c>
      <c r="G212" s="42" t="str">
        <f>IF(ISNUMBER(deployment_raw[[#This Row],[Column14]]), deployment_raw[[#This Row],[Column14]]/IF(OR($E$2="Deployment",deployment_raw[[#This Row],[Column5]]=0),1,deployment_raw[[#This Row],[Column5]]),"")</f>
        <v/>
      </c>
      <c r="H212" s="79" t="str">
        <f>IF(ISNUMBER(deployment_raw[[#This Row],[Column19]]), IF(I212&lt;&gt;0,(deployment_raw[[#This Row],[Column19]]/IF(OR($E$2="Deployment",deployment_raw[[#This Row],[Column5]]=0),1,deployment_raw[[#This Row],[Column5]]))/I212,0),"")</f>
        <v/>
      </c>
      <c r="I212" s="69" t="str">
        <f>IF(ISNUMBER(deployment_raw[[#This Row],[Column6]]), (deployment_raw[[#This Row],[Column6]] * IF($E$2="Deployment",deployment_raw[[#This Row],[Column5]],1)),"")</f>
        <v/>
      </c>
      <c r="J212" s="79" t="str">
        <f>IF(ISNUMBER(deployment_raw[[#This Row],[Column19]]), IF(K212&lt;&gt;0,(deployment_raw[[#This Row],[Column19]]/IF(OR($E$2="Deployment",deployment_raw[[#This Row],[Column5]]=0),1,deployment_raw[[#This Row],[Column5]]))/K212,0),"")</f>
        <v/>
      </c>
      <c r="K212" s="72" t="str">
        <f>IF(ISNUMBER(deployment_raw[[#This Row],[Column8]]), (deployment_raw[[#This Row],[Column8]]  * IF($E$2="Deployment",deployment_raw[[#This Row],[Column5]],1)),"")</f>
        <v/>
      </c>
      <c r="L21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1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12" s="81" t="str">
        <f>IF(ISNUMBER(deployment_raw[[#This Row],[Column20]]), IF(O212&lt;&gt;0,deployment_raw[[#This Row],[Column20]]/IF(OR($E$2="Deployment",deployment_raw[[#This Row],[Column5]]=0),1,deployment_raw[[#This Row],[Column5]])/1048576/O212,0),"")</f>
        <v/>
      </c>
      <c r="O212" s="74" t="str">
        <f>IF(ISNUMBER(deployment_raw[[#This Row],[Column7]]), (deployment_raw[[#This Row],[Column7]] * IF($E$2="Deployment",deployment_raw[[#This Row],[Column5]],1))/1048576,"")</f>
        <v/>
      </c>
      <c r="P212" s="81" t="str">
        <f>IF(ISNUMBER(deployment_raw[[#This Row],[Column20]]), IF(Q212&lt;&gt;0,deployment_raw[[#This Row],[Column20]]/IF(OR($E$2="Deployment",deployment_raw[[#This Row],[Column5]]=0),1,deployment_raw[[#This Row],[Column5]])/1048576/Q212,0),"")</f>
        <v/>
      </c>
      <c r="Q212" s="76" t="str">
        <f>IF(ISNUMBER(deployment_raw[[#This Row],[Column9]]), (deployment_raw[[#This Row],[Column9]] * IF($E$2="Deployment",deployment_raw[[#This Row],[Column5]],1))/1048576,"")</f>
        <v/>
      </c>
      <c r="R212" s="57" t="str">
        <f>IF(ISNUMBER(deployment_raw[[#This Row],[Column10]]), (deployment_raw[[#This Row],[Column10]] * IF($E$2="Deployment",deployment_raw[[#This Row],[Column5]],1)),"")</f>
        <v/>
      </c>
      <c r="S212" s="48" t="str">
        <f>IF(ISNUMBER(deployment_raw[[#This Row],[Column11]]), (deployment_raw[[#This Row],[Column11]] * IF($E$2="Deployment",deployment_raw[[#This Row],[Column5]],1))/1048576,"")</f>
        <v/>
      </c>
      <c r="T212" s="59" t="str">
        <f>IF(ISNUMBER(deployment_raw[[#This Row],[Column8]]),IF(OR(deployment_raw[[#This Row],[Column5]] &lt;&gt; 0,$E$2 &lt;&gt; "Deployment"), MAX(V212, ($T$2 * IF($E$2="Deployment",deployment_raw[[#This Row],[Column5]],1))), 0),"")</f>
        <v/>
      </c>
      <c r="U212" s="50" t="str">
        <f>IF(ISNUMBER(deployment_raw[[#This Row],[Column9]]),IF(OR(deployment_raw[[#This Row],[Column5]] &lt;&gt; 0,$E$2&lt;&gt;"Deployment"), MAX(W212, ($U$2 * IF($E$2="Deployment",deployment_raw[[#This Row],[Column5]],1))), 0),"")</f>
        <v/>
      </c>
      <c r="V212" s="15" t="str">
        <f>IF(ISNUMBER(deployment_raw[[#This Row],[Column12]]), (deployment_raw[[#This Row],[Column12]] * IF($E$2="Deployment",deployment_raw[[#This Row],[Column5]],1)*(1+$V$2)),"")</f>
        <v/>
      </c>
      <c r="W212" s="14" t="str">
        <f>IF(ISNUMBER(deployment_raw[[#This Row],[Column13]]), (deployment_raw[[#This Row],[Column13]] * IF($E$2="Deployment",deployment_raw[[#This Row],[Column5]],1)*(1+$W$2))/1048576,"")</f>
        <v/>
      </c>
    </row>
    <row r="213" spans="1:23" ht="15.75" customHeight="1" x14ac:dyDescent="0.25">
      <c r="A213" s="5" t="str">
        <f>IF(ISNONTEXT(deployment_raw[[#This Row],[Column1]]), "", deployment_raw[[#This Row],[Column1]])</f>
        <v/>
      </c>
      <c r="B213" s="6" t="str">
        <f>IF(ISNONTEXT(deployment_raw[[#This Row],[Column2]]), "", deployment_raw[[#This Row],[Column2]])</f>
        <v/>
      </c>
      <c r="C213" s="6" t="str">
        <f>IF(ISNONTEXT(deployment_raw[[#This Row],[Column3]]), "", deployment_raw[[#This Row],[Column3]])</f>
        <v/>
      </c>
      <c r="D213" s="6" t="str">
        <f>IF(ISNONTEXT(deployment_raw[[#This Row],[Column4]]), "", deployment_raw[[#This Row],[Column4]])</f>
        <v/>
      </c>
      <c r="E213" s="7" t="str">
        <f>IF(ISNUMBER(deployment_raw[[#This Row],[Column5]]), deployment_raw[[#This Row],[Column5]],"")</f>
        <v/>
      </c>
      <c r="F213" s="32" t="str">
        <f>IF(ISNUMBER(deployment_raw[[#This Row],[Column17]]), deployment_raw[[#This Row],[Column17]]/IF(OR($E$2="Deployment",deployment_raw[[#This Row],[Column5]]=0),1,deployment_raw[[#This Row],[Column5]]),"")</f>
        <v/>
      </c>
      <c r="G213" s="42" t="str">
        <f>IF(ISNUMBER(deployment_raw[[#This Row],[Column14]]), deployment_raw[[#This Row],[Column14]]/IF(OR($E$2="Deployment",deployment_raw[[#This Row],[Column5]]=0),1,deployment_raw[[#This Row],[Column5]]),"")</f>
        <v/>
      </c>
      <c r="H213" s="79" t="str">
        <f>IF(ISNUMBER(deployment_raw[[#This Row],[Column19]]), IF(I213&lt;&gt;0,(deployment_raw[[#This Row],[Column19]]/IF(OR($E$2="Deployment",deployment_raw[[#This Row],[Column5]]=0),1,deployment_raw[[#This Row],[Column5]]))/I213,0),"")</f>
        <v/>
      </c>
      <c r="I213" s="69" t="str">
        <f>IF(ISNUMBER(deployment_raw[[#This Row],[Column6]]), (deployment_raw[[#This Row],[Column6]] * IF($E$2="Deployment",deployment_raw[[#This Row],[Column5]],1)),"")</f>
        <v/>
      </c>
      <c r="J213" s="79" t="str">
        <f>IF(ISNUMBER(deployment_raw[[#This Row],[Column19]]), IF(K213&lt;&gt;0,(deployment_raw[[#This Row],[Column19]]/IF(OR($E$2="Deployment",deployment_raw[[#This Row],[Column5]]=0),1,deployment_raw[[#This Row],[Column5]]))/K213,0),"")</f>
        <v/>
      </c>
      <c r="K213" s="72" t="str">
        <f>IF(ISNUMBER(deployment_raw[[#This Row],[Column8]]), (deployment_raw[[#This Row],[Column8]]  * IF($E$2="Deployment",deployment_raw[[#This Row],[Column5]],1)),"")</f>
        <v/>
      </c>
      <c r="L21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1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13" s="81" t="str">
        <f>IF(ISNUMBER(deployment_raw[[#This Row],[Column20]]), IF(O213&lt;&gt;0,deployment_raw[[#This Row],[Column20]]/IF(OR($E$2="Deployment",deployment_raw[[#This Row],[Column5]]=0),1,deployment_raw[[#This Row],[Column5]])/1048576/O213,0),"")</f>
        <v/>
      </c>
      <c r="O213" s="74" t="str">
        <f>IF(ISNUMBER(deployment_raw[[#This Row],[Column7]]), (deployment_raw[[#This Row],[Column7]] * IF($E$2="Deployment",deployment_raw[[#This Row],[Column5]],1))/1048576,"")</f>
        <v/>
      </c>
      <c r="P213" s="81" t="str">
        <f>IF(ISNUMBER(deployment_raw[[#This Row],[Column20]]), IF(Q213&lt;&gt;0,deployment_raw[[#This Row],[Column20]]/IF(OR($E$2="Deployment",deployment_raw[[#This Row],[Column5]]=0),1,deployment_raw[[#This Row],[Column5]])/1048576/Q213,0),"")</f>
        <v/>
      </c>
      <c r="Q213" s="76" t="str">
        <f>IF(ISNUMBER(deployment_raw[[#This Row],[Column9]]), (deployment_raw[[#This Row],[Column9]] * IF($E$2="Deployment",deployment_raw[[#This Row],[Column5]],1))/1048576,"")</f>
        <v/>
      </c>
      <c r="R213" s="57" t="str">
        <f>IF(ISNUMBER(deployment_raw[[#This Row],[Column10]]), (deployment_raw[[#This Row],[Column10]] * IF($E$2="Deployment",deployment_raw[[#This Row],[Column5]],1)),"")</f>
        <v/>
      </c>
      <c r="S213" s="48" t="str">
        <f>IF(ISNUMBER(deployment_raw[[#This Row],[Column11]]), (deployment_raw[[#This Row],[Column11]] * IF($E$2="Deployment",deployment_raw[[#This Row],[Column5]],1))/1048576,"")</f>
        <v/>
      </c>
      <c r="T213" s="59" t="str">
        <f>IF(ISNUMBER(deployment_raw[[#This Row],[Column8]]),IF(OR(deployment_raw[[#This Row],[Column5]] &lt;&gt; 0,$E$2 &lt;&gt; "Deployment"), MAX(V213, ($T$2 * IF($E$2="Deployment",deployment_raw[[#This Row],[Column5]],1))), 0),"")</f>
        <v/>
      </c>
      <c r="U213" s="50" t="str">
        <f>IF(ISNUMBER(deployment_raw[[#This Row],[Column9]]),IF(OR(deployment_raw[[#This Row],[Column5]] &lt;&gt; 0,$E$2&lt;&gt;"Deployment"), MAX(W213, ($U$2 * IF($E$2="Deployment",deployment_raw[[#This Row],[Column5]],1))), 0),"")</f>
        <v/>
      </c>
      <c r="V213" s="15" t="str">
        <f>IF(ISNUMBER(deployment_raw[[#This Row],[Column12]]), (deployment_raw[[#This Row],[Column12]] * IF($E$2="Deployment",deployment_raw[[#This Row],[Column5]],1)*(1+$V$2)),"")</f>
        <v/>
      </c>
      <c r="W213" s="14" t="str">
        <f>IF(ISNUMBER(deployment_raw[[#This Row],[Column13]]), (deployment_raw[[#This Row],[Column13]] * IF($E$2="Deployment",deployment_raw[[#This Row],[Column5]],1)*(1+$W$2))/1048576,"")</f>
        <v/>
      </c>
    </row>
    <row r="214" spans="1:23" ht="15.75" customHeight="1" x14ac:dyDescent="0.25">
      <c r="A214" s="5" t="str">
        <f>IF(ISNONTEXT(deployment_raw[[#This Row],[Column1]]), "", deployment_raw[[#This Row],[Column1]])</f>
        <v/>
      </c>
      <c r="B214" s="6" t="str">
        <f>IF(ISNONTEXT(deployment_raw[[#This Row],[Column2]]), "", deployment_raw[[#This Row],[Column2]])</f>
        <v/>
      </c>
      <c r="C214" s="6" t="str">
        <f>IF(ISNONTEXT(deployment_raw[[#This Row],[Column3]]), "", deployment_raw[[#This Row],[Column3]])</f>
        <v/>
      </c>
      <c r="D214" s="6" t="str">
        <f>IF(ISNONTEXT(deployment_raw[[#This Row],[Column4]]), "", deployment_raw[[#This Row],[Column4]])</f>
        <v/>
      </c>
      <c r="E214" s="7" t="str">
        <f>IF(ISNUMBER(deployment_raw[[#This Row],[Column5]]), deployment_raw[[#This Row],[Column5]],"")</f>
        <v/>
      </c>
      <c r="F214" s="32" t="str">
        <f>IF(ISNUMBER(deployment_raw[[#This Row],[Column17]]), deployment_raw[[#This Row],[Column17]]/IF(OR($E$2="Deployment",deployment_raw[[#This Row],[Column5]]=0),1,deployment_raw[[#This Row],[Column5]]),"")</f>
        <v/>
      </c>
      <c r="G214" s="42" t="str">
        <f>IF(ISNUMBER(deployment_raw[[#This Row],[Column14]]), deployment_raw[[#This Row],[Column14]]/IF(OR($E$2="Deployment",deployment_raw[[#This Row],[Column5]]=0),1,deployment_raw[[#This Row],[Column5]]),"")</f>
        <v/>
      </c>
      <c r="H214" s="79" t="str">
        <f>IF(ISNUMBER(deployment_raw[[#This Row],[Column19]]), IF(I214&lt;&gt;0,(deployment_raw[[#This Row],[Column19]]/IF(OR($E$2="Deployment",deployment_raw[[#This Row],[Column5]]=0),1,deployment_raw[[#This Row],[Column5]]))/I214,0),"")</f>
        <v/>
      </c>
      <c r="I214" s="69" t="str">
        <f>IF(ISNUMBER(deployment_raw[[#This Row],[Column6]]), (deployment_raw[[#This Row],[Column6]] * IF($E$2="Deployment",deployment_raw[[#This Row],[Column5]],1)),"")</f>
        <v/>
      </c>
      <c r="J214" s="79" t="str">
        <f>IF(ISNUMBER(deployment_raw[[#This Row],[Column19]]), IF(K214&lt;&gt;0,(deployment_raw[[#This Row],[Column19]]/IF(OR($E$2="Deployment",deployment_raw[[#This Row],[Column5]]=0),1,deployment_raw[[#This Row],[Column5]]))/K214,0),"")</f>
        <v/>
      </c>
      <c r="K214" s="72" t="str">
        <f>IF(ISNUMBER(deployment_raw[[#This Row],[Column8]]), (deployment_raw[[#This Row],[Column8]]  * IF($E$2="Deployment",deployment_raw[[#This Row],[Column5]],1)),"")</f>
        <v/>
      </c>
      <c r="L21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1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14" s="81" t="str">
        <f>IF(ISNUMBER(deployment_raw[[#This Row],[Column20]]), IF(O214&lt;&gt;0,deployment_raw[[#This Row],[Column20]]/IF(OR($E$2="Deployment",deployment_raw[[#This Row],[Column5]]=0),1,deployment_raw[[#This Row],[Column5]])/1048576/O214,0),"")</f>
        <v/>
      </c>
      <c r="O214" s="74" t="str">
        <f>IF(ISNUMBER(deployment_raw[[#This Row],[Column7]]), (deployment_raw[[#This Row],[Column7]] * IF($E$2="Deployment",deployment_raw[[#This Row],[Column5]],1))/1048576,"")</f>
        <v/>
      </c>
      <c r="P214" s="81" t="str">
        <f>IF(ISNUMBER(deployment_raw[[#This Row],[Column20]]), IF(Q214&lt;&gt;0,deployment_raw[[#This Row],[Column20]]/IF(OR($E$2="Deployment",deployment_raw[[#This Row],[Column5]]=0),1,deployment_raw[[#This Row],[Column5]])/1048576/Q214,0),"")</f>
        <v/>
      </c>
      <c r="Q214" s="76" t="str">
        <f>IF(ISNUMBER(deployment_raw[[#This Row],[Column9]]), (deployment_raw[[#This Row],[Column9]] * IF($E$2="Deployment",deployment_raw[[#This Row],[Column5]],1))/1048576,"")</f>
        <v/>
      </c>
      <c r="R214" s="57" t="str">
        <f>IF(ISNUMBER(deployment_raw[[#This Row],[Column10]]), (deployment_raw[[#This Row],[Column10]] * IF($E$2="Deployment",deployment_raw[[#This Row],[Column5]],1)),"")</f>
        <v/>
      </c>
      <c r="S214" s="48" t="str">
        <f>IF(ISNUMBER(deployment_raw[[#This Row],[Column11]]), (deployment_raw[[#This Row],[Column11]] * IF($E$2="Deployment",deployment_raw[[#This Row],[Column5]],1))/1048576,"")</f>
        <v/>
      </c>
      <c r="T214" s="59" t="str">
        <f>IF(ISNUMBER(deployment_raw[[#This Row],[Column8]]),IF(OR(deployment_raw[[#This Row],[Column5]] &lt;&gt; 0,$E$2 &lt;&gt; "Deployment"), MAX(V214, ($T$2 * IF($E$2="Deployment",deployment_raw[[#This Row],[Column5]],1))), 0),"")</f>
        <v/>
      </c>
      <c r="U214" s="50" t="str">
        <f>IF(ISNUMBER(deployment_raw[[#This Row],[Column9]]),IF(OR(deployment_raw[[#This Row],[Column5]] &lt;&gt; 0,$E$2&lt;&gt;"Deployment"), MAX(W214, ($U$2 * IF($E$2="Deployment",deployment_raw[[#This Row],[Column5]],1))), 0),"")</f>
        <v/>
      </c>
      <c r="V214" s="15" t="str">
        <f>IF(ISNUMBER(deployment_raw[[#This Row],[Column12]]), (deployment_raw[[#This Row],[Column12]] * IF($E$2="Deployment",deployment_raw[[#This Row],[Column5]],1)*(1+$V$2)),"")</f>
        <v/>
      </c>
      <c r="W214" s="14" t="str">
        <f>IF(ISNUMBER(deployment_raw[[#This Row],[Column13]]), (deployment_raw[[#This Row],[Column13]] * IF($E$2="Deployment",deployment_raw[[#This Row],[Column5]],1)*(1+$W$2))/1048576,"")</f>
        <v/>
      </c>
    </row>
    <row r="215" spans="1:23" ht="15.75" customHeight="1" x14ac:dyDescent="0.25">
      <c r="A215" s="5" t="str">
        <f>IF(ISNONTEXT(deployment_raw[[#This Row],[Column1]]), "", deployment_raw[[#This Row],[Column1]])</f>
        <v/>
      </c>
      <c r="B215" s="6" t="str">
        <f>IF(ISNONTEXT(deployment_raw[[#This Row],[Column2]]), "", deployment_raw[[#This Row],[Column2]])</f>
        <v/>
      </c>
      <c r="C215" s="6" t="str">
        <f>IF(ISNONTEXT(deployment_raw[[#This Row],[Column3]]), "", deployment_raw[[#This Row],[Column3]])</f>
        <v/>
      </c>
      <c r="D215" s="6" t="str">
        <f>IF(ISNONTEXT(deployment_raw[[#This Row],[Column4]]), "", deployment_raw[[#This Row],[Column4]])</f>
        <v/>
      </c>
      <c r="E215" s="7" t="str">
        <f>IF(ISNUMBER(deployment_raw[[#This Row],[Column5]]), deployment_raw[[#This Row],[Column5]],"")</f>
        <v/>
      </c>
      <c r="F215" s="32" t="str">
        <f>IF(ISNUMBER(deployment_raw[[#This Row],[Column17]]), deployment_raw[[#This Row],[Column17]]/IF(OR($E$2="Deployment",deployment_raw[[#This Row],[Column5]]=0),1,deployment_raw[[#This Row],[Column5]]),"")</f>
        <v/>
      </c>
      <c r="G215" s="42" t="str">
        <f>IF(ISNUMBER(deployment_raw[[#This Row],[Column14]]), deployment_raw[[#This Row],[Column14]]/IF(OR($E$2="Deployment",deployment_raw[[#This Row],[Column5]]=0),1,deployment_raw[[#This Row],[Column5]]),"")</f>
        <v/>
      </c>
      <c r="H215" s="79" t="str">
        <f>IF(ISNUMBER(deployment_raw[[#This Row],[Column19]]), IF(I215&lt;&gt;0,(deployment_raw[[#This Row],[Column19]]/IF(OR($E$2="Deployment",deployment_raw[[#This Row],[Column5]]=0),1,deployment_raw[[#This Row],[Column5]]))/I215,0),"")</f>
        <v/>
      </c>
      <c r="I215" s="69" t="str">
        <f>IF(ISNUMBER(deployment_raw[[#This Row],[Column6]]), (deployment_raw[[#This Row],[Column6]] * IF($E$2="Deployment",deployment_raw[[#This Row],[Column5]],1)),"")</f>
        <v/>
      </c>
      <c r="J215" s="79" t="str">
        <f>IF(ISNUMBER(deployment_raw[[#This Row],[Column19]]), IF(K215&lt;&gt;0,(deployment_raw[[#This Row],[Column19]]/IF(OR($E$2="Deployment",deployment_raw[[#This Row],[Column5]]=0),1,deployment_raw[[#This Row],[Column5]]))/K215,0),"")</f>
        <v/>
      </c>
      <c r="K215" s="72" t="str">
        <f>IF(ISNUMBER(deployment_raw[[#This Row],[Column8]]), (deployment_raw[[#This Row],[Column8]]  * IF($E$2="Deployment",deployment_raw[[#This Row],[Column5]],1)),"")</f>
        <v/>
      </c>
      <c r="L21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1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15" s="81" t="str">
        <f>IF(ISNUMBER(deployment_raw[[#This Row],[Column20]]), IF(O215&lt;&gt;0,deployment_raw[[#This Row],[Column20]]/IF(OR($E$2="Deployment",deployment_raw[[#This Row],[Column5]]=0),1,deployment_raw[[#This Row],[Column5]])/1048576/O215,0),"")</f>
        <v/>
      </c>
      <c r="O215" s="74" t="str">
        <f>IF(ISNUMBER(deployment_raw[[#This Row],[Column7]]), (deployment_raw[[#This Row],[Column7]] * IF($E$2="Deployment",deployment_raw[[#This Row],[Column5]],1))/1048576,"")</f>
        <v/>
      </c>
      <c r="P215" s="81" t="str">
        <f>IF(ISNUMBER(deployment_raw[[#This Row],[Column20]]), IF(Q215&lt;&gt;0,deployment_raw[[#This Row],[Column20]]/IF(OR($E$2="Deployment",deployment_raw[[#This Row],[Column5]]=0),1,deployment_raw[[#This Row],[Column5]])/1048576/Q215,0),"")</f>
        <v/>
      </c>
      <c r="Q215" s="76" t="str">
        <f>IF(ISNUMBER(deployment_raw[[#This Row],[Column9]]), (deployment_raw[[#This Row],[Column9]] * IF($E$2="Deployment",deployment_raw[[#This Row],[Column5]],1))/1048576,"")</f>
        <v/>
      </c>
      <c r="R215" s="57" t="str">
        <f>IF(ISNUMBER(deployment_raw[[#This Row],[Column10]]), (deployment_raw[[#This Row],[Column10]] * IF($E$2="Deployment",deployment_raw[[#This Row],[Column5]],1)),"")</f>
        <v/>
      </c>
      <c r="S215" s="48" t="str">
        <f>IF(ISNUMBER(deployment_raw[[#This Row],[Column11]]), (deployment_raw[[#This Row],[Column11]] * IF($E$2="Deployment",deployment_raw[[#This Row],[Column5]],1))/1048576,"")</f>
        <v/>
      </c>
      <c r="T215" s="59" t="str">
        <f>IF(ISNUMBER(deployment_raw[[#This Row],[Column8]]),IF(OR(deployment_raw[[#This Row],[Column5]] &lt;&gt; 0,$E$2 &lt;&gt; "Deployment"), MAX(V215, ($T$2 * IF($E$2="Deployment",deployment_raw[[#This Row],[Column5]],1))), 0),"")</f>
        <v/>
      </c>
      <c r="U215" s="50" t="str">
        <f>IF(ISNUMBER(deployment_raw[[#This Row],[Column9]]),IF(OR(deployment_raw[[#This Row],[Column5]] &lt;&gt; 0,$E$2&lt;&gt;"Deployment"), MAX(W215, ($U$2 * IF($E$2="Deployment",deployment_raw[[#This Row],[Column5]],1))), 0),"")</f>
        <v/>
      </c>
      <c r="V215" s="15" t="str">
        <f>IF(ISNUMBER(deployment_raw[[#This Row],[Column12]]), (deployment_raw[[#This Row],[Column12]] * IF($E$2="Deployment",deployment_raw[[#This Row],[Column5]],1)*(1+$V$2)),"")</f>
        <v/>
      </c>
      <c r="W215" s="14" t="str">
        <f>IF(ISNUMBER(deployment_raw[[#This Row],[Column13]]), (deployment_raw[[#This Row],[Column13]] * IF($E$2="Deployment",deployment_raw[[#This Row],[Column5]],1)*(1+$W$2))/1048576,"")</f>
        <v/>
      </c>
    </row>
    <row r="216" spans="1:23" ht="15.75" customHeight="1" x14ac:dyDescent="0.25">
      <c r="A216" s="5" t="str">
        <f>IF(ISNONTEXT(deployment_raw[[#This Row],[Column1]]), "", deployment_raw[[#This Row],[Column1]])</f>
        <v/>
      </c>
      <c r="B216" s="6" t="str">
        <f>IF(ISNONTEXT(deployment_raw[[#This Row],[Column2]]), "", deployment_raw[[#This Row],[Column2]])</f>
        <v/>
      </c>
      <c r="C216" s="6" t="str">
        <f>IF(ISNONTEXT(deployment_raw[[#This Row],[Column3]]), "", deployment_raw[[#This Row],[Column3]])</f>
        <v/>
      </c>
      <c r="D216" s="6" t="str">
        <f>IF(ISNONTEXT(deployment_raw[[#This Row],[Column4]]), "", deployment_raw[[#This Row],[Column4]])</f>
        <v/>
      </c>
      <c r="E216" s="7" t="str">
        <f>IF(ISNUMBER(deployment_raw[[#This Row],[Column5]]), deployment_raw[[#This Row],[Column5]],"")</f>
        <v/>
      </c>
      <c r="F216" s="32" t="str">
        <f>IF(ISNUMBER(deployment_raw[[#This Row],[Column17]]), deployment_raw[[#This Row],[Column17]]/IF(OR($E$2="Deployment",deployment_raw[[#This Row],[Column5]]=0),1,deployment_raw[[#This Row],[Column5]]),"")</f>
        <v/>
      </c>
      <c r="G216" s="42" t="str">
        <f>IF(ISNUMBER(deployment_raw[[#This Row],[Column14]]), deployment_raw[[#This Row],[Column14]]/IF(OR($E$2="Deployment",deployment_raw[[#This Row],[Column5]]=0),1,deployment_raw[[#This Row],[Column5]]),"")</f>
        <v/>
      </c>
      <c r="H216" s="79" t="str">
        <f>IF(ISNUMBER(deployment_raw[[#This Row],[Column19]]), IF(I216&lt;&gt;0,(deployment_raw[[#This Row],[Column19]]/IF(OR($E$2="Deployment",deployment_raw[[#This Row],[Column5]]=0),1,deployment_raw[[#This Row],[Column5]]))/I216,0),"")</f>
        <v/>
      </c>
      <c r="I216" s="69" t="str">
        <f>IF(ISNUMBER(deployment_raw[[#This Row],[Column6]]), (deployment_raw[[#This Row],[Column6]] * IF($E$2="Deployment",deployment_raw[[#This Row],[Column5]],1)),"")</f>
        <v/>
      </c>
      <c r="J216" s="79" t="str">
        <f>IF(ISNUMBER(deployment_raw[[#This Row],[Column19]]), IF(K216&lt;&gt;0,(deployment_raw[[#This Row],[Column19]]/IF(OR($E$2="Deployment",deployment_raw[[#This Row],[Column5]]=0),1,deployment_raw[[#This Row],[Column5]]))/K216,0),"")</f>
        <v/>
      </c>
      <c r="K216" s="72" t="str">
        <f>IF(ISNUMBER(deployment_raw[[#This Row],[Column8]]), (deployment_raw[[#This Row],[Column8]]  * IF($E$2="Deployment",deployment_raw[[#This Row],[Column5]],1)),"")</f>
        <v/>
      </c>
      <c r="L21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1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16" s="81" t="str">
        <f>IF(ISNUMBER(deployment_raw[[#This Row],[Column20]]), IF(O216&lt;&gt;0,deployment_raw[[#This Row],[Column20]]/IF(OR($E$2="Deployment",deployment_raw[[#This Row],[Column5]]=0),1,deployment_raw[[#This Row],[Column5]])/1048576/O216,0),"")</f>
        <v/>
      </c>
      <c r="O216" s="74" t="str">
        <f>IF(ISNUMBER(deployment_raw[[#This Row],[Column7]]), (deployment_raw[[#This Row],[Column7]] * IF($E$2="Deployment",deployment_raw[[#This Row],[Column5]],1))/1048576,"")</f>
        <v/>
      </c>
      <c r="P216" s="81" t="str">
        <f>IF(ISNUMBER(deployment_raw[[#This Row],[Column20]]), IF(Q216&lt;&gt;0,deployment_raw[[#This Row],[Column20]]/IF(OR($E$2="Deployment",deployment_raw[[#This Row],[Column5]]=0),1,deployment_raw[[#This Row],[Column5]])/1048576/Q216,0),"")</f>
        <v/>
      </c>
      <c r="Q216" s="76" t="str">
        <f>IF(ISNUMBER(deployment_raw[[#This Row],[Column9]]), (deployment_raw[[#This Row],[Column9]] * IF($E$2="Deployment",deployment_raw[[#This Row],[Column5]],1))/1048576,"")</f>
        <v/>
      </c>
      <c r="R216" s="57" t="str">
        <f>IF(ISNUMBER(deployment_raw[[#This Row],[Column10]]), (deployment_raw[[#This Row],[Column10]] * IF($E$2="Deployment",deployment_raw[[#This Row],[Column5]],1)),"")</f>
        <v/>
      </c>
      <c r="S216" s="48" t="str">
        <f>IF(ISNUMBER(deployment_raw[[#This Row],[Column11]]), (deployment_raw[[#This Row],[Column11]] * IF($E$2="Deployment",deployment_raw[[#This Row],[Column5]],1))/1048576,"")</f>
        <v/>
      </c>
      <c r="T216" s="59" t="str">
        <f>IF(ISNUMBER(deployment_raw[[#This Row],[Column8]]),IF(OR(deployment_raw[[#This Row],[Column5]] &lt;&gt; 0,$E$2 &lt;&gt; "Deployment"), MAX(V216, ($T$2 * IF($E$2="Deployment",deployment_raw[[#This Row],[Column5]],1))), 0),"")</f>
        <v/>
      </c>
      <c r="U216" s="50" t="str">
        <f>IF(ISNUMBER(deployment_raw[[#This Row],[Column9]]),IF(OR(deployment_raw[[#This Row],[Column5]] &lt;&gt; 0,$E$2&lt;&gt;"Deployment"), MAX(W216, ($U$2 * IF($E$2="Deployment",deployment_raw[[#This Row],[Column5]],1))), 0),"")</f>
        <v/>
      </c>
      <c r="V216" s="15" t="str">
        <f>IF(ISNUMBER(deployment_raw[[#This Row],[Column12]]), (deployment_raw[[#This Row],[Column12]] * IF($E$2="Deployment",deployment_raw[[#This Row],[Column5]],1)*(1+$V$2)),"")</f>
        <v/>
      </c>
      <c r="W216" s="14" t="str">
        <f>IF(ISNUMBER(deployment_raw[[#This Row],[Column13]]), (deployment_raw[[#This Row],[Column13]] * IF($E$2="Deployment",deployment_raw[[#This Row],[Column5]],1)*(1+$W$2))/1048576,"")</f>
        <v/>
      </c>
    </row>
    <row r="217" spans="1:23" ht="15.75" customHeight="1" x14ac:dyDescent="0.25">
      <c r="A217" s="5" t="str">
        <f>IF(ISNONTEXT(deployment_raw[[#This Row],[Column1]]), "", deployment_raw[[#This Row],[Column1]])</f>
        <v/>
      </c>
      <c r="B217" s="6" t="str">
        <f>IF(ISNONTEXT(deployment_raw[[#This Row],[Column2]]), "", deployment_raw[[#This Row],[Column2]])</f>
        <v/>
      </c>
      <c r="C217" s="6" t="str">
        <f>IF(ISNONTEXT(deployment_raw[[#This Row],[Column3]]), "", deployment_raw[[#This Row],[Column3]])</f>
        <v/>
      </c>
      <c r="D217" s="6" t="str">
        <f>IF(ISNONTEXT(deployment_raw[[#This Row],[Column4]]), "", deployment_raw[[#This Row],[Column4]])</f>
        <v/>
      </c>
      <c r="E217" s="7" t="str">
        <f>IF(ISNUMBER(deployment_raw[[#This Row],[Column5]]), deployment_raw[[#This Row],[Column5]],"")</f>
        <v/>
      </c>
      <c r="F217" s="32" t="str">
        <f>IF(ISNUMBER(deployment_raw[[#This Row],[Column17]]), deployment_raw[[#This Row],[Column17]]/IF(OR($E$2="Deployment",deployment_raw[[#This Row],[Column5]]=0),1,deployment_raw[[#This Row],[Column5]]),"")</f>
        <v/>
      </c>
      <c r="G217" s="42" t="str">
        <f>IF(ISNUMBER(deployment_raw[[#This Row],[Column14]]), deployment_raw[[#This Row],[Column14]]/IF(OR($E$2="Deployment",deployment_raw[[#This Row],[Column5]]=0),1,deployment_raw[[#This Row],[Column5]]),"")</f>
        <v/>
      </c>
      <c r="H217" s="79" t="str">
        <f>IF(ISNUMBER(deployment_raw[[#This Row],[Column19]]), IF(I217&lt;&gt;0,(deployment_raw[[#This Row],[Column19]]/IF(OR($E$2="Deployment",deployment_raw[[#This Row],[Column5]]=0),1,deployment_raw[[#This Row],[Column5]]))/I217,0),"")</f>
        <v/>
      </c>
      <c r="I217" s="69" t="str">
        <f>IF(ISNUMBER(deployment_raw[[#This Row],[Column6]]), (deployment_raw[[#This Row],[Column6]] * IF($E$2="Deployment",deployment_raw[[#This Row],[Column5]],1)),"")</f>
        <v/>
      </c>
      <c r="J217" s="79" t="str">
        <f>IF(ISNUMBER(deployment_raw[[#This Row],[Column19]]), IF(K217&lt;&gt;0,(deployment_raw[[#This Row],[Column19]]/IF(OR($E$2="Deployment",deployment_raw[[#This Row],[Column5]]=0),1,deployment_raw[[#This Row],[Column5]]))/K217,0),"")</f>
        <v/>
      </c>
      <c r="K217" s="72" t="str">
        <f>IF(ISNUMBER(deployment_raw[[#This Row],[Column8]]), (deployment_raw[[#This Row],[Column8]]  * IF($E$2="Deployment",deployment_raw[[#This Row],[Column5]],1)),"")</f>
        <v/>
      </c>
      <c r="L21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1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17" s="81" t="str">
        <f>IF(ISNUMBER(deployment_raw[[#This Row],[Column20]]), IF(O217&lt;&gt;0,deployment_raw[[#This Row],[Column20]]/IF(OR($E$2="Deployment",deployment_raw[[#This Row],[Column5]]=0),1,deployment_raw[[#This Row],[Column5]])/1048576/O217,0),"")</f>
        <v/>
      </c>
      <c r="O217" s="74" t="str">
        <f>IF(ISNUMBER(deployment_raw[[#This Row],[Column7]]), (deployment_raw[[#This Row],[Column7]] * IF($E$2="Deployment",deployment_raw[[#This Row],[Column5]],1))/1048576,"")</f>
        <v/>
      </c>
      <c r="P217" s="81" t="str">
        <f>IF(ISNUMBER(deployment_raw[[#This Row],[Column20]]), IF(Q217&lt;&gt;0,deployment_raw[[#This Row],[Column20]]/IF(OR($E$2="Deployment",deployment_raw[[#This Row],[Column5]]=0),1,deployment_raw[[#This Row],[Column5]])/1048576/Q217,0),"")</f>
        <v/>
      </c>
      <c r="Q217" s="76" t="str">
        <f>IF(ISNUMBER(deployment_raw[[#This Row],[Column9]]), (deployment_raw[[#This Row],[Column9]] * IF($E$2="Deployment",deployment_raw[[#This Row],[Column5]],1))/1048576,"")</f>
        <v/>
      </c>
      <c r="R217" s="57" t="str">
        <f>IF(ISNUMBER(deployment_raw[[#This Row],[Column10]]), (deployment_raw[[#This Row],[Column10]] * IF($E$2="Deployment",deployment_raw[[#This Row],[Column5]],1)),"")</f>
        <v/>
      </c>
      <c r="S217" s="48" t="str">
        <f>IF(ISNUMBER(deployment_raw[[#This Row],[Column11]]), (deployment_raw[[#This Row],[Column11]] * IF($E$2="Deployment",deployment_raw[[#This Row],[Column5]],1))/1048576,"")</f>
        <v/>
      </c>
      <c r="T217" s="59" t="str">
        <f>IF(ISNUMBER(deployment_raw[[#This Row],[Column8]]),IF(OR(deployment_raw[[#This Row],[Column5]] &lt;&gt; 0,$E$2 &lt;&gt; "Deployment"), MAX(V217, ($T$2 * IF($E$2="Deployment",deployment_raw[[#This Row],[Column5]],1))), 0),"")</f>
        <v/>
      </c>
      <c r="U217" s="50" t="str">
        <f>IF(ISNUMBER(deployment_raw[[#This Row],[Column9]]),IF(OR(deployment_raw[[#This Row],[Column5]] &lt;&gt; 0,$E$2&lt;&gt;"Deployment"), MAX(W217, ($U$2 * IF($E$2="Deployment",deployment_raw[[#This Row],[Column5]],1))), 0),"")</f>
        <v/>
      </c>
      <c r="V217" s="15" t="str">
        <f>IF(ISNUMBER(deployment_raw[[#This Row],[Column12]]), (deployment_raw[[#This Row],[Column12]] * IF($E$2="Deployment",deployment_raw[[#This Row],[Column5]],1)*(1+$V$2)),"")</f>
        <v/>
      </c>
      <c r="W217" s="14" t="str">
        <f>IF(ISNUMBER(deployment_raw[[#This Row],[Column13]]), (deployment_raw[[#This Row],[Column13]] * IF($E$2="Deployment",deployment_raw[[#This Row],[Column5]],1)*(1+$W$2))/1048576,"")</f>
        <v/>
      </c>
    </row>
    <row r="218" spans="1:23" ht="15.75" customHeight="1" x14ac:dyDescent="0.25">
      <c r="A218" s="5" t="str">
        <f>IF(ISNONTEXT(deployment_raw[[#This Row],[Column1]]), "", deployment_raw[[#This Row],[Column1]])</f>
        <v/>
      </c>
      <c r="B218" s="6" t="str">
        <f>IF(ISNONTEXT(deployment_raw[[#This Row],[Column2]]), "", deployment_raw[[#This Row],[Column2]])</f>
        <v/>
      </c>
      <c r="C218" s="6" t="str">
        <f>IF(ISNONTEXT(deployment_raw[[#This Row],[Column3]]), "", deployment_raw[[#This Row],[Column3]])</f>
        <v/>
      </c>
      <c r="D218" s="6" t="str">
        <f>IF(ISNONTEXT(deployment_raw[[#This Row],[Column4]]), "", deployment_raw[[#This Row],[Column4]])</f>
        <v/>
      </c>
      <c r="E218" s="7" t="str">
        <f>IF(ISNUMBER(deployment_raw[[#This Row],[Column5]]), deployment_raw[[#This Row],[Column5]],"")</f>
        <v/>
      </c>
      <c r="F218" s="32" t="str">
        <f>IF(ISNUMBER(deployment_raw[[#This Row],[Column17]]), deployment_raw[[#This Row],[Column17]]/IF(OR($E$2="Deployment",deployment_raw[[#This Row],[Column5]]=0),1,deployment_raw[[#This Row],[Column5]]),"")</f>
        <v/>
      </c>
      <c r="G218" s="42" t="str">
        <f>IF(ISNUMBER(deployment_raw[[#This Row],[Column14]]), deployment_raw[[#This Row],[Column14]]/IF(OR($E$2="Deployment",deployment_raw[[#This Row],[Column5]]=0),1,deployment_raw[[#This Row],[Column5]]),"")</f>
        <v/>
      </c>
      <c r="H218" s="79" t="str">
        <f>IF(ISNUMBER(deployment_raw[[#This Row],[Column19]]), IF(I218&lt;&gt;0,(deployment_raw[[#This Row],[Column19]]/IF(OR($E$2="Deployment",deployment_raw[[#This Row],[Column5]]=0),1,deployment_raw[[#This Row],[Column5]]))/I218,0),"")</f>
        <v/>
      </c>
      <c r="I218" s="69" t="str">
        <f>IF(ISNUMBER(deployment_raw[[#This Row],[Column6]]), (deployment_raw[[#This Row],[Column6]] * IF($E$2="Deployment",deployment_raw[[#This Row],[Column5]],1)),"")</f>
        <v/>
      </c>
      <c r="J218" s="79" t="str">
        <f>IF(ISNUMBER(deployment_raw[[#This Row],[Column19]]), IF(K218&lt;&gt;0,(deployment_raw[[#This Row],[Column19]]/IF(OR($E$2="Deployment",deployment_raw[[#This Row],[Column5]]=0),1,deployment_raw[[#This Row],[Column5]]))/K218,0),"")</f>
        <v/>
      </c>
      <c r="K218" s="72" t="str">
        <f>IF(ISNUMBER(deployment_raw[[#This Row],[Column8]]), (deployment_raw[[#This Row],[Column8]]  * IF($E$2="Deployment",deployment_raw[[#This Row],[Column5]],1)),"")</f>
        <v/>
      </c>
      <c r="L21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1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18" s="81" t="str">
        <f>IF(ISNUMBER(deployment_raw[[#This Row],[Column20]]), IF(O218&lt;&gt;0,deployment_raw[[#This Row],[Column20]]/IF(OR($E$2="Deployment",deployment_raw[[#This Row],[Column5]]=0),1,deployment_raw[[#This Row],[Column5]])/1048576/O218,0),"")</f>
        <v/>
      </c>
      <c r="O218" s="74" t="str">
        <f>IF(ISNUMBER(deployment_raw[[#This Row],[Column7]]), (deployment_raw[[#This Row],[Column7]] * IF($E$2="Deployment",deployment_raw[[#This Row],[Column5]],1))/1048576,"")</f>
        <v/>
      </c>
      <c r="P218" s="81" t="str">
        <f>IF(ISNUMBER(deployment_raw[[#This Row],[Column20]]), IF(Q218&lt;&gt;0,deployment_raw[[#This Row],[Column20]]/IF(OR($E$2="Deployment",deployment_raw[[#This Row],[Column5]]=0),1,deployment_raw[[#This Row],[Column5]])/1048576/Q218,0),"")</f>
        <v/>
      </c>
      <c r="Q218" s="76" t="str">
        <f>IF(ISNUMBER(deployment_raw[[#This Row],[Column9]]), (deployment_raw[[#This Row],[Column9]] * IF($E$2="Deployment",deployment_raw[[#This Row],[Column5]],1))/1048576,"")</f>
        <v/>
      </c>
      <c r="R218" s="57" t="str">
        <f>IF(ISNUMBER(deployment_raw[[#This Row],[Column10]]), (deployment_raw[[#This Row],[Column10]] * IF($E$2="Deployment",deployment_raw[[#This Row],[Column5]],1)),"")</f>
        <v/>
      </c>
      <c r="S218" s="48" t="str">
        <f>IF(ISNUMBER(deployment_raw[[#This Row],[Column11]]), (deployment_raw[[#This Row],[Column11]] * IF($E$2="Deployment",deployment_raw[[#This Row],[Column5]],1))/1048576,"")</f>
        <v/>
      </c>
      <c r="T218" s="59" t="str">
        <f>IF(ISNUMBER(deployment_raw[[#This Row],[Column8]]),IF(OR(deployment_raw[[#This Row],[Column5]] &lt;&gt; 0,$E$2 &lt;&gt; "Deployment"), MAX(V218, ($T$2 * IF($E$2="Deployment",deployment_raw[[#This Row],[Column5]],1))), 0),"")</f>
        <v/>
      </c>
      <c r="U218" s="50" t="str">
        <f>IF(ISNUMBER(deployment_raw[[#This Row],[Column9]]),IF(OR(deployment_raw[[#This Row],[Column5]] &lt;&gt; 0,$E$2&lt;&gt;"Deployment"), MAX(W218, ($U$2 * IF($E$2="Deployment",deployment_raw[[#This Row],[Column5]],1))), 0),"")</f>
        <v/>
      </c>
      <c r="V218" s="15" t="str">
        <f>IF(ISNUMBER(deployment_raw[[#This Row],[Column12]]), (deployment_raw[[#This Row],[Column12]] * IF($E$2="Deployment",deployment_raw[[#This Row],[Column5]],1)*(1+$V$2)),"")</f>
        <v/>
      </c>
      <c r="W218" s="14" t="str">
        <f>IF(ISNUMBER(deployment_raw[[#This Row],[Column13]]), (deployment_raw[[#This Row],[Column13]] * IF($E$2="Deployment",deployment_raw[[#This Row],[Column5]],1)*(1+$W$2))/1048576,"")</f>
        <v/>
      </c>
    </row>
    <row r="219" spans="1:23" ht="15.75" customHeight="1" x14ac:dyDescent="0.25">
      <c r="A219" s="5" t="str">
        <f>IF(ISNONTEXT(deployment_raw[[#This Row],[Column1]]), "", deployment_raw[[#This Row],[Column1]])</f>
        <v/>
      </c>
      <c r="B219" s="6" t="str">
        <f>IF(ISNONTEXT(deployment_raw[[#This Row],[Column2]]), "", deployment_raw[[#This Row],[Column2]])</f>
        <v/>
      </c>
      <c r="C219" s="6" t="str">
        <f>IF(ISNONTEXT(deployment_raw[[#This Row],[Column3]]), "", deployment_raw[[#This Row],[Column3]])</f>
        <v/>
      </c>
      <c r="D219" s="6" t="str">
        <f>IF(ISNONTEXT(deployment_raw[[#This Row],[Column4]]), "", deployment_raw[[#This Row],[Column4]])</f>
        <v/>
      </c>
      <c r="E219" s="7" t="str">
        <f>IF(ISNUMBER(deployment_raw[[#This Row],[Column5]]), deployment_raw[[#This Row],[Column5]],"")</f>
        <v/>
      </c>
      <c r="F219" s="32" t="str">
        <f>IF(ISNUMBER(deployment_raw[[#This Row],[Column17]]), deployment_raw[[#This Row],[Column17]]/IF(OR($E$2="Deployment",deployment_raw[[#This Row],[Column5]]=0),1,deployment_raw[[#This Row],[Column5]]),"")</f>
        <v/>
      </c>
      <c r="G219" s="42" t="str">
        <f>IF(ISNUMBER(deployment_raw[[#This Row],[Column14]]), deployment_raw[[#This Row],[Column14]]/IF(OR($E$2="Deployment",deployment_raw[[#This Row],[Column5]]=0),1,deployment_raw[[#This Row],[Column5]]),"")</f>
        <v/>
      </c>
      <c r="H219" s="79" t="str">
        <f>IF(ISNUMBER(deployment_raw[[#This Row],[Column19]]), IF(I219&lt;&gt;0,(deployment_raw[[#This Row],[Column19]]/IF(OR($E$2="Deployment",deployment_raw[[#This Row],[Column5]]=0),1,deployment_raw[[#This Row],[Column5]]))/I219,0),"")</f>
        <v/>
      </c>
      <c r="I219" s="69" t="str">
        <f>IF(ISNUMBER(deployment_raw[[#This Row],[Column6]]), (deployment_raw[[#This Row],[Column6]] * IF($E$2="Deployment",deployment_raw[[#This Row],[Column5]],1)),"")</f>
        <v/>
      </c>
      <c r="J219" s="79" t="str">
        <f>IF(ISNUMBER(deployment_raw[[#This Row],[Column19]]), IF(K219&lt;&gt;0,(deployment_raw[[#This Row],[Column19]]/IF(OR($E$2="Deployment",deployment_raw[[#This Row],[Column5]]=0),1,deployment_raw[[#This Row],[Column5]]))/K219,0),"")</f>
        <v/>
      </c>
      <c r="K219" s="72" t="str">
        <f>IF(ISNUMBER(deployment_raw[[#This Row],[Column8]]), (deployment_raw[[#This Row],[Column8]]  * IF($E$2="Deployment",deployment_raw[[#This Row],[Column5]],1)),"")</f>
        <v/>
      </c>
      <c r="L21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1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19" s="81" t="str">
        <f>IF(ISNUMBER(deployment_raw[[#This Row],[Column20]]), IF(O219&lt;&gt;0,deployment_raw[[#This Row],[Column20]]/IF(OR($E$2="Deployment",deployment_raw[[#This Row],[Column5]]=0),1,deployment_raw[[#This Row],[Column5]])/1048576/O219,0),"")</f>
        <v/>
      </c>
      <c r="O219" s="74" t="str">
        <f>IF(ISNUMBER(deployment_raw[[#This Row],[Column7]]), (deployment_raw[[#This Row],[Column7]] * IF($E$2="Deployment",deployment_raw[[#This Row],[Column5]],1))/1048576,"")</f>
        <v/>
      </c>
      <c r="P219" s="81" t="str">
        <f>IF(ISNUMBER(deployment_raw[[#This Row],[Column20]]), IF(Q219&lt;&gt;0,deployment_raw[[#This Row],[Column20]]/IF(OR($E$2="Deployment",deployment_raw[[#This Row],[Column5]]=0),1,deployment_raw[[#This Row],[Column5]])/1048576/Q219,0),"")</f>
        <v/>
      </c>
      <c r="Q219" s="76" t="str">
        <f>IF(ISNUMBER(deployment_raw[[#This Row],[Column9]]), (deployment_raw[[#This Row],[Column9]] * IF($E$2="Deployment",deployment_raw[[#This Row],[Column5]],1))/1048576,"")</f>
        <v/>
      </c>
      <c r="R219" s="57" t="str">
        <f>IF(ISNUMBER(deployment_raw[[#This Row],[Column10]]), (deployment_raw[[#This Row],[Column10]] * IF($E$2="Deployment",deployment_raw[[#This Row],[Column5]],1)),"")</f>
        <v/>
      </c>
      <c r="S219" s="48" t="str">
        <f>IF(ISNUMBER(deployment_raw[[#This Row],[Column11]]), (deployment_raw[[#This Row],[Column11]] * IF($E$2="Deployment",deployment_raw[[#This Row],[Column5]],1))/1048576,"")</f>
        <v/>
      </c>
      <c r="T219" s="59" t="str">
        <f>IF(ISNUMBER(deployment_raw[[#This Row],[Column8]]),IF(OR(deployment_raw[[#This Row],[Column5]] &lt;&gt; 0,$E$2 &lt;&gt; "Deployment"), MAX(V219, ($T$2 * IF($E$2="Deployment",deployment_raw[[#This Row],[Column5]],1))), 0),"")</f>
        <v/>
      </c>
      <c r="U219" s="50" t="str">
        <f>IF(ISNUMBER(deployment_raw[[#This Row],[Column9]]),IF(OR(deployment_raw[[#This Row],[Column5]] &lt;&gt; 0,$E$2&lt;&gt;"Deployment"), MAX(W219, ($U$2 * IF($E$2="Deployment",deployment_raw[[#This Row],[Column5]],1))), 0),"")</f>
        <v/>
      </c>
      <c r="V219" s="15" t="str">
        <f>IF(ISNUMBER(deployment_raw[[#This Row],[Column12]]), (deployment_raw[[#This Row],[Column12]] * IF($E$2="Deployment",deployment_raw[[#This Row],[Column5]],1)*(1+$V$2)),"")</f>
        <v/>
      </c>
      <c r="W219" s="14" t="str">
        <f>IF(ISNUMBER(deployment_raw[[#This Row],[Column13]]), (deployment_raw[[#This Row],[Column13]] * IF($E$2="Deployment",deployment_raw[[#This Row],[Column5]],1)*(1+$W$2))/1048576,"")</f>
        <v/>
      </c>
    </row>
    <row r="220" spans="1:23" ht="15.75" customHeight="1" x14ac:dyDescent="0.25">
      <c r="A220" s="5" t="str">
        <f>IF(ISNONTEXT(deployment_raw[[#This Row],[Column1]]), "", deployment_raw[[#This Row],[Column1]])</f>
        <v/>
      </c>
      <c r="B220" s="6" t="str">
        <f>IF(ISNONTEXT(deployment_raw[[#This Row],[Column2]]), "", deployment_raw[[#This Row],[Column2]])</f>
        <v/>
      </c>
      <c r="C220" s="6" t="str">
        <f>IF(ISNONTEXT(deployment_raw[[#This Row],[Column3]]), "", deployment_raw[[#This Row],[Column3]])</f>
        <v/>
      </c>
      <c r="D220" s="6" t="str">
        <f>IF(ISNONTEXT(deployment_raw[[#This Row],[Column4]]), "", deployment_raw[[#This Row],[Column4]])</f>
        <v/>
      </c>
      <c r="E220" s="7" t="str">
        <f>IF(ISNUMBER(deployment_raw[[#This Row],[Column5]]), deployment_raw[[#This Row],[Column5]],"")</f>
        <v/>
      </c>
      <c r="F220" s="32" t="str">
        <f>IF(ISNUMBER(deployment_raw[[#This Row],[Column17]]), deployment_raw[[#This Row],[Column17]]/IF(OR($E$2="Deployment",deployment_raw[[#This Row],[Column5]]=0),1,deployment_raw[[#This Row],[Column5]]),"")</f>
        <v/>
      </c>
      <c r="G220" s="42" t="str">
        <f>IF(ISNUMBER(deployment_raw[[#This Row],[Column14]]), deployment_raw[[#This Row],[Column14]]/IF(OR($E$2="Deployment",deployment_raw[[#This Row],[Column5]]=0),1,deployment_raw[[#This Row],[Column5]]),"")</f>
        <v/>
      </c>
      <c r="H220" s="79" t="str">
        <f>IF(ISNUMBER(deployment_raw[[#This Row],[Column19]]), IF(I220&lt;&gt;0,(deployment_raw[[#This Row],[Column19]]/IF(OR($E$2="Deployment",deployment_raw[[#This Row],[Column5]]=0),1,deployment_raw[[#This Row],[Column5]]))/I220,0),"")</f>
        <v/>
      </c>
      <c r="I220" s="69" t="str">
        <f>IF(ISNUMBER(deployment_raw[[#This Row],[Column6]]), (deployment_raw[[#This Row],[Column6]] * IF($E$2="Deployment",deployment_raw[[#This Row],[Column5]],1)),"")</f>
        <v/>
      </c>
      <c r="J220" s="79" t="str">
        <f>IF(ISNUMBER(deployment_raw[[#This Row],[Column19]]), IF(K220&lt;&gt;0,(deployment_raw[[#This Row],[Column19]]/IF(OR($E$2="Deployment",deployment_raw[[#This Row],[Column5]]=0),1,deployment_raw[[#This Row],[Column5]]))/K220,0),"")</f>
        <v/>
      </c>
      <c r="K220" s="72" t="str">
        <f>IF(ISNUMBER(deployment_raw[[#This Row],[Column8]]), (deployment_raw[[#This Row],[Column8]]  * IF($E$2="Deployment",deployment_raw[[#This Row],[Column5]],1)),"")</f>
        <v/>
      </c>
      <c r="L22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2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20" s="81" t="str">
        <f>IF(ISNUMBER(deployment_raw[[#This Row],[Column20]]), IF(O220&lt;&gt;0,deployment_raw[[#This Row],[Column20]]/IF(OR($E$2="Deployment",deployment_raw[[#This Row],[Column5]]=0),1,deployment_raw[[#This Row],[Column5]])/1048576/O220,0),"")</f>
        <v/>
      </c>
      <c r="O220" s="74" t="str">
        <f>IF(ISNUMBER(deployment_raw[[#This Row],[Column7]]), (deployment_raw[[#This Row],[Column7]] * IF($E$2="Deployment",deployment_raw[[#This Row],[Column5]],1))/1048576,"")</f>
        <v/>
      </c>
      <c r="P220" s="81" t="str">
        <f>IF(ISNUMBER(deployment_raw[[#This Row],[Column20]]), IF(Q220&lt;&gt;0,deployment_raw[[#This Row],[Column20]]/IF(OR($E$2="Deployment",deployment_raw[[#This Row],[Column5]]=0),1,deployment_raw[[#This Row],[Column5]])/1048576/Q220,0),"")</f>
        <v/>
      </c>
      <c r="Q220" s="76" t="str">
        <f>IF(ISNUMBER(deployment_raw[[#This Row],[Column9]]), (deployment_raw[[#This Row],[Column9]] * IF($E$2="Deployment",deployment_raw[[#This Row],[Column5]],1))/1048576,"")</f>
        <v/>
      </c>
      <c r="R220" s="57" t="str">
        <f>IF(ISNUMBER(deployment_raw[[#This Row],[Column10]]), (deployment_raw[[#This Row],[Column10]] * IF($E$2="Deployment",deployment_raw[[#This Row],[Column5]],1)),"")</f>
        <v/>
      </c>
      <c r="S220" s="48" t="str">
        <f>IF(ISNUMBER(deployment_raw[[#This Row],[Column11]]), (deployment_raw[[#This Row],[Column11]] * IF($E$2="Deployment",deployment_raw[[#This Row],[Column5]],1))/1048576,"")</f>
        <v/>
      </c>
      <c r="T220" s="59" t="str">
        <f>IF(ISNUMBER(deployment_raw[[#This Row],[Column8]]),IF(OR(deployment_raw[[#This Row],[Column5]] &lt;&gt; 0,$E$2 &lt;&gt; "Deployment"), MAX(V220, ($T$2 * IF($E$2="Deployment",deployment_raw[[#This Row],[Column5]],1))), 0),"")</f>
        <v/>
      </c>
      <c r="U220" s="50" t="str">
        <f>IF(ISNUMBER(deployment_raw[[#This Row],[Column9]]),IF(OR(deployment_raw[[#This Row],[Column5]] &lt;&gt; 0,$E$2&lt;&gt;"Deployment"), MAX(W220, ($U$2 * IF($E$2="Deployment",deployment_raw[[#This Row],[Column5]],1))), 0),"")</f>
        <v/>
      </c>
      <c r="V220" s="15" t="str">
        <f>IF(ISNUMBER(deployment_raw[[#This Row],[Column12]]), (deployment_raw[[#This Row],[Column12]] * IF($E$2="Deployment",deployment_raw[[#This Row],[Column5]],1)*(1+$V$2)),"")</f>
        <v/>
      </c>
      <c r="W220" s="14" t="str">
        <f>IF(ISNUMBER(deployment_raw[[#This Row],[Column13]]), (deployment_raw[[#This Row],[Column13]] * IF($E$2="Deployment",deployment_raw[[#This Row],[Column5]],1)*(1+$W$2))/1048576,"")</f>
        <v/>
      </c>
    </row>
    <row r="221" spans="1:23" ht="15.75" customHeight="1" x14ac:dyDescent="0.25">
      <c r="A221" s="5" t="str">
        <f>IF(ISNONTEXT(deployment_raw[[#This Row],[Column1]]), "", deployment_raw[[#This Row],[Column1]])</f>
        <v/>
      </c>
      <c r="B221" s="6" t="str">
        <f>IF(ISNONTEXT(deployment_raw[[#This Row],[Column2]]), "", deployment_raw[[#This Row],[Column2]])</f>
        <v/>
      </c>
      <c r="C221" s="6" t="str">
        <f>IF(ISNONTEXT(deployment_raw[[#This Row],[Column3]]), "", deployment_raw[[#This Row],[Column3]])</f>
        <v/>
      </c>
      <c r="D221" s="6" t="str">
        <f>IF(ISNONTEXT(deployment_raw[[#This Row],[Column4]]), "", deployment_raw[[#This Row],[Column4]])</f>
        <v/>
      </c>
      <c r="E221" s="7" t="str">
        <f>IF(ISNUMBER(deployment_raw[[#This Row],[Column5]]), deployment_raw[[#This Row],[Column5]],"")</f>
        <v/>
      </c>
      <c r="F221" s="32" t="str">
        <f>IF(ISNUMBER(deployment_raw[[#This Row],[Column17]]), deployment_raw[[#This Row],[Column17]]/IF(OR($E$2="Deployment",deployment_raw[[#This Row],[Column5]]=0),1,deployment_raw[[#This Row],[Column5]]),"")</f>
        <v/>
      </c>
      <c r="G221" s="42" t="str">
        <f>IF(ISNUMBER(deployment_raw[[#This Row],[Column14]]), deployment_raw[[#This Row],[Column14]]/IF(OR($E$2="Deployment",deployment_raw[[#This Row],[Column5]]=0),1,deployment_raw[[#This Row],[Column5]]),"")</f>
        <v/>
      </c>
      <c r="H221" s="79" t="str">
        <f>IF(ISNUMBER(deployment_raw[[#This Row],[Column19]]), IF(I221&lt;&gt;0,(deployment_raw[[#This Row],[Column19]]/IF(OR($E$2="Deployment",deployment_raw[[#This Row],[Column5]]=0),1,deployment_raw[[#This Row],[Column5]]))/I221,0),"")</f>
        <v/>
      </c>
      <c r="I221" s="69" t="str">
        <f>IF(ISNUMBER(deployment_raw[[#This Row],[Column6]]), (deployment_raw[[#This Row],[Column6]] * IF($E$2="Deployment",deployment_raw[[#This Row],[Column5]],1)),"")</f>
        <v/>
      </c>
      <c r="J221" s="79" t="str">
        <f>IF(ISNUMBER(deployment_raw[[#This Row],[Column19]]), IF(K221&lt;&gt;0,(deployment_raw[[#This Row],[Column19]]/IF(OR($E$2="Deployment",deployment_raw[[#This Row],[Column5]]=0),1,deployment_raw[[#This Row],[Column5]]))/K221,0),"")</f>
        <v/>
      </c>
      <c r="K221" s="72" t="str">
        <f>IF(ISNUMBER(deployment_raw[[#This Row],[Column8]]), (deployment_raw[[#This Row],[Column8]]  * IF($E$2="Deployment",deployment_raw[[#This Row],[Column5]],1)),"")</f>
        <v/>
      </c>
      <c r="L22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2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21" s="81" t="str">
        <f>IF(ISNUMBER(deployment_raw[[#This Row],[Column20]]), IF(O221&lt;&gt;0,deployment_raw[[#This Row],[Column20]]/IF(OR($E$2="Deployment",deployment_raw[[#This Row],[Column5]]=0),1,deployment_raw[[#This Row],[Column5]])/1048576/O221,0),"")</f>
        <v/>
      </c>
      <c r="O221" s="74" t="str">
        <f>IF(ISNUMBER(deployment_raw[[#This Row],[Column7]]), (deployment_raw[[#This Row],[Column7]] * IF($E$2="Deployment",deployment_raw[[#This Row],[Column5]],1))/1048576,"")</f>
        <v/>
      </c>
      <c r="P221" s="81" t="str">
        <f>IF(ISNUMBER(deployment_raw[[#This Row],[Column20]]), IF(Q221&lt;&gt;0,deployment_raw[[#This Row],[Column20]]/IF(OR($E$2="Deployment",deployment_raw[[#This Row],[Column5]]=0),1,deployment_raw[[#This Row],[Column5]])/1048576/Q221,0),"")</f>
        <v/>
      </c>
      <c r="Q221" s="76" t="str">
        <f>IF(ISNUMBER(deployment_raw[[#This Row],[Column9]]), (deployment_raw[[#This Row],[Column9]] * IF($E$2="Deployment",deployment_raw[[#This Row],[Column5]],1))/1048576,"")</f>
        <v/>
      </c>
      <c r="R221" s="57" t="str">
        <f>IF(ISNUMBER(deployment_raw[[#This Row],[Column10]]), (deployment_raw[[#This Row],[Column10]] * IF($E$2="Deployment",deployment_raw[[#This Row],[Column5]],1)),"")</f>
        <v/>
      </c>
      <c r="S221" s="48" t="str">
        <f>IF(ISNUMBER(deployment_raw[[#This Row],[Column11]]), (deployment_raw[[#This Row],[Column11]] * IF($E$2="Deployment",deployment_raw[[#This Row],[Column5]],1))/1048576,"")</f>
        <v/>
      </c>
      <c r="T221" s="59" t="str">
        <f>IF(ISNUMBER(deployment_raw[[#This Row],[Column8]]),IF(OR(deployment_raw[[#This Row],[Column5]] &lt;&gt; 0,$E$2 &lt;&gt; "Deployment"), MAX(V221, ($T$2 * IF($E$2="Deployment",deployment_raw[[#This Row],[Column5]],1))), 0),"")</f>
        <v/>
      </c>
      <c r="U221" s="50" t="str">
        <f>IF(ISNUMBER(deployment_raw[[#This Row],[Column9]]),IF(OR(deployment_raw[[#This Row],[Column5]] &lt;&gt; 0,$E$2&lt;&gt;"Deployment"), MAX(W221, ($U$2 * IF($E$2="Deployment",deployment_raw[[#This Row],[Column5]],1))), 0),"")</f>
        <v/>
      </c>
      <c r="V221" s="15" t="str">
        <f>IF(ISNUMBER(deployment_raw[[#This Row],[Column12]]), (deployment_raw[[#This Row],[Column12]] * IF($E$2="Deployment",deployment_raw[[#This Row],[Column5]],1)*(1+$V$2)),"")</f>
        <v/>
      </c>
      <c r="W221" s="14" t="str">
        <f>IF(ISNUMBER(deployment_raw[[#This Row],[Column13]]), (deployment_raw[[#This Row],[Column13]] * IF($E$2="Deployment",deployment_raw[[#This Row],[Column5]],1)*(1+$W$2))/1048576,"")</f>
        <v/>
      </c>
    </row>
    <row r="222" spans="1:23" ht="15.75" customHeight="1" x14ac:dyDescent="0.25">
      <c r="A222" s="5" t="str">
        <f>IF(ISNONTEXT(deployment_raw[[#This Row],[Column1]]), "", deployment_raw[[#This Row],[Column1]])</f>
        <v/>
      </c>
      <c r="B222" s="6" t="str">
        <f>IF(ISNONTEXT(deployment_raw[[#This Row],[Column2]]), "", deployment_raw[[#This Row],[Column2]])</f>
        <v/>
      </c>
      <c r="C222" s="6" t="str">
        <f>IF(ISNONTEXT(deployment_raw[[#This Row],[Column3]]), "", deployment_raw[[#This Row],[Column3]])</f>
        <v/>
      </c>
      <c r="D222" s="6" t="str">
        <f>IF(ISNONTEXT(deployment_raw[[#This Row],[Column4]]), "", deployment_raw[[#This Row],[Column4]])</f>
        <v/>
      </c>
      <c r="E222" s="7" t="str">
        <f>IF(ISNUMBER(deployment_raw[[#This Row],[Column5]]), deployment_raw[[#This Row],[Column5]],"")</f>
        <v/>
      </c>
      <c r="F222" s="32" t="str">
        <f>IF(ISNUMBER(deployment_raw[[#This Row],[Column17]]), deployment_raw[[#This Row],[Column17]]/IF(OR($E$2="Deployment",deployment_raw[[#This Row],[Column5]]=0),1,deployment_raw[[#This Row],[Column5]]),"")</f>
        <v/>
      </c>
      <c r="G222" s="42" t="str">
        <f>IF(ISNUMBER(deployment_raw[[#This Row],[Column14]]), deployment_raw[[#This Row],[Column14]]/IF(OR($E$2="Deployment",deployment_raw[[#This Row],[Column5]]=0),1,deployment_raw[[#This Row],[Column5]]),"")</f>
        <v/>
      </c>
      <c r="H222" s="79" t="str">
        <f>IF(ISNUMBER(deployment_raw[[#This Row],[Column19]]), IF(I222&lt;&gt;0,(deployment_raw[[#This Row],[Column19]]/IF(OR($E$2="Deployment",deployment_raw[[#This Row],[Column5]]=0),1,deployment_raw[[#This Row],[Column5]]))/I222,0),"")</f>
        <v/>
      </c>
      <c r="I222" s="69" t="str">
        <f>IF(ISNUMBER(deployment_raw[[#This Row],[Column6]]), (deployment_raw[[#This Row],[Column6]] * IF($E$2="Deployment",deployment_raw[[#This Row],[Column5]],1)),"")</f>
        <v/>
      </c>
      <c r="J222" s="79" t="str">
        <f>IF(ISNUMBER(deployment_raw[[#This Row],[Column19]]), IF(K222&lt;&gt;0,(deployment_raw[[#This Row],[Column19]]/IF(OR($E$2="Deployment",deployment_raw[[#This Row],[Column5]]=0),1,deployment_raw[[#This Row],[Column5]]))/K222,0),"")</f>
        <v/>
      </c>
      <c r="K222" s="72" t="str">
        <f>IF(ISNUMBER(deployment_raw[[#This Row],[Column8]]), (deployment_raw[[#This Row],[Column8]]  * IF($E$2="Deployment",deployment_raw[[#This Row],[Column5]],1)),"")</f>
        <v/>
      </c>
      <c r="L22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2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22" s="81" t="str">
        <f>IF(ISNUMBER(deployment_raw[[#This Row],[Column20]]), IF(O222&lt;&gt;0,deployment_raw[[#This Row],[Column20]]/IF(OR($E$2="Deployment",deployment_raw[[#This Row],[Column5]]=0),1,deployment_raw[[#This Row],[Column5]])/1048576/O222,0),"")</f>
        <v/>
      </c>
      <c r="O222" s="74" t="str">
        <f>IF(ISNUMBER(deployment_raw[[#This Row],[Column7]]), (deployment_raw[[#This Row],[Column7]] * IF($E$2="Deployment",deployment_raw[[#This Row],[Column5]],1))/1048576,"")</f>
        <v/>
      </c>
      <c r="P222" s="81" t="str">
        <f>IF(ISNUMBER(deployment_raw[[#This Row],[Column20]]), IF(Q222&lt;&gt;0,deployment_raw[[#This Row],[Column20]]/IF(OR($E$2="Deployment",deployment_raw[[#This Row],[Column5]]=0),1,deployment_raw[[#This Row],[Column5]])/1048576/Q222,0),"")</f>
        <v/>
      </c>
      <c r="Q222" s="76" t="str">
        <f>IF(ISNUMBER(deployment_raw[[#This Row],[Column9]]), (deployment_raw[[#This Row],[Column9]] * IF($E$2="Deployment",deployment_raw[[#This Row],[Column5]],1))/1048576,"")</f>
        <v/>
      </c>
      <c r="R222" s="57" t="str">
        <f>IF(ISNUMBER(deployment_raw[[#This Row],[Column10]]), (deployment_raw[[#This Row],[Column10]] * IF($E$2="Deployment",deployment_raw[[#This Row],[Column5]],1)),"")</f>
        <v/>
      </c>
      <c r="S222" s="48" t="str">
        <f>IF(ISNUMBER(deployment_raw[[#This Row],[Column11]]), (deployment_raw[[#This Row],[Column11]] * IF($E$2="Deployment",deployment_raw[[#This Row],[Column5]],1))/1048576,"")</f>
        <v/>
      </c>
      <c r="T222" s="59" t="str">
        <f>IF(ISNUMBER(deployment_raw[[#This Row],[Column8]]),IF(OR(deployment_raw[[#This Row],[Column5]] &lt;&gt; 0,$E$2 &lt;&gt; "Deployment"), MAX(V222, ($T$2 * IF($E$2="Deployment",deployment_raw[[#This Row],[Column5]],1))), 0),"")</f>
        <v/>
      </c>
      <c r="U222" s="50" t="str">
        <f>IF(ISNUMBER(deployment_raw[[#This Row],[Column9]]),IF(OR(deployment_raw[[#This Row],[Column5]] &lt;&gt; 0,$E$2&lt;&gt;"Deployment"), MAX(W222, ($U$2 * IF($E$2="Deployment",deployment_raw[[#This Row],[Column5]],1))), 0),"")</f>
        <v/>
      </c>
      <c r="V222" s="15" t="str">
        <f>IF(ISNUMBER(deployment_raw[[#This Row],[Column12]]), (deployment_raw[[#This Row],[Column12]] * IF($E$2="Deployment",deployment_raw[[#This Row],[Column5]],1)*(1+$V$2)),"")</f>
        <v/>
      </c>
      <c r="W222" s="14" t="str">
        <f>IF(ISNUMBER(deployment_raw[[#This Row],[Column13]]), (deployment_raw[[#This Row],[Column13]] * IF($E$2="Deployment",deployment_raw[[#This Row],[Column5]],1)*(1+$W$2))/1048576,"")</f>
        <v/>
      </c>
    </row>
    <row r="223" spans="1:23" ht="15.75" customHeight="1" x14ac:dyDescent="0.25">
      <c r="A223" s="5" t="str">
        <f>IF(ISNONTEXT(deployment_raw[[#This Row],[Column1]]), "", deployment_raw[[#This Row],[Column1]])</f>
        <v/>
      </c>
      <c r="B223" s="6" t="str">
        <f>IF(ISNONTEXT(deployment_raw[[#This Row],[Column2]]), "", deployment_raw[[#This Row],[Column2]])</f>
        <v/>
      </c>
      <c r="C223" s="6" t="str">
        <f>IF(ISNONTEXT(deployment_raw[[#This Row],[Column3]]), "", deployment_raw[[#This Row],[Column3]])</f>
        <v/>
      </c>
      <c r="D223" s="6" t="str">
        <f>IF(ISNONTEXT(deployment_raw[[#This Row],[Column4]]), "", deployment_raw[[#This Row],[Column4]])</f>
        <v/>
      </c>
      <c r="E223" s="7" t="str">
        <f>IF(ISNUMBER(deployment_raw[[#This Row],[Column5]]), deployment_raw[[#This Row],[Column5]],"")</f>
        <v/>
      </c>
      <c r="F223" s="32" t="str">
        <f>IF(ISNUMBER(deployment_raw[[#This Row],[Column17]]), deployment_raw[[#This Row],[Column17]]/IF(OR($E$2="Deployment",deployment_raw[[#This Row],[Column5]]=0),1,deployment_raw[[#This Row],[Column5]]),"")</f>
        <v/>
      </c>
      <c r="G223" s="42" t="str">
        <f>IF(ISNUMBER(deployment_raw[[#This Row],[Column14]]), deployment_raw[[#This Row],[Column14]]/IF(OR($E$2="Deployment",deployment_raw[[#This Row],[Column5]]=0),1,deployment_raw[[#This Row],[Column5]]),"")</f>
        <v/>
      </c>
      <c r="H223" s="79" t="str">
        <f>IF(ISNUMBER(deployment_raw[[#This Row],[Column19]]), IF(I223&lt;&gt;0,(deployment_raw[[#This Row],[Column19]]/IF(OR($E$2="Deployment",deployment_raw[[#This Row],[Column5]]=0),1,deployment_raw[[#This Row],[Column5]]))/I223,0),"")</f>
        <v/>
      </c>
      <c r="I223" s="69" t="str">
        <f>IF(ISNUMBER(deployment_raw[[#This Row],[Column6]]), (deployment_raw[[#This Row],[Column6]] * IF($E$2="Deployment",deployment_raw[[#This Row],[Column5]],1)),"")</f>
        <v/>
      </c>
      <c r="J223" s="79" t="str">
        <f>IF(ISNUMBER(deployment_raw[[#This Row],[Column19]]), IF(K223&lt;&gt;0,(deployment_raw[[#This Row],[Column19]]/IF(OR($E$2="Deployment",deployment_raw[[#This Row],[Column5]]=0),1,deployment_raw[[#This Row],[Column5]]))/K223,0),"")</f>
        <v/>
      </c>
      <c r="K223" s="72" t="str">
        <f>IF(ISNUMBER(deployment_raw[[#This Row],[Column8]]), (deployment_raw[[#This Row],[Column8]]  * IF($E$2="Deployment",deployment_raw[[#This Row],[Column5]],1)),"")</f>
        <v/>
      </c>
      <c r="L22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2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23" s="81" t="str">
        <f>IF(ISNUMBER(deployment_raw[[#This Row],[Column20]]), IF(O223&lt;&gt;0,deployment_raw[[#This Row],[Column20]]/IF(OR($E$2="Deployment",deployment_raw[[#This Row],[Column5]]=0),1,deployment_raw[[#This Row],[Column5]])/1048576/O223,0),"")</f>
        <v/>
      </c>
      <c r="O223" s="74" t="str">
        <f>IF(ISNUMBER(deployment_raw[[#This Row],[Column7]]), (deployment_raw[[#This Row],[Column7]] * IF($E$2="Deployment",deployment_raw[[#This Row],[Column5]],1))/1048576,"")</f>
        <v/>
      </c>
      <c r="P223" s="81" t="str">
        <f>IF(ISNUMBER(deployment_raw[[#This Row],[Column20]]), IF(Q223&lt;&gt;0,deployment_raw[[#This Row],[Column20]]/IF(OR($E$2="Deployment",deployment_raw[[#This Row],[Column5]]=0),1,deployment_raw[[#This Row],[Column5]])/1048576/Q223,0),"")</f>
        <v/>
      </c>
      <c r="Q223" s="76" t="str">
        <f>IF(ISNUMBER(deployment_raw[[#This Row],[Column9]]), (deployment_raw[[#This Row],[Column9]] * IF($E$2="Deployment",deployment_raw[[#This Row],[Column5]],1))/1048576,"")</f>
        <v/>
      </c>
      <c r="R223" s="57" t="str">
        <f>IF(ISNUMBER(deployment_raw[[#This Row],[Column10]]), (deployment_raw[[#This Row],[Column10]] * IF($E$2="Deployment",deployment_raw[[#This Row],[Column5]],1)),"")</f>
        <v/>
      </c>
      <c r="S223" s="48" t="str">
        <f>IF(ISNUMBER(deployment_raw[[#This Row],[Column11]]), (deployment_raw[[#This Row],[Column11]] * IF($E$2="Deployment",deployment_raw[[#This Row],[Column5]],1))/1048576,"")</f>
        <v/>
      </c>
      <c r="T223" s="59" t="str">
        <f>IF(ISNUMBER(deployment_raw[[#This Row],[Column8]]),IF(OR(deployment_raw[[#This Row],[Column5]] &lt;&gt; 0,$E$2 &lt;&gt; "Deployment"), MAX(V223, ($T$2 * IF($E$2="Deployment",deployment_raw[[#This Row],[Column5]],1))), 0),"")</f>
        <v/>
      </c>
      <c r="U223" s="50" t="str">
        <f>IF(ISNUMBER(deployment_raw[[#This Row],[Column9]]),IF(OR(deployment_raw[[#This Row],[Column5]] &lt;&gt; 0,$E$2&lt;&gt;"Deployment"), MAX(W223, ($U$2 * IF($E$2="Deployment",deployment_raw[[#This Row],[Column5]],1))), 0),"")</f>
        <v/>
      </c>
      <c r="V223" s="15" t="str">
        <f>IF(ISNUMBER(deployment_raw[[#This Row],[Column12]]), (deployment_raw[[#This Row],[Column12]] * IF($E$2="Deployment",deployment_raw[[#This Row],[Column5]],1)*(1+$V$2)),"")</f>
        <v/>
      </c>
      <c r="W223" s="14" t="str">
        <f>IF(ISNUMBER(deployment_raw[[#This Row],[Column13]]), (deployment_raw[[#This Row],[Column13]] * IF($E$2="Deployment",deployment_raw[[#This Row],[Column5]],1)*(1+$W$2))/1048576,"")</f>
        <v/>
      </c>
    </row>
    <row r="224" spans="1:23" ht="15.75" customHeight="1" x14ac:dyDescent="0.25">
      <c r="A224" s="5" t="str">
        <f>IF(ISNONTEXT(deployment_raw[[#This Row],[Column1]]), "", deployment_raw[[#This Row],[Column1]])</f>
        <v/>
      </c>
      <c r="B224" s="6" t="str">
        <f>IF(ISNONTEXT(deployment_raw[[#This Row],[Column2]]), "", deployment_raw[[#This Row],[Column2]])</f>
        <v/>
      </c>
      <c r="C224" s="6" t="str">
        <f>IF(ISNONTEXT(deployment_raw[[#This Row],[Column3]]), "", deployment_raw[[#This Row],[Column3]])</f>
        <v/>
      </c>
      <c r="D224" s="6" t="str">
        <f>IF(ISNONTEXT(deployment_raw[[#This Row],[Column4]]), "", deployment_raw[[#This Row],[Column4]])</f>
        <v/>
      </c>
      <c r="E224" s="7" t="str">
        <f>IF(ISNUMBER(deployment_raw[[#This Row],[Column5]]), deployment_raw[[#This Row],[Column5]],"")</f>
        <v/>
      </c>
      <c r="F224" s="32" t="str">
        <f>IF(ISNUMBER(deployment_raw[[#This Row],[Column17]]), deployment_raw[[#This Row],[Column17]]/IF(OR($E$2="Deployment",deployment_raw[[#This Row],[Column5]]=0),1,deployment_raw[[#This Row],[Column5]]),"")</f>
        <v/>
      </c>
      <c r="G224" s="42" t="str">
        <f>IF(ISNUMBER(deployment_raw[[#This Row],[Column14]]), deployment_raw[[#This Row],[Column14]]/IF(OR($E$2="Deployment",deployment_raw[[#This Row],[Column5]]=0),1,deployment_raw[[#This Row],[Column5]]),"")</f>
        <v/>
      </c>
      <c r="H224" s="79" t="str">
        <f>IF(ISNUMBER(deployment_raw[[#This Row],[Column19]]), IF(I224&lt;&gt;0,(deployment_raw[[#This Row],[Column19]]/IF(OR($E$2="Deployment",deployment_raw[[#This Row],[Column5]]=0),1,deployment_raw[[#This Row],[Column5]]))/I224,0),"")</f>
        <v/>
      </c>
      <c r="I224" s="69" t="str">
        <f>IF(ISNUMBER(deployment_raw[[#This Row],[Column6]]), (deployment_raw[[#This Row],[Column6]] * IF($E$2="Deployment",deployment_raw[[#This Row],[Column5]],1)),"")</f>
        <v/>
      </c>
      <c r="J224" s="79" t="str">
        <f>IF(ISNUMBER(deployment_raw[[#This Row],[Column19]]), IF(K224&lt;&gt;0,(deployment_raw[[#This Row],[Column19]]/IF(OR($E$2="Deployment",deployment_raw[[#This Row],[Column5]]=0),1,deployment_raw[[#This Row],[Column5]]))/K224,0),"")</f>
        <v/>
      </c>
      <c r="K224" s="72" t="str">
        <f>IF(ISNUMBER(deployment_raw[[#This Row],[Column8]]), (deployment_raw[[#This Row],[Column8]]  * IF($E$2="Deployment",deployment_raw[[#This Row],[Column5]],1)),"")</f>
        <v/>
      </c>
      <c r="L22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2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24" s="81" t="str">
        <f>IF(ISNUMBER(deployment_raw[[#This Row],[Column20]]), IF(O224&lt;&gt;0,deployment_raw[[#This Row],[Column20]]/IF(OR($E$2="Deployment",deployment_raw[[#This Row],[Column5]]=0),1,deployment_raw[[#This Row],[Column5]])/1048576/O224,0),"")</f>
        <v/>
      </c>
      <c r="O224" s="74" t="str">
        <f>IF(ISNUMBER(deployment_raw[[#This Row],[Column7]]), (deployment_raw[[#This Row],[Column7]] * IF($E$2="Deployment",deployment_raw[[#This Row],[Column5]],1))/1048576,"")</f>
        <v/>
      </c>
      <c r="P224" s="81" t="str">
        <f>IF(ISNUMBER(deployment_raw[[#This Row],[Column20]]), IF(Q224&lt;&gt;0,deployment_raw[[#This Row],[Column20]]/IF(OR($E$2="Deployment",deployment_raw[[#This Row],[Column5]]=0),1,deployment_raw[[#This Row],[Column5]])/1048576/Q224,0),"")</f>
        <v/>
      </c>
      <c r="Q224" s="76" t="str">
        <f>IF(ISNUMBER(deployment_raw[[#This Row],[Column9]]), (deployment_raw[[#This Row],[Column9]] * IF($E$2="Deployment",deployment_raw[[#This Row],[Column5]],1))/1048576,"")</f>
        <v/>
      </c>
      <c r="R224" s="57" t="str">
        <f>IF(ISNUMBER(deployment_raw[[#This Row],[Column10]]), (deployment_raw[[#This Row],[Column10]] * IF($E$2="Deployment",deployment_raw[[#This Row],[Column5]],1)),"")</f>
        <v/>
      </c>
      <c r="S224" s="48" t="str">
        <f>IF(ISNUMBER(deployment_raw[[#This Row],[Column11]]), (deployment_raw[[#This Row],[Column11]] * IF($E$2="Deployment",deployment_raw[[#This Row],[Column5]],1))/1048576,"")</f>
        <v/>
      </c>
      <c r="T224" s="59" t="str">
        <f>IF(ISNUMBER(deployment_raw[[#This Row],[Column8]]),IF(OR(deployment_raw[[#This Row],[Column5]] &lt;&gt; 0,$E$2 &lt;&gt; "Deployment"), MAX(V224, ($T$2 * IF($E$2="Deployment",deployment_raw[[#This Row],[Column5]],1))), 0),"")</f>
        <v/>
      </c>
      <c r="U224" s="50" t="str">
        <f>IF(ISNUMBER(deployment_raw[[#This Row],[Column9]]),IF(OR(deployment_raw[[#This Row],[Column5]] &lt;&gt; 0,$E$2&lt;&gt;"Deployment"), MAX(W224, ($U$2 * IF($E$2="Deployment",deployment_raw[[#This Row],[Column5]],1))), 0),"")</f>
        <v/>
      </c>
      <c r="V224" s="15" t="str">
        <f>IF(ISNUMBER(deployment_raw[[#This Row],[Column12]]), (deployment_raw[[#This Row],[Column12]] * IF($E$2="Deployment",deployment_raw[[#This Row],[Column5]],1)*(1+$V$2)),"")</f>
        <v/>
      </c>
      <c r="W224" s="14" t="str">
        <f>IF(ISNUMBER(deployment_raw[[#This Row],[Column13]]), (deployment_raw[[#This Row],[Column13]] * IF($E$2="Deployment",deployment_raw[[#This Row],[Column5]],1)*(1+$W$2))/1048576,"")</f>
        <v/>
      </c>
    </row>
    <row r="225" spans="1:23" ht="15.75" customHeight="1" x14ac:dyDescent="0.25">
      <c r="A225" s="5" t="str">
        <f>IF(ISNONTEXT(deployment_raw[[#This Row],[Column1]]), "", deployment_raw[[#This Row],[Column1]])</f>
        <v/>
      </c>
      <c r="B225" s="6" t="str">
        <f>IF(ISNONTEXT(deployment_raw[[#This Row],[Column2]]), "", deployment_raw[[#This Row],[Column2]])</f>
        <v/>
      </c>
      <c r="C225" s="6" t="str">
        <f>IF(ISNONTEXT(deployment_raw[[#This Row],[Column3]]), "", deployment_raw[[#This Row],[Column3]])</f>
        <v/>
      </c>
      <c r="D225" s="6" t="str">
        <f>IF(ISNONTEXT(deployment_raw[[#This Row],[Column4]]), "", deployment_raw[[#This Row],[Column4]])</f>
        <v/>
      </c>
      <c r="E225" s="7" t="str">
        <f>IF(ISNUMBER(deployment_raw[[#This Row],[Column5]]), deployment_raw[[#This Row],[Column5]],"")</f>
        <v/>
      </c>
      <c r="F225" s="32" t="str">
        <f>IF(ISNUMBER(deployment_raw[[#This Row],[Column17]]), deployment_raw[[#This Row],[Column17]]/IF(OR($E$2="Deployment",deployment_raw[[#This Row],[Column5]]=0),1,deployment_raw[[#This Row],[Column5]]),"")</f>
        <v/>
      </c>
      <c r="G225" s="42" t="str">
        <f>IF(ISNUMBER(deployment_raw[[#This Row],[Column14]]), deployment_raw[[#This Row],[Column14]]/IF(OR($E$2="Deployment",deployment_raw[[#This Row],[Column5]]=0),1,deployment_raw[[#This Row],[Column5]]),"")</f>
        <v/>
      </c>
      <c r="H225" s="79" t="str">
        <f>IF(ISNUMBER(deployment_raw[[#This Row],[Column19]]), IF(I225&lt;&gt;0,(deployment_raw[[#This Row],[Column19]]/IF(OR($E$2="Deployment",deployment_raw[[#This Row],[Column5]]=0),1,deployment_raw[[#This Row],[Column5]]))/I225,0),"")</f>
        <v/>
      </c>
      <c r="I225" s="69" t="str">
        <f>IF(ISNUMBER(deployment_raw[[#This Row],[Column6]]), (deployment_raw[[#This Row],[Column6]] * IF($E$2="Deployment",deployment_raw[[#This Row],[Column5]],1)),"")</f>
        <v/>
      </c>
      <c r="J225" s="79" t="str">
        <f>IF(ISNUMBER(deployment_raw[[#This Row],[Column19]]), IF(K225&lt;&gt;0,(deployment_raw[[#This Row],[Column19]]/IF(OR($E$2="Deployment",deployment_raw[[#This Row],[Column5]]=0),1,deployment_raw[[#This Row],[Column5]]))/K225,0),"")</f>
        <v/>
      </c>
      <c r="K225" s="72" t="str">
        <f>IF(ISNUMBER(deployment_raw[[#This Row],[Column8]]), (deployment_raw[[#This Row],[Column8]]  * IF($E$2="Deployment",deployment_raw[[#This Row],[Column5]],1)),"")</f>
        <v/>
      </c>
      <c r="L22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2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25" s="81" t="str">
        <f>IF(ISNUMBER(deployment_raw[[#This Row],[Column20]]), IF(O225&lt;&gt;0,deployment_raw[[#This Row],[Column20]]/IF(OR($E$2="Deployment",deployment_raw[[#This Row],[Column5]]=0),1,deployment_raw[[#This Row],[Column5]])/1048576/O225,0),"")</f>
        <v/>
      </c>
      <c r="O225" s="74" t="str">
        <f>IF(ISNUMBER(deployment_raw[[#This Row],[Column7]]), (deployment_raw[[#This Row],[Column7]] * IF($E$2="Deployment",deployment_raw[[#This Row],[Column5]],1))/1048576,"")</f>
        <v/>
      </c>
      <c r="P225" s="81" t="str">
        <f>IF(ISNUMBER(deployment_raw[[#This Row],[Column20]]), IF(Q225&lt;&gt;0,deployment_raw[[#This Row],[Column20]]/IF(OR($E$2="Deployment",deployment_raw[[#This Row],[Column5]]=0),1,deployment_raw[[#This Row],[Column5]])/1048576/Q225,0),"")</f>
        <v/>
      </c>
      <c r="Q225" s="76" t="str">
        <f>IF(ISNUMBER(deployment_raw[[#This Row],[Column9]]), (deployment_raw[[#This Row],[Column9]] * IF($E$2="Deployment",deployment_raw[[#This Row],[Column5]],1))/1048576,"")</f>
        <v/>
      </c>
      <c r="R225" s="57" t="str">
        <f>IF(ISNUMBER(deployment_raw[[#This Row],[Column10]]), (deployment_raw[[#This Row],[Column10]] * IF($E$2="Deployment",deployment_raw[[#This Row],[Column5]],1)),"")</f>
        <v/>
      </c>
      <c r="S225" s="48" t="str">
        <f>IF(ISNUMBER(deployment_raw[[#This Row],[Column11]]), (deployment_raw[[#This Row],[Column11]] * IF($E$2="Deployment",deployment_raw[[#This Row],[Column5]],1))/1048576,"")</f>
        <v/>
      </c>
      <c r="T225" s="59" t="str">
        <f>IF(ISNUMBER(deployment_raw[[#This Row],[Column8]]),IF(OR(deployment_raw[[#This Row],[Column5]] &lt;&gt; 0,$E$2 &lt;&gt; "Deployment"), MAX(V225, ($T$2 * IF($E$2="Deployment",deployment_raw[[#This Row],[Column5]],1))), 0),"")</f>
        <v/>
      </c>
      <c r="U225" s="50" t="str">
        <f>IF(ISNUMBER(deployment_raw[[#This Row],[Column9]]),IF(OR(deployment_raw[[#This Row],[Column5]] &lt;&gt; 0,$E$2&lt;&gt;"Deployment"), MAX(W225, ($U$2 * IF($E$2="Deployment",deployment_raw[[#This Row],[Column5]],1))), 0),"")</f>
        <v/>
      </c>
      <c r="V225" s="15" t="str">
        <f>IF(ISNUMBER(deployment_raw[[#This Row],[Column12]]), (deployment_raw[[#This Row],[Column12]] * IF($E$2="Deployment",deployment_raw[[#This Row],[Column5]],1)*(1+$V$2)),"")</f>
        <v/>
      </c>
      <c r="W225" s="14" t="str">
        <f>IF(ISNUMBER(deployment_raw[[#This Row],[Column13]]), (deployment_raw[[#This Row],[Column13]] * IF($E$2="Deployment",deployment_raw[[#This Row],[Column5]],1)*(1+$W$2))/1048576,"")</f>
        <v/>
      </c>
    </row>
    <row r="226" spans="1:23" ht="15.75" customHeight="1" x14ac:dyDescent="0.25">
      <c r="A226" s="5" t="str">
        <f>IF(ISNONTEXT(deployment_raw[[#This Row],[Column1]]), "", deployment_raw[[#This Row],[Column1]])</f>
        <v/>
      </c>
      <c r="B226" s="6" t="str">
        <f>IF(ISNONTEXT(deployment_raw[[#This Row],[Column2]]), "", deployment_raw[[#This Row],[Column2]])</f>
        <v/>
      </c>
      <c r="C226" s="6" t="str">
        <f>IF(ISNONTEXT(deployment_raw[[#This Row],[Column3]]), "", deployment_raw[[#This Row],[Column3]])</f>
        <v/>
      </c>
      <c r="D226" s="6" t="str">
        <f>IF(ISNONTEXT(deployment_raw[[#This Row],[Column4]]), "", deployment_raw[[#This Row],[Column4]])</f>
        <v/>
      </c>
      <c r="E226" s="7" t="str">
        <f>IF(ISNUMBER(deployment_raw[[#This Row],[Column5]]), deployment_raw[[#This Row],[Column5]],"")</f>
        <v/>
      </c>
      <c r="F226" s="32" t="str">
        <f>IF(ISNUMBER(deployment_raw[[#This Row],[Column17]]), deployment_raw[[#This Row],[Column17]]/IF(OR($E$2="Deployment",deployment_raw[[#This Row],[Column5]]=0),1,deployment_raw[[#This Row],[Column5]]),"")</f>
        <v/>
      </c>
      <c r="G226" s="42" t="str">
        <f>IF(ISNUMBER(deployment_raw[[#This Row],[Column14]]), deployment_raw[[#This Row],[Column14]]/IF(OR($E$2="Deployment",deployment_raw[[#This Row],[Column5]]=0),1,deployment_raw[[#This Row],[Column5]]),"")</f>
        <v/>
      </c>
      <c r="H226" s="79" t="str">
        <f>IF(ISNUMBER(deployment_raw[[#This Row],[Column19]]), IF(I226&lt;&gt;0,(deployment_raw[[#This Row],[Column19]]/IF(OR($E$2="Deployment",deployment_raw[[#This Row],[Column5]]=0),1,deployment_raw[[#This Row],[Column5]]))/I226,0),"")</f>
        <v/>
      </c>
      <c r="I226" s="69" t="str">
        <f>IF(ISNUMBER(deployment_raw[[#This Row],[Column6]]), (deployment_raw[[#This Row],[Column6]] * IF($E$2="Deployment",deployment_raw[[#This Row],[Column5]],1)),"")</f>
        <v/>
      </c>
      <c r="J226" s="79" t="str">
        <f>IF(ISNUMBER(deployment_raw[[#This Row],[Column19]]), IF(K226&lt;&gt;0,(deployment_raw[[#This Row],[Column19]]/IF(OR($E$2="Deployment",deployment_raw[[#This Row],[Column5]]=0),1,deployment_raw[[#This Row],[Column5]]))/K226,0),"")</f>
        <v/>
      </c>
      <c r="K226" s="72" t="str">
        <f>IF(ISNUMBER(deployment_raw[[#This Row],[Column8]]), (deployment_raw[[#This Row],[Column8]]  * IF($E$2="Deployment",deployment_raw[[#This Row],[Column5]],1)),"")</f>
        <v/>
      </c>
      <c r="L22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2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26" s="81" t="str">
        <f>IF(ISNUMBER(deployment_raw[[#This Row],[Column20]]), IF(O226&lt;&gt;0,deployment_raw[[#This Row],[Column20]]/IF(OR($E$2="Deployment",deployment_raw[[#This Row],[Column5]]=0),1,deployment_raw[[#This Row],[Column5]])/1048576/O226,0),"")</f>
        <v/>
      </c>
      <c r="O226" s="74" t="str">
        <f>IF(ISNUMBER(deployment_raw[[#This Row],[Column7]]), (deployment_raw[[#This Row],[Column7]] * IF($E$2="Deployment",deployment_raw[[#This Row],[Column5]],1))/1048576,"")</f>
        <v/>
      </c>
      <c r="P226" s="81" t="str">
        <f>IF(ISNUMBER(deployment_raw[[#This Row],[Column20]]), IF(Q226&lt;&gt;0,deployment_raw[[#This Row],[Column20]]/IF(OR($E$2="Deployment",deployment_raw[[#This Row],[Column5]]=0),1,deployment_raw[[#This Row],[Column5]])/1048576/Q226,0),"")</f>
        <v/>
      </c>
      <c r="Q226" s="76" t="str">
        <f>IF(ISNUMBER(deployment_raw[[#This Row],[Column9]]), (deployment_raw[[#This Row],[Column9]] * IF($E$2="Deployment",deployment_raw[[#This Row],[Column5]],1))/1048576,"")</f>
        <v/>
      </c>
      <c r="R226" s="57" t="str">
        <f>IF(ISNUMBER(deployment_raw[[#This Row],[Column10]]), (deployment_raw[[#This Row],[Column10]] * IF($E$2="Deployment",deployment_raw[[#This Row],[Column5]],1)),"")</f>
        <v/>
      </c>
      <c r="S226" s="48" t="str">
        <f>IF(ISNUMBER(deployment_raw[[#This Row],[Column11]]), (deployment_raw[[#This Row],[Column11]] * IF($E$2="Deployment",deployment_raw[[#This Row],[Column5]],1))/1048576,"")</f>
        <v/>
      </c>
      <c r="T226" s="59" t="str">
        <f>IF(ISNUMBER(deployment_raw[[#This Row],[Column8]]),IF(OR(deployment_raw[[#This Row],[Column5]] &lt;&gt; 0,$E$2 &lt;&gt; "Deployment"), MAX(V226, ($T$2 * IF($E$2="Deployment",deployment_raw[[#This Row],[Column5]],1))), 0),"")</f>
        <v/>
      </c>
      <c r="U226" s="50" t="str">
        <f>IF(ISNUMBER(deployment_raw[[#This Row],[Column9]]),IF(OR(deployment_raw[[#This Row],[Column5]] &lt;&gt; 0,$E$2&lt;&gt;"Deployment"), MAX(W226, ($U$2 * IF($E$2="Deployment",deployment_raw[[#This Row],[Column5]],1))), 0),"")</f>
        <v/>
      </c>
      <c r="V226" s="15" t="str">
        <f>IF(ISNUMBER(deployment_raw[[#This Row],[Column12]]), (deployment_raw[[#This Row],[Column12]] * IF($E$2="Deployment",deployment_raw[[#This Row],[Column5]],1)*(1+$V$2)),"")</f>
        <v/>
      </c>
      <c r="W226" s="14" t="str">
        <f>IF(ISNUMBER(deployment_raw[[#This Row],[Column13]]), (deployment_raw[[#This Row],[Column13]] * IF($E$2="Deployment",deployment_raw[[#This Row],[Column5]],1)*(1+$W$2))/1048576,"")</f>
        <v/>
      </c>
    </row>
    <row r="227" spans="1:23" ht="15.75" customHeight="1" x14ac:dyDescent="0.25">
      <c r="A227" s="5" t="str">
        <f>IF(ISNONTEXT(deployment_raw[[#This Row],[Column1]]), "", deployment_raw[[#This Row],[Column1]])</f>
        <v/>
      </c>
      <c r="B227" s="6" t="str">
        <f>IF(ISNONTEXT(deployment_raw[[#This Row],[Column2]]), "", deployment_raw[[#This Row],[Column2]])</f>
        <v/>
      </c>
      <c r="C227" s="6" t="str">
        <f>IF(ISNONTEXT(deployment_raw[[#This Row],[Column3]]), "", deployment_raw[[#This Row],[Column3]])</f>
        <v/>
      </c>
      <c r="D227" s="6" t="str">
        <f>IF(ISNONTEXT(deployment_raw[[#This Row],[Column4]]), "", deployment_raw[[#This Row],[Column4]])</f>
        <v/>
      </c>
      <c r="E227" s="7" t="str">
        <f>IF(ISNUMBER(deployment_raw[[#This Row],[Column5]]), deployment_raw[[#This Row],[Column5]],"")</f>
        <v/>
      </c>
      <c r="F227" s="32" t="str">
        <f>IF(ISNUMBER(deployment_raw[[#This Row],[Column17]]), deployment_raw[[#This Row],[Column17]]/IF(OR($E$2="Deployment",deployment_raw[[#This Row],[Column5]]=0),1,deployment_raw[[#This Row],[Column5]]),"")</f>
        <v/>
      </c>
      <c r="G227" s="42" t="str">
        <f>IF(ISNUMBER(deployment_raw[[#This Row],[Column14]]), deployment_raw[[#This Row],[Column14]]/IF(OR($E$2="Deployment",deployment_raw[[#This Row],[Column5]]=0),1,deployment_raw[[#This Row],[Column5]]),"")</f>
        <v/>
      </c>
      <c r="H227" s="79" t="str">
        <f>IF(ISNUMBER(deployment_raw[[#This Row],[Column19]]), IF(I227&lt;&gt;0,(deployment_raw[[#This Row],[Column19]]/IF(OR($E$2="Deployment",deployment_raw[[#This Row],[Column5]]=0),1,deployment_raw[[#This Row],[Column5]]))/I227,0),"")</f>
        <v/>
      </c>
      <c r="I227" s="69" t="str">
        <f>IF(ISNUMBER(deployment_raw[[#This Row],[Column6]]), (deployment_raw[[#This Row],[Column6]] * IF($E$2="Deployment",deployment_raw[[#This Row],[Column5]],1)),"")</f>
        <v/>
      </c>
      <c r="J227" s="79" t="str">
        <f>IF(ISNUMBER(deployment_raw[[#This Row],[Column19]]), IF(K227&lt;&gt;0,(deployment_raw[[#This Row],[Column19]]/IF(OR($E$2="Deployment",deployment_raw[[#This Row],[Column5]]=0),1,deployment_raw[[#This Row],[Column5]]))/K227,0),"")</f>
        <v/>
      </c>
      <c r="K227" s="72" t="str">
        <f>IF(ISNUMBER(deployment_raw[[#This Row],[Column8]]), (deployment_raw[[#This Row],[Column8]]  * IF($E$2="Deployment",deployment_raw[[#This Row],[Column5]],1)),"")</f>
        <v/>
      </c>
      <c r="L22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2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27" s="81" t="str">
        <f>IF(ISNUMBER(deployment_raw[[#This Row],[Column20]]), IF(O227&lt;&gt;0,deployment_raw[[#This Row],[Column20]]/IF(OR($E$2="Deployment",deployment_raw[[#This Row],[Column5]]=0),1,deployment_raw[[#This Row],[Column5]])/1048576/O227,0),"")</f>
        <v/>
      </c>
      <c r="O227" s="74" t="str">
        <f>IF(ISNUMBER(deployment_raw[[#This Row],[Column7]]), (deployment_raw[[#This Row],[Column7]] * IF($E$2="Deployment",deployment_raw[[#This Row],[Column5]],1))/1048576,"")</f>
        <v/>
      </c>
      <c r="P227" s="81" t="str">
        <f>IF(ISNUMBER(deployment_raw[[#This Row],[Column20]]), IF(Q227&lt;&gt;0,deployment_raw[[#This Row],[Column20]]/IF(OR($E$2="Deployment",deployment_raw[[#This Row],[Column5]]=0),1,deployment_raw[[#This Row],[Column5]])/1048576/Q227,0),"")</f>
        <v/>
      </c>
      <c r="Q227" s="76" t="str">
        <f>IF(ISNUMBER(deployment_raw[[#This Row],[Column9]]), (deployment_raw[[#This Row],[Column9]] * IF($E$2="Deployment",deployment_raw[[#This Row],[Column5]],1))/1048576,"")</f>
        <v/>
      </c>
      <c r="R227" s="57" t="str">
        <f>IF(ISNUMBER(deployment_raw[[#This Row],[Column10]]), (deployment_raw[[#This Row],[Column10]] * IF($E$2="Deployment",deployment_raw[[#This Row],[Column5]],1)),"")</f>
        <v/>
      </c>
      <c r="S227" s="48" t="str">
        <f>IF(ISNUMBER(deployment_raw[[#This Row],[Column11]]), (deployment_raw[[#This Row],[Column11]] * IF($E$2="Deployment",deployment_raw[[#This Row],[Column5]],1))/1048576,"")</f>
        <v/>
      </c>
      <c r="T227" s="59" t="str">
        <f>IF(ISNUMBER(deployment_raw[[#This Row],[Column8]]),IF(OR(deployment_raw[[#This Row],[Column5]] &lt;&gt; 0,$E$2 &lt;&gt; "Deployment"), MAX(V227, ($T$2 * IF($E$2="Deployment",deployment_raw[[#This Row],[Column5]],1))), 0),"")</f>
        <v/>
      </c>
      <c r="U227" s="50" t="str">
        <f>IF(ISNUMBER(deployment_raw[[#This Row],[Column9]]),IF(OR(deployment_raw[[#This Row],[Column5]] &lt;&gt; 0,$E$2&lt;&gt;"Deployment"), MAX(W227, ($U$2 * IF($E$2="Deployment",deployment_raw[[#This Row],[Column5]],1))), 0),"")</f>
        <v/>
      </c>
      <c r="V227" s="15" t="str">
        <f>IF(ISNUMBER(deployment_raw[[#This Row],[Column12]]), (deployment_raw[[#This Row],[Column12]] * IF($E$2="Deployment",deployment_raw[[#This Row],[Column5]],1)*(1+$V$2)),"")</f>
        <v/>
      </c>
      <c r="W227" s="14" t="str">
        <f>IF(ISNUMBER(deployment_raw[[#This Row],[Column13]]), (deployment_raw[[#This Row],[Column13]] * IF($E$2="Deployment",deployment_raw[[#This Row],[Column5]],1)*(1+$W$2))/1048576,"")</f>
        <v/>
      </c>
    </row>
    <row r="228" spans="1:23" ht="15.75" customHeight="1" x14ac:dyDescent="0.25">
      <c r="A228" s="5" t="str">
        <f>IF(ISNONTEXT(deployment_raw[[#This Row],[Column1]]), "", deployment_raw[[#This Row],[Column1]])</f>
        <v/>
      </c>
      <c r="B228" s="6" t="str">
        <f>IF(ISNONTEXT(deployment_raw[[#This Row],[Column2]]), "", deployment_raw[[#This Row],[Column2]])</f>
        <v/>
      </c>
      <c r="C228" s="6" t="str">
        <f>IF(ISNONTEXT(deployment_raw[[#This Row],[Column3]]), "", deployment_raw[[#This Row],[Column3]])</f>
        <v/>
      </c>
      <c r="D228" s="6" t="str">
        <f>IF(ISNONTEXT(deployment_raw[[#This Row],[Column4]]), "", deployment_raw[[#This Row],[Column4]])</f>
        <v/>
      </c>
      <c r="E228" s="7" t="str">
        <f>IF(ISNUMBER(deployment_raw[[#This Row],[Column5]]), deployment_raw[[#This Row],[Column5]],"")</f>
        <v/>
      </c>
      <c r="F228" s="32" t="str">
        <f>IF(ISNUMBER(deployment_raw[[#This Row],[Column17]]), deployment_raw[[#This Row],[Column17]]/IF(OR($E$2="Deployment",deployment_raw[[#This Row],[Column5]]=0),1,deployment_raw[[#This Row],[Column5]]),"")</f>
        <v/>
      </c>
      <c r="G228" s="42" t="str">
        <f>IF(ISNUMBER(deployment_raw[[#This Row],[Column14]]), deployment_raw[[#This Row],[Column14]]/IF(OR($E$2="Deployment",deployment_raw[[#This Row],[Column5]]=0),1,deployment_raw[[#This Row],[Column5]]),"")</f>
        <v/>
      </c>
      <c r="H228" s="79" t="str">
        <f>IF(ISNUMBER(deployment_raw[[#This Row],[Column19]]), IF(I228&lt;&gt;0,(deployment_raw[[#This Row],[Column19]]/IF(OR($E$2="Deployment",deployment_raw[[#This Row],[Column5]]=0),1,deployment_raw[[#This Row],[Column5]]))/I228,0),"")</f>
        <v/>
      </c>
      <c r="I228" s="69" t="str">
        <f>IF(ISNUMBER(deployment_raw[[#This Row],[Column6]]), (deployment_raw[[#This Row],[Column6]] * IF($E$2="Deployment",deployment_raw[[#This Row],[Column5]],1)),"")</f>
        <v/>
      </c>
      <c r="J228" s="79" t="str">
        <f>IF(ISNUMBER(deployment_raw[[#This Row],[Column19]]), IF(K228&lt;&gt;0,(deployment_raw[[#This Row],[Column19]]/IF(OR($E$2="Deployment",deployment_raw[[#This Row],[Column5]]=0),1,deployment_raw[[#This Row],[Column5]]))/K228,0),"")</f>
        <v/>
      </c>
      <c r="K228" s="72" t="str">
        <f>IF(ISNUMBER(deployment_raw[[#This Row],[Column8]]), (deployment_raw[[#This Row],[Column8]]  * IF($E$2="Deployment",deployment_raw[[#This Row],[Column5]],1)),"")</f>
        <v/>
      </c>
      <c r="L22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2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28" s="81" t="str">
        <f>IF(ISNUMBER(deployment_raw[[#This Row],[Column20]]), IF(O228&lt;&gt;0,deployment_raw[[#This Row],[Column20]]/IF(OR($E$2="Deployment",deployment_raw[[#This Row],[Column5]]=0),1,deployment_raw[[#This Row],[Column5]])/1048576/O228,0),"")</f>
        <v/>
      </c>
      <c r="O228" s="74" t="str">
        <f>IF(ISNUMBER(deployment_raw[[#This Row],[Column7]]), (deployment_raw[[#This Row],[Column7]] * IF($E$2="Deployment",deployment_raw[[#This Row],[Column5]],1))/1048576,"")</f>
        <v/>
      </c>
      <c r="P228" s="81" t="str">
        <f>IF(ISNUMBER(deployment_raw[[#This Row],[Column20]]), IF(Q228&lt;&gt;0,deployment_raw[[#This Row],[Column20]]/IF(OR($E$2="Deployment",deployment_raw[[#This Row],[Column5]]=0),1,deployment_raw[[#This Row],[Column5]])/1048576/Q228,0),"")</f>
        <v/>
      </c>
      <c r="Q228" s="76" t="str">
        <f>IF(ISNUMBER(deployment_raw[[#This Row],[Column9]]), (deployment_raw[[#This Row],[Column9]] * IF($E$2="Deployment",deployment_raw[[#This Row],[Column5]],1))/1048576,"")</f>
        <v/>
      </c>
      <c r="R228" s="57" t="str">
        <f>IF(ISNUMBER(deployment_raw[[#This Row],[Column10]]), (deployment_raw[[#This Row],[Column10]] * IF($E$2="Deployment",deployment_raw[[#This Row],[Column5]],1)),"")</f>
        <v/>
      </c>
      <c r="S228" s="48" t="str">
        <f>IF(ISNUMBER(deployment_raw[[#This Row],[Column11]]), (deployment_raw[[#This Row],[Column11]] * IF($E$2="Deployment",deployment_raw[[#This Row],[Column5]],1))/1048576,"")</f>
        <v/>
      </c>
      <c r="T228" s="59" t="str">
        <f>IF(ISNUMBER(deployment_raw[[#This Row],[Column8]]),IF(OR(deployment_raw[[#This Row],[Column5]] &lt;&gt; 0,$E$2 &lt;&gt; "Deployment"), MAX(V228, ($T$2 * IF($E$2="Deployment",deployment_raw[[#This Row],[Column5]],1))), 0),"")</f>
        <v/>
      </c>
      <c r="U228" s="50" t="str">
        <f>IF(ISNUMBER(deployment_raw[[#This Row],[Column9]]),IF(OR(deployment_raw[[#This Row],[Column5]] &lt;&gt; 0,$E$2&lt;&gt;"Deployment"), MAX(W228, ($U$2 * IF($E$2="Deployment",deployment_raw[[#This Row],[Column5]],1))), 0),"")</f>
        <v/>
      </c>
      <c r="V228" s="15" t="str">
        <f>IF(ISNUMBER(deployment_raw[[#This Row],[Column12]]), (deployment_raw[[#This Row],[Column12]] * IF($E$2="Deployment",deployment_raw[[#This Row],[Column5]],1)*(1+$V$2)),"")</f>
        <v/>
      </c>
      <c r="W228" s="14" t="str">
        <f>IF(ISNUMBER(deployment_raw[[#This Row],[Column13]]), (deployment_raw[[#This Row],[Column13]] * IF($E$2="Deployment",deployment_raw[[#This Row],[Column5]],1)*(1+$W$2))/1048576,"")</f>
        <v/>
      </c>
    </row>
    <row r="229" spans="1:23" ht="15.75" customHeight="1" x14ac:dyDescent="0.25">
      <c r="A229" s="5" t="str">
        <f>IF(ISNONTEXT(deployment_raw[[#This Row],[Column1]]), "", deployment_raw[[#This Row],[Column1]])</f>
        <v/>
      </c>
      <c r="B229" s="6" t="str">
        <f>IF(ISNONTEXT(deployment_raw[[#This Row],[Column2]]), "", deployment_raw[[#This Row],[Column2]])</f>
        <v/>
      </c>
      <c r="C229" s="6" t="str">
        <f>IF(ISNONTEXT(deployment_raw[[#This Row],[Column3]]), "", deployment_raw[[#This Row],[Column3]])</f>
        <v/>
      </c>
      <c r="D229" s="6" t="str">
        <f>IF(ISNONTEXT(deployment_raw[[#This Row],[Column4]]), "", deployment_raw[[#This Row],[Column4]])</f>
        <v/>
      </c>
      <c r="E229" s="7" t="str">
        <f>IF(ISNUMBER(deployment_raw[[#This Row],[Column5]]), deployment_raw[[#This Row],[Column5]],"")</f>
        <v/>
      </c>
      <c r="F229" s="32" t="str">
        <f>IF(ISNUMBER(deployment_raw[[#This Row],[Column17]]), deployment_raw[[#This Row],[Column17]]/IF(OR($E$2="Deployment",deployment_raw[[#This Row],[Column5]]=0),1,deployment_raw[[#This Row],[Column5]]),"")</f>
        <v/>
      </c>
      <c r="G229" s="42" t="str">
        <f>IF(ISNUMBER(deployment_raw[[#This Row],[Column14]]), deployment_raw[[#This Row],[Column14]]/IF(OR($E$2="Deployment",deployment_raw[[#This Row],[Column5]]=0),1,deployment_raw[[#This Row],[Column5]]),"")</f>
        <v/>
      </c>
      <c r="H229" s="79" t="str">
        <f>IF(ISNUMBER(deployment_raw[[#This Row],[Column19]]), IF(I229&lt;&gt;0,(deployment_raw[[#This Row],[Column19]]/IF(OR($E$2="Deployment",deployment_raw[[#This Row],[Column5]]=0),1,deployment_raw[[#This Row],[Column5]]))/I229,0),"")</f>
        <v/>
      </c>
      <c r="I229" s="69" t="str">
        <f>IF(ISNUMBER(deployment_raw[[#This Row],[Column6]]), (deployment_raw[[#This Row],[Column6]] * IF($E$2="Deployment",deployment_raw[[#This Row],[Column5]],1)),"")</f>
        <v/>
      </c>
      <c r="J229" s="79" t="str">
        <f>IF(ISNUMBER(deployment_raw[[#This Row],[Column19]]), IF(K229&lt;&gt;0,(deployment_raw[[#This Row],[Column19]]/IF(OR($E$2="Deployment",deployment_raw[[#This Row],[Column5]]=0),1,deployment_raw[[#This Row],[Column5]]))/K229,0),"")</f>
        <v/>
      </c>
      <c r="K229" s="72" t="str">
        <f>IF(ISNUMBER(deployment_raw[[#This Row],[Column8]]), (deployment_raw[[#This Row],[Column8]]  * IF($E$2="Deployment",deployment_raw[[#This Row],[Column5]],1)),"")</f>
        <v/>
      </c>
      <c r="L22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2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29" s="81" t="str">
        <f>IF(ISNUMBER(deployment_raw[[#This Row],[Column20]]), IF(O229&lt;&gt;0,deployment_raw[[#This Row],[Column20]]/IF(OR($E$2="Deployment",deployment_raw[[#This Row],[Column5]]=0),1,deployment_raw[[#This Row],[Column5]])/1048576/O229,0),"")</f>
        <v/>
      </c>
      <c r="O229" s="74" t="str">
        <f>IF(ISNUMBER(deployment_raw[[#This Row],[Column7]]), (deployment_raw[[#This Row],[Column7]] * IF($E$2="Deployment",deployment_raw[[#This Row],[Column5]],1))/1048576,"")</f>
        <v/>
      </c>
      <c r="P229" s="81" t="str">
        <f>IF(ISNUMBER(deployment_raw[[#This Row],[Column20]]), IF(Q229&lt;&gt;0,deployment_raw[[#This Row],[Column20]]/IF(OR($E$2="Deployment",deployment_raw[[#This Row],[Column5]]=0),1,deployment_raw[[#This Row],[Column5]])/1048576/Q229,0),"")</f>
        <v/>
      </c>
      <c r="Q229" s="76" t="str">
        <f>IF(ISNUMBER(deployment_raw[[#This Row],[Column9]]), (deployment_raw[[#This Row],[Column9]] * IF($E$2="Deployment",deployment_raw[[#This Row],[Column5]],1))/1048576,"")</f>
        <v/>
      </c>
      <c r="R229" s="57" t="str">
        <f>IF(ISNUMBER(deployment_raw[[#This Row],[Column10]]), (deployment_raw[[#This Row],[Column10]] * IF($E$2="Deployment",deployment_raw[[#This Row],[Column5]],1)),"")</f>
        <v/>
      </c>
      <c r="S229" s="48" t="str">
        <f>IF(ISNUMBER(deployment_raw[[#This Row],[Column11]]), (deployment_raw[[#This Row],[Column11]] * IF($E$2="Deployment",deployment_raw[[#This Row],[Column5]],1))/1048576,"")</f>
        <v/>
      </c>
      <c r="T229" s="59" t="str">
        <f>IF(ISNUMBER(deployment_raw[[#This Row],[Column8]]),IF(OR(deployment_raw[[#This Row],[Column5]] &lt;&gt; 0,$E$2 &lt;&gt; "Deployment"), MAX(V229, ($T$2 * IF($E$2="Deployment",deployment_raw[[#This Row],[Column5]],1))), 0),"")</f>
        <v/>
      </c>
      <c r="U229" s="50" t="str">
        <f>IF(ISNUMBER(deployment_raw[[#This Row],[Column9]]),IF(OR(deployment_raw[[#This Row],[Column5]] &lt;&gt; 0,$E$2&lt;&gt;"Deployment"), MAX(W229, ($U$2 * IF($E$2="Deployment",deployment_raw[[#This Row],[Column5]],1))), 0),"")</f>
        <v/>
      </c>
      <c r="V229" s="15" t="str">
        <f>IF(ISNUMBER(deployment_raw[[#This Row],[Column12]]), (deployment_raw[[#This Row],[Column12]] * IF($E$2="Deployment",deployment_raw[[#This Row],[Column5]],1)*(1+$V$2)),"")</f>
        <v/>
      </c>
      <c r="W229" s="14" t="str">
        <f>IF(ISNUMBER(deployment_raw[[#This Row],[Column13]]), (deployment_raw[[#This Row],[Column13]] * IF($E$2="Deployment",deployment_raw[[#This Row],[Column5]],1)*(1+$W$2))/1048576,"")</f>
        <v/>
      </c>
    </row>
    <row r="230" spans="1:23" ht="15.75" customHeight="1" x14ac:dyDescent="0.25">
      <c r="A230" s="5" t="str">
        <f>IF(ISNONTEXT(deployment_raw[[#This Row],[Column1]]), "", deployment_raw[[#This Row],[Column1]])</f>
        <v/>
      </c>
      <c r="B230" s="6" t="str">
        <f>IF(ISNONTEXT(deployment_raw[[#This Row],[Column2]]), "", deployment_raw[[#This Row],[Column2]])</f>
        <v/>
      </c>
      <c r="C230" s="6" t="str">
        <f>IF(ISNONTEXT(deployment_raw[[#This Row],[Column3]]), "", deployment_raw[[#This Row],[Column3]])</f>
        <v/>
      </c>
      <c r="D230" s="6" t="str">
        <f>IF(ISNONTEXT(deployment_raw[[#This Row],[Column4]]), "", deployment_raw[[#This Row],[Column4]])</f>
        <v/>
      </c>
      <c r="E230" s="7" t="str">
        <f>IF(ISNUMBER(deployment_raw[[#This Row],[Column5]]), deployment_raw[[#This Row],[Column5]],"")</f>
        <v/>
      </c>
      <c r="F230" s="32" t="str">
        <f>IF(ISNUMBER(deployment_raw[[#This Row],[Column17]]), deployment_raw[[#This Row],[Column17]]/IF(OR($E$2="Deployment",deployment_raw[[#This Row],[Column5]]=0),1,deployment_raw[[#This Row],[Column5]]),"")</f>
        <v/>
      </c>
      <c r="G230" s="42" t="str">
        <f>IF(ISNUMBER(deployment_raw[[#This Row],[Column14]]), deployment_raw[[#This Row],[Column14]]/IF(OR($E$2="Deployment",deployment_raw[[#This Row],[Column5]]=0),1,deployment_raw[[#This Row],[Column5]]),"")</f>
        <v/>
      </c>
      <c r="H230" s="79" t="str">
        <f>IF(ISNUMBER(deployment_raw[[#This Row],[Column19]]), IF(I230&lt;&gt;0,(deployment_raw[[#This Row],[Column19]]/IF(OR($E$2="Deployment",deployment_raw[[#This Row],[Column5]]=0),1,deployment_raw[[#This Row],[Column5]]))/I230,0),"")</f>
        <v/>
      </c>
      <c r="I230" s="69" t="str">
        <f>IF(ISNUMBER(deployment_raw[[#This Row],[Column6]]), (deployment_raw[[#This Row],[Column6]] * IF($E$2="Deployment",deployment_raw[[#This Row],[Column5]],1)),"")</f>
        <v/>
      </c>
      <c r="J230" s="79" t="str">
        <f>IF(ISNUMBER(deployment_raw[[#This Row],[Column19]]), IF(K230&lt;&gt;0,(deployment_raw[[#This Row],[Column19]]/IF(OR($E$2="Deployment",deployment_raw[[#This Row],[Column5]]=0),1,deployment_raw[[#This Row],[Column5]]))/K230,0),"")</f>
        <v/>
      </c>
      <c r="K230" s="72" t="str">
        <f>IF(ISNUMBER(deployment_raw[[#This Row],[Column8]]), (deployment_raw[[#This Row],[Column8]]  * IF($E$2="Deployment",deployment_raw[[#This Row],[Column5]],1)),"")</f>
        <v/>
      </c>
      <c r="L23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3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30" s="81" t="str">
        <f>IF(ISNUMBER(deployment_raw[[#This Row],[Column20]]), IF(O230&lt;&gt;0,deployment_raw[[#This Row],[Column20]]/IF(OR($E$2="Deployment",deployment_raw[[#This Row],[Column5]]=0),1,deployment_raw[[#This Row],[Column5]])/1048576/O230,0),"")</f>
        <v/>
      </c>
      <c r="O230" s="74" t="str">
        <f>IF(ISNUMBER(deployment_raw[[#This Row],[Column7]]), (deployment_raw[[#This Row],[Column7]] * IF($E$2="Deployment",deployment_raw[[#This Row],[Column5]],1))/1048576,"")</f>
        <v/>
      </c>
      <c r="P230" s="81" t="str">
        <f>IF(ISNUMBER(deployment_raw[[#This Row],[Column20]]), IF(Q230&lt;&gt;0,deployment_raw[[#This Row],[Column20]]/IF(OR($E$2="Deployment",deployment_raw[[#This Row],[Column5]]=0),1,deployment_raw[[#This Row],[Column5]])/1048576/Q230,0),"")</f>
        <v/>
      </c>
      <c r="Q230" s="76" t="str">
        <f>IF(ISNUMBER(deployment_raw[[#This Row],[Column9]]), (deployment_raw[[#This Row],[Column9]] * IF($E$2="Deployment",deployment_raw[[#This Row],[Column5]],1))/1048576,"")</f>
        <v/>
      </c>
      <c r="R230" s="57" t="str">
        <f>IF(ISNUMBER(deployment_raw[[#This Row],[Column10]]), (deployment_raw[[#This Row],[Column10]] * IF($E$2="Deployment",deployment_raw[[#This Row],[Column5]],1)),"")</f>
        <v/>
      </c>
      <c r="S230" s="48" t="str">
        <f>IF(ISNUMBER(deployment_raw[[#This Row],[Column11]]), (deployment_raw[[#This Row],[Column11]] * IF($E$2="Deployment",deployment_raw[[#This Row],[Column5]],1))/1048576,"")</f>
        <v/>
      </c>
      <c r="T230" s="59" t="str">
        <f>IF(ISNUMBER(deployment_raw[[#This Row],[Column8]]),IF(OR(deployment_raw[[#This Row],[Column5]] &lt;&gt; 0,$E$2 &lt;&gt; "Deployment"), MAX(V230, ($T$2 * IF($E$2="Deployment",deployment_raw[[#This Row],[Column5]],1))), 0),"")</f>
        <v/>
      </c>
      <c r="U230" s="50" t="str">
        <f>IF(ISNUMBER(deployment_raw[[#This Row],[Column9]]),IF(OR(deployment_raw[[#This Row],[Column5]] &lt;&gt; 0,$E$2&lt;&gt;"Deployment"), MAX(W230, ($U$2 * IF($E$2="Deployment",deployment_raw[[#This Row],[Column5]],1))), 0),"")</f>
        <v/>
      </c>
      <c r="V230" s="15" t="str">
        <f>IF(ISNUMBER(deployment_raw[[#This Row],[Column12]]), (deployment_raw[[#This Row],[Column12]] * IF($E$2="Deployment",deployment_raw[[#This Row],[Column5]],1)*(1+$V$2)),"")</f>
        <v/>
      </c>
      <c r="W230" s="14" t="str">
        <f>IF(ISNUMBER(deployment_raw[[#This Row],[Column13]]), (deployment_raw[[#This Row],[Column13]] * IF($E$2="Deployment",deployment_raw[[#This Row],[Column5]],1)*(1+$W$2))/1048576,"")</f>
        <v/>
      </c>
    </row>
    <row r="231" spans="1:23" ht="15.75" customHeight="1" x14ac:dyDescent="0.25">
      <c r="A231" s="5" t="str">
        <f>IF(ISNONTEXT(deployment_raw[[#This Row],[Column1]]), "", deployment_raw[[#This Row],[Column1]])</f>
        <v/>
      </c>
      <c r="B231" s="6" t="str">
        <f>IF(ISNONTEXT(deployment_raw[[#This Row],[Column2]]), "", deployment_raw[[#This Row],[Column2]])</f>
        <v/>
      </c>
      <c r="C231" s="6" t="str">
        <f>IF(ISNONTEXT(deployment_raw[[#This Row],[Column3]]), "", deployment_raw[[#This Row],[Column3]])</f>
        <v/>
      </c>
      <c r="D231" s="6" t="str">
        <f>IF(ISNONTEXT(deployment_raw[[#This Row],[Column4]]), "", deployment_raw[[#This Row],[Column4]])</f>
        <v/>
      </c>
      <c r="E231" s="7" t="str">
        <f>IF(ISNUMBER(deployment_raw[[#This Row],[Column5]]), deployment_raw[[#This Row],[Column5]],"")</f>
        <v/>
      </c>
      <c r="F231" s="32" t="str">
        <f>IF(ISNUMBER(deployment_raw[[#This Row],[Column17]]), deployment_raw[[#This Row],[Column17]]/IF(OR($E$2="Deployment",deployment_raw[[#This Row],[Column5]]=0),1,deployment_raw[[#This Row],[Column5]]),"")</f>
        <v/>
      </c>
      <c r="G231" s="42" t="str">
        <f>IF(ISNUMBER(deployment_raw[[#This Row],[Column14]]), deployment_raw[[#This Row],[Column14]]/IF(OR($E$2="Deployment",deployment_raw[[#This Row],[Column5]]=0),1,deployment_raw[[#This Row],[Column5]]),"")</f>
        <v/>
      </c>
      <c r="H231" s="79" t="str">
        <f>IF(ISNUMBER(deployment_raw[[#This Row],[Column19]]), IF(I231&lt;&gt;0,(deployment_raw[[#This Row],[Column19]]/IF(OR($E$2="Deployment",deployment_raw[[#This Row],[Column5]]=0),1,deployment_raw[[#This Row],[Column5]]))/I231,0),"")</f>
        <v/>
      </c>
      <c r="I231" s="69" t="str">
        <f>IF(ISNUMBER(deployment_raw[[#This Row],[Column6]]), (deployment_raw[[#This Row],[Column6]] * IF($E$2="Deployment",deployment_raw[[#This Row],[Column5]],1)),"")</f>
        <v/>
      </c>
      <c r="J231" s="79" t="str">
        <f>IF(ISNUMBER(deployment_raw[[#This Row],[Column19]]), IF(K231&lt;&gt;0,(deployment_raw[[#This Row],[Column19]]/IF(OR($E$2="Deployment",deployment_raw[[#This Row],[Column5]]=0),1,deployment_raw[[#This Row],[Column5]]))/K231,0),"")</f>
        <v/>
      </c>
      <c r="K231" s="72" t="str">
        <f>IF(ISNUMBER(deployment_raw[[#This Row],[Column8]]), (deployment_raw[[#This Row],[Column8]]  * IF($E$2="Deployment",deployment_raw[[#This Row],[Column5]],1)),"")</f>
        <v/>
      </c>
      <c r="L23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3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31" s="81" t="str">
        <f>IF(ISNUMBER(deployment_raw[[#This Row],[Column20]]), IF(O231&lt;&gt;0,deployment_raw[[#This Row],[Column20]]/IF(OR($E$2="Deployment",deployment_raw[[#This Row],[Column5]]=0),1,deployment_raw[[#This Row],[Column5]])/1048576/O231,0),"")</f>
        <v/>
      </c>
      <c r="O231" s="74" t="str">
        <f>IF(ISNUMBER(deployment_raw[[#This Row],[Column7]]), (deployment_raw[[#This Row],[Column7]] * IF($E$2="Deployment",deployment_raw[[#This Row],[Column5]],1))/1048576,"")</f>
        <v/>
      </c>
      <c r="P231" s="81" t="str">
        <f>IF(ISNUMBER(deployment_raw[[#This Row],[Column20]]), IF(Q231&lt;&gt;0,deployment_raw[[#This Row],[Column20]]/IF(OR($E$2="Deployment",deployment_raw[[#This Row],[Column5]]=0),1,deployment_raw[[#This Row],[Column5]])/1048576/Q231,0),"")</f>
        <v/>
      </c>
      <c r="Q231" s="76" t="str">
        <f>IF(ISNUMBER(deployment_raw[[#This Row],[Column9]]), (deployment_raw[[#This Row],[Column9]] * IF($E$2="Deployment",deployment_raw[[#This Row],[Column5]],1))/1048576,"")</f>
        <v/>
      </c>
      <c r="R231" s="57" t="str">
        <f>IF(ISNUMBER(deployment_raw[[#This Row],[Column10]]), (deployment_raw[[#This Row],[Column10]] * IF($E$2="Deployment",deployment_raw[[#This Row],[Column5]],1)),"")</f>
        <v/>
      </c>
      <c r="S231" s="48" t="str">
        <f>IF(ISNUMBER(deployment_raw[[#This Row],[Column11]]), (deployment_raw[[#This Row],[Column11]] * IF($E$2="Deployment",deployment_raw[[#This Row],[Column5]],1))/1048576,"")</f>
        <v/>
      </c>
      <c r="T231" s="59" t="str">
        <f>IF(ISNUMBER(deployment_raw[[#This Row],[Column8]]),IF(OR(deployment_raw[[#This Row],[Column5]] &lt;&gt; 0,$E$2 &lt;&gt; "Deployment"), MAX(V231, ($T$2 * IF($E$2="Deployment",deployment_raw[[#This Row],[Column5]],1))), 0),"")</f>
        <v/>
      </c>
      <c r="U231" s="50" t="str">
        <f>IF(ISNUMBER(deployment_raw[[#This Row],[Column9]]),IF(OR(deployment_raw[[#This Row],[Column5]] &lt;&gt; 0,$E$2&lt;&gt;"Deployment"), MAX(W231, ($U$2 * IF($E$2="Deployment",deployment_raw[[#This Row],[Column5]],1))), 0),"")</f>
        <v/>
      </c>
      <c r="V231" s="15" t="str">
        <f>IF(ISNUMBER(deployment_raw[[#This Row],[Column12]]), (deployment_raw[[#This Row],[Column12]] * IF($E$2="Deployment",deployment_raw[[#This Row],[Column5]],1)*(1+$V$2)),"")</f>
        <v/>
      </c>
      <c r="W231" s="14" t="str">
        <f>IF(ISNUMBER(deployment_raw[[#This Row],[Column13]]), (deployment_raw[[#This Row],[Column13]] * IF($E$2="Deployment",deployment_raw[[#This Row],[Column5]],1)*(1+$W$2))/1048576,"")</f>
        <v/>
      </c>
    </row>
    <row r="232" spans="1:23" ht="15.75" customHeight="1" x14ac:dyDescent="0.25">
      <c r="A232" s="5" t="str">
        <f>IF(ISNONTEXT(deployment_raw[[#This Row],[Column1]]), "", deployment_raw[[#This Row],[Column1]])</f>
        <v/>
      </c>
      <c r="B232" s="6" t="str">
        <f>IF(ISNONTEXT(deployment_raw[[#This Row],[Column2]]), "", deployment_raw[[#This Row],[Column2]])</f>
        <v/>
      </c>
      <c r="C232" s="6" t="str">
        <f>IF(ISNONTEXT(deployment_raw[[#This Row],[Column3]]), "", deployment_raw[[#This Row],[Column3]])</f>
        <v/>
      </c>
      <c r="D232" s="6" t="str">
        <f>IF(ISNONTEXT(deployment_raw[[#This Row],[Column4]]), "", deployment_raw[[#This Row],[Column4]])</f>
        <v/>
      </c>
      <c r="E232" s="7" t="str">
        <f>IF(ISNUMBER(deployment_raw[[#This Row],[Column5]]), deployment_raw[[#This Row],[Column5]],"")</f>
        <v/>
      </c>
      <c r="F232" s="32" t="str">
        <f>IF(ISNUMBER(deployment_raw[[#This Row],[Column17]]), deployment_raw[[#This Row],[Column17]]/IF(OR($E$2="Deployment",deployment_raw[[#This Row],[Column5]]=0),1,deployment_raw[[#This Row],[Column5]]),"")</f>
        <v/>
      </c>
      <c r="G232" s="42" t="str">
        <f>IF(ISNUMBER(deployment_raw[[#This Row],[Column14]]), deployment_raw[[#This Row],[Column14]]/IF(OR($E$2="Deployment",deployment_raw[[#This Row],[Column5]]=0),1,deployment_raw[[#This Row],[Column5]]),"")</f>
        <v/>
      </c>
      <c r="H232" s="79" t="str">
        <f>IF(ISNUMBER(deployment_raw[[#This Row],[Column19]]), IF(I232&lt;&gt;0,(deployment_raw[[#This Row],[Column19]]/IF(OR($E$2="Deployment",deployment_raw[[#This Row],[Column5]]=0),1,deployment_raw[[#This Row],[Column5]]))/I232,0),"")</f>
        <v/>
      </c>
      <c r="I232" s="69" t="str">
        <f>IF(ISNUMBER(deployment_raw[[#This Row],[Column6]]), (deployment_raw[[#This Row],[Column6]] * IF($E$2="Deployment",deployment_raw[[#This Row],[Column5]],1)),"")</f>
        <v/>
      </c>
      <c r="J232" s="79" t="str">
        <f>IF(ISNUMBER(deployment_raw[[#This Row],[Column19]]), IF(K232&lt;&gt;0,(deployment_raw[[#This Row],[Column19]]/IF(OR($E$2="Deployment",deployment_raw[[#This Row],[Column5]]=0),1,deployment_raw[[#This Row],[Column5]]))/K232,0),"")</f>
        <v/>
      </c>
      <c r="K232" s="72" t="str">
        <f>IF(ISNUMBER(deployment_raw[[#This Row],[Column8]]), (deployment_raw[[#This Row],[Column8]]  * IF($E$2="Deployment",deployment_raw[[#This Row],[Column5]],1)),"")</f>
        <v/>
      </c>
      <c r="L23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3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32" s="81" t="str">
        <f>IF(ISNUMBER(deployment_raw[[#This Row],[Column20]]), IF(O232&lt;&gt;0,deployment_raw[[#This Row],[Column20]]/IF(OR($E$2="Deployment",deployment_raw[[#This Row],[Column5]]=0),1,deployment_raw[[#This Row],[Column5]])/1048576/O232,0),"")</f>
        <v/>
      </c>
      <c r="O232" s="74" t="str">
        <f>IF(ISNUMBER(deployment_raw[[#This Row],[Column7]]), (deployment_raw[[#This Row],[Column7]] * IF($E$2="Deployment",deployment_raw[[#This Row],[Column5]],1))/1048576,"")</f>
        <v/>
      </c>
      <c r="P232" s="81" t="str">
        <f>IF(ISNUMBER(deployment_raw[[#This Row],[Column20]]), IF(Q232&lt;&gt;0,deployment_raw[[#This Row],[Column20]]/IF(OR($E$2="Deployment",deployment_raw[[#This Row],[Column5]]=0),1,deployment_raw[[#This Row],[Column5]])/1048576/Q232,0),"")</f>
        <v/>
      </c>
      <c r="Q232" s="76" t="str">
        <f>IF(ISNUMBER(deployment_raw[[#This Row],[Column9]]), (deployment_raw[[#This Row],[Column9]] * IF($E$2="Deployment",deployment_raw[[#This Row],[Column5]],1))/1048576,"")</f>
        <v/>
      </c>
      <c r="R232" s="57" t="str">
        <f>IF(ISNUMBER(deployment_raw[[#This Row],[Column10]]), (deployment_raw[[#This Row],[Column10]] * IF($E$2="Deployment",deployment_raw[[#This Row],[Column5]],1)),"")</f>
        <v/>
      </c>
      <c r="S232" s="48" t="str">
        <f>IF(ISNUMBER(deployment_raw[[#This Row],[Column11]]), (deployment_raw[[#This Row],[Column11]] * IF($E$2="Deployment",deployment_raw[[#This Row],[Column5]],1))/1048576,"")</f>
        <v/>
      </c>
      <c r="T232" s="59" t="str">
        <f>IF(ISNUMBER(deployment_raw[[#This Row],[Column8]]),IF(OR(deployment_raw[[#This Row],[Column5]] &lt;&gt; 0,$E$2 &lt;&gt; "Deployment"), MAX(V232, ($T$2 * IF($E$2="Deployment",deployment_raw[[#This Row],[Column5]],1))), 0),"")</f>
        <v/>
      </c>
      <c r="U232" s="50" t="str">
        <f>IF(ISNUMBER(deployment_raw[[#This Row],[Column9]]),IF(OR(deployment_raw[[#This Row],[Column5]] &lt;&gt; 0,$E$2&lt;&gt;"Deployment"), MAX(W232, ($U$2 * IF($E$2="Deployment",deployment_raw[[#This Row],[Column5]],1))), 0),"")</f>
        <v/>
      </c>
      <c r="V232" s="15" t="str">
        <f>IF(ISNUMBER(deployment_raw[[#This Row],[Column12]]), (deployment_raw[[#This Row],[Column12]] * IF($E$2="Deployment",deployment_raw[[#This Row],[Column5]],1)*(1+$V$2)),"")</f>
        <v/>
      </c>
      <c r="W232" s="14" t="str">
        <f>IF(ISNUMBER(deployment_raw[[#This Row],[Column13]]), (deployment_raw[[#This Row],[Column13]] * IF($E$2="Deployment",deployment_raw[[#This Row],[Column5]],1)*(1+$W$2))/1048576,"")</f>
        <v/>
      </c>
    </row>
    <row r="233" spans="1:23" ht="15.75" customHeight="1" x14ac:dyDescent="0.25">
      <c r="A233" s="5" t="str">
        <f>IF(ISNONTEXT(deployment_raw[[#This Row],[Column1]]), "", deployment_raw[[#This Row],[Column1]])</f>
        <v/>
      </c>
      <c r="B233" s="6" t="str">
        <f>IF(ISNONTEXT(deployment_raw[[#This Row],[Column2]]), "", deployment_raw[[#This Row],[Column2]])</f>
        <v/>
      </c>
      <c r="C233" s="6" t="str">
        <f>IF(ISNONTEXT(deployment_raw[[#This Row],[Column3]]), "", deployment_raw[[#This Row],[Column3]])</f>
        <v/>
      </c>
      <c r="D233" s="6" t="str">
        <f>IF(ISNONTEXT(deployment_raw[[#This Row],[Column4]]), "", deployment_raw[[#This Row],[Column4]])</f>
        <v/>
      </c>
      <c r="E233" s="7" t="str">
        <f>IF(ISNUMBER(deployment_raw[[#This Row],[Column5]]), deployment_raw[[#This Row],[Column5]],"")</f>
        <v/>
      </c>
      <c r="F233" s="32" t="str">
        <f>IF(ISNUMBER(deployment_raw[[#This Row],[Column17]]), deployment_raw[[#This Row],[Column17]]/IF(OR($E$2="Deployment",deployment_raw[[#This Row],[Column5]]=0),1,deployment_raw[[#This Row],[Column5]]),"")</f>
        <v/>
      </c>
      <c r="G233" s="42" t="str">
        <f>IF(ISNUMBER(deployment_raw[[#This Row],[Column14]]), deployment_raw[[#This Row],[Column14]]/IF(OR($E$2="Deployment",deployment_raw[[#This Row],[Column5]]=0),1,deployment_raw[[#This Row],[Column5]]),"")</f>
        <v/>
      </c>
      <c r="H233" s="79" t="str">
        <f>IF(ISNUMBER(deployment_raw[[#This Row],[Column19]]), IF(I233&lt;&gt;0,(deployment_raw[[#This Row],[Column19]]/IF(OR($E$2="Deployment",deployment_raw[[#This Row],[Column5]]=0),1,deployment_raw[[#This Row],[Column5]]))/I233,0),"")</f>
        <v/>
      </c>
      <c r="I233" s="69" t="str">
        <f>IF(ISNUMBER(deployment_raw[[#This Row],[Column6]]), (deployment_raw[[#This Row],[Column6]] * IF($E$2="Deployment",deployment_raw[[#This Row],[Column5]],1)),"")</f>
        <v/>
      </c>
      <c r="J233" s="79" t="str">
        <f>IF(ISNUMBER(deployment_raw[[#This Row],[Column19]]), IF(K233&lt;&gt;0,(deployment_raw[[#This Row],[Column19]]/IF(OR($E$2="Deployment",deployment_raw[[#This Row],[Column5]]=0),1,deployment_raw[[#This Row],[Column5]]))/K233,0),"")</f>
        <v/>
      </c>
      <c r="K233" s="72" t="str">
        <f>IF(ISNUMBER(deployment_raw[[#This Row],[Column8]]), (deployment_raw[[#This Row],[Column8]]  * IF($E$2="Deployment",deployment_raw[[#This Row],[Column5]],1)),"")</f>
        <v/>
      </c>
      <c r="L23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3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33" s="81" t="str">
        <f>IF(ISNUMBER(deployment_raw[[#This Row],[Column20]]), IF(O233&lt;&gt;0,deployment_raw[[#This Row],[Column20]]/IF(OR($E$2="Deployment",deployment_raw[[#This Row],[Column5]]=0),1,deployment_raw[[#This Row],[Column5]])/1048576/O233,0),"")</f>
        <v/>
      </c>
      <c r="O233" s="74" t="str">
        <f>IF(ISNUMBER(deployment_raw[[#This Row],[Column7]]), (deployment_raw[[#This Row],[Column7]] * IF($E$2="Deployment",deployment_raw[[#This Row],[Column5]],1))/1048576,"")</f>
        <v/>
      </c>
      <c r="P233" s="81" t="str">
        <f>IF(ISNUMBER(deployment_raw[[#This Row],[Column20]]), IF(Q233&lt;&gt;0,deployment_raw[[#This Row],[Column20]]/IF(OR($E$2="Deployment",deployment_raw[[#This Row],[Column5]]=0),1,deployment_raw[[#This Row],[Column5]])/1048576/Q233,0),"")</f>
        <v/>
      </c>
      <c r="Q233" s="76" t="str">
        <f>IF(ISNUMBER(deployment_raw[[#This Row],[Column9]]), (deployment_raw[[#This Row],[Column9]] * IF($E$2="Deployment",deployment_raw[[#This Row],[Column5]],1))/1048576,"")</f>
        <v/>
      </c>
      <c r="R233" s="57" t="str">
        <f>IF(ISNUMBER(deployment_raw[[#This Row],[Column10]]), (deployment_raw[[#This Row],[Column10]] * IF($E$2="Deployment",deployment_raw[[#This Row],[Column5]],1)),"")</f>
        <v/>
      </c>
      <c r="S233" s="48" t="str">
        <f>IF(ISNUMBER(deployment_raw[[#This Row],[Column11]]), (deployment_raw[[#This Row],[Column11]] * IF($E$2="Deployment",deployment_raw[[#This Row],[Column5]],1))/1048576,"")</f>
        <v/>
      </c>
      <c r="T233" s="59" t="str">
        <f>IF(ISNUMBER(deployment_raw[[#This Row],[Column8]]),IF(OR(deployment_raw[[#This Row],[Column5]] &lt;&gt; 0,$E$2 &lt;&gt; "Deployment"), MAX(V233, ($T$2 * IF($E$2="Deployment",deployment_raw[[#This Row],[Column5]],1))), 0),"")</f>
        <v/>
      </c>
      <c r="U233" s="50" t="str">
        <f>IF(ISNUMBER(deployment_raw[[#This Row],[Column9]]),IF(OR(deployment_raw[[#This Row],[Column5]] &lt;&gt; 0,$E$2&lt;&gt;"Deployment"), MAX(W233, ($U$2 * IF($E$2="Deployment",deployment_raw[[#This Row],[Column5]],1))), 0),"")</f>
        <v/>
      </c>
      <c r="V233" s="15" t="str">
        <f>IF(ISNUMBER(deployment_raw[[#This Row],[Column12]]), (deployment_raw[[#This Row],[Column12]] * IF($E$2="Deployment",deployment_raw[[#This Row],[Column5]],1)*(1+$V$2)),"")</f>
        <v/>
      </c>
      <c r="W233" s="14" t="str">
        <f>IF(ISNUMBER(deployment_raw[[#This Row],[Column13]]), (deployment_raw[[#This Row],[Column13]] * IF($E$2="Deployment",deployment_raw[[#This Row],[Column5]],1)*(1+$W$2))/1048576,"")</f>
        <v/>
      </c>
    </row>
    <row r="234" spans="1:23" ht="15.75" customHeight="1" x14ac:dyDescent="0.25">
      <c r="A234" s="5" t="str">
        <f>IF(ISNONTEXT(deployment_raw[[#This Row],[Column1]]), "", deployment_raw[[#This Row],[Column1]])</f>
        <v/>
      </c>
      <c r="B234" s="6" t="str">
        <f>IF(ISNONTEXT(deployment_raw[[#This Row],[Column2]]), "", deployment_raw[[#This Row],[Column2]])</f>
        <v/>
      </c>
      <c r="C234" s="6" t="str">
        <f>IF(ISNONTEXT(deployment_raw[[#This Row],[Column3]]), "", deployment_raw[[#This Row],[Column3]])</f>
        <v/>
      </c>
      <c r="D234" s="6" t="str">
        <f>IF(ISNONTEXT(deployment_raw[[#This Row],[Column4]]), "", deployment_raw[[#This Row],[Column4]])</f>
        <v/>
      </c>
      <c r="E234" s="7" t="str">
        <f>IF(ISNUMBER(deployment_raw[[#This Row],[Column5]]), deployment_raw[[#This Row],[Column5]],"")</f>
        <v/>
      </c>
      <c r="F234" s="32" t="str">
        <f>IF(ISNUMBER(deployment_raw[[#This Row],[Column17]]), deployment_raw[[#This Row],[Column17]]/IF(OR($E$2="Deployment",deployment_raw[[#This Row],[Column5]]=0),1,deployment_raw[[#This Row],[Column5]]),"")</f>
        <v/>
      </c>
      <c r="G234" s="42" t="str">
        <f>IF(ISNUMBER(deployment_raw[[#This Row],[Column14]]), deployment_raw[[#This Row],[Column14]]/IF(OR($E$2="Deployment",deployment_raw[[#This Row],[Column5]]=0),1,deployment_raw[[#This Row],[Column5]]),"")</f>
        <v/>
      </c>
      <c r="H234" s="79" t="str">
        <f>IF(ISNUMBER(deployment_raw[[#This Row],[Column19]]), IF(I234&lt;&gt;0,(deployment_raw[[#This Row],[Column19]]/IF(OR($E$2="Deployment",deployment_raw[[#This Row],[Column5]]=0),1,deployment_raw[[#This Row],[Column5]]))/I234,0),"")</f>
        <v/>
      </c>
      <c r="I234" s="69" t="str">
        <f>IF(ISNUMBER(deployment_raw[[#This Row],[Column6]]), (deployment_raw[[#This Row],[Column6]] * IF($E$2="Deployment",deployment_raw[[#This Row],[Column5]],1)),"")</f>
        <v/>
      </c>
      <c r="J234" s="79" t="str">
        <f>IF(ISNUMBER(deployment_raw[[#This Row],[Column19]]), IF(K234&lt;&gt;0,(deployment_raw[[#This Row],[Column19]]/IF(OR($E$2="Deployment",deployment_raw[[#This Row],[Column5]]=0),1,deployment_raw[[#This Row],[Column5]]))/K234,0),"")</f>
        <v/>
      </c>
      <c r="K234" s="72" t="str">
        <f>IF(ISNUMBER(deployment_raw[[#This Row],[Column8]]), (deployment_raw[[#This Row],[Column8]]  * IF($E$2="Deployment",deployment_raw[[#This Row],[Column5]],1)),"")</f>
        <v/>
      </c>
      <c r="L23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3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34" s="81" t="str">
        <f>IF(ISNUMBER(deployment_raw[[#This Row],[Column20]]), IF(O234&lt;&gt;0,deployment_raw[[#This Row],[Column20]]/IF(OR($E$2="Deployment",deployment_raw[[#This Row],[Column5]]=0),1,deployment_raw[[#This Row],[Column5]])/1048576/O234,0),"")</f>
        <v/>
      </c>
      <c r="O234" s="74" t="str">
        <f>IF(ISNUMBER(deployment_raw[[#This Row],[Column7]]), (deployment_raw[[#This Row],[Column7]] * IF($E$2="Deployment",deployment_raw[[#This Row],[Column5]],1))/1048576,"")</f>
        <v/>
      </c>
      <c r="P234" s="81" t="str">
        <f>IF(ISNUMBER(deployment_raw[[#This Row],[Column20]]), IF(Q234&lt;&gt;0,deployment_raw[[#This Row],[Column20]]/IF(OR($E$2="Deployment",deployment_raw[[#This Row],[Column5]]=0),1,deployment_raw[[#This Row],[Column5]])/1048576/Q234,0),"")</f>
        <v/>
      </c>
      <c r="Q234" s="76" t="str">
        <f>IF(ISNUMBER(deployment_raw[[#This Row],[Column9]]), (deployment_raw[[#This Row],[Column9]] * IF($E$2="Deployment",deployment_raw[[#This Row],[Column5]],1))/1048576,"")</f>
        <v/>
      </c>
      <c r="R234" s="57" t="str">
        <f>IF(ISNUMBER(deployment_raw[[#This Row],[Column10]]), (deployment_raw[[#This Row],[Column10]] * IF($E$2="Deployment",deployment_raw[[#This Row],[Column5]],1)),"")</f>
        <v/>
      </c>
      <c r="S234" s="48" t="str">
        <f>IF(ISNUMBER(deployment_raw[[#This Row],[Column11]]), (deployment_raw[[#This Row],[Column11]] * IF($E$2="Deployment",deployment_raw[[#This Row],[Column5]],1))/1048576,"")</f>
        <v/>
      </c>
      <c r="T234" s="59" t="str">
        <f>IF(ISNUMBER(deployment_raw[[#This Row],[Column8]]),IF(OR(deployment_raw[[#This Row],[Column5]] &lt;&gt; 0,$E$2 &lt;&gt; "Deployment"), MAX(V234, ($T$2 * IF($E$2="Deployment",deployment_raw[[#This Row],[Column5]],1))), 0),"")</f>
        <v/>
      </c>
      <c r="U234" s="50" t="str">
        <f>IF(ISNUMBER(deployment_raw[[#This Row],[Column9]]),IF(OR(deployment_raw[[#This Row],[Column5]] &lt;&gt; 0,$E$2&lt;&gt;"Deployment"), MAX(W234, ($U$2 * IF($E$2="Deployment",deployment_raw[[#This Row],[Column5]],1))), 0),"")</f>
        <v/>
      </c>
      <c r="V234" s="15" t="str">
        <f>IF(ISNUMBER(deployment_raw[[#This Row],[Column12]]), (deployment_raw[[#This Row],[Column12]] * IF($E$2="Deployment",deployment_raw[[#This Row],[Column5]],1)*(1+$V$2)),"")</f>
        <v/>
      </c>
      <c r="W234" s="14" t="str">
        <f>IF(ISNUMBER(deployment_raw[[#This Row],[Column13]]), (deployment_raw[[#This Row],[Column13]] * IF($E$2="Deployment",deployment_raw[[#This Row],[Column5]],1)*(1+$W$2))/1048576,"")</f>
        <v/>
      </c>
    </row>
    <row r="235" spans="1:23" ht="15.75" customHeight="1" x14ac:dyDescent="0.25">
      <c r="A235" s="5" t="str">
        <f>IF(ISNONTEXT(deployment_raw[[#This Row],[Column1]]), "", deployment_raw[[#This Row],[Column1]])</f>
        <v/>
      </c>
      <c r="B235" s="6" t="str">
        <f>IF(ISNONTEXT(deployment_raw[[#This Row],[Column2]]), "", deployment_raw[[#This Row],[Column2]])</f>
        <v/>
      </c>
      <c r="C235" s="6" t="str">
        <f>IF(ISNONTEXT(deployment_raw[[#This Row],[Column3]]), "", deployment_raw[[#This Row],[Column3]])</f>
        <v/>
      </c>
      <c r="D235" s="6" t="str">
        <f>IF(ISNONTEXT(deployment_raw[[#This Row],[Column4]]), "", deployment_raw[[#This Row],[Column4]])</f>
        <v/>
      </c>
      <c r="E235" s="7" t="str">
        <f>IF(ISNUMBER(deployment_raw[[#This Row],[Column5]]), deployment_raw[[#This Row],[Column5]],"")</f>
        <v/>
      </c>
      <c r="F235" s="32" t="str">
        <f>IF(ISNUMBER(deployment_raw[[#This Row],[Column17]]), deployment_raw[[#This Row],[Column17]]/IF(OR($E$2="Deployment",deployment_raw[[#This Row],[Column5]]=0),1,deployment_raw[[#This Row],[Column5]]),"")</f>
        <v/>
      </c>
      <c r="G235" s="42" t="str">
        <f>IF(ISNUMBER(deployment_raw[[#This Row],[Column14]]), deployment_raw[[#This Row],[Column14]]/IF(OR($E$2="Deployment",deployment_raw[[#This Row],[Column5]]=0),1,deployment_raw[[#This Row],[Column5]]),"")</f>
        <v/>
      </c>
      <c r="H235" s="79" t="str">
        <f>IF(ISNUMBER(deployment_raw[[#This Row],[Column19]]), IF(I235&lt;&gt;0,(deployment_raw[[#This Row],[Column19]]/IF(OR($E$2="Deployment",deployment_raw[[#This Row],[Column5]]=0),1,deployment_raw[[#This Row],[Column5]]))/I235,0),"")</f>
        <v/>
      </c>
      <c r="I235" s="69" t="str">
        <f>IF(ISNUMBER(deployment_raw[[#This Row],[Column6]]), (deployment_raw[[#This Row],[Column6]] * IF($E$2="Deployment",deployment_raw[[#This Row],[Column5]],1)),"")</f>
        <v/>
      </c>
      <c r="J235" s="79" t="str">
        <f>IF(ISNUMBER(deployment_raw[[#This Row],[Column19]]), IF(K235&lt;&gt;0,(deployment_raw[[#This Row],[Column19]]/IF(OR($E$2="Deployment",deployment_raw[[#This Row],[Column5]]=0),1,deployment_raw[[#This Row],[Column5]]))/K235,0),"")</f>
        <v/>
      </c>
      <c r="K235" s="72" t="str">
        <f>IF(ISNUMBER(deployment_raw[[#This Row],[Column8]]), (deployment_raw[[#This Row],[Column8]]  * IF($E$2="Deployment",deployment_raw[[#This Row],[Column5]],1)),"")</f>
        <v/>
      </c>
      <c r="L23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3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35" s="81" t="str">
        <f>IF(ISNUMBER(deployment_raw[[#This Row],[Column20]]), IF(O235&lt;&gt;0,deployment_raw[[#This Row],[Column20]]/IF(OR($E$2="Deployment",deployment_raw[[#This Row],[Column5]]=0),1,deployment_raw[[#This Row],[Column5]])/1048576/O235,0),"")</f>
        <v/>
      </c>
      <c r="O235" s="74" t="str">
        <f>IF(ISNUMBER(deployment_raw[[#This Row],[Column7]]), (deployment_raw[[#This Row],[Column7]] * IF($E$2="Deployment",deployment_raw[[#This Row],[Column5]],1))/1048576,"")</f>
        <v/>
      </c>
      <c r="P235" s="81" t="str">
        <f>IF(ISNUMBER(deployment_raw[[#This Row],[Column20]]), IF(Q235&lt;&gt;0,deployment_raw[[#This Row],[Column20]]/IF(OR($E$2="Deployment",deployment_raw[[#This Row],[Column5]]=0),1,deployment_raw[[#This Row],[Column5]])/1048576/Q235,0),"")</f>
        <v/>
      </c>
      <c r="Q235" s="76" t="str">
        <f>IF(ISNUMBER(deployment_raw[[#This Row],[Column9]]), (deployment_raw[[#This Row],[Column9]] * IF($E$2="Deployment",deployment_raw[[#This Row],[Column5]],1))/1048576,"")</f>
        <v/>
      </c>
      <c r="R235" s="57" t="str">
        <f>IF(ISNUMBER(deployment_raw[[#This Row],[Column10]]), (deployment_raw[[#This Row],[Column10]] * IF($E$2="Deployment",deployment_raw[[#This Row],[Column5]],1)),"")</f>
        <v/>
      </c>
      <c r="S235" s="48" t="str">
        <f>IF(ISNUMBER(deployment_raw[[#This Row],[Column11]]), (deployment_raw[[#This Row],[Column11]] * IF($E$2="Deployment",deployment_raw[[#This Row],[Column5]],1))/1048576,"")</f>
        <v/>
      </c>
      <c r="T235" s="59" t="str">
        <f>IF(ISNUMBER(deployment_raw[[#This Row],[Column8]]),IF(OR(deployment_raw[[#This Row],[Column5]] &lt;&gt; 0,$E$2 &lt;&gt; "Deployment"), MAX(V235, ($T$2 * IF($E$2="Deployment",deployment_raw[[#This Row],[Column5]],1))), 0),"")</f>
        <v/>
      </c>
      <c r="U235" s="50" t="str">
        <f>IF(ISNUMBER(deployment_raw[[#This Row],[Column9]]),IF(OR(deployment_raw[[#This Row],[Column5]] &lt;&gt; 0,$E$2&lt;&gt;"Deployment"), MAX(W235, ($U$2 * IF($E$2="Deployment",deployment_raw[[#This Row],[Column5]],1))), 0),"")</f>
        <v/>
      </c>
      <c r="V235" s="15" t="str">
        <f>IF(ISNUMBER(deployment_raw[[#This Row],[Column12]]), (deployment_raw[[#This Row],[Column12]] * IF($E$2="Deployment",deployment_raw[[#This Row],[Column5]],1)*(1+$V$2)),"")</f>
        <v/>
      </c>
      <c r="W235" s="14" t="str">
        <f>IF(ISNUMBER(deployment_raw[[#This Row],[Column13]]), (deployment_raw[[#This Row],[Column13]] * IF($E$2="Deployment",deployment_raw[[#This Row],[Column5]],1)*(1+$W$2))/1048576,"")</f>
        <v/>
      </c>
    </row>
    <row r="236" spans="1:23" ht="15.75" customHeight="1" x14ac:dyDescent="0.25">
      <c r="A236" s="5" t="str">
        <f>IF(ISNONTEXT(deployment_raw[[#This Row],[Column1]]), "", deployment_raw[[#This Row],[Column1]])</f>
        <v/>
      </c>
      <c r="B236" s="6" t="str">
        <f>IF(ISNONTEXT(deployment_raw[[#This Row],[Column2]]), "", deployment_raw[[#This Row],[Column2]])</f>
        <v/>
      </c>
      <c r="C236" s="6" t="str">
        <f>IF(ISNONTEXT(deployment_raw[[#This Row],[Column3]]), "", deployment_raw[[#This Row],[Column3]])</f>
        <v/>
      </c>
      <c r="D236" s="6" t="str">
        <f>IF(ISNONTEXT(deployment_raw[[#This Row],[Column4]]), "", deployment_raw[[#This Row],[Column4]])</f>
        <v/>
      </c>
      <c r="E236" s="7" t="str">
        <f>IF(ISNUMBER(deployment_raw[[#This Row],[Column5]]), deployment_raw[[#This Row],[Column5]],"")</f>
        <v/>
      </c>
      <c r="F236" s="32" t="str">
        <f>IF(ISNUMBER(deployment_raw[[#This Row],[Column17]]), deployment_raw[[#This Row],[Column17]]/IF(OR($E$2="Deployment",deployment_raw[[#This Row],[Column5]]=0),1,deployment_raw[[#This Row],[Column5]]),"")</f>
        <v/>
      </c>
      <c r="G236" s="42" t="str">
        <f>IF(ISNUMBER(deployment_raw[[#This Row],[Column14]]), deployment_raw[[#This Row],[Column14]]/IF(OR($E$2="Deployment",deployment_raw[[#This Row],[Column5]]=0),1,deployment_raw[[#This Row],[Column5]]),"")</f>
        <v/>
      </c>
      <c r="H236" s="79" t="str">
        <f>IF(ISNUMBER(deployment_raw[[#This Row],[Column19]]), IF(I236&lt;&gt;0,(deployment_raw[[#This Row],[Column19]]/IF(OR($E$2="Deployment",deployment_raw[[#This Row],[Column5]]=0),1,deployment_raw[[#This Row],[Column5]]))/I236,0),"")</f>
        <v/>
      </c>
      <c r="I236" s="69" t="str">
        <f>IF(ISNUMBER(deployment_raw[[#This Row],[Column6]]), (deployment_raw[[#This Row],[Column6]] * IF($E$2="Deployment",deployment_raw[[#This Row],[Column5]],1)),"")</f>
        <v/>
      </c>
      <c r="J236" s="79" t="str">
        <f>IF(ISNUMBER(deployment_raw[[#This Row],[Column19]]), IF(K236&lt;&gt;0,(deployment_raw[[#This Row],[Column19]]/IF(OR($E$2="Deployment",deployment_raw[[#This Row],[Column5]]=0),1,deployment_raw[[#This Row],[Column5]]))/K236,0),"")</f>
        <v/>
      </c>
      <c r="K236" s="72" t="str">
        <f>IF(ISNUMBER(deployment_raw[[#This Row],[Column8]]), (deployment_raw[[#This Row],[Column8]]  * IF($E$2="Deployment",deployment_raw[[#This Row],[Column5]],1)),"")</f>
        <v/>
      </c>
      <c r="L23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3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36" s="81" t="str">
        <f>IF(ISNUMBER(deployment_raw[[#This Row],[Column20]]), IF(O236&lt;&gt;0,deployment_raw[[#This Row],[Column20]]/IF(OR($E$2="Deployment",deployment_raw[[#This Row],[Column5]]=0),1,deployment_raw[[#This Row],[Column5]])/1048576/O236,0),"")</f>
        <v/>
      </c>
      <c r="O236" s="74" t="str">
        <f>IF(ISNUMBER(deployment_raw[[#This Row],[Column7]]), (deployment_raw[[#This Row],[Column7]] * IF($E$2="Deployment",deployment_raw[[#This Row],[Column5]],1))/1048576,"")</f>
        <v/>
      </c>
      <c r="P236" s="81" t="str">
        <f>IF(ISNUMBER(deployment_raw[[#This Row],[Column20]]), IF(Q236&lt;&gt;0,deployment_raw[[#This Row],[Column20]]/IF(OR($E$2="Deployment",deployment_raw[[#This Row],[Column5]]=0),1,deployment_raw[[#This Row],[Column5]])/1048576/Q236,0),"")</f>
        <v/>
      </c>
      <c r="Q236" s="76" t="str">
        <f>IF(ISNUMBER(deployment_raw[[#This Row],[Column9]]), (deployment_raw[[#This Row],[Column9]] * IF($E$2="Deployment",deployment_raw[[#This Row],[Column5]],1))/1048576,"")</f>
        <v/>
      </c>
      <c r="R236" s="57" t="str">
        <f>IF(ISNUMBER(deployment_raw[[#This Row],[Column10]]), (deployment_raw[[#This Row],[Column10]] * IF($E$2="Deployment",deployment_raw[[#This Row],[Column5]],1)),"")</f>
        <v/>
      </c>
      <c r="S236" s="48" t="str">
        <f>IF(ISNUMBER(deployment_raw[[#This Row],[Column11]]), (deployment_raw[[#This Row],[Column11]] * IF($E$2="Deployment",deployment_raw[[#This Row],[Column5]],1))/1048576,"")</f>
        <v/>
      </c>
      <c r="T236" s="59" t="str">
        <f>IF(ISNUMBER(deployment_raw[[#This Row],[Column8]]),IF(OR(deployment_raw[[#This Row],[Column5]] &lt;&gt; 0,$E$2 &lt;&gt; "Deployment"), MAX(V236, ($T$2 * IF($E$2="Deployment",deployment_raw[[#This Row],[Column5]],1))), 0),"")</f>
        <v/>
      </c>
      <c r="U236" s="50" t="str">
        <f>IF(ISNUMBER(deployment_raw[[#This Row],[Column9]]),IF(OR(deployment_raw[[#This Row],[Column5]] &lt;&gt; 0,$E$2&lt;&gt;"Deployment"), MAX(W236, ($U$2 * IF($E$2="Deployment",deployment_raw[[#This Row],[Column5]],1))), 0),"")</f>
        <v/>
      </c>
      <c r="V236" s="15" t="str">
        <f>IF(ISNUMBER(deployment_raw[[#This Row],[Column12]]), (deployment_raw[[#This Row],[Column12]] * IF($E$2="Deployment",deployment_raw[[#This Row],[Column5]],1)*(1+$V$2)),"")</f>
        <v/>
      </c>
      <c r="W236" s="14" t="str">
        <f>IF(ISNUMBER(deployment_raw[[#This Row],[Column13]]), (deployment_raw[[#This Row],[Column13]] * IF($E$2="Deployment",deployment_raw[[#This Row],[Column5]],1)*(1+$W$2))/1048576,"")</f>
        <v/>
      </c>
    </row>
    <row r="237" spans="1:23" ht="15.75" customHeight="1" x14ac:dyDescent="0.25">
      <c r="A237" s="5" t="str">
        <f>IF(ISNONTEXT(deployment_raw[[#This Row],[Column1]]), "", deployment_raw[[#This Row],[Column1]])</f>
        <v/>
      </c>
      <c r="B237" s="6" t="str">
        <f>IF(ISNONTEXT(deployment_raw[[#This Row],[Column2]]), "", deployment_raw[[#This Row],[Column2]])</f>
        <v/>
      </c>
      <c r="C237" s="6" t="str">
        <f>IF(ISNONTEXT(deployment_raw[[#This Row],[Column3]]), "", deployment_raw[[#This Row],[Column3]])</f>
        <v/>
      </c>
      <c r="D237" s="6" t="str">
        <f>IF(ISNONTEXT(deployment_raw[[#This Row],[Column4]]), "", deployment_raw[[#This Row],[Column4]])</f>
        <v/>
      </c>
      <c r="E237" s="7" t="str">
        <f>IF(ISNUMBER(deployment_raw[[#This Row],[Column5]]), deployment_raw[[#This Row],[Column5]],"")</f>
        <v/>
      </c>
      <c r="F237" s="32" t="str">
        <f>IF(ISNUMBER(deployment_raw[[#This Row],[Column17]]), deployment_raw[[#This Row],[Column17]]/IF(OR($E$2="Deployment",deployment_raw[[#This Row],[Column5]]=0),1,deployment_raw[[#This Row],[Column5]]),"")</f>
        <v/>
      </c>
      <c r="G237" s="42" t="str">
        <f>IF(ISNUMBER(deployment_raw[[#This Row],[Column14]]), deployment_raw[[#This Row],[Column14]]/IF(OR($E$2="Deployment",deployment_raw[[#This Row],[Column5]]=0),1,deployment_raw[[#This Row],[Column5]]),"")</f>
        <v/>
      </c>
      <c r="H237" s="79" t="str">
        <f>IF(ISNUMBER(deployment_raw[[#This Row],[Column19]]), IF(I237&lt;&gt;0,(deployment_raw[[#This Row],[Column19]]/IF(OR($E$2="Deployment",deployment_raw[[#This Row],[Column5]]=0),1,deployment_raw[[#This Row],[Column5]]))/I237,0),"")</f>
        <v/>
      </c>
      <c r="I237" s="69" t="str">
        <f>IF(ISNUMBER(deployment_raw[[#This Row],[Column6]]), (deployment_raw[[#This Row],[Column6]] * IF($E$2="Deployment",deployment_raw[[#This Row],[Column5]],1)),"")</f>
        <v/>
      </c>
      <c r="J237" s="79" t="str">
        <f>IF(ISNUMBER(deployment_raw[[#This Row],[Column19]]), IF(K237&lt;&gt;0,(deployment_raw[[#This Row],[Column19]]/IF(OR($E$2="Deployment",deployment_raw[[#This Row],[Column5]]=0),1,deployment_raw[[#This Row],[Column5]]))/K237,0),"")</f>
        <v/>
      </c>
      <c r="K237" s="72" t="str">
        <f>IF(ISNUMBER(deployment_raw[[#This Row],[Column8]]), (deployment_raw[[#This Row],[Column8]]  * IF($E$2="Deployment",deployment_raw[[#This Row],[Column5]],1)),"")</f>
        <v/>
      </c>
      <c r="L23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3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37" s="81" t="str">
        <f>IF(ISNUMBER(deployment_raw[[#This Row],[Column20]]), IF(O237&lt;&gt;0,deployment_raw[[#This Row],[Column20]]/IF(OR($E$2="Deployment",deployment_raw[[#This Row],[Column5]]=0),1,deployment_raw[[#This Row],[Column5]])/1048576/O237,0),"")</f>
        <v/>
      </c>
      <c r="O237" s="74" t="str">
        <f>IF(ISNUMBER(deployment_raw[[#This Row],[Column7]]), (deployment_raw[[#This Row],[Column7]] * IF($E$2="Deployment",deployment_raw[[#This Row],[Column5]],1))/1048576,"")</f>
        <v/>
      </c>
      <c r="P237" s="81" t="str">
        <f>IF(ISNUMBER(deployment_raw[[#This Row],[Column20]]), IF(Q237&lt;&gt;0,deployment_raw[[#This Row],[Column20]]/IF(OR($E$2="Deployment",deployment_raw[[#This Row],[Column5]]=0),1,deployment_raw[[#This Row],[Column5]])/1048576/Q237,0),"")</f>
        <v/>
      </c>
      <c r="Q237" s="76" t="str">
        <f>IF(ISNUMBER(deployment_raw[[#This Row],[Column9]]), (deployment_raw[[#This Row],[Column9]] * IF($E$2="Deployment",deployment_raw[[#This Row],[Column5]],1))/1048576,"")</f>
        <v/>
      </c>
      <c r="R237" s="57" t="str">
        <f>IF(ISNUMBER(deployment_raw[[#This Row],[Column10]]), (deployment_raw[[#This Row],[Column10]] * IF($E$2="Deployment",deployment_raw[[#This Row],[Column5]],1)),"")</f>
        <v/>
      </c>
      <c r="S237" s="48" t="str">
        <f>IF(ISNUMBER(deployment_raw[[#This Row],[Column11]]), (deployment_raw[[#This Row],[Column11]] * IF($E$2="Deployment",deployment_raw[[#This Row],[Column5]],1))/1048576,"")</f>
        <v/>
      </c>
      <c r="T237" s="59" t="str">
        <f>IF(ISNUMBER(deployment_raw[[#This Row],[Column8]]),IF(OR(deployment_raw[[#This Row],[Column5]] &lt;&gt; 0,$E$2 &lt;&gt; "Deployment"), MAX(V237, ($T$2 * IF($E$2="Deployment",deployment_raw[[#This Row],[Column5]],1))), 0),"")</f>
        <v/>
      </c>
      <c r="U237" s="50" t="str">
        <f>IF(ISNUMBER(deployment_raw[[#This Row],[Column9]]),IF(OR(deployment_raw[[#This Row],[Column5]] &lt;&gt; 0,$E$2&lt;&gt;"Deployment"), MAX(W237, ($U$2 * IF($E$2="Deployment",deployment_raw[[#This Row],[Column5]],1))), 0),"")</f>
        <v/>
      </c>
      <c r="V237" s="15" t="str">
        <f>IF(ISNUMBER(deployment_raw[[#This Row],[Column12]]), (deployment_raw[[#This Row],[Column12]] * IF($E$2="Deployment",deployment_raw[[#This Row],[Column5]],1)*(1+$V$2)),"")</f>
        <v/>
      </c>
      <c r="W237" s="14" t="str">
        <f>IF(ISNUMBER(deployment_raw[[#This Row],[Column13]]), (deployment_raw[[#This Row],[Column13]] * IF($E$2="Deployment",deployment_raw[[#This Row],[Column5]],1)*(1+$W$2))/1048576,"")</f>
        <v/>
      </c>
    </row>
    <row r="238" spans="1:23" ht="15.75" customHeight="1" x14ac:dyDescent="0.25">
      <c r="A238" s="5" t="str">
        <f>IF(ISNONTEXT(deployment_raw[[#This Row],[Column1]]), "", deployment_raw[[#This Row],[Column1]])</f>
        <v/>
      </c>
      <c r="B238" s="6" t="str">
        <f>IF(ISNONTEXT(deployment_raw[[#This Row],[Column2]]), "", deployment_raw[[#This Row],[Column2]])</f>
        <v/>
      </c>
      <c r="C238" s="6" t="str">
        <f>IF(ISNONTEXT(deployment_raw[[#This Row],[Column3]]), "", deployment_raw[[#This Row],[Column3]])</f>
        <v/>
      </c>
      <c r="D238" s="6" t="str">
        <f>IF(ISNONTEXT(deployment_raw[[#This Row],[Column4]]), "", deployment_raw[[#This Row],[Column4]])</f>
        <v/>
      </c>
      <c r="E238" s="7" t="str">
        <f>IF(ISNUMBER(deployment_raw[[#This Row],[Column5]]), deployment_raw[[#This Row],[Column5]],"")</f>
        <v/>
      </c>
      <c r="F238" s="32" t="str">
        <f>IF(ISNUMBER(deployment_raw[[#This Row],[Column17]]), deployment_raw[[#This Row],[Column17]]/IF(OR($E$2="Deployment",deployment_raw[[#This Row],[Column5]]=0),1,deployment_raw[[#This Row],[Column5]]),"")</f>
        <v/>
      </c>
      <c r="G238" s="42" t="str">
        <f>IF(ISNUMBER(deployment_raw[[#This Row],[Column14]]), deployment_raw[[#This Row],[Column14]]/IF(OR($E$2="Deployment",deployment_raw[[#This Row],[Column5]]=0),1,deployment_raw[[#This Row],[Column5]]),"")</f>
        <v/>
      </c>
      <c r="H238" s="79" t="str">
        <f>IF(ISNUMBER(deployment_raw[[#This Row],[Column19]]), IF(I238&lt;&gt;0,(deployment_raw[[#This Row],[Column19]]/IF(OR($E$2="Deployment",deployment_raw[[#This Row],[Column5]]=0),1,deployment_raw[[#This Row],[Column5]]))/I238,0),"")</f>
        <v/>
      </c>
      <c r="I238" s="69" t="str">
        <f>IF(ISNUMBER(deployment_raw[[#This Row],[Column6]]), (deployment_raw[[#This Row],[Column6]] * IF($E$2="Deployment",deployment_raw[[#This Row],[Column5]],1)),"")</f>
        <v/>
      </c>
      <c r="J238" s="79" t="str">
        <f>IF(ISNUMBER(deployment_raw[[#This Row],[Column19]]), IF(K238&lt;&gt;0,(deployment_raw[[#This Row],[Column19]]/IF(OR($E$2="Deployment",deployment_raw[[#This Row],[Column5]]=0),1,deployment_raw[[#This Row],[Column5]]))/K238,0),"")</f>
        <v/>
      </c>
      <c r="K238" s="72" t="str">
        <f>IF(ISNUMBER(deployment_raw[[#This Row],[Column8]]), (deployment_raw[[#This Row],[Column8]]  * IF($E$2="Deployment",deployment_raw[[#This Row],[Column5]],1)),"")</f>
        <v/>
      </c>
      <c r="L23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3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38" s="81" t="str">
        <f>IF(ISNUMBER(deployment_raw[[#This Row],[Column20]]), IF(O238&lt;&gt;0,deployment_raw[[#This Row],[Column20]]/IF(OR($E$2="Deployment",deployment_raw[[#This Row],[Column5]]=0),1,deployment_raw[[#This Row],[Column5]])/1048576/O238,0),"")</f>
        <v/>
      </c>
      <c r="O238" s="74" t="str">
        <f>IF(ISNUMBER(deployment_raw[[#This Row],[Column7]]), (deployment_raw[[#This Row],[Column7]] * IF($E$2="Deployment",deployment_raw[[#This Row],[Column5]],1))/1048576,"")</f>
        <v/>
      </c>
      <c r="P238" s="81" t="str">
        <f>IF(ISNUMBER(deployment_raw[[#This Row],[Column20]]), IF(Q238&lt;&gt;0,deployment_raw[[#This Row],[Column20]]/IF(OR($E$2="Deployment",deployment_raw[[#This Row],[Column5]]=0),1,deployment_raw[[#This Row],[Column5]])/1048576/Q238,0),"")</f>
        <v/>
      </c>
      <c r="Q238" s="76" t="str">
        <f>IF(ISNUMBER(deployment_raw[[#This Row],[Column9]]), (deployment_raw[[#This Row],[Column9]] * IF($E$2="Deployment",deployment_raw[[#This Row],[Column5]],1))/1048576,"")</f>
        <v/>
      </c>
      <c r="R238" s="57" t="str">
        <f>IF(ISNUMBER(deployment_raw[[#This Row],[Column10]]), (deployment_raw[[#This Row],[Column10]] * IF($E$2="Deployment",deployment_raw[[#This Row],[Column5]],1)),"")</f>
        <v/>
      </c>
      <c r="S238" s="48" t="str">
        <f>IF(ISNUMBER(deployment_raw[[#This Row],[Column11]]), (deployment_raw[[#This Row],[Column11]] * IF($E$2="Deployment",deployment_raw[[#This Row],[Column5]],1))/1048576,"")</f>
        <v/>
      </c>
      <c r="T238" s="59" t="str">
        <f>IF(ISNUMBER(deployment_raw[[#This Row],[Column8]]),IF(OR(deployment_raw[[#This Row],[Column5]] &lt;&gt; 0,$E$2 &lt;&gt; "Deployment"), MAX(V238, ($T$2 * IF($E$2="Deployment",deployment_raw[[#This Row],[Column5]],1))), 0),"")</f>
        <v/>
      </c>
      <c r="U238" s="50" t="str">
        <f>IF(ISNUMBER(deployment_raw[[#This Row],[Column9]]),IF(OR(deployment_raw[[#This Row],[Column5]] &lt;&gt; 0,$E$2&lt;&gt;"Deployment"), MAX(W238, ($U$2 * IF($E$2="Deployment",deployment_raw[[#This Row],[Column5]],1))), 0),"")</f>
        <v/>
      </c>
      <c r="V238" s="15" t="str">
        <f>IF(ISNUMBER(deployment_raw[[#This Row],[Column12]]), (deployment_raw[[#This Row],[Column12]] * IF($E$2="Deployment",deployment_raw[[#This Row],[Column5]],1)*(1+$V$2)),"")</f>
        <v/>
      </c>
      <c r="W238" s="14" t="str">
        <f>IF(ISNUMBER(deployment_raw[[#This Row],[Column13]]), (deployment_raw[[#This Row],[Column13]] * IF($E$2="Deployment",deployment_raw[[#This Row],[Column5]],1)*(1+$W$2))/1048576,"")</f>
        <v/>
      </c>
    </row>
    <row r="239" spans="1:23" ht="15.75" customHeight="1" x14ac:dyDescent="0.25">
      <c r="A239" s="5" t="str">
        <f>IF(ISNONTEXT(deployment_raw[[#This Row],[Column1]]), "", deployment_raw[[#This Row],[Column1]])</f>
        <v/>
      </c>
      <c r="B239" s="6" t="str">
        <f>IF(ISNONTEXT(deployment_raw[[#This Row],[Column2]]), "", deployment_raw[[#This Row],[Column2]])</f>
        <v/>
      </c>
      <c r="C239" s="6" t="str">
        <f>IF(ISNONTEXT(deployment_raw[[#This Row],[Column3]]), "", deployment_raw[[#This Row],[Column3]])</f>
        <v/>
      </c>
      <c r="D239" s="6" t="str">
        <f>IF(ISNONTEXT(deployment_raw[[#This Row],[Column4]]), "", deployment_raw[[#This Row],[Column4]])</f>
        <v/>
      </c>
      <c r="E239" s="7" t="str">
        <f>IF(ISNUMBER(deployment_raw[[#This Row],[Column5]]), deployment_raw[[#This Row],[Column5]],"")</f>
        <v/>
      </c>
      <c r="F239" s="32" t="str">
        <f>IF(ISNUMBER(deployment_raw[[#This Row],[Column17]]), deployment_raw[[#This Row],[Column17]]/IF(OR($E$2="Deployment",deployment_raw[[#This Row],[Column5]]=0),1,deployment_raw[[#This Row],[Column5]]),"")</f>
        <v/>
      </c>
      <c r="G239" s="42" t="str">
        <f>IF(ISNUMBER(deployment_raw[[#This Row],[Column14]]), deployment_raw[[#This Row],[Column14]]/IF(OR($E$2="Deployment",deployment_raw[[#This Row],[Column5]]=0),1,deployment_raw[[#This Row],[Column5]]),"")</f>
        <v/>
      </c>
      <c r="H239" s="79" t="str">
        <f>IF(ISNUMBER(deployment_raw[[#This Row],[Column19]]), IF(I239&lt;&gt;0,(deployment_raw[[#This Row],[Column19]]/IF(OR($E$2="Deployment",deployment_raw[[#This Row],[Column5]]=0),1,deployment_raw[[#This Row],[Column5]]))/I239,0),"")</f>
        <v/>
      </c>
      <c r="I239" s="69" t="str">
        <f>IF(ISNUMBER(deployment_raw[[#This Row],[Column6]]), (deployment_raw[[#This Row],[Column6]] * IF($E$2="Deployment",deployment_raw[[#This Row],[Column5]],1)),"")</f>
        <v/>
      </c>
      <c r="J239" s="79" t="str">
        <f>IF(ISNUMBER(deployment_raw[[#This Row],[Column19]]), IF(K239&lt;&gt;0,(deployment_raw[[#This Row],[Column19]]/IF(OR($E$2="Deployment",deployment_raw[[#This Row],[Column5]]=0),1,deployment_raw[[#This Row],[Column5]]))/K239,0),"")</f>
        <v/>
      </c>
      <c r="K239" s="72" t="str">
        <f>IF(ISNUMBER(deployment_raw[[#This Row],[Column8]]), (deployment_raw[[#This Row],[Column8]]  * IF($E$2="Deployment",deployment_raw[[#This Row],[Column5]],1)),"")</f>
        <v/>
      </c>
      <c r="L23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3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39" s="81" t="str">
        <f>IF(ISNUMBER(deployment_raw[[#This Row],[Column20]]), IF(O239&lt;&gt;0,deployment_raw[[#This Row],[Column20]]/IF(OR($E$2="Deployment",deployment_raw[[#This Row],[Column5]]=0),1,deployment_raw[[#This Row],[Column5]])/1048576/O239,0),"")</f>
        <v/>
      </c>
      <c r="O239" s="74" t="str">
        <f>IF(ISNUMBER(deployment_raw[[#This Row],[Column7]]), (deployment_raw[[#This Row],[Column7]] * IF($E$2="Deployment",deployment_raw[[#This Row],[Column5]],1))/1048576,"")</f>
        <v/>
      </c>
      <c r="P239" s="81" t="str">
        <f>IF(ISNUMBER(deployment_raw[[#This Row],[Column20]]), IF(Q239&lt;&gt;0,deployment_raw[[#This Row],[Column20]]/IF(OR($E$2="Deployment",deployment_raw[[#This Row],[Column5]]=0),1,deployment_raw[[#This Row],[Column5]])/1048576/Q239,0),"")</f>
        <v/>
      </c>
      <c r="Q239" s="76" t="str">
        <f>IF(ISNUMBER(deployment_raw[[#This Row],[Column9]]), (deployment_raw[[#This Row],[Column9]] * IF($E$2="Deployment",deployment_raw[[#This Row],[Column5]],1))/1048576,"")</f>
        <v/>
      </c>
      <c r="R239" s="57" t="str">
        <f>IF(ISNUMBER(deployment_raw[[#This Row],[Column10]]), (deployment_raw[[#This Row],[Column10]] * IF($E$2="Deployment",deployment_raw[[#This Row],[Column5]],1)),"")</f>
        <v/>
      </c>
      <c r="S239" s="48" t="str">
        <f>IF(ISNUMBER(deployment_raw[[#This Row],[Column11]]), (deployment_raw[[#This Row],[Column11]] * IF($E$2="Deployment",deployment_raw[[#This Row],[Column5]],1))/1048576,"")</f>
        <v/>
      </c>
      <c r="T239" s="59" t="str">
        <f>IF(ISNUMBER(deployment_raw[[#This Row],[Column8]]),IF(OR(deployment_raw[[#This Row],[Column5]] &lt;&gt; 0,$E$2 &lt;&gt; "Deployment"), MAX(V239, ($T$2 * IF($E$2="Deployment",deployment_raw[[#This Row],[Column5]],1))), 0),"")</f>
        <v/>
      </c>
      <c r="U239" s="50" t="str">
        <f>IF(ISNUMBER(deployment_raw[[#This Row],[Column9]]),IF(OR(deployment_raw[[#This Row],[Column5]] &lt;&gt; 0,$E$2&lt;&gt;"Deployment"), MAX(W239, ($U$2 * IF($E$2="Deployment",deployment_raw[[#This Row],[Column5]],1))), 0),"")</f>
        <v/>
      </c>
      <c r="V239" s="15" t="str">
        <f>IF(ISNUMBER(deployment_raw[[#This Row],[Column12]]), (deployment_raw[[#This Row],[Column12]] * IF($E$2="Deployment",deployment_raw[[#This Row],[Column5]],1)*(1+$V$2)),"")</f>
        <v/>
      </c>
      <c r="W239" s="14" t="str">
        <f>IF(ISNUMBER(deployment_raw[[#This Row],[Column13]]), (deployment_raw[[#This Row],[Column13]] * IF($E$2="Deployment",deployment_raw[[#This Row],[Column5]],1)*(1+$W$2))/1048576,"")</f>
        <v/>
      </c>
    </row>
    <row r="240" spans="1:23" ht="15.75" customHeight="1" x14ac:dyDescent="0.25">
      <c r="A240" s="5" t="str">
        <f>IF(ISNONTEXT(deployment_raw[[#This Row],[Column1]]), "", deployment_raw[[#This Row],[Column1]])</f>
        <v/>
      </c>
      <c r="B240" s="6" t="str">
        <f>IF(ISNONTEXT(deployment_raw[[#This Row],[Column2]]), "", deployment_raw[[#This Row],[Column2]])</f>
        <v/>
      </c>
      <c r="C240" s="6" t="str">
        <f>IF(ISNONTEXT(deployment_raw[[#This Row],[Column3]]), "", deployment_raw[[#This Row],[Column3]])</f>
        <v/>
      </c>
      <c r="D240" s="6" t="str">
        <f>IF(ISNONTEXT(deployment_raw[[#This Row],[Column4]]), "", deployment_raw[[#This Row],[Column4]])</f>
        <v/>
      </c>
      <c r="E240" s="7" t="str">
        <f>IF(ISNUMBER(deployment_raw[[#This Row],[Column5]]), deployment_raw[[#This Row],[Column5]],"")</f>
        <v/>
      </c>
      <c r="F240" s="32" t="str">
        <f>IF(ISNUMBER(deployment_raw[[#This Row],[Column17]]), deployment_raw[[#This Row],[Column17]]/IF(OR($E$2="Deployment",deployment_raw[[#This Row],[Column5]]=0),1,deployment_raw[[#This Row],[Column5]]),"")</f>
        <v/>
      </c>
      <c r="G240" s="42" t="str">
        <f>IF(ISNUMBER(deployment_raw[[#This Row],[Column14]]), deployment_raw[[#This Row],[Column14]]/IF(OR($E$2="Deployment",deployment_raw[[#This Row],[Column5]]=0),1,deployment_raw[[#This Row],[Column5]]),"")</f>
        <v/>
      </c>
      <c r="H240" s="79" t="str">
        <f>IF(ISNUMBER(deployment_raw[[#This Row],[Column19]]), IF(I240&lt;&gt;0,(deployment_raw[[#This Row],[Column19]]/IF(OR($E$2="Deployment",deployment_raw[[#This Row],[Column5]]=0),1,deployment_raw[[#This Row],[Column5]]))/I240,0),"")</f>
        <v/>
      </c>
      <c r="I240" s="69" t="str">
        <f>IF(ISNUMBER(deployment_raw[[#This Row],[Column6]]), (deployment_raw[[#This Row],[Column6]] * IF($E$2="Deployment",deployment_raw[[#This Row],[Column5]],1)),"")</f>
        <v/>
      </c>
      <c r="J240" s="79" t="str">
        <f>IF(ISNUMBER(deployment_raw[[#This Row],[Column19]]), IF(K240&lt;&gt;0,(deployment_raw[[#This Row],[Column19]]/IF(OR($E$2="Deployment",deployment_raw[[#This Row],[Column5]]=0),1,deployment_raw[[#This Row],[Column5]]))/K240,0),"")</f>
        <v/>
      </c>
      <c r="K240" s="72" t="str">
        <f>IF(ISNUMBER(deployment_raw[[#This Row],[Column8]]), (deployment_raw[[#This Row],[Column8]]  * IF($E$2="Deployment",deployment_raw[[#This Row],[Column5]],1)),"")</f>
        <v/>
      </c>
      <c r="L24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4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40" s="81" t="str">
        <f>IF(ISNUMBER(deployment_raw[[#This Row],[Column20]]), IF(O240&lt;&gt;0,deployment_raw[[#This Row],[Column20]]/IF(OR($E$2="Deployment",deployment_raw[[#This Row],[Column5]]=0),1,deployment_raw[[#This Row],[Column5]])/1048576/O240,0),"")</f>
        <v/>
      </c>
      <c r="O240" s="74" t="str">
        <f>IF(ISNUMBER(deployment_raw[[#This Row],[Column7]]), (deployment_raw[[#This Row],[Column7]] * IF($E$2="Deployment",deployment_raw[[#This Row],[Column5]],1))/1048576,"")</f>
        <v/>
      </c>
      <c r="P240" s="81" t="str">
        <f>IF(ISNUMBER(deployment_raw[[#This Row],[Column20]]), IF(Q240&lt;&gt;0,deployment_raw[[#This Row],[Column20]]/IF(OR($E$2="Deployment",deployment_raw[[#This Row],[Column5]]=0),1,deployment_raw[[#This Row],[Column5]])/1048576/Q240,0),"")</f>
        <v/>
      </c>
      <c r="Q240" s="76" t="str">
        <f>IF(ISNUMBER(deployment_raw[[#This Row],[Column9]]), (deployment_raw[[#This Row],[Column9]] * IF($E$2="Deployment",deployment_raw[[#This Row],[Column5]],1))/1048576,"")</f>
        <v/>
      </c>
      <c r="R240" s="57" t="str">
        <f>IF(ISNUMBER(deployment_raw[[#This Row],[Column10]]), (deployment_raw[[#This Row],[Column10]] * IF($E$2="Deployment",deployment_raw[[#This Row],[Column5]],1)),"")</f>
        <v/>
      </c>
      <c r="S240" s="48" t="str">
        <f>IF(ISNUMBER(deployment_raw[[#This Row],[Column11]]), (deployment_raw[[#This Row],[Column11]] * IF($E$2="Deployment",deployment_raw[[#This Row],[Column5]],1))/1048576,"")</f>
        <v/>
      </c>
      <c r="T240" s="59" t="str">
        <f>IF(ISNUMBER(deployment_raw[[#This Row],[Column8]]),IF(OR(deployment_raw[[#This Row],[Column5]] &lt;&gt; 0,$E$2 &lt;&gt; "Deployment"), MAX(V240, ($T$2 * IF($E$2="Deployment",deployment_raw[[#This Row],[Column5]],1))), 0),"")</f>
        <v/>
      </c>
      <c r="U240" s="50" t="str">
        <f>IF(ISNUMBER(deployment_raw[[#This Row],[Column9]]),IF(OR(deployment_raw[[#This Row],[Column5]] &lt;&gt; 0,$E$2&lt;&gt;"Deployment"), MAX(W240, ($U$2 * IF($E$2="Deployment",deployment_raw[[#This Row],[Column5]],1))), 0),"")</f>
        <v/>
      </c>
      <c r="V240" s="15" t="str">
        <f>IF(ISNUMBER(deployment_raw[[#This Row],[Column12]]), (deployment_raw[[#This Row],[Column12]] * IF($E$2="Deployment",deployment_raw[[#This Row],[Column5]],1)*(1+$V$2)),"")</f>
        <v/>
      </c>
      <c r="W240" s="14" t="str">
        <f>IF(ISNUMBER(deployment_raw[[#This Row],[Column13]]), (deployment_raw[[#This Row],[Column13]] * IF($E$2="Deployment",deployment_raw[[#This Row],[Column5]],1)*(1+$W$2))/1048576,"")</f>
        <v/>
      </c>
    </row>
    <row r="241" spans="1:23" ht="15.75" customHeight="1" x14ac:dyDescent="0.25">
      <c r="A241" s="5" t="str">
        <f>IF(ISNONTEXT(deployment_raw[[#This Row],[Column1]]), "", deployment_raw[[#This Row],[Column1]])</f>
        <v/>
      </c>
      <c r="B241" s="6" t="str">
        <f>IF(ISNONTEXT(deployment_raw[[#This Row],[Column2]]), "", deployment_raw[[#This Row],[Column2]])</f>
        <v/>
      </c>
      <c r="C241" s="6" t="str">
        <f>IF(ISNONTEXT(deployment_raw[[#This Row],[Column3]]), "", deployment_raw[[#This Row],[Column3]])</f>
        <v/>
      </c>
      <c r="D241" s="6" t="str">
        <f>IF(ISNONTEXT(deployment_raw[[#This Row],[Column4]]), "", deployment_raw[[#This Row],[Column4]])</f>
        <v/>
      </c>
      <c r="E241" s="7" t="str">
        <f>IF(ISNUMBER(deployment_raw[[#This Row],[Column5]]), deployment_raw[[#This Row],[Column5]],"")</f>
        <v/>
      </c>
      <c r="F241" s="32" t="str">
        <f>IF(ISNUMBER(deployment_raw[[#This Row],[Column17]]), deployment_raw[[#This Row],[Column17]]/IF(OR($E$2="Deployment",deployment_raw[[#This Row],[Column5]]=0),1,deployment_raw[[#This Row],[Column5]]),"")</f>
        <v/>
      </c>
      <c r="G241" s="42" t="str">
        <f>IF(ISNUMBER(deployment_raw[[#This Row],[Column14]]), deployment_raw[[#This Row],[Column14]]/IF(OR($E$2="Deployment",deployment_raw[[#This Row],[Column5]]=0),1,deployment_raw[[#This Row],[Column5]]),"")</f>
        <v/>
      </c>
      <c r="H241" s="79" t="str">
        <f>IF(ISNUMBER(deployment_raw[[#This Row],[Column19]]), IF(I241&lt;&gt;0,(deployment_raw[[#This Row],[Column19]]/IF(OR($E$2="Deployment",deployment_raw[[#This Row],[Column5]]=0),1,deployment_raw[[#This Row],[Column5]]))/I241,0),"")</f>
        <v/>
      </c>
      <c r="I241" s="69" t="str">
        <f>IF(ISNUMBER(deployment_raw[[#This Row],[Column6]]), (deployment_raw[[#This Row],[Column6]] * IF($E$2="Deployment",deployment_raw[[#This Row],[Column5]],1)),"")</f>
        <v/>
      </c>
      <c r="J241" s="79" t="str">
        <f>IF(ISNUMBER(deployment_raw[[#This Row],[Column19]]), IF(K241&lt;&gt;0,(deployment_raw[[#This Row],[Column19]]/IF(OR($E$2="Deployment",deployment_raw[[#This Row],[Column5]]=0),1,deployment_raw[[#This Row],[Column5]]))/K241,0),"")</f>
        <v/>
      </c>
      <c r="K241" s="72" t="str">
        <f>IF(ISNUMBER(deployment_raw[[#This Row],[Column8]]), (deployment_raw[[#This Row],[Column8]]  * IF($E$2="Deployment",deployment_raw[[#This Row],[Column5]],1)),"")</f>
        <v/>
      </c>
      <c r="L24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4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41" s="81" t="str">
        <f>IF(ISNUMBER(deployment_raw[[#This Row],[Column20]]), IF(O241&lt;&gt;0,deployment_raw[[#This Row],[Column20]]/IF(OR($E$2="Deployment",deployment_raw[[#This Row],[Column5]]=0),1,deployment_raw[[#This Row],[Column5]])/1048576/O241,0),"")</f>
        <v/>
      </c>
      <c r="O241" s="74" t="str">
        <f>IF(ISNUMBER(deployment_raw[[#This Row],[Column7]]), (deployment_raw[[#This Row],[Column7]] * IF($E$2="Deployment",deployment_raw[[#This Row],[Column5]],1))/1048576,"")</f>
        <v/>
      </c>
      <c r="P241" s="81" t="str">
        <f>IF(ISNUMBER(deployment_raw[[#This Row],[Column20]]), IF(Q241&lt;&gt;0,deployment_raw[[#This Row],[Column20]]/IF(OR($E$2="Deployment",deployment_raw[[#This Row],[Column5]]=0),1,deployment_raw[[#This Row],[Column5]])/1048576/Q241,0),"")</f>
        <v/>
      </c>
      <c r="Q241" s="76" t="str">
        <f>IF(ISNUMBER(deployment_raw[[#This Row],[Column9]]), (deployment_raw[[#This Row],[Column9]] * IF($E$2="Deployment",deployment_raw[[#This Row],[Column5]],1))/1048576,"")</f>
        <v/>
      </c>
      <c r="R241" s="57" t="str">
        <f>IF(ISNUMBER(deployment_raw[[#This Row],[Column10]]), (deployment_raw[[#This Row],[Column10]] * IF($E$2="Deployment",deployment_raw[[#This Row],[Column5]],1)),"")</f>
        <v/>
      </c>
      <c r="S241" s="48" t="str">
        <f>IF(ISNUMBER(deployment_raw[[#This Row],[Column11]]), (deployment_raw[[#This Row],[Column11]] * IF($E$2="Deployment",deployment_raw[[#This Row],[Column5]],1))/1048576,"")</f>
        <v/>
      </c>
      <c r="T241" s="59" t="str">
        <f>IF(ISNUMBER(deployment_raw[[#This Row],[Column8]]),IF(OR(deployment_raw[[#This Row],[Column5]] &lt;&gt; 0,$E$2 &lt;&gt; "Deployment"), MAX(V241, ($T$2 * IF($E$2="Deployment",deployment_raw[[#This Row],[Column5]],1))), 0),"")</f>
        <v/>
      </c>
      <c r="U241" s="50" t="str">
        <f>IF(ISNUMBER(deployment_raw[[#This Row],[Column9]]),IF(OR(deployment_raw[[#This Row],[Column5]] &lt;&gt; 0,$E$2&lt;&gt;"Deployment"), MAX(W241, ($U$2 * IF($E$2="Deployment",deployment_raw[[#This Row],[Column5]],1))), 0),"")</f>
        <v/>
      </c>
      <c r="V241" s="15" t="str">
        <f>IF(ISNUMBER(deployment_raw[[#This Row],[Column12]]), (deployment_raw[[#This Row],[Column12]] * IF($E$2="Deployment",deployment_raw[[#This Row],[Column5]],1)*(1+$V$2)),"")</f>
        <v/>
      </c>
      <c r="W241" s="14" t="str">
        <f>IF(ISNUMBER(deployment_raw[[#This Row],[Column13]]), (deployment_raw[[#This Row],[Column13]] * IF($E$2="Deployment",deployment_raw[[#This Row],[Column5]],1)*(1+$W$2))/1048576,"")</f>
        <v/>
      </c>
    </row>
    <row r="242" spans="1:23" ht="15.75" customHeight="1" x14ac:dyDescent="0.25">
      <c r="A242" s="5" t="str">
        <f>IF(ISNONTEXT(deployment_raw[[#This Row],[Column1]]), "", deployment_raw[[#This Row],[Column1]])</f>
        <v/>
      </c>
      <c r="B242" s="6" t="str">
        <f>IF(ISNONTEXT(deployment_raw[[#This Row],[Column2]]), "", deployment_raw[[#This Row],[Column2]])</f>
        <v/>
      </c>
      <c r="C242" s="6" t="str">
        <f>IF(ISNONTEXT(deployment_raw[[#This Row],[Column3]]), "", deployment_raw[[#This Row],[Column3]])</f>
        <v/>
      </c>
      <c r="D242" s="6" t="str">
        <f>IF(ISNONTEXT(deployment_raw[[#This Row],[Column4]]), "", deployment_raw[[#This Row],[Column4]])</f>
        <v/>
      </c>
      <c r="E242" s="7" t="str">
        <f>IF(ISNUMBER(deployment_raw[[#This Row],[Column5]]), deployment_raw[[#This Row],[Column5]],"")</f>
        <v/>
      </c>
      <c r="F242" s="32" t="str">
        <f>IF(ISNUMBER(deployment_raw[[#This Row],[Column17]]), deployment_raw[[#This Row],[Column17]]/IF(OR($E$2="Deployment",deployment_raw[[#This Row],[Column5]]=0),1,deployment_raw[[#This Row],[Column5]]),"")</f>
        <v/>
      </c>
      <c r="G242" s="42" t="str">
        <f>IF(ISNUMBER(deployment_raw[[#This Row],[Column14]]), deployment_raw[[#This Row],[Column14]]/IF(OR($E$2="Deployment",deployment_raw[[#This Row],[Column5]]=0),1,deployment_raw[[#This Row],[Column5]]),"")</f>
        <v/>
      </c>
      <c r="H242" s="79" t="str">
        <f>IF(ISNUMBER(deployment_raw[[#This Row],[Column19]]), IF(I242&lt;&gt;0,(deployment_raw[[#This Row],[Column19]]/IF(OR($E$2="Deployment",deployment_raw[[#This Row],[Column5]]=0),1,deployment_raw[[#This Row],[Column5]]))/I242,0),"")</f>
        <v/>
      </c>
      <c r="I242" s="69" t="str">
        <f>IF(ISNUMBER(deployment_raw[[#This Row],[Column6]]), (deployment_raw[[#This Row],[Column6]] * IF($E$2="Deployment",deployment_raw[[#This Row],[Column5]],1)),"")</f>
        <v/>
      </c>
      <c r="J242" s="79" t="str">
        <f>IF(ISNUMBER(deployment_raw[[#This Row],[Column19]]), IF(K242&lt;&gt;0,(deployment_raw[[#This Row],[Column19]]/IF(OR($E$2="Deployment",deployment_raw[[#This Row],[Column5]]=0),1,deployment_raw[[#This Row],[Column5]]))/K242,0),"")</f>
        <v/>
      </c>
      <c r="K242" s="72" t="str">
        <f>IF(ISNUMBER(deployment_raw[[#This Row],[Column8]]), (deployment_raw[[#This Row],[Column8]]  * IF($E$2="Deployment",deployment_raw[[#This Row],[Column5]],1)),"")</f>
        <v/>
      </c>
      <c r="L24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4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42" s="81" t="str">
        <f>IF(ISNUMBER(deployment_raw[[#This Row],[Column20]]), IF(O242&lt;&gt;0,deployment_raw[[#This Row],[Column20]]/IF(OR($E$2="Deployment",deployment_raw[[#This Row],[Column5]]=0),1,deployment_raw[[#This Row],[Column5]])/1048576/O242,0),"")</f>
        <v/>
      </c>
      <c r="O242" s="74" t="str">
        <f>IF(ISNUMBER(deployment_raw[[#This Row],[Column7]]), (deployment_raw[[#This Row],[Column7]] * IF($E$2="Deployment",deployment_raw[[#This Row],[Column5]],1))/1048576,"")</f>
        <v/>
      </c>
      <c r="P242" s="81" t="str">
        <f>IF(ISNUMBER(deployment_raw[[#This Row],[Column20]]), IF(Q242&lt;&gt;0,deployment_raw[[#This Row],[Column20]]/IF(OR($E$2="Deployment",deployment_raw[[#This Row],[Column5]]=0),1,deployment_raw[[#This Row],[Column5]])/1048576/Q242,0),"")</f>
        <v/>
      </c>
      <c r="Q242" s="76" t="str">
        <f>IF(ISNUMBER(deployment_raw[[#This Row],[Column9]]), (deployment_raw[[#This Row],[Column9]] * IF($E$2="Deployment",deployment_raw[[#This Row],[Column5]],1))/1048576,"")</f>
        <v/>
      </c>
      <c r="R242" s="57" t="str">
        <f>IF(ISNUMBER(deployment_raw[[#This Row],[Column10]]), (deployment_raw[[#This Row],[Column10]] * IF($E$2="Deployment",deployment_raw[[#This Row],[Column5]],1)),"")</f>
        <v/>
      </c>
      <c r="S242" s="48" t="str">
        <f>IF(ISNUMBER(deployment_raw[[#This Row],[Column11]]), (deployment_raw[[#This Row],[Column11]] * IF($E$2="Deployment",deployment_raw[[#This Row],[Column5]],1))/1048576,"")</f>
        <v/>
      </c>
      <c r="T242" s="59" t="str">
        <f>IF(ISNUMBER(deployment_raw[[#This Row],[Column8]]),IF(OR(deployment_raw[[#This Row],[Column5]] &lt;&gt; 0,$E$2 &lt;&gt; "Deployment"), MAX(V242, ($T$2 * IF($E$2="Deployment",deployment_raw[[#This Row],[Column5]],1))), 0),"")</f>
        <v/>
      </c>
      <c r="U242" s="50" t="str">
        <f>IF(ISNUMBER(deployment_raw[[#This Row],[Column9]]),IF(OR(deployment_raw[[#This Row],[Column5]] &lt;&gt; 0,$E$2&lt;&gt;"Deployment"), MAX(W242, ($U$2 * IF($E$2="Deployment",deployment_raw[[#This Row],[Column5]],1))), 0),"")</f>
        <v/>
      </c>
      <c r="V242" s="15" t="str">
        <f>IF(ISNUMBER(deployment_raw[[#This Row],[Column12]]), (deployment_raw[[#This Row],[Column12]] * IF($E$2="Deployment",deployment_raw[[#This Row],[Column5]],1)*(1+$V$2)),"")</f>
        <v/>
      </c>
      <c r="W242" s="14" t="str">
        <f>IF(ISNUMBER(deployment_raw[[#This Row],[Column13]]), (deployment_raw[[#This Row],[Column13]] * IF($E$2="Deployment",deployment_raw[[#This Row],[Column5]],1)*(1+$W$2))/1048576,"")</f>
        <v/>
      </c>
    </row>
    <row r="243" spans="1:23" ht="15.75" customHeight="1" x14ac:dyDescent="0.25">
      <c r="A243" s="5" t="str">
        <f>IF(ISNONTEXT(deployment_raw[[#This Row],[Column1]]), "", deployment_raw[[#This Row],[Column1]])</f>
        <v/>
      </c>
      <c r="B243" s="6" t="str">
        <f>IF(ISNONTEXT(deployment_raw[[#This Row],[Column2]]), "", deployment_raw[[#This Row],[Column2]])</f>
        <v/>
      </c>
      <c r="C243" s="6" t="str">
        <f>IF(ISNONTEXT(deployment_raw[[#This Row],[Column3]]), "", deployment_raw[[#This Row],[Column3]])</f>
        <v/>
      </c>
      <c r="D243" s="6" t="str">
        <f>IF(ISNONTEXT(deployment_raw[[#This Row],[Column4]]), "", deployment_raw[[#This Row],[Column4]])</f>
        <v/>
      </c>
      <c r="E243" s="7" t="str">
        <f>IF(ISNUMBER(deployment_raw[[#This Row],[Column5]]), deployment_raw[[#This Row],[Column5]],"")</f>
        <v/>
      </c>
      <c r="F243" s="32" t="str">
        <f>IF(ISNUMBER(deployment_raw[[#This Row],[Column17]]), deployment_raw[[#This Row],[Column17]]/IF(OR($E$2="Deployment",deployment_raw[[#This Row],[Column5]]=0),1,deployment_raw[[#This Row],[Column5]]),"")</f>
        <v/>
      </c>
      <c r="G243" s="42" t="str">
        <f>IF(ISNUMBER(deployment_raw[[#This Row],[Column14]]), deployment_raw[[#This Row],[Column14]]/IF(OR($E$2="Deployment",deployment_raw[[#This Row],[Column5]]=0),1,deployment_raw[[#This Row],[Column5]]),"")</f>
        <v/>
      </c>
      <c r="H243" s="79" t="str">
        <f>IF(ISNUMBER(deployment_raw[[#This Row],[Column19]]), IF(I243&lt;&gt;0,(deployment_raw[[#This Row],[Column19]]/IF(OR($E$2="Deployment",deployment_raw[[#This Row],[Column5]]=0),1,deployment_raw[[#This Row],[Column5]]))/I243,0),"")</f>
        <v/>
      </c>
      <c r="I243" s="69" t="str">
        <f>IF(ISNUMBER(deployment_raw[[#This Row],[Column6]]), (deployment_raw[[#This Row],[Column6]] * IF($E$2="Deployment",deployment_raw[[#This Row],[Column5]],1)),"")</f>
        <v/>
      </c>
      <c r="J243" s="79" t="str">
        <f>IF(ISNUMBER(deployment_raw[[#This Row],[Column19]]), IF(K243&lt;&gt;0,(deployment_raw[[#This Row],[Column19]]/IF(OR($E$2="Deployment",deployment_raw[[#This Row],[Column5]]=0),1,deployment_raw[[#This Row],[Column5]]))/K243,0),"")</f>
        <v/>
      </c>
      <c r="K243" s="72" t="str">
        <f>IF(ISNUMBER(deployment_raw[[#This Row],[Column8]]), (deployment_raw[[#This Row],[Column8]]  * IF($E$2="Deployment",deployment_raw[[#This Row],[Column5]],1)),"")</f>
        <v/>
      </c>
      <c r="L24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4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43" s="81" t="str">
        <f>IF(ISNUMBER(deployment_raw[[#This Row],[Column20]]), IF(O243&lt;&gt;0,deployment_raw[[#This Row],[Column20]]/IF(OR($E$2="Deployment",deployment_raw[[#This Row],[Column5]]=0),1,deployment_raw[[#This Row],[Column5]])/1048576/O243,0),"")</f>
        <v/>
      </c>
      <c r="O243" s="74" t="str">
        <f>IF(ISNUMBER(deployment_raw[[#This Row],[Column7]]), (deployment_raw[[#This Row],[Column7]] * IF($E$2="Deployment",deployment_raw[[#This Row],[Column5]],1))/1048576,"")</f>
        <v/>
      </c>
      <c r="P243" s="81" t="str">
        <f>IF(ISNUMBER(deployment_raw[[#This Row],[Column20]]), IF(Q243&lt;&gt;0,deployment_raw[[#This Row],[Column20]]/IF(OR($E$2="Deployment",deployment_raw[[#This Row],[Column5]]=0),1,deployment_raw[[#This Row],[Column5]])/1048576/Q243,0),"")</f>
        <v/>
      </c>
      <c r="Q243" s="76" t="str">
        <f>IF(ISNUMBER(deployment_raw[[#This Row],[Column9]]), (deployment_raw[[#This Row],[Column9]] * IF($E$2="Deployment",deployment_raw[[#This Row],[Column5]],1))/1048576,"")</f>
        <v/>
      </c>
      <c r="R243" s="57" t="str">
        <f>IF(ISNUMBER(deployment_raw[[#This Row],[Column10]]), (deployment_raw[[#This Row],[Column10]] * IF($E$2="Deployment",deployment_raw[[#This Row],[Column5]],1)),"")</f>
        <v/>
      </c>
      <c r="S243" s="48" t="str">
        <f>IF(ISNUMBER(deployment_raw[[#This Row],[Column11]]), (deployment_raw[[#This Row],[Column11]] * IF($E$2="Deployment",deployment_raw[[#This Row],[Column5]],1))/1048576,"")</f>
        <v/>
      </c>
      <c r="T243" s="59" t="str">
        <f>IF(ISNUMBER(deployment_raw[[#This Row],[Column8]]),IF(OR(deployment_raw[[#This Row],[Column5]] &lt;&gt; 0,$E$2 &lt;&gt; "Deployment"), MAX(V243, ($T$2 * IF($E$2="Deployment",deployment_raw[[#This Row],[Column5]],1))), 0),"")</f>
        <v/>
      </c>
      <c r="U243" s="50" t="str">
        <f>IF(ISNUMBER(deployment_raw[[#This Row],[Column9]]),IF(OR(deployment_raw[[#This Row],[Column5]] &lt;&gt; 0,$E$2&lt;&gt;"Deployment"), MAX(W243, ($U$2 * IF($E$2="Deployment",deployment_raw[[#This Row],[Column5]],1))), 0),"")</f>
        <v/>
      </c>
      <c r="V243" s="15" t="str">
        <f>IF(ISNUMBER(deployment_raw[[#This Row],[Column12]]), (deployment_raw[[#This Row],[Column12]] * IF($E$2="Deployment",deployment_raw[[#This Row],[Column5]],1)*(1+$V$2)),"")</f>
        <v/>
      </c>
      <c r="W243" s="14" t="str">
        <f>IF(ISNUMBER(deployment_raw[[#This Row],[Column13]]), (deployment_raw[[#This Row],[Column13]] * IF($E$2="Deployment",deployment_raw[[#This Row],[Column5]],1)*(1+$W$2))/1048576,"")</f>
        <v/>
      </c>
    </row>
    <row r="244" spans="1:23" ht="15.75" customHeight="1" x14ac:dyDescent="0.25">
      <c r="A244" s="5" t="str">
        <f>IF(ISNONTEXT(deployment_raw[[#This Row],[Column1]]), "", deployment_raw[[#This Row],[Column1]])</f>
        <v/>
      </c>
      <c r="B244" s="6" t="str">
        <f>IF(ISNONTEXT(deployment_raw[[#This Row],[Column2]]), "", deployment_raw[[#This Row],[Column2]])</f>
        <v/>
      </c>
      <c r="C244" s="6" t="str">
        <f>IF(ISNONTEXT(deployment_raw[[#This Row],[Column3]]), "", deployment_raw[[#This Row],[Column3]])</f>
        <v/>
      </c>
      <c r="D244" s="6" t="str">
        <f>IF(ISNONTEXT(deployment_raw[[#This Row],[Column4]]), "", deployment_raw[[#This Row],[Column4]])</f>
        <v/>
      </c>
      <c r="E244" s="7" t="str">
        <f>IF(ISNUMBER(deployment_raw[[#This Row],[Column5]]), deployment_raw[[#This Row],[Column5]],"")</f>
        <v/>
      </c>
      <c r="F244" s="32" t="str">
        <f>IF(ISNUMBER(deployment_raw[[#This Row],[Column17]]), deployment_raw[[#This Row],[Column17]]/IF(OR($E$2="Deployment",deployment_raw[[#This Row],[Column5]]=0),1,deployment_raw[[#This Row],[Column5]]),"")</f>
        <v/>
      </c>
      <c r="G244" s="42" t="str">
        <f>IF(ISNUMBER(deployment_raw[[#This Row],[Column14]]), deployment_raw[[#This Row],[Column14]]/IF(OR($E$2="Deployment",deployment_raw[[#This Row],[Column5]]=0),1,deployment_raw[[#This Row],[Column5]]),"")</f>
        <v/>
      </c>
      <c r="H244" s="79" t="str">
        <f>IF(ISNUMBER(deployment_raw[[#This Row],[Column19]]), IF(I244&lt;&gt;0,(deployment_raw[[#This Row],[Column19]]/IF(OR($E$2="Deployment",deployment_raw[[#This Row],[Column5]]=0),1,deployment_raw[[#This Row],[Column5]]))/I244,0),"")</f>
        <v/>
      </c>
      <c r="I244" s="69" t="str">
        <f>IF(ISNUMBER(deployment_raw[[#This Row],[Column6]]), (deployment_raw[[#This Row],[Column6]] * IF($E$2="Deployment",deployment_raw[[#This Row],[Column5]],1)),"")</f>
        <v/>
      </c>
      <c r="J244" s="79" t="str">
        <f>IF(ISNUMBER(deployment_raw[[#This Row],[Column19]]), IF(K244&lt;&gt;0,(deployment_raw[[#This Row],[Column19]]/IF(OR($E$2="Deployment",deployment_raw[[#This Row],[Column5]]=0),1,deployment_raw[[#This Row],[Column5]]))/K244,0),"")</f>
        <v/>
      </c>
      <c r="K244" s="72" t="str">
        <f>IF(ISNUMBER(deployment_raw[[#This Row],[Column8]]), (deployment_raw[[#This Row],[Column8]]  * IF($E$2="Deployment",deployment_raw[[#This Row],[Column5]],1)),"")</f>
        <v/>
      </c>
      <c r="L24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4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44" s="81" t="str">
        <f>IF(ISNUMBER(deployment_raw[[#This Row],[Column20]]), IF(O244&lt;&gt;0,deployment_raw[[#This Row],[Column20]]/IF(OR($E$2="Deployment",deployment_raw[[#This Row],[Column5]]=0),1,deployment_raw[[#This Row],[Column5]])/1048576/O244,0),"")</f>
        <v/>
      </c>
      <c r="O244" s="74" t="str">
        <f>IF(ISNUMBER(deployment_raw[[#This Row],[Column7]]), (deployment_raw[[#This Row],[Column7]] * IF($E$2="Deployment",deployment_raw[[#This Row],[Column5]],1))/1048576,"")</f>
        <v/>
      </c>
      <c r="P244" s="81" t="str">
        <f>IF(ISNUMBER(deployment_raw[[#This Row],[Column20]]), IF(Q244&lt;&gt;0,deployment_raw[[#This Row],[Column20]]/IF(OR($E$2="Deployment",deployment_raw[[#This Row],[Column5]]=0),1,deployment_raw[[#This Row],[Column5]])/1048576/Q244,0),"")</f>
        <v/>
      </c>
      <c r="Q244" s="76" t="str">
        <f>IF(ISNUMBER(deployment_raw[[#This Row],[Column9]]), (deployment_raw[[#This Row],[Column9]] * IF($E$2="Deployment",deployment_raw[[#This Row],[Column5]],1))/1048576,"")</f>
        <v/>
      </c>
      <c r="R244" s="57" t="str">
        <f>IF(ISNUMBER(deployment_raw[[#This Row],[Column10]]), (deployment_raw[[#This Row],[Column10]] * IF($E$2="Deployment",deployment_raw[[#This Row],[Column5]],1)),"")</f>
        <v/>
      </c>
      <c r="S244" s="48" t="str">
        <f>IF(ISNUMBER(deployment_raw[[#This Row],[Column11]]), (deployment_raw[[#This Row],[Column11]] * IF($E$2="Deployment",deployment_raw[[#This Row],[Column5]],1))/1048576,"")</f>
        <v/>
      </c>
      <c r="T244" s="59" t="str">
        <f>IF(ISNUMBER(deployment_raw[[#This Row],[Column8]]),IF(OR(deployment_raw[[#This Row],[Column5]] &lt;&gt; 0,$E$2 &lt;&gt; "Deployment"), MAX(V244, ($T$2 * IF($E$2="Deployment",deployment_raw[[#This Row],[Column5]],1))), 0),"")</f>
        <v/>
      </c>
      <c r="U244" s="50" t="str">
        <f>IF(ISNUMBER(deployment_raw[[#This Row],[Column9]]),IF(OR(deployment_raw[[#This Row],[Column5]] &lt;&gt; 0,$E$2&lt;&gt;"Deployment"), MAX(W244, ($U$2 * IF($E$2="Deployment",deployment_raw[[#This Row],[Column5]],1))), 0),"")</f>
        <v/>
      </c>
      <c r="V244" s="15" t="str">
        <f>IF(ISNUMBER(deployment_raw[[#This Row],[Column12]]), (deployment_raw[[#This Row],[Column12]] * IF($E$2="Deployment",deployment_raw[[#This Row],[Column5]],1)*(1+$V$2)),"")</f>
        <v/>
      </c>
      <c r="W244" s="14" t="str">
        <f>IF(ISNUMBER(deployment_raw[[#This Row],[Column13]]), (deployment_raw[[#This Row],[Column13]] * IF($E$2="Deployment",deployment_raw[[#This Row],[Column5]],1)*(1+$W$2))/1048576,"")</f>
        <v/>
      </c>
    </row>
    <row r="245" spans="1:23" ht="15.75" customHeight="1" x14ac:dyDescent="0.25">
      <c r="A245" s="5" t="str">
        <f>IF(ISNONTEXT(deployment_raw[[#This Row],[Column1]]), "", deployment_raw[[#This Row],[Column1]])</f>
        <v/>
      </c>
      <c r="B245" s="6" t="str">
        <f>IF(ISNONTEXT(deployment_raw[[#This Row],[Column2]]), "", deployment_raw[[#This Row],[Column2]])</f>
        <v/>
      </c>
      <c r="C245" s="6" t="str">
        <f>IF(ISNONTEXT(deployment_raw[[#This Row],[Column3]]), "", deployment_raw[[#This Row],[Column3]])</f>
        <v/>
      </c>
      <c r="D245" s="6" t="str">
        <f>IF(ISNONTEXT(deployment_raw[[#This Row],[Column4]]), "", deployment_raw[[#This Row],[Column4]])</f>
        <v/>
      </c>
      <c r="E245" s="7" t="str">
        <f>IF(ISNUMBER(deployment_raw[[#This Row],[Column5]]), deployment_raw[[#This Row],[Column5]],"")</f>
        <v/>
      </c>
      <c r="F245" s="32" t="str">
        <f>IF(ISNUMBER(deployment_raw[[#This Row],[Column17]]), deployment_raw[[#This Row],[Column17]]/IF(OR($E$2="Deployment",deployment_raw[[#This Row],[Column5]]=0),1,deployment_raw[[#This Row],[Column5]]),"")</f>
        <v/>
      </c>
      <c r="G245" s="42" t="str">
        <f>IF(ISNUMBER(deployment_raw[[#This Row],[Column14]]), deployment_raw[[#This Row],[Column14]]/IF(OR($E$2="Deployment",deployment_raw[[#This Row],[Column5]]=0),1,deployment_raw[[#This Row],[Column5]]),"")</f>
        <v/>
      </c>
      <c r="H245" s="79" t="str">
        <f>IF(ISNUMBER(deployment_raw[[#This Row],[Column19]]), IF(I245&lt;&gt;0,(deployment_raw[[#This Row],[Column19]]/IF(OR($E$2="Deployment",deployment_raw[[#This Row],[Column5]]=0),1,deployment_raw[[#This Row],[Column5]]))/I245,0),"")</f>
        <v/>
      </c>
      <c r="I245" s="69" t="str">
        <f>IF(ISNUMBER(deployment_raw[[#This Row],[Column6]]), (deployment_raw[[#This Row],[Column6]] * IF($E$2="Deployment",deployment_raw[[#This Row],[Column5]],1)),"")</f>
        <v/>
      </c>
      <c r="J245" s="79" t="str">
        <f>IF(ISNUMBER(deployment_raw[[#This Row],[Column19]]), IF(K245&lt;&gt;0,(deployment_raw[[#This Row],[Column19]]/IF(OR($E$2="Deployment",deployment_raw[[#This Row],[Column5]]=0),1,deployment_raw[[#This Row],[Column5]]))/K245,0),"")</f>
        <v/>
      </c>
      <c r="K245" s="72" t="str">
        <f>IF(ISNUMBER(deployment_raw[[#This Row],[Column8]]), (deployment_raw[[#This Row],[Column8]]  * IF($E$2="Deployment",deployment_raw[[#This Row],[Column5]],1)),"")</f>
        <v/>
      </c>
      <c r="L24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4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45" s="81" t="str">
        <f>IF(ISNUMBER(deployment_raw[[#This Row],[Column20]]), IF(O245&lt;&gt;0,deployment_raw[[#This Row],[Column20]]/IF(OR($E$2="Deployment",deployment_raw[[#This Row],[Column5]]=0),1,deployment_raw[[#This Row],[Column5]])/1048576/O245,0),"")</f>
        <v/>
      </c>
      <c r="O245" s="74" t="str">
        <f>IF(ISNUMBER(deployment_raw[[#This Row],[Column7]]), (deployment_raw[[#This Row],[Column7]] * IF($E$2="Deployment",deployment_raw[[#This Row],[Column5]],1))/1048576,"")</f>
        <v/>
      </c>
      <c r="P245" s="81" t="str">
        <f>IF(ISNUMBER(deployment_raw[[#This Row],[Column20]]), IF(Q245&lt;&gt;0,deployment_raw[[#This Row],[Column20]]/IF(OR($E$2="Deployment",deployment_raw[[#This Row],[Column5]]=0),1,deployment_raw[[#This Row],[Column5]])/1048576/Q245,0),"")</f>
        <v/>
      </c>
      <c r="Q245" s="76" t="str">
        <f>IF(ISNUMBER(deployment_raw[[#This Row],[Column9]]), (deployment_raw[[#This Row],[Column9]] * IF($E$2="Deployment",deployment_raw[[#This Row],[Column5]],1))/1048576,"")</f>
        <v/>
      </c>
      <c r="R245" s="57" t="str">
        <f>IF(ISNUMBER(deployment_raw[[#This Row],[Column10]]), (deployment_raw[[#This Row],[Column10]] * IF($E$2="Deployment",deployment_raw[[#This Row],[Column5]],1)),"")</f>
        <v/>
      </c>
      <c r="S245" s="48" t="str">
        <f>IF(ISNUMBER(deployment_raw[[#This Row],[Column11]]), (deployment_raw[[#This Row],[Column11]] * IF($E$2="Deployment",deployment_raw[[#This Row],[Column5]],1))/1048576,"")</f>
        <v/>
      </c>
      <c r="T245" s="59" t="str">
        <f>IF(ISNUMBER(deployment_raw[[#This Row],[Column8]]),IF(OR(deployment_raw[[#This Row],[Column5]] &lt;&gt; 0,$E$2 &lt;&gt; "Deployment"), MAX(V245, ($T$2 * IF($E$2="Deployment",deployment_raw[[#This Row],[Column5]],1))), 0),"")</f>
        <v/>
      </c>
      <c r="U245" s="50" t="str">
        <f>IF(ISNUMBER(deployment_raw[[#This Row],[Column9]]),IF(OR(deployment_raw[[#This Row],[Column5]] &lt;&gt; 0,$E$2&lt;&gt;"Deployment"), MAX(W245, ($U$2 * IF($E$2="Deployment",deployment_raw[[#This Row],[Column5]],1))), 0),"")</f>
        <v/>
      </c>
      <c r="V245" s="15" t="str">
        <f>IF(ISNUMBER(deployment_raw[[#This Row],[Column12]]), (deployment_raw[[#This Row],[Column12]] * IF($E$2="Deployment",deployment_raw[[#This Row],[Column5]],1)*(1+$V$2)),"")</f>
        <v/>
      </c>
      <c r="W245" s="14" t="str">
        <f>IF(ISNUMBER(deployment_raw[[#This Row],[Column13]]), (deployment_raw[[#This Row],[Column13]] * IF($E$2="Deployment",deployment_raw[[#This Row],[Column5]],1)*(1+$W$2))/1048576,"")</f>
        <v/>
      </c>
    </row>
    <row r="246" spans="1:23" ht="15.75" customHeight="1" x14ac:dyDescent="0.25">
      <c r="A246" s="5" t="str">
        <f>IF(ISNONTEXT(deployment_raw[[#This Row],[Column1]]), "", deployment_raw[[#This Row],[Column1]])</f>
        <v/>
      </c>
      <c r="B246" s="6" t="str">
        <f>IF(ISNONTEXT(deployment_raw[[#This Row],[Column2]]), "", deployment_raw[[#This Row],[Column2]])</f>
        <v/>
      </c>
      <c r="C246" s="6" t="str">
        <f>IF(ISNONTEXT(deployment_raw[[#This Row],[Column3]]), "", deployment_raw[[#This Row],[Column3]])</f>
        <v/>
      </c>
      <c r="D246" s="6" t="str">
        <f>IF(ISNONTEXT(deployment_raw[[#This Row],[Column4]]), "", deployment_raw[[#This Row],[Column4]])</f>
        <v/>
      </c>
      <c r="E246" s="7" t="str">
        <f>IF(ISNUMBER(deployment_raw[[#This Row],[Column5]]), deployment_raw[[#This Row],[Column5]],"")</f>
        <v/>
      </c>
      <c r="F246" s="32" t="str">
        <f>IF(ISNUMBER(deployment_raw[[#This Row],[Column17]]), deployment_raw[[#This Row],[Column17]]/IF(OR($E$2="Deployment",deployment_raw[[#This Row],[Column5]]=0),1,deployment_raw[[#This Row],[Column5]]),"")</f>
        <v/>
      </c>
      <c r="G246" s="42" t="str">
        <f>IF(ISNUMBER(deployment_raw[[#This Row],[Column14]]), deployment_raw[[#This Row],[Column14]]/IF(OR($E$2="Deployment",deployment_raw[[#This Row],[Column5]]=0),1,deployment_raw[[#This Row],[Column5]]),"")</f>
        <v/>
      </c>
      <c r="H246" s="79" t="str">
        <f>IF(ISNUMBER(deployment_raw[[#This Row],[Column19]]), IF(I246&lt;&gt;0,(deployment_raw[[#This Row],[Column19]]/IF(OR($E$2="Deployment",deployment_raw[[#This Row],[Column5]]=0),1,deployment_raw[[#This Row],[Column5]]))/I246,0),"")</f>
        <v/>
      </c>
      <c r="I246" s="69" t="str">
        <f>IF(ISNUMBER(deployment_raw[[#This Row],[Column6]]), (deployment_raw[[#This Row],[Column6]] * IF($E$2="Deployment",deployment_raw[[#This Row],[Column5]],1)),"")</f>
        <v/>
      </c>
      <c r="J246" s="79" t="str">
        <f>IF(ISNUMBER(deployment_raw[[#This Row],[Column19]]), IF(K246&lt;&gt;0,(deployment_raw[[#This Row],[Column19]]/IF(OR($E$2="Deployment",deployment_raw[[#This Row],[Column5]]=0),1,deployment_raw[[#This Row],[Column5]]))/K246,0),"")</f>
        <v/>
      </c>
      <c r="K246" s="72" t="str">
        <f>IF(ISNUMBER(deployment_raw[[#This Row],[Column8]]), (deployment_raw[[#This Row],[Column8]]  * IF($E$2="Deployment",deployment_raw[[#This Row],[Column5]],1)),"")</f>
        <v/>
      </c>
      <c r="L24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4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46" s="81" t="str">
        <f>IF(ISNUMBER(deployment_raw[[#This Row],[Column20]]), IF(O246&lt;&gt;0,deployment_raw[[#This Row],[Column20]]/IF(OR($E$2="Deployment",deployment_raw[[#This Row],[Column5]]=0),1,deployment_raw[[#This Row],[Column5]])/1048576/O246,0),"")</f>
        <v/>
      </c>
      <c r="O246" s="74" t="str">
        <f>IF(ISNUMBER(deployment_raw[[#This Row],[Column7]]), (deployment_raw[[#This Row],[Column7]] * IF($E$2="Deployment",deployment_raw[[#This Row],[Column5]],1))/1048576,"")</f>
        <v/>
      </c>
      <c r="P246" s="81" t="str">
        <f>IF(ISNUMBER(deployment_raw[[#This Row],[Column20]]), IF(Q246&lt;&gt;0,deployment_raw[[#This Row],[Column20]]/IF(OR($E$2="Deployment",deployment_raw[[#This Row],[Column5]]=0),1,deployment_raw[[#This Row],[Column5]])/1048576/Q246,0),"")</f>
        <v/>
      </c>
      <c r="Q246" s="76" t="str">
        <f>IF(ISNUMBER(deployment_raw[[#This Row],[Column9]]), (deployment_raw[[#This Row],[Column9]] * IF($E$2="Deployment",deployment_raw[[#This Row],[Column5]],1))/1048576,"")</f>
        <v/>
      </c>
      <c r="R246" s="57" t="str">
        <f>IF(ISNUMBER(deployment_raw[[#This Row],[Column10]]), (deployment_raw[[#This Row],[Column10]] * IF($E$2="Deployment",deployment_raw[[#This Row],[Column5]],1)),"")</f>
        <v/>
      </c>
      <c r="S246" s="48" t="str">
        <f>IF(ISNUMBER(deployment_raw[[#This Row],[Column11]]), (deployment_raw[[#This Row],[Column11]] * IF($E$2="Deployment",deployment_raw[[#This Row],[Column5]],1))/1048576,"")</f>
        <v/>
      </c>
      <c r="T246" s="59" t="str">
        <f>IF(ISNUMBER(deployment_raw[[#This Row],[Column8]]),IF(OR(deployment_raw[[#This Row],[Column5]] &lt;&gt; 0,$E$2 &lt;&gt; "Deployment"), MAX(V246, ($T$2 * IF($E$2="Deployment",deployment_raw[[#This Row],[Column5]],1))), 0),"")</f>
        <v/>
      </c>
      <c r="U246" s="50" t="str">
        <f>IF(ISNUMBER(deployment_raw[[#This Row],[Column9]]),IF(OR(deployment_raw[[#This Row],[Column5]] &lt;&gt; 0,$E$2&lt;&gt;"Deployment"), MAX(W246, ($U$2 * IF($E$2="Deployment",deployment_raw[[#This Row],[Column5]],1))), 0),"")</f>
        <v/>
      </c>
      <c r="V246" s="15" t="str">
        <f>IF(ISNUMBER(deployment_raw[[#This Row],[Column12]]), (deployment_raw[[#This Row],[Column12]] * IF($E$2="Deployment",deployment_raw[[#This Row],[Column5]],1)*(1+$V$2)),"")</f>
        <v/>
      </c>
      <c r="W246" s="14" t="str">
        <f>IF(ISNUMBER(deployment_raw[[#This Row],[Column13]]), (deployment_raw[[#This Row],[Column13]] * IF($E$2="Deployment",deployment_raw[[#This Row],[Column5]],1)*(1+$W$2))/1048576,"")</f>
        <v/>
      </c>
    </row>
    <row r="247" spans="1:23" ht="15.75" customHeight="1" x14ac:dyDescent="0.25">
      <c r="A247" s="5" t="str">
        <f>IF(ISNONTEXT(deployment_raw[[#This Row],[Column1]]), "", deployment_raw[[#This Row],[Column1]])</f>
        <v/>
      </c>
      <c r="B247" s="6" t="str">
        <f>IF(ISNONTEXT(deployment_raw[[#This Row],[Column2]]), "", deployment_raw[[#This Row],[Column2]])</f>
        <v/>
      </c>
      <c r="C247" s="6" t="str">
        <f>IF(ISNONTEXT(deployment_raw[[#This Row],[Column3]]), "", deployment_raw[[#This Row],[Column3]])</f>
        <v/>
      </c>
      <c r="D247" s="6" t="str">
        <f>IF(ISNONTEXT(deployment_raw[[#This Row],[Column4]]), "", deployment_raw[[#This Row],[Column4]])</f>
        <v/>
      </c>
      <c r="E247" s="7" t="str">
        <f>IF(ISNUMBER(deployment_raw[[#This Row],[Column5]]), deployment_raw[[#This Row],[Column5]],"")</f>
        <v/>
      </c>
      <c r="F247" s="32" t="str">
        <f>IF(ISNUMBER(deployment_raw[[#This Row],[Column17]]), deployment_raw[[#This Row],[Column17]]/IF(OR($E$2="Deployment",deployment_raw[[#This Row],[Column5]]=0),1,deployment_raw[[#This Row],[Column5]]),"")</f>
        <v/>
      </c>
      <c r="G247" s="42" t="str">
        <f>IF(ISNUMBER(deployment_raw[[#This Row],[Column14]]), deployment_raw[[#This Row],[Column14]]/IF(OR($E$2="Deployment",deployment_raw[[#This Row],[Column5]]=0),1,deployment_raw[[#This Row],[Column5]]),"")</f>
        <v/>
      </c>
      <c r="H247" s="79" t="str">
        <f>IF(ISNUMBER(deployment_raw[[#This Row],[Column19]]), IF(I247&lt;&gt;0,(deployment_raw[[#This Row],[Column19]]/IF(OR($E$2="Deployment",deployment_raw[[#This Row],[Column5]]=0),1,deployment_raw[[#This Row],[Column5]]))/I247,0),"")</f>
        <v/>
      </c>
      <c r="I247" s="69" t="str">
        <f>IF(ISNUMBER(deployment_raw[[#This Row],[Column6]]), (deployment_raw[[#This Row],[Column6]] * IF($E$2="Deployment",deployment_raw[[#This Row],[Column5]],1)),"")</f>
        <v/>
      </c>
      <c r="J247" s="79" t="str">
        <f>IF(ISNUMBER(deployment_raw[[#This Row],[Column19]]), IF(K247&lt;&gt;0,(deployment_raw[[#This Row],[Column19]]/IF(OR($E$2="Deployment",deployment_raw[[#This Row],[Column5]]=0),1,deployment_raw[[#This Row],[Column5]]))/K247,0),"")</f>
        <v/>
      </c>
      <c r="K247" s="72" t="str">
        <f>IF(ISNUMBER(deployment_raw[[#This Row],[Column8]]), (deployment_raw[[#This Row],[Column8]]  * IF($E$2="Deployment",deployment_raw[[#This Row],[Column5]],1)),"")</f>
        <v/>
      </c>
      <c r="L24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4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47" s="81" t="str">
        <f>IF(ISNUMBER(deployment_raw[[#This Row],[Column20]]), IF(O247&lt;&gt;0,deployment_raw[[#This Row],[Column20]]/IF(OR($E$2="Deployment",deployment_raw[[#This Row],[Column5]]=0),1,deployment_raw[[#This Row],[Column5]])/1048576/O247,0),"")</f>
        <v/>
      </c>
      <c r="O247" s="74" t="str">
        <f>IF(ISNUMBER(deployment_raw[[#This Row],[Column7]]), (deployment_raw[[#This Row],[Column7]] * IF($E$2="Deployment",deployment_raw[[#This Row],[Column5]],1))/1048576,"")</f>
        <v/>
      </c>
      <c r="P247" s="81" t="str">
        <f>IF(ISNUMBER(deployment_raw[[#This Row],[Column20]]), IF(Q247&lt;&gt;0,deployment_raw[[#This Row],[Column20]]/IF(OR($E$2="Deployment",deployment_raw[[#This Row],[Column5]]=0),1,deployment_raw[[#This Row],[Column5]])/1048576/Q247,0),"")</f>
        <v/>
      </c>
      <c r="Q247" s="76" t="str">
        <f>IF(ISNUMBER(deployment_raw[[#This Row],[Column9]]), (deployment_raw[[#This Row],[Column9]] * IF($E$2="Deployment",deployment_raw[[#This Row],[Column5]],1))/1048576,"")</f>
        <v/>
      </c>
      <c r="R247" s="57" t="str">
        <f>IF(ISNUMBER(deployment_raw[[#This Row],[Column10]]), (deployment_raw[[#This Row],[Column10]] * IF($E$2="Deployment",deployment_raw[[#This Row],[Column5]],1)),"")</f>
        <v/>
      </c>
      <c r="S247" s="48" t="str">
        <f>IF(ISNUMBER(deployment_raw[[#This Row],[Column11]]), (deployment_raw[[#This Row],[Column11]] * IF($E$2="Deployment",deployment_raw[[#This Row],[Column5]],1))/1048576,"")</f>
        <v/>
      </c>
      <c r="T247" s="59" t="str">
        <f>IF(ISNUMBER(deployment_raw[[#This Row],[Column8]]),IF(OR(deployment_raw[[#This Row],[Column5]] &lt;&gt; 0,$E$2 &lt;&gt; "Deployment"), MAX(V247, ($T$2 * IF($E$2="Deployment",deployment_raw[[#This Row],[Column5]],1))), 0),"")</f>
        <v/>
      </c>
      <c r="U247" s="50" t="str">
        <f>IF(ISNUMBER(deployment_raw[[#This Row],[Column9]]),IF(OR(deployment_raw[[#This Row],[Column5]] &lt;&gt; 0,$E$2&lt;&gt;"Deployment"), MAX(W247, ($U$2 * IF($E$2="Deployment",deployment_raw[[#This Row],[Column5]],1))), 0),"")</f>
        <v/>
      </c>
      <c r="V247" s="15" t="str">
        <f>IF(ISNUMBER(deployment_raw[[#This Row],[Column12]]), (deployment_raw[[#This Row],[Column12]] * IF($E$2="Deployment",deployment_raw[[#This Row],[Column5]],1)*(1+$V$2)),"")</f>
        <v/>
      </c>
      <c r="W247" s="14" t="str">
        <f>IF(ISNUMBER(deployment_raw[[#This Row],[Column13]]), (deployment_raw[[#This Row],[Column13]] * IF($E$2="Deployment",deployment_raw[[#This Row],[Column5]],1)*(1+$W$2))/1048576,"")</f>
        <v/>
      </c>
    </row>
    <row r="248" spans="1:23" ht="15.75" customHeight="1" x14ac:dyDescent="0.25">
      <c r="A248" s="5" t="str">
        <f>IF(ISNONTEXT(deployment_raw[[#This Row],[Column1]]), "", deployment_raw[[#This Row],[Column1]])</f>
        <v/>
      </c>
      <c r="B248" s="6" t="str">
        <f>IF(ISNONTEXT(deployment_raw[[#This Row],[Column2]]), "", deployment_raw[[#This Row],[Column2]])</f>
        <v/>
      </c>
      <c r="C248" s="6" t="str">
        <f>IF(ISNONTEXT(deployment_raw[[#This Row],[Column3]]), "", deployment_raw[[#This Row],[Column3]])</f>
        <v/>
      </c>
      <c r="D248" s="6" t="str">
        <f>IF(ISNONTEXT(deployment_raw[[#This Row],[Column4]]), "", deployment_raw[[#This Row],[Column4]])</f>
        <v/>
      </c>
      <c r="E248" s="7" t="str">
        <f>IF(ISNUMBER(deployment_raw[[#This Row],[Column5]]), deployment_raw[[#This Row],[Column5]],"")</f>
        <v/>
      </c>
      <c r="F248" s="32" t="str">
        <f>IF(ISNUMBER(deployment_raw[[#This Row],[Column17]]), deployment_raw[[#This Row],[Column17]]/IF(OR($E$2="Deployment",deployment_raw[[#This Row],[Column5]]=0),1,deployment_raw[[#This Row],[Column5]]),"")</f>
        <v/>
      </c>
      <c r="G248" s="42" t="str">
        <f>IF(ISNUMBER(deployment_raw[[#This Row],[Column14]]), deployment_raw[[#This Row],[Column14]]/IF(OR($E$2="Deployment",deployment_raw[[#This Row],[Column5]]=0),1,deployment_raw[[#This Row],[Column5]]),"")</f>
        <v/>
      </c>
      <c r="H248" s="79" t="str">
        <f>IF(ISNUMBER(deployment_raw[[#This Row],[Column19]]), IF(I248&lt;&gt;0,(deployment_raw[[#This Row],[Column19]]/IF(OR($E$2="Deployment",deployment_raw[[#This Row],[Column5]]=0),1,deployment_raw[[#This Row],[Column5]]))/I248,0),"")</f>
        <v/>
      </c>
      <c r="I248" s="69" t="str">
        <f>IF(ISNUMBER(deployment_raw[[#This Row],[Column6]]), (deployment_raw[[#This Row],[Column6]] * IF($E$2="Deployment",deployment_raw[[#This Row],[Column5]],1)),"")</f>
        <v/>
      </c>
      <c r="J248" s="79" t="str">
        <f>IF(ISNUMBER(deployment_raw[[#This Row],[Column19]]), IF(K248&lt;&gt;0,(deployment_raw[[#This Row],[Column19]]/IF(OR($E$2="Deployment",deployment_raw[[#This Row],[Column5]]=0),1,deployment_raw[[#This Row],[Column5]]))/K248,0),"")</f>
        <v/>
      </c>
      <c r="K248" s="72" t="str">
        <f>IF(ISNUMBER(deployment_raw[[#This Row],[Column8]]), (deployment_raw[[#This Row],[Column8]]  * IF($E$2="Deployment",deployment_raw[[#This Row],[Column5]],1)),"")</f>
        <v/>
      </c>
      <c r="L24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4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48" s="81" t="str">
        <f>IF(ISNUMBER(deployment_raw[[#This Row],[Column20]]), IF(O248&lt;&gt;0,deployment_raw[[#This Row],[Column20]]/IF(OR($E$2="Deployment",deployment_raw[[#This Row],[Column5]]=0),1,deployment_raw[[#This Row],[Column5]])/1048576/O248,0),"")</f>
        <v/>
      </c>
      <c r="O248" s="74" t="str">
        <f>IF(ISNUMBER(deployment_raw[[#This Row],[Column7]]), (deployment_raw[[#This Row],[Column7]] * IF($E$2="Deployment",deployment_raw[[#This Row],[Column5]],1))/1048576,"")</f>
        <v/>
      </c>
      <c r="P248" s="81" t="str">
        <f>IF(ISNUMBER(deployment_raw[[#This Row],[Column20]]), IF(Q248&lt;&gt;0,deployment_raw[[#This Row],[Column20]]/IF(OR($E$2="Deployment",deployment_raw[[#This Row],[Column5]]=0),1,deployment_raw[[#This Row],[Column5]])/1048576/Q248,0),"")</f>
        <v/>
      </c>
      <c r="Q248" s="76" t="str">
        <f>IF(ISNUMBER(deployment_raw[[#This Row],[Column9]]), (deployment_raw[[#This Row],[Column9]] * IF($E$2="Deployment",deployment_raw[[#This Row],[Column5]],1))/1048576,"")</f>
        <v/>
      </c>
      <c r="R248" s="57" t="str">
        <f>IF(ISNUMBER(deployment_raw[[#This Row],[Column10]]), (deployment_raw[[#This Row],[Column10]] * IF($E$2="Deployment",deployment_raw[[#This Row],[Column5]],1)),"")</f>
        <v/>
      </c>
      <c r="S248" s="48" t="str">
        <f>IF(ISNUMBER(deployment_raw[[#This Row],[Column11]]), (deployment_raw[[#This Row],[Column11]] * IF($E$2="Deployment",deployment_raw[[#This Row],[Column5]],1))/1048576,"")</f>
        <v/>
      </c>
      <c r="T248" s="59" t="str">
        <f>IF(ISNUMBER(deployment_raw[[#This Row],[Column8]]),IF(OR(deployment_raw[[#This Row],[Column5]] &lt;&gt; 0,$E$2 &lt;&gt; "Deployment"), MAX(V248, ($T$2 * IF($E$2="Deployment",deployment_raw[[#This Row],[Column5]],1))), 0),"")</f>
        <v/>
      </c>
      <c r="U248" s="50" t="str">
        <f>IF(ISNUMBER(deployment_raw[[#This Row],[Column9]]),IF(OR(deployment_raw[[#This Row],[Column5]] &lt;&gt; 0,$E$2&lt;&gt;"Deployment"), MAX(W248, ($U$2 * IF($E$2="Deployment",deployment_raw[[#This Row],[Column5]],1))), 0),"")</f>
        <v/>
      </c>
      <c r="V248" s="15" t="str">
        <f>IF(ISNUMBER(deployment_raw[[#This Row],[Column12]]), (deployment_raw[[#This Row],[Column12]] * IF($E$2="Deployment",deployment_raw[[#This Row],[Column5]],1)*(1+$V$2)),"")</f>
        <v/>
      </c>
      <c r="W248" s="14" t="str">
        <f>IF(ISNUMBER(deployment_raw[[#This Row],[Column13]]), (deployment_raw[[#This Row],[Column13]] * IF($E$2="Deployment",deployment_raw[[#This Row],[Column5]],1)*(1+$W$2))/1048576,"")</f>
        <v/>
      </c>
    </row>
    <row r="249" spans="1:23" ht="15.75" customHeight="1" x14ac:dyDescent="0.25">
      <c r="A249" s="5" t="str">
        <f>IF(ISNONTEXT(deployment_raw[[#This Row],[Column1]]), "", deployment_raw[[#This Row],[Column1]])</f>
        <v/>
      </c>
      <c r="B249" s="6" t="str">
        <f>IF(ISNONTEXT(deployment_raw[[#This Row],[Column2]]), "", deployment_raw[[#This Row],[Column2]])</f>
        <v/>
      </c>
      <c r="C249" s="6" t="str">
        <f>IF(ISNONTEXT(deployment_raw[[#This Row],[Column3]]), "", deployment_raw[[#This Row],[Column3]])</f>
        <v/>
      </c>
      <c r="D249" s="6" t="str">
        <f>IF(ISNONTEXT(deployment_raw[[#This Row],[Column4]]), "", deployment_raw[[#This Row],[Column4]])</f>
        <v/>
      </c>
      <c r="E249" s="7" t="str">
        <f>IF(ISNUMBER(deployment_raw[[#This Row],[Column5]]), deployment_raw[[#This Row],[Column5]],"")</f>
        <v/>
      </c>
      <c r="F249" s="32" t="str">
        <f>IF(ISNUMBER(deployment_raw[[#This Row],[Column17]]), deployment_raw[[#This Row],[Column17]]/IF(OR($E$2="Deployment",deployment_raw[[#This Row],[Column5]]=0),1,deployment_raw[[#This Row],[Column5]]),"")</f>
        <v/>
      </c>
      <c r="G249" s="42" t="str">
        <f>IF(ISNUMBER(deployment_raw[[#This Row],[Column14]]), deployment_raw[[#This Row],[Column14]]/IF(OR($E$2="Deployment",deployment_raw[[#This Row],[Column5]]=0),1,deployment_raw[[#This Row],[Column5]]),"")</f>
        <v/>
      </c>
      <c r="H249" s="79" t="str">
        <f>IF(ISNUMBER(deployment_raw[[#This Row],[Column19]]), IF(I249&lt;&gt;0,(deployment_raw[[#This Row],[Column19]]/IF(OR($E$2="Deployment",deployment_raw[[#This Row],[Column5]]=0),1,deployment_raw[[#This Row],[Column5]]))/I249,0),"")</f>
        <v/>
      </c>
      <c r="I249" s="69" t="str">
        <f>IF(ISNUMBER(deployment_raw[[#This Row],[Column6]]), (deployment_raw[[#This Row],[Column6]] * IF($E$2="Deployment",deployment_raw[[#This Row],[Column5]],1)),"")</f>
        <v/>
      </c>
      <c r="J249" s="79" t="str">
        <f>IF(ISNUMBER(deployment_raw[[#This Row],[Column19]]), IF(K249&lt;&gt;0,(deployment_raw[[#This Row],[Column19]]/IF(OR($E$2="Deployment",deployment_raw[[#This Row],[Column5]]=0),1,deployment_raw[[#This Row],[Column5]]))/K249,0),"")</f>
        <v/>
      </c>
      <c r="K249" s="72" t="str">
        <f>IF(ISNUMBER(deployment_raw[[#This Row],[Column8]]), (deployment_raw[[#This Row],[Column8]]  * IF($E$2="Deployment",deployment_raw[[#This Row],[Column5]],1)),"")</f>
        <v/>
      </c>
      <c r="L24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4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49" s="81" t="str">
        <f>IF(ISNUMBER(deployment_raw[[#This Row],[Column20]]), IF(O249&lt;&gt;0,deployment_raw[[#This Row],[Column20]]/IF(OR($E$2="Deployment",deployment_raw[[#This Row],[Column5]]=0),1,deployment_raw[[#This Row],[Column5]])/1048576/O249,0),"")</f>
        <v/>
      </c>
      <c r="O249" s="74" t="str">
        <f>IF(ISNUMBER(deployment_raw[[#This Row],[Column7]]), (deployment_raw[[#This Row],[Column7]] * IF($E$2="Deployment",deployment_raw[[#This Row],[Column5]],1))/1048576,"")</f>
        <v/>
      </c>
      <c r="P249" s="81" t="str">
        <f>IF(ISNUMBER(deployment_raw[[#This Row],[Column20]]), IF(Q249&lt;&gt;0,deployment_raw[[#This Row],[Column20]]/IF(OR($E$2="Deployment",deployment_raw[[#This Row],[Column5]]=0),1,deployment_raw[[#This Row],[Column5]])/1048576/Q249,0),"")</f>
        <v/>
      </c>
      <c r="Q249" s="76" t="str">
        <f>IF(ISNUMBER(deployment_raw[[#This Row],[Column9]]), (deployment_raw[[#This Row],[Column9]] * IF($E$2="Deployment",deployment_raw[[#This Row],[Column5]],1))/1048576,"")</f>
        <v/>
      </c>
      <c r="R249" s="57" t="str">
        <f>IF(ISNUMBER(deployment_raw[[#This Row],[Column10]]), (deployment_raw[[#This Row],[Column10]] * IF($E$2="Deployment",deployment_raw[[#This Row],[Column5]],1)),"")</f>
        <v/>
      </c>
      <c r="S249" s="48" t="str">
        <f>IF(ISNUMBER(deployment_raw[[#This Row],[Column11]]), (deployment_raw[[#This Row],[Column11]] * IF($E$2="Deployment",deployment_raw[[#This Row],[Column5]],1))/1048576,"")</f>
        <v/>
      </c>
      <c r="T249" s="59" t="str">
        <f>IF(ISNUMBER(deployment_raw[[#This Row],[Column8]]),IF(OR(deployment_raw[[#This Row],[Column5]] &lt;&gt; 0,$E$2 &lt;&gt; "Deployment"), MAX(V249, ($T$2 * IF($E$2="Deployment",deployment_raw[[#This Row],[Column5]],1))), 0),"")</f>
        <v/>
      </c>
      <c r="U249" s="50" t="str">
        <f>IF(ISNUMBER(deployment_raw[[#This Row],[Column9]]),IF(OR(deployment_raw[[#This Row],[Column5]] &lt;&gt; 0,$E$2&lt;&gt;"Deployment"), MAX(W249, ($U$2 * IF($E$2="Deployment",deployment_raw[[#This Row],[Column5]],1))), 0),"")</f>
        <v/>
      </c>
      <c r="V249" s="15" t="str">
        <f>IF(ISNUMBER(deployment_raw[[#This Row],[Column12]]), (deployment_raw[[#This Row],[Column12]] * IF($E$2="Deployment",deployment_raw[[#This Row],[Column5]],1)*(1+$V$2)),"")</f>
        <v/>
      </c>
      <c r="W249" s="14" t="str">
        <f>IF(ISNUMBER(deployment_raw[[#This Row],[Column13]]), (deployment_raw[[#This Row],[Column13]] * IF($E$2="Deployment",deployment_raw[[#This Row],[Column5]],1)*(1+$W$2))/1048576,"")</f>
        <v/>
      </c>
    </row>
    <row r="250" spans="1:23" ht="15.75" customHeight="1" x14ac:dyDescent="0.25">
      <c r="A250" s="5" t="str">
        <f>IF(ISNONTEXT(deployment_raw[[#This Row],[Column1]]), "", deployment_raw[[#This Row],[Column1]])</f>
        <v/>
      </c>
      <c r="B250" s="6" t="str">
        <f>IF(ISNONTEXT(deployment_raw[[#This Row],[Column2]]), "", deployment_raw[[#This Row],[Column2]])</f>
        <v/>
      </c>
      <c r="C250" s="6" t="str">
        <f>IF(ISNONTEXT(deployment_raw[[#This Row],[Column3]]), "", deployment_raw[[#This Row],[Column3]])</f>
        <v/>
      </c>
      <c r="D250" s="6" t="str">
        <f>IF(ISNONTEXT(deployment_raw[[#This Row],[Column4]]), "", deployment_raw[[#This Row],[Column4]])</f>
        <v/>
      </c>
      <c r="E250" s="7" t="str">
        <f>IF(ISNUMBER(deployment_raw[[#This Row],[Column5]]), deployment_raw[[#This Row],[Column5]],"")</f>
        <v/>
      </c>
      <c r="F250" s="32" t="str">
        <f>IF(ISNUMBER(deployment_raw[[#This Row],[Column17]]), deployment_raw[[#This Row],[Column17]]/IF(OR($E$2="Deployment",deployment_raw[[#This Row],[Column5]]=0),1,deployment_raw[[#This Row],[Column5]]),"")</f>
        <v/>
      </c>
      <c r="G250" s="42" t="str">
        <f>IF(ISNUMBER(deployment_raw[[#This Row],[Column14]]), deployment_raw[[#This Row],[Column14]]/IF(OR($E$2="Deployment",deployment_raw[[#This Row],[Column5]]=0),1,deployment_raw[[#This Row],[Column5]]),"")</f>
        <v/>
      </c>
      <c r="H250" s="79" t="str">
        <f>IF(ISNUMBER(deployment_raw[[#This Row],[Column19]]), IF(I250&lt;&gt;0,(deployment_raw[[#This Row],[Column19]]/IF(OR($E$2="Deployment",deployment_raw[[#This Row],[Column5]]=0),1,deployment_raw[[#This Row],[Column5]]))/I250,0),"")</f>
        <v/>
      </c>
      <c r="I250" s="69" t="str">
        <f>IF(ISNUMBER(deployment_raw[[#This Row],[Column6]]), (deployment_raw[[#This Row],[Column6]] * IF($E$2="Deployment",deployment_raw[[#This Row],[Column5]],1)),"")</f>
        <v/>
      </c>
      <c r="J250" s="79" t="str">
        <f>IF(ISNUMBER(deployment_raw[[#This Row],[Column19]]), IF(K250&lt;&gt;0,(deployment_raw[[#This Row],[Column19]]/IF(OR($E$2="Deployment",deployment_raw[[#This Row],[Column5]]=0),1,deployment_raw[[#This Row],[Column5]]))/K250,0),"")</f>
        <v/>
      </c>
      <c r="K250" s="72" t="str">
        <f>IF(ISNUMBER(deployment_raw[[#This Row],[Column8]]), (deployment_raw[[#This Row],[Column8]]  * IF($E$2="Deployment",deployment_raw[[#This Row],[Column5]],1)),"")</f>
        <v/>
      </c>
      <c r="L25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5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50" s="81" t="str">
        <f>IF(ISNUMBER(deployment_raw[[#This Row],[Column20]]), IF(O250&lt;&gt;0,deployment_raw[[#This Row],[Column20]]/IF(OR($E$2="Deployment",deployment_raw[[#This Row],[Column5]]=0),1,deployment_raw[[#This Row],[Column5]])/1048576/O250,0),"")</f>
        <v/>
      </c>
      <c r="O250" s="74" t="str">
        <f>IF(ISNUMBER(deployment_raw[[#This Row],[Column7]]), (deployment_raw[[#This Row],[Column7]] * IF($E$2="Deployment",deployment_raw[[#This Row],[Column5]],1))/1048576,"")</f>
        <v/>
      </c>
      <c r="P250" s="81" t="str">
        <f>IF(ISNUMBER(deployment_raw[[#This Row],[Column20]]), IF(Q250&lt;&gt;0,deployment_raw[[#This Row],[Column20]]/IF(OR($E$2="Deployment",deployment_raw[[#This Row],[Column5]]=0),1,deployment_raw[[#This Row],[Column5]])/1048576/Q250,0),"")</f>
        <v/>
      </c>
      <c r="Q250" s="76" t="str">
        <f>IF(ISNUMBER(deployment_raw[[#This Row],[Column9]]), (deployment_raw[[#This Row],[Column9]] * IF($E$2="Deployment",deployment_raw[[#This Row],[Column5]],1))/1048576,"")</f>
        <v/>
      </c>
      <c r="R250" s="57" t="str">
        <f>IF(ISNUMBER(deployment_raw[[#This Row],[Column10]]), (deployment_raw[[#This Row],[Column10]] * IF($E$2="Deployment",deployment_raw[[#This Row],[Column5]],1)),"")</f>
        <v/>
      </c>
      <c r="S250" s="48" t="str">
        <f>IF(ISNUMBER(deployment_raw[[#This Row],[Column11]]), (deployment_raw[[#This Row],[Column11]] * IF($E$2="Deployment",deployment_raw[[#This Row],[Column5]],1))/1048576,"")</f>
        <v/>
      </c>
      <c r="T250" s="59" t="str">
        <f>IF(ISNUMBER(deployment_raw[[#This Row],[Column8]]),IF(OR(deployment_raw[[#This Row],[Column5]] &lt;&gt; 0,$E$2 &lt;&gt; "Deployment"), MAX(V250, ($T$2 * IF($E$2="Deployment",deployment_raw[[#This Row],[Column5]],1))), 0),"")</f>
        <v/>
      </c>
      <c r="U250" s="50" t="str">
        <f>IF(ISNUMBER(deployment_raw[[#This Row],[Column9]]),IF(OR(deployment_raw[[#This Row],[Column5]] &lt;&gt; 0,$E$2&lt;&gt;"Deployment"), MAX(W250, ($U$2 * IF($E$2="Deployment",deployment_raw[[#This Row],[Column5]],1))), 0),"")</f>
        <v/>
      </c>
      <c r="V250" s="15" t="str">
        <f>IF(ISNUMBER(deployment_raw[[#This Row],[Column12]]), (deployment_raw[[#This Row],[Column12]] * IF($E$2="Deployment",deployment_raw[[#This Row],[Column5]],1)*(1+$V$2)),"")</f>
        <v/>
      </c>
      <c r="W250" s="14" t="str">
        <f>IF(ISNUMBER(deployment_raw[[#This Row],[Column13]]), (deployment_raw[[#This Row],[Column13]] * IF($E$2="Deployment",deployment_raw[[#This Row],[Column5]],1)*(1+$W$2))/1048576,"")</f>
        <v/>
      </c>
    </row>
    <row r="251" spans="1:23" ht="15.75" customHeight="1" x14ac:dyDescent="0.25">
      <c r="A251" s="5" t="str">
        <f>IF(ISNONTEXT(deployment_raw[[#This Row],[Column1]]), "", deployment_raw[[#This Row],[Column1]])</f>
        <v/>
      </c>
      <c r="B251" s="6" t="str">
        <f>IF(ISNONTEXT(deployment_raw[[#This Row],[Column2]]), "", deployment_raw[[#This Row],[Column2]])</f>
        <v/>
      </c>
      <c r="C251" s="6" t="str">
        <f>IF(ISNONTEXT(deployment_raw[[#This Row],[Column3]]), "", deployment_raw[[#This Row],[Column3]])</f>
        <v/>
      </c>
      <c r="D251" s="6" t="str">
        <f>IF(ISNONTEXT(deployment_raw[[#This Row],[Column4]]), "", deployment_raw[[#This Row],[Column4]])</f>
        <v/>
      </c>
      <c r="E251" s="7" t="str">
        <f>IF(ISNUMBER(deployment_raw[[#This Row],[Column5]]), deployment_raw[[#This Row],[Column5]],"")</f>
        <v/>
      </c>
      <c r="F251" s="32" t="str">
        <f>IF(ISNUMBER(deployment_raw[[#This Row],[Column17]]), deployment_raw[[#This Row],[Column17]]/IF(OR($E$2="Deployment",deployment_raw[[#This Row],[Column5]]=0),1,deployment_raw[[#This Row],[Column5]]),"")</f>
        <v/>
      </c>
      <c r="G251" s="42" t="str">
        <f>IF(ISNUMBER(deployment_raw[[#This Row],[Column14]]), deployment_raw[[#This Row],[Column14]]/IF(OR($E$2="Deployment",deployment_raw[[#This Row],[Column5]]=0),1,deployment_raw[[#This Row],[Column5]]),"")</f>
        <v/>
      </c>
      <c r="H251" s="79" t="str">
        <f>IF(ISNUMBER(deployment_raw[[#This Row],[Column19]]), IF(I251&lt;&gt;0,(deployment_raw[[#This Row],[Column19]]/IF(OR($E$2="Deployment",deployment_raw[[#This Row],[Column5]]=0),1,deployment_raw[[#This Row],[Column5]]))/I251,0),"")</f>
        <v/>
      </c>
      <c r="I251" s="69" t="str">
        <f>IF(ISNUMBER(deployment_raw[[#This Row],[Column6]]), (deployment_raw[[#This Row],[Column6]] * IF($E$2="Deployment",deployment_raw[[#This Row],[Column5]],1)),"")</f>
        <v/>
      </c>
      <c r="J251" s="79" t="str">
        <f>IF(ISNUMBER(deployment_raw[[#This Row],[Column19]]), IF(K251&lt;&gt;0,(deployment_raw[[#This Row],[Column19]]/IF(OR($E$2="Deployment",deployment_raw[[#This Row],[Column5]]=0),1,deployment_raw[[#This Row],[Column5]]))/K251,0),"")</f>
        <v/>
      </c>
      <c r="K251" s="72" t="str">
        <f>IF(ISNUMBER(deployment_raw[[#This Row],[Column8]]), (deployment_raw[[#This Row],[Column8]]  * IF($E$2="Deployment",deployment_raw[[#This Row],[Column5]],1)),"")</f>
        <v/>
      </c>
      <c r="L25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5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51" s="81" t="str">
        <f>IF(ISNUMBER(deployment_raw[[#This Row],[Column20]]), IF(O251&lt;&gt;0,deployment_raw[[#This Row],[Column20]]/IF(OR($E$2="Deployment",deployment_raw[[#This Row],[Column5]]=0),1,deployment_raw[[#This Row],[Column5]])/1048576/O251,0),"")</f>
        <v/>
      </c>
      <c r="O251" s="74" t="str">
        <f>IF(ISNUMBER(deployment_raw[[#This Row],[Column7]]), (deployment_raw[[#This Row],[Column7]] * IF($E$2="Deployment",deployment_raw[[#This Row],[Column5]],1))/1048576,"")</f>
        <v/>
      </c>
      <c r="P251" s="81" t="str">
        <f>IF(ISNUMBER(deployment_raw[[#This Row],[Column20]]), IF(Q251&lt;&gt;0,deployment_raw[[#This Row],[Column20]]/IF(OR($E$2="Deployment",deployment_raw[[#This Row],[Column5]]=0),1,deployment_raw[[#This Row],[Column5]])/1048576/Q251,0),"")</f>
        <v/>
      </c>
      <c r="Q251" s="76" t="str">
        <f>IF(ISNUMBER(deployment_raw[[#This Row],[Column9]]), (deployment_raw[[#This Row],[Column9]] * IF($E$2="Deployment",deployment_raw[[#This Row],[Column5]],1))/1048576,"")</f>
        <v/>
      </c>
      <c r="R251" s="57" t="str">
        <f>IF(ISNUMBER(deployment_raw[[#This Row],[Column10]]), (deployment_raw[[#This Row],[Column10]] * IF($E$2="Deployment",deployment_raw[[#This Row],[Column5]],1)),"")</f>
        <v/>
      </c>
      <c r="S251" s="48" t="str">
        <f>IF(ISNUMBER(deployment_raw[[#This Row],[Column11]]), (deployment_raw[[#This Row],[Column11]] * IF($E$2="Deployment",deployment_raw[[#This Row],[Column5]],1))/1048576,"")</f>
        <v/>
      </c>
      <c r="T251" s="59" t="str">
        <f>IF(ISNUMBER(deployment_raw[[#This Row],[Column8]]),IF(OR(deployment_raw[[#This Row],[Column5]] &lt;&gt; 0,$E$2 &lt;&gt; "Deployment"), MAX(V251, ($T$2 * IF($E$2="Deployment",deployment_raw[[#This Row],[Column5]],1))), 0),"")</f>
        <v/>
      </c>
      <c r="U251" s="50" t="str">
        <f>IF(ISNUMBER(deployment_raw[[#This Row],[Column9]]),IF(OR(deployment_raw[[#This Row],[Column5]] &lt;&gt; 0,$E$2&lt;&gt;"Deployment"), MAX(W251, ($U$2 * IF($E$2="Deployment",deployment_raw[[#This Row],[Column5]],1))), 0),"")</f>
        <v/>
      </c>
      <c r="V251" s="15" t="str">
        <f>IF(ISNUMBER(deployment_raw[[#This Row],[Column12]]), (deployment_raw[[#This Row],[Column12]] * IF($E$2="Deployment",deployment_raw[[#This Row],[Column5]],1)*(1+$V$2)),"")</f>
        <v/>
      </c>
      <c r="W251" s="14" t="str">
        <f>IF(ISNUMBER(deployment_raw[[#This Row],[Column13]]), (deployment_raw[[#This Row],[Column13]] * IF($E$2="Deployment",deployment_raw[[#This Row],[Column5]],1)*(1+$W$2))/1048576,"")</f>
        <v/>
      </c>
    </row>
    <row r="252" spans="1:23" ht="15.75" customHeight="1" x14ac:dyDescent="0.25">
      <c r="A252" s="5" t="str">
        <f>IF(ISNONTEXT(deployment_raw[[#This Row],[Column1]]), "", deployment_raw[[#This Row],[Column1]])</f>
        <v/>
      </c>
      <c r="B252" s="6" t="str">
        <f>IF(ISNONTEXT(deployment_raw[[#This Row],[Column2]]), "", deployment_raw[[#This Row],[Column2]])</f>
        <v/>
      </c>
      <c r="C252" s="6" t="str">
        <f>IF(ISNONTEXT(deployment_raw[[#This Row],[Column3]]), "", deployment_raw[[#This Row],[Column3]])</f>
        <v/>
      </c>
      <c r="D252" s="6" t="str">
        <f>IF(ISNONTEXT(deployment_raw[[#This Row],[Column4]]), "", deployment_raw[[#This Row],[Column4]])</f>
        <v/>
      </c>
      <c r="E252" s="7" t="str">
        <f>IF(ISNUMBER(deployment_raw[[#This Row],[Column5]]), deployment_raw[[#This Row],[Column5]],"")</f>
        <v/>
      </c>
      <c r="F252" s="32" t="str">
        <f>IF(ISNUMBER(deployment_raw[[#This Row],[Column17]]), deployment_raw[[#This Row],[Column17]]/IF(OR($E$2="Deployment",deployment_raw[[#This Row],[Column5]]=0),1,deployment_raw[[#This Row],[Column5]]),"")</f>
        <v/>
      </c>
      <c r="G252" s="42" t="str">
        <f>IF(ISNUMBER(deployment_raw[[#This Row],[Column14]]), deployment_raw[[#This Row],[Column14]]/IF(OR($E$2="Deployment",deployment_raw[[#This Row],[Column5]]=0),1,deployment_raw[[#This Row],[Column5]]),"")</f>
        <v/>
      </c>
      <c r="H252" s="79" t="str">
        <f>IF(ISNUMBER(deployment_raw[[#This Row],[Column19]]), IF(I252&lt;&gt;0,(deployment_raw[[#This Row],[Column19]]/IF(OR($E$2="Deployment",deployment_raw[[#This Row],[Column5]]=0),1,deployment_raw[[#This Row],[Column5]]))/I252,0),"")</f>
        <v/>
      </c>
      <c r="I252" s="69" t="str">
        <f>IF(ISNUMBER(deployment_raw[[#This Row],[Column6]]), (deployment_raw[[#This Row],[Column6]] * IF($E$2="Deployment",deployment_raw[[#This Row],[Column5]],1)),"")</f>
        <v/>
      </c>
      <c r="J252" s="79" t="str">
        <f>IF(ISNUMBER(deployment_raw[[#This Row],[Column19]]), IF(K252&lt;&gt;0,(deployment_raw[[#This Row],[Column19]]/IF(OR($E$2="Deployment",deployment_raw[[#This Row],[Column5]]=0),1,deployment_raw[[#This Row],[Column5]]))/K252,0),"")</f>
        <v/>
      </c>
      <c r="K252" s="72" t="str">
        <f>IF(ISNUMBER(deployment_raw[[#This Row],[Column8]]), (deployment_raw[[#This Row],[Column8]]  * IF($E$2="Deployment",deployment_raw[[#This Row],[Column5]],1)),"")</f>
        <v/>
      </c>
      <c r="L25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5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52" s="81" t="str">
        <f>IF(ISNUMBER(deployment_raw[[#This Row],[Column20]]), IF(O252&lt;&gt;0,deployment_raw[[#This Row],[Column20]]/IF(OR($E$2="Deployment",deployment_raw[[#This Row],[Column5]]=0),1,deployment_raw[[#This Row],[Column5]])/1048576/O252,0),"")</f>
        <v/>
      </c>
      <c r="O252" s="74" t="str">
        <f>IF(ISNUMBER(deployment_raw[[#This Row],[Column7]]), (deployment_raw[[#This Row],[Column7]] * IF($E$2="Deployment",deployment_raw[[#This Row],[Column5]],1))/1048576,"")</f>
        <v/>
      </c>
      <c r="P252" s="81" t="str">
        <f>IF(ISNUMBER(deployment_raw[[#This Row],[Column20]]), IF(Q252&lt;&gt;0,deployment_raw[[#This Row],[Column20]]/IF(OR($E$2="Deployment",deployment_raw[[#This Row],[Column5]]=0),1,deployment_raw[[#This Row],[Column5]])/1048576/Q252,0),"")</f>
        <v/>
      </c>
      <c r="Q252" s="76" t="str">
        <f>IF(ISNUMBER(deployment_raw[[#This Row],[Column9]]), (deployment_raw[[#This Row],[Column9]] * IF($E$2="Deployment",deployment_raw[[#This Row],[Column5]],1))/1048576,"")</f>
        <v/>
      </c>
      <c r="R252" s="57" t="str">
        <f>IF(ISNUMBER(deployment_raw[[#This Row],[Column10]]), (deployment_raw[[#This Row],[Column10]] * IF($E$2="Deployment",deployment_raw[[#This Row],[Column5]],1)),"")</f>
        <v/>
      </c>
      <c r="S252" s="48" t="str">
        <f>IF(ISNUMBER(deployment_raw[[#This Row],[Column11]]), (deployment_raw[[#This Row],[Column11]] * IF($E$2="Deployment",deployment_raw[[#This Row],[Column5]],1))/1048576,"")</f>
        <v/>
      </c>
      <c r="T252" s="59" t="str">
        <f>IF(ISNUMBER(deployment_raw[[#This Row],[Column8]]),IF(OR(deployment_raw[[#This Row],[Column5]] &lt;&gt; 0,$E$2 &lt;&gt; "Deployment"), MAX(V252, ($T$2 * IF($E$2="Deployment",deployment_raw[[#This Row],[Column5]],1))), 0),"")</f>
        <v/>
      </c>
      <c r="U252" s="50" t="str">
        <f>IF(ISNUMBER(deployment_raw[[#This Row],[Column9]]),IF(OR(deployment_raw[[#This Row],[Column5]] &lt;&gt; 0,$E$2&lt;&gt;"Deployment"), MAX(W252, ($U$2 * IF($E$2="Deployment",deployment_raw[[#This Row],[Column5]],1))), 0),"")</f>
        <v/>
      </c>
      <c r="V252" s="15" t="str">
        <f>IF(ISNUMBER(deployment_raw[[#This Row],[Column12]]), (deployment_raw[[#This Row],[Column12]] * IF($E$2="Deployment",deployment_raw[[#This Row],[Column5]],1)*(1+$V$2)),"")</f>
        <v/>
      </c>
      <c r="W252" s="14" t="str">
        <f>IF(ISNUMBER(deployment_raw[[#This Row],[Column13]]), (deployment_raw[[#This Row],[Column13]] * IF($E$2="Deployment",deployment_raw[[#This Row],[Column5]],1)*(1+$W$2))/1048576,"")</f>
        <v/>
      </c>
    </row>
    <row r="253" spans="1:23" ht="15.75" customHeight="1" x14ac:dyDescent="0.25">
      <c r="A253" s="5" t="str">
        <f>IF(ISNONTEXT(deployment_raw[[#This Row],[Column1]]), "", deployment_raw[[#This Row],[Column1]])</f>
        <v/>
      </c>
      <c r="B253" s="6" t="str">
        <f>IF(ISNONTEXT(deployment_raw[[#This Row],[Column2]]), "", deployment_raw[[#This Row],[Column2]])</f>
        <v/>
      </c>
      <c r="C253" s="6" t="str">
        <f>IF(ISNONTEXT(deployment_raw[[#This Row],[Column3]]), "", deployment_raw[[#This Row],[Column3]])</f>
        <v/>
      </c>
      <c r="D253" s="6" t="str">
        <f>IF(ISNONTEXT(deployment_raw[[#This Row],[Column4]]), "", deployment_raw[[#This Row],[Column4]])</f>
        <v/>
      </c>
      <c r="E253" s="7" t="str">
        <f>IF(ISNUMBER(deployment_raw[[#This Row],[Column5]]), deployment_raw[[#This Row],[Column5]],"")</f>
        <v/>
      </c>
      <c r="F253" s="32" t="str">
        <f>IF(ISNUMBER(deployment_raw[[#This Row],[Column17]]), deployment_raw[[#This Row],[Column17]]/IF(OR($E$2="Deployment",deployment_raw[[#This Row],[Column5]]=0),1,deployment_raw[[#This Row],[Column5]]),"")</f>
        <v/>
      </c>
      <c r="G253" s="42" t="str">
        <f>IF(ISNUMBER(deployment_raw[[#This Row],[Column14]]), deployment_raw[[#This Row],[Column14]]/IF(OR($E$2="Deployment",deployment_raw[[#This Row],[Column5]]=0),1,deployment_raw[[#This Row],[Column5]]),"")</f>
        <v/>
      </c>
      <c r="H253" s="79" t="str">
        <f>IF(ISNUMBER(deployment_raw[[#This Row],[Column19]]), IF(I253&lt;&gt;0,(deployment_raw[[#This Row],[Column19]]/IF(OR($E$2="Deployment",deployment_raw[[#This Row],[Column5]]=0),1,deployment_raw[[#This Row],[Column5]]))/I253,0),"")</f>
        <v/>
      </c>
      <c r="I253" s="69" t="str">
        <f>IF(ISNUMBER(deployment_raw[[#This Row],[Column6]]), (deployment_raw[[#This Row],[Column6]] * IF($E$2="Deployment",deployment_raw[[#This Row],[Column5]],1)),"")</f>
        <v/>
      </c>
      <c r="J253" s="79" t="str">
        <f>IF(ISNUMBER(deployment_raw[[#This Row],[Column19]]), IF(K253&lt;&gt;0,(deployment_raw[[#This Row],[Column19]]/IF(OR($E$2="Deployment",deployment_raw[[#This Row],[Column5]]=0),1,deployment_raw[[#This Row],[Column5]]))/K253,0),"")</f>
        <v/>
      </c>
      <c r="K253" s="72" t="str">
        <f>IF(ISNUMBER(deployment_raw[[#This Row],[Column8]]), (deployment_raw[[#This Row],[Column8]]  * IF($E$2="Deployment",deployment_raw[[#This Row],[Column5]],1)),"")</f>
        <v/>
      </c>
      <c r="L25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5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53" s="81" t="str">
        <f>IF(ISNUMBER(deployment_raw[[#This Row],[Column20]]), IF(O253&lt;&gt;0,deployment_raw[[#This Row],[Column20]]/IF(OR($E$2="Deployment",deployment_raw[[#This Row],[Column5]]=0),1,deployment_raw[[#This Row],[Column5]])/1048576/O253,0),"")</f>
        <v/>
      </c>
      <c r="O253" s="74" t="str">
        <f>IF(ISNUMBER(deployment_raw[[#This Row],[Column7]]), (deployment_raw[[#This Row],[Column7]] * IF($E$2="Deployment",deployment_raw[[#This Row],[Column5]],1))/1048576,"")</f>
        <v/>
      </c>
      <c r="P253" s="81" t="str">
        <f>IF(ISNUMBER(deployment_raw[[#This Row],[Column20]]), IF(Q253&lt;&gt;0,deployment_raw[[#This Row],[Column20]]/IF(OR($E$2="Deployment",deployment_raw[[#This Row],[Column5]]=0),1,deployment_raw[[#This Row],[Column5]])/1048576/Q253,0),"")</f>
        <v/>
      </c>
      <c r="Q253" s="76" t="str">
        <f>IF(ISNUMBER(deployment_raw[[#This Row],[Column9]]), (deployment_raw[[#This Row],[Column9]] * IF($E$2="Deployment",deployment_raw[[#This Row],[Column5]],1))/1048576,"")</f>
        <v/>
      </c>
      <c r="R253" s="57" t="str">
        <f>IF(ISNUMBER(deployment_raw[[#This Row],[Column10]]), (deployment_raw[[#This Row],[Column10]] * IF($E$2="Deployment",deployment_raw[[#This Row],[Column5]],1)),"")</f>
        <v/>
      </c>
      <c r="S253" s="48" t="str">
        <f>IF(ISNUMBER(deployment_raw[[#This Row],[Column11]]), (deployment_raw[[#This Row],[Column11]] * IF($E$2="Deployment",deployment_raw[[#This Row],[Column5]],1))/1048576,"")</f>
        <v/>
      </c>
      <c r="T253" s="59" t="str">
        <f>IF(ISNUMBER(deployment_raw[[#This Row],[Column8]]),IF(OR(deployment_raw[[#This Row],[Column5]] &lt;&gt; 0,$E$2 &lt;&gt; "Deployment"), MAX(V253, ($T$2 * IF($E$2="Deployment",deployment_raw[[#This Row],[Column5]],1))), 0),"")</f>
        <v/>
      </c>
      <c r="U253" s="50" t="str">
        <f>IF(ISNUMBER(deployment_raw[[#This Row],[Column9]]),IF(OR(deployment_raw[[#This Row],[Column5]] &lt;&gt; 0,$E$2&lt;&gt;"Deployment"), MAX(W253, ($U$2 * IF($E$2="Deployment",deployment_raw[[#This Row],[Column5]],1))), 0),"")</f>
        <v/>
      </c>
      <c r="V253" s="15" t="str">
        <f>IF(ISNUMBER(deployment_raw[[#This Row],[Column12]]), (deployment_raw[[#This Row],[Column12]] * IF($E$2="Deployment",deployment_raw[[#This Row],[Column5]],1)*(1+$V$2)),"")</f>
        <v/>
      </c>
      <c r="W253" s="14" t="str">
        <f>IF(ISNUMBER(deployment_raw[[#This Row],[Column13]]), (deployment_raw[[#This Row],[Column13]] * IF($E$2="Deployment",deployment_raw[[#This Row],[Column5]],1)*(1+$W$2))/1048576,"")</f>
        <v/>
      </c>
    </row>
    <row r="254" spans="1:23" ht="15.75" customHeight="1" x14ac:dyDescent="0.25">
      <c r="A254" s="5" t="str">
        <f>IF(ISNONTEXT(deployment_raw[[#This Row],[Column1]]), "", deployment_raw[[#This Row],[Column1]])</f>
        <v/>
      </c>
      <c r="B254" s="6" t="str">
        <f>IF(ISNONTEXT(deployment_raw[[#This Row],[Column2]]), "", deployment_raw[[#This Row],[Column2]])</f>
        <v/>
      </c>
      <c r="C254" s="6" t="str">
        <f>IF(ISNONTEXT(deployment_raw[[#This Row],[Column3]]), "", deployment_raw[[#This Row],[Column3]])</f>
        <v/>
      </c>
      <c r="D254" s="6" t="str">
        <f>IF(ISNONTEXT(deployment_raw[[#This Row],[Column4]]), "", deployment_raw[[#This Row],[Column4]])</f>
        <v/>
      </c>
      <c r="E254" s="7" t="str">
        <f>IF(ISNUMBER(deployment_raw[[#This Row],[Column5]]), deployment_raw[[#This Row],[Column5]],"")</f>
        <v/>
      </c>
      <c r="F254" s="32" t="str">
        <f>IF(ISNUMBER(deployment_raw[[#This Row],[Column17]]), deployment_raw[[#This Row],[Column17]]/IF(OR($E$2="Deployment",deployment_raw[[#This Row],[Column5]]=0),1,deployment_raw[[#This Row],[Column5]]),"")</f>
        <v/>
      </c>
      <c r="G254" s="42" t="str">
        <f>IF(ISNUMBER(deployment_raw[[#This Row],[Column14]]), deployment_raw[[#This Row],[Column14]]/IF(OR($E$2="Deployment",deployment_raw[[#This Row],[Column5]]=0),1,deployment_raw[[#This Row],[Column5]]),"")</f>
        <v/>
      </c>
      <c r="H254" s="79" t="str">
        <f>IF(ISNUMBER(deployment_raw[[#This Row],[Column19]]), IF(I254&lt;&gt;0,(deployment_raw[[#This Row],[Column19]]/IF(OR($E$2="Deployment",deployment_raw[[#This Row],[Column5]]=0),1,deployment_raw[[#This Row],[Column5]]))/I254,0),"")</f>
        <v/>
      </c>
      <c r="I254" s="69" t="str">
        <f>IF(ISNUMBER(deployment_raw[[#This Row],[Column6]]), (deployment_raw[[#This Row],[Column6]] * IF($E$2="Deployment",deployment_raw[[#This Row],[Column5]],1)),"")</f>
        <v/>
      </c>
      <c r="J254" s="79" t="str">
        <f>IF(ISNUMBER(deployment_raw[[#This Row],[Column19]]), IF(K254&lt;&gt;0,(deployment_raw[[#This Row],[Column19]]/IF(OR($E$2="Deployment",deployment_raw[[#This Row],[Column5]]=0),1,deployment_raw[[#This Row],[Column5]]))/K254,0),"")</f>
        <v/>
      </c>
      <c r="K254" s="72" t="str">
        <f>IF(ISNUMBER(deployment_raw[[#This Row],[Column8]]), (deployment_raw[[#This Row],[Column8]]  * IF($E$2="Deployment",deployment_raw[[#This Row],[Column5]],1)),"")</f>
        <v/>
      </c>
      <c r="L25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5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54" s="81" t="str">
        <f>IF(ISNUMBER(deployment_raw[[#This Row],[Column20]]), IF(O254&lt;&gt;0,deployment_raw[[#This Row],[Column20]]/IF(OR($E$2="Deployment",deployment_raw[[#This Row],[Column5]]=0),1,deployment_raw[[#This Row],[Column5]])/1048576/O254,0),"")</f>
        <v/>
      </c>
      <c r="O254" s="74" t="str">
        <f>IF(ISNUMBER(deployment_raw[[#This Row],[Column7]]), (deployment_raw[[#This Row],[Column7]] * IF($E$2="Deployment",deployment_raw[[#This Row],[Column5]],1))/1048576,"")</f>
        <v/>
      </c>
      <c r="P254" s="81" t="str">
        <f>IF(ISNUMBER(deployment_raw[[#This Row],[Column20]]), IF(Q254&lt;&gt;0,deployment_raw[[#This Row],[Column20]]/IF(OR($E$2="Deployment",deployment_raw[[#This Row],[Column5]]=0),1,deployment_raw[[#This Row],[Column5]])/1048576/Q254,0),"")</f>
        <v/>
      </c>
      <c r="Q254" s="76" t="str">
        <f>IF(ISNUMBER(deployment_raw[[#This Row],[Column9]]), (deployment_raw[[#This Row],[Column9]] * IF($E$2="Deployment",deployment_raw[[#This Row],[Column5]],1))/1048576,"")</f>
        <v/>
      </c>
      <c r="R254" s="57" t="str">
        <f>IF(ISNUMBER(deployment_raw[[#This Row],[Column10]]), (deployment_raw[[#This Row],[Column10]] * IF($E$2="Deployment",deployment_raw[[#This Row],[Column5]],1)),"")</f>
        <v/>
      </c>
      <c r="S254" s="48" t="str">
        <f>IF(ISNUMBER(deployment_raw[[#This Row],[Column11]]), (deployment_raw[[#This Row],[Column11]] * IF($E$2="Deployment",deployment_raw[[#This Row],[Column5]],1))/1048576,"")</f>
        <v/>
      </c>
      <c r="T254" s="59" t="str">
        <f>IF(ISNUMBER(deployment_raw[[#This Row],[Column8]]),IF(OR(deployment_raw[[#This Row],[Column5]] &lt;&gt; 0,$E$2 &lt;&gt; "Deployment"), MAX(V254, ($T$2 * IF($E$2="Deployment",deployment_raw[[#This Row],[Column5]],1))), 0),"")</f>
        <v/>
      </c>
      <c r="U254" s="50" t="str">
        <f>IF(ISNUMBER(deployment_raw[[#This Row],[Column9]]),IF(OR(deployment_raw[[#This Row],[Column5]] &lt;&gt; 0,$E$2&lt;&gt;"Deployment"), MAX(W254, ($U$2 * IF($E$2="Deployment",deployment_raw[[#This Row],[Column5]],1))), 0),"")</f>
        <v/>
      </c>
      <c r="V254" s="15" t="str">
        <f>IF(ISNUMBER(deployment_raw[[#This Row],[Column12]]), (deployment_raw[[#This Row],[Column12]] * IF($E$2="Deployment",deployment_raw[[#This Row],[Column5]],1)*(1+$V$2)),"")</f>
        <v/>
      </c>
      <c r="W254" s="14" t="str">
        <f>IF(ISNUMBER(deployment_raw[[#This Row],[Column13]]), (deployment_raw[[#This Row],[Column13]] * IF($E$2="Deployment",deployment_raw[[#This Row],[Column5]],1)*(1+$W$2))/1048576,"")</f>
        <v/>
      </c>
    </row>
    <row r="255" spans="1:23" ht="15.75" customHeight="1" x14ac:dyDescent="0.25">
      <c r="A255" s="5" t="str">
        <f>IF(ISNONTEXT(deployment_raw[[#This Row],[Column1]]), "", deployment_raw[[#This Row],[Column1]])</f>
        <v/>
      </c>
      <c r="B255" s="6" t="str">
        <f>IF(ISNONTEXT(deployment_raw[[#This Row],[Column2]]), "", deployment_raw[[#This Row],[Column2]])</f>
        <v/>
      </c>
      <c r="C255" s="6" t="str">
        <f>IF(ISNONTEXT(deployment_raw[[#This Row],[Column3]]), "", deployment_raw[[#This Row],[Column3]])</f>
        <v/>
      </c>
      <c r="D255" s="6" t="str">
        <f>IF(ISNONTEXT(deployment_raw[[#This Row],[Column4]]), "", deployment_raw[[#This Row],[Column4]])</f>
        <v/>
      </c>
      <c r="E255" s="7" t="str">
        <f>IF(ISNUMBER(deployment_raw[[#This Row],[Column5]]), deployment_raw[[#This Row],[Column5]],"")</f>
        <v/>
      </c>
      <c r="F255" s="32" t="str">
        <f>IF(ISNUMBER(deployment_raw[[#This Row],[Column17]]), deployment_raw[[#This Row],[Column17]]/IF(OR($E$2="Deployment",deployment_raw[[#This Row],[Column5]]=0),1,deployment_raw[[#This Row],[Column5]]),"")</f>
        <v/>
      </c>
      <c r="G255" s="42" t="str">
        <f>IF(ISNUMBER(deployment_raw[[#This Row],[Column14]]), deployment_raw[[#This Row],[Column14]]/IF(OR($E$2="Deployment",deployment_raw[[#This Row],[Column5]]=0),1,deployment_raw[[#This Row],[Column5]]),"")</f>
        <v/>
      </c>
      <c r="H255" s="79" t="str">
        <f>IF(ISNUMBER(deployment_raw[[#This Row],[Column19]]), IF(I255&lt;&gt;0,(deployment_raw[[#This Row],[Column19]]/IF(OR($E$2="Deployment",deployment_raw[[#This Row],[Column5]]=0),1,deployment_raw[[#This Row],[Column5]]))/I255,0),"")</f>
        <v/>
      </c>
      <c r="I255" s="69" t="str">
        <f>IF(ISNUMBER(deployment_raw[[#This Row],[Column6]]), (deployment_raw[[#This Row],[Column6]] * IF($E$2="Deployment",deployment_raw[[#This Row],[Column5]],1)),"")</f>
        <v/>
      </c>
      <c r="J255" s="79" t="str">
        <f>IF(ISNUMBER(deployment_raw[[#This Row],[Column19]]), IF(K255&lt;&gt;0,(deployment_raw[[#This Row],[Column19]]/IF(OR($E$2="Deployment",deployment_raw[[#This Row],[Column5]]=0),1,deployment_raw[[#This Row],[Column5]]))/K255,0),"")</f>
        <v/>
      </c>
      <c r="K255" s="72" t="str">
        <f>IF(ISNUMBER(deployment_raw[[#This Row],[Column8]]), (deployment_raw[[#This Row],[Column8]]  * IF($E$2="Deployment",deployment_raw[[#This Row],[Column5]],1)),"")</f>
        <v/>
      </c>
      <c r="L25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5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55" s="81" t="str">
        <f>IF(ISNUMBER(deployment_raw[[#This Row],[Column20]]), IF(O255&lt;&gt;0,deployment_raw[[#This Row],[Column20]]/IF(OR($E$2="Deployment",deployment_raw[[#This Row],[Column5]]=0),1,deployment_raw[[#This Row],[Column5]])/1048576/O255,0),"")</f>
        <v/>
      </c>
      <c r="O255" s="74" t="str">
        <f>IF(ISNUMBER(deployment_raw[[#This Row],[Column7]]), (deployment_raw[[#This Row],[Column7]] * IF($E$2="Deployment",deployment_raw[[#This Row],[Column5]],1))/1048576,"")</f>
        <v/>
      </c>
      <c r="P255" s="81" t="str">
        <f>IF(ISNUMBER(deployment_raw[[#This Row],[Column20]]), IF(Q255&lt;&gt;0,deployment_raw[[#This Row],[Column20]]/IF(OR($E$2="Deployment",deployment_raw[[#This Row],[Column5]]=0),1,deployment_raw[[#This Row],[Column5]])/1048576/Q255,0),"")</f>
        <v/>
      </c>
      <c r="Q255" s="76" t="str">
        <f>IF(ISNUMBER(deployment_raw[[#This Row],[Column9]]), (deployment_raw[[#This Row],[Column9]] * IF($E$2="Deployment",deployment_raw[[#This Row],[Column5]],1))/1048576,"")</f>
        <v/>
      </c>
      <c r="R255" s="57" t="str">
        <f>IF(ISNUMBER(deployment_raw[[#This Row],[Column10]]), (deployment_raw[[#This Row],[Column10]] * IF($E$2="Deployment",deployment_raw[[#This Row],[Column5]],1)),"")</f>
        <v/>
      </c>
      <c r="S255" s="48" t="str">
        <f>IF(ISNUMBER(deployment_raw[[#This Row],[Column11]]), (deployment_raw[[#This Row],[Column11]] * IF($E$2="Deployment",deployment_raw[[#This Row],[Column5]],1))/1048576,"")</f>
        <v/>
      </c>
      <c r="T255" s="59" t="str">
        <f>IF(ISNUMBER(deployment_raw[[#This Row],[Column8]]),IF(OR(deployment_raw[[#This Row],[Column5]] &lt;&gt; 0,$E$2 &lt;&gt; "Deployment"), MAX(V255, ($T$2 * IF($E$2="Deployment",deployment_raw[[#This Row],[Column5]],1))), 0),"")</f>
        <v/>
      </c>
      <c r="U255" s="50" t="str">
        <f>IF(ISNUMBER(deployment_raw[[#This Row],[Column9]]),IF(OR(deployment_raw[[#This Row],[Column5]] &lt;&gt; 0,$E$2&lt;&gt;"Deployment"), MAX(W255, ($U$2 * IF($E$2="Deployment",deployment_raw[[#This Row],[Column5]],1))), 0),"")</f>
        <v/>
      </c>
      <c r="V255" s="15" t="str">
        <f>IF(ISNUMBER(deployment_raw[[#This Row],[Column12]]), (deployment_raw[[#This Row],[Column12]] * IF($E$2="Deployment",deployment_raw[[#This Row],[Column5]],1)*(1+$V$2)),"")</f>
        <v/>
      </c>
      <c r="W255" s="14" t="str">
        <f>IF(ISNUMBER(deployment_raw[[#This Row],[Column13]]), (deployment_raw[[#This Row],[Column13]] * IF($E$2="Deployment",deployment_raw[[#This Row],[Column5]],1)*(1+$W$2))/1048576,"")</f>
        <v/>
      </c>
    </row>
    <row r="256" spans="1:23" ht="15.75" customHeight="1" x14ac:dyDescent="0.25">
      <c r="A256" s="5" t="str">
        <f>IF(ISNONTEXT(deployment_raw[[#This Row],[Column1]]), "", deployment_raw[[#This Row],[Column1]])</f>
        <v/>
      </c>
      <c r="B256" s="6" t="str">
        <f>IF(ISNONTEXT(deployment_raw[[#This Row],[Column2]]), "", deployment_raw[[#This Row],[Column2]])</f>
        <v/>
      </c>
      <c r="C256" s="6" t="str">
        <f>IF(ISNONTEXT(deployment_raw[[#This Row],[Column3]]), "", deployment_raw[[#This Row],[Column3]])</f>
        <v/>
      </c>
      <c r="D256" s="6" t="str">
        <f>IF(ISNONTEXT(deployment_raw[[#This Row],[Column4]]), "", deployment_raw[[#This Row],[Column4]])</f>
        <v/>
      </c>
      <c r="E256" s="7" t="str">
        <f>IF(ISNUMBER(deployment_raw[[#This Row],[Column5]]), deployment_raw[[#This Row],[Column5]],"")</f>
        <v/>
      </c>
      <c r="F256" s="32" t="str">
        <f>IF(ISNUMBER(deployment_raw[[#This Row],[Column17]]), deployment_raw[[#This Row],[Column17]]/IF(OR($E$2="Deployment",deployment_raw[[#This Row],[Column5]]=0),1,deployment_raw[[#This Row],[Column5]]),"")</f>
        <v/>
      </c>
      <c r="G256" s="42" t="str">
        <f>IF(ISNUMBER(deployment_raw[[#This Row],[Column14]]), deployment_raw[[#This Row],[Column14]]/IF(OR($E$2="Deployment",deployment_raw[[#This Row],[Column5]]=0),1,deployment_raw[[#This Row],[Column5]]),"")</f>
        <v/>
      </c>
      <c r="H256" s="79" t="str">
        <f>IF(ISNUMBER(deployment_raw[[#This Row],[Column19]]), IF(I256&lt;&gt;0,(deployment_raw[[#This Row],[Column19]]/IF(OR($E$2="Deployment",deployment_raw[[#This Row],[Column5]]=0),1,deployment_raw[[#This Row],[Column5]]))/I256,0),"")</f>
        <v/>
      </c>
      <c r="I256" s="69" t="str">
        <f>IF(ISNUMBER(deployment_raw[[#This Row],[Column6]]), (deployment_raw[[#This Row],[Column6]] * IF($E$2="Deployment",deployment_raw[[#This Row],[Column5]],1)),"")</f>
        <v/>
      </c>
      <c r="J256" s="79" t="str">
        <f>IF(ISNUMBER(deployment_raw[[#This Row],[Column19]]), IF(K256&lt;&gt;0,(deployment_raw[[#This Row],[Column19]]/IF(OR($E$2="Deployment",deployment_raw[[#This Row],[Column5]]=0),1,deployment_raw[[#This Row],[Column5]]))/K256,0),"")</f>
        <v/>
      </c>
      <c r="K256" s="72" t="str">
        <f>IF(ISNUMBER(deployment_raw[[#This Row],[Column8]]), (deployment_raw[[#This Row],[Column8]]  * IF($E$2="Deployment",deployment_raw[[#This Row],[Column5]],1)),"")</f>
        <v/>
      </c>
      <c r="L25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5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56" s="81" t="str">
        <f>IF(ISNUMBER(deployment_raw[[#This Row],[Column20]]), IF(O256&lt;&gt;0,deployment_raw[[#This Row],[Column20]]/IF(OR($E$2="Deployment",deployment_raw[[#This Row],[Column5]]=0),1,deployment_raw[[#This Row],[Column5]])/1048576/O256,0),"")</f>
        <v/>
      </c>
      <c r="O256" s="74" t="str">
        <f>IF(ISNUMBER(deployment_raw[[#This Row],[Column7]]), (deployment_raw[[#This Row],[Column7]] * IF($E$2="Deployment",deployment_raw[[#This Row],[Column5]],1))/1048576,"")</f>
        <v/>
      </c>
      <c r="P256" s="81" t="str">
        <f>IF(ISNUMBER(deployment_raw[[#This Row],[Column20]]), IF(Q256&lt;&gt;0,deployment_raw[[#This Row],[Column20]]/IF(OR($E$2="Deployment",deployment_raw[[#This Row],[Column5]]=0),1,deployment_raw[[#This Row],[Column5]])/1048576/Q256,0),"")</f>
        <v/>
      </c>
      <c r="Q256" s="76" t="str">
        <f>IF(ISNUMBER(deployment_raw[[#This Row],[Column9]]), (deployment_raw[[#This Row],[Column9]] * IF($E$2="Deployment",deployment_raw[[#This Row],[Column5]],1))/1048576,"")</f>
        <v/>
      </c>
      <c r="R256" s="57" t="str">
        <f>IF(ISNUMBER(deployment_raw[[#This Row],[Column10]]), (deployment_raw[[#This Row],[Column10]] * IF($E$2="Deployment",deployment_raw[[#This Row],[Column5]],1)),"")</f>
        <v/>
      </c>
      <c r="S256" s="48" t="str">
        <f>IF(ISNUMBER(deployment_raw[[#This Row],[Column11]]), (deployment_raw[[#This Row],[Column11]] * IF($E$2="Deployment",deployment_raw[[#This Row],[Column5]],1))/1048576,"")</f>
        <v/>
      </c>
      <c r="T256" s="59" t="str">
        <f>IF(ISNUMBER(deployment_raw[[#This Row],[Column8]]),IF(OR(deployment_raw[[#This Row],[Column5]] &lt;&gt; 0,$E$2 &lt;&gt; "Deployment"), MAX(V256, ($T$2 * IF($E$2="Deployment",deployment_raw[[#This Row],[Column5]],1))), 0),"")</f>
        <v/>
      </c>
      <c r="U256" s="50" t="str">
        <f>IF(ISNUMBER(deployment_raw[[#This Row],[Column9]]),IF(OR(deployment_raw[[#This Row],[Column5]] &lt;&gt; 0,$E$2&lt;&gt;"Deployment"), MAX(W256, ($U$2 * IF($E$2="Deployment",deployment_raw[[#This Row],[Column5]],1))), 0),"")</f>
        <v/>
      </c>
      <c r="V256" s="15" t="str">
        <f>IF(ISNUMBER(deployment_raw[[#This Row],[Column12]]), (deployment_raw[[#This Row],[Column12]] * IF($E$2="Deployment",deployment_raw[[#This Row],[Column5]],1)*(1+$V$2)),"")</f>
        <v/>
      </c>
      <c r="W256" s="14" t="str">
        <f>IF(ISNUMBER(deployment_raw[[#This Row],[Column13]]), (deployment_raw[[#This Row],[Column13]] * IF($E$2="Deployment",deployment_raw[[#This Row],[Column5]],1)*(1+$W$2))/1048576,"")</f>
        <v/>
      </c>
    </row>
    <row r="257" spans="1:23" ht="15.75" customHeight="1" x14ac:dyDescent="0.25">
      <c r="A257" s="5" t="str">
        <f>IF(ISNONTEXT(deployment_raw[[#This Row],[Column1]]), "", deployment_raw[[#This Row],[Column1]])</f>
        <v/>
      </c>
      <c r="B257" s="6" t="str">
        <f>IF(ISNONTEXT(deployment_raw[[#This Row],[Column2]]), "", deployment_raw[[#This Row],[Column2]])</f>
        <v/>
      </c>
      <c r="C257" s="6" t="str">
        <f>IF(ISNONTEXT(deployment_raw[[#This Row],[Column3]]), "", deployment_raw[[#This Row],[Column3]])</f>
        <v/>
      </c>
      <c r="D257" s="6" t="str">
        <f>IF(ISNONTEXT(deployment_raw[[#This Row],[Column4]]), "", deployment_raw[[#This Row],[Column4]])</f>
        <v/>
      </c>
      <c r="E257" s="7" t="str">
        <f>IF(ISNUMBER(deployment_raw[[#This Row],[Column5]]), deployment_raw[[#This Row],[Column5]],"")</f>
        <v/>
      </c>
      <c r="F257" s="32" t="str">
        <f>IF(ISNUMBER(deployment_raw[[#This Row],[Column17]]), deployment_raw[[#This Row],[Column17]]/IF(OR($E$2="Deployment",deployment_raw[[#This Row],[Column5]]=0),1,deployment_raw[[#This Row],[Column5]]),"")</f>
        <v/>
      </c>
      <c r="G257" s="42" t="str">
        <f>IF(ISNUMBER(deployment_raw[[#This Row],[Column14]]), deployment_raw[[#This Row],[Column14]]/IF(OR($E$2="Deployment",deployment_raw[[#This Row],[Column5]]=0),1,deployment_raw[[#This Row],[Column5]]),"")</f>
        <v/>
      </c>
      <c r="H257" s="79" t="str">
        <f>IF(ISNUMBER(deployment_raw[[#This Row],[Column19]]), IF(I257&lt;&gt;0,(deployment_raw[[#This Row],[Column19]]/IF(OR($E$2="Deployment",deployment_raw[[#This Row],[Column5]]=0),1,deployment_raw[[#This Row],[Column5]]))/I257,0),"")</f>
        <v/>
      </c>
      <c r="I257" s="69" t="str">
        <f>IF(ISNUMBER(deployment_raw[[#This Row],[Column6]]), (deployment_raw[[#This Row],[Column6]] * IF($E$2="Deployment",deployment_raw[[#This Row],[Column5]],1)),"")</f>
        <v/>
      </c>
      <c r="J257" s="79" t="str">
        <f>IF(ISNUMBER(deployment_raw[[#This Row],[Column19]]), IF(K257&lt;&gt;0,(deployment_raw[[#This Row],[Column19]]/IF(OR($E$2="Deployment",deployment_raw[[#This Row],[Column5]]=0),1,deployment_raw[[#This Row],[Column5]]))/K257,0),"")</f>
        <v/>
      </c>
      <c r="K257" s="72" t="str">
        <f>IF(ISNUMBER(deployment_raw[[#This Row],[Column8]]), (deployment_raw[[#This Row],[Column8]]  * IF($E$2="Deployment",deployment_raw[[#This Row],[Column5]],1)),"")</f>
        <v/>
      </c>
      <c r="L25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5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57" s="81" t="str">
        <f>IF(ISNUMBER(deployment_raw[[#This Row],[Column20]]), IF(O257&lt;&gt;0,deployment_raw[[#This Row],[Column20]]/IF(OR($E$2="Deployment",deployment_raw[[#This Row],[Column5]]=0),1,deployment_raw[[#This Row],[Column5]])/1048576/O257,0),"")</f>
        <v/>
      </c>
      <c r="O257" s="74" t="str">
        <f>IF(ISNUMBER(deployment_raw[[#This Row],[Column7]]), (deployment_raw[[#This Row],[Column7]] * IF($E$2="Deployment",deployment_raw[[#This Row],[Column5]],1))/1048576,"")</f>
        <v/>
      </c>
      <c r="P257" s="81" t="str">
        <f>IF(ISNUMBER(deployment_raw[[#This Row],[Column20]]), IF(Q257&lt;&gt;0,deployment_raw[[#This Row],[Column20]]/IF(OR($E$2="Deployment",deployment_raw[[#This Row],[Column5]]=0),1,deployment_raw[[#This Row],[Column5]])/1048576/Q257,0),"")</f>
        <v/>
      </c>
      <c r="Q257" s="76" t="str">
        <f>IF(ISNUMBER(deployment_raw[[#This Row],[Column9]]), (deployment_raw[[#This Row],[Column9]] * IF($E$2="Deployment",deployment_raw[[#This Row],[Column5]],1))/1048576,"")</f>
        <v/>
      </c>
      <c r="R257" s="57" t="str">
        <f>IF(ISNUMBER(deployment_raw[[#This Row],[Column10]]), (deployment_raw[[#This Row],[Column10]] * IF($E$2="Deployment",deployment_raw[[#This Row],[Column5]],1)),"")</f>
        <v/>
      </c>
      <c r="S257" s="48" t="str">
        <f>IF(ISNUMBER(deployment_raw[[#This Row],[Column11]]), (deployment_raw[[#This Row],[Column11]] * IF($E$2="Deployment",deployment_raw[[#This Row],[Column5]],1))/1048576,"")</f>
        <v/>
      </c>
      <c r="T257" s="59" t="str">
        <f>IF(ISNUMBER(deployment_raw[[#This Row],[Column8]]),IF(OR(deployment_raw[[#This Row],[Column5]] &lt;&gt; 0,$E$2 &lt;&gt; "Deployment"), MAX(V257, ($T$2 * IF($E$2="Deployment",deployment_raw[[#This Row],[Column5]],1))), 0),"")</f>
        <v/>
      </c>
      <c r="U257" s="50" t="str">
        <f>IF(ISNUMBER(deployment_raw[[#This Row],[Column9]]),IF(OR(deployment_raw[[#This Row],[Column5]] &lt;&gt; 0,$E$2&lt;&gt;"Deployment"), MAX(W257, ($U$2 * IF($E$2="Deployment",deployment_raw[[#This Row],[Column5]],1))), 0),"")</f>
        <v/>
      </c>
      <c r="V257" s="15" t="str">
        <f>IF(ISNUMBER(deployment_raw[[#This Row],[Column12]]), (deployment_raw[[#This Row],[Column12]] * IF($E$2="Deployment",deployment_raw[[#This Row],[Column5]],1)*(1+$V$2)),"")</f>
        <v/>
      </c>
      <c r="W257" s="14" t="str">
        <f>IF(ISNUMBER(deployment_raw[[#This Row],[Column13]]), (deployment_raw[[#This Row],[Column13]] * IF($E$2="Deployment",deployment_raw[[#This Row],[Column5]],1)*(1+$W$2))/1048576,"")</f>
        <v/>
      </c>
    </row>
    <row r="258" spans="1:23" ht="15.75" customHeight="1" x14ac:dyDescent="0.25">
      <c r="A258" s="5" t="str">
        <f>IF(ISNONTEXT(deployment_raw[[#This Row],[Column1]]), "", deployment_raw[[#This Row],[Column1]])</f>
        <v/>
      </c>
      <c r="B258" s="6" t="str">
        <f>IF(ISNONTEXT(deployment_raw[[#This Row],[Column2]]), "", deployment_raw[[#This Row],[Column2]])</f>
        <v/>
      </c>
      <c r="C258" s="6" t="str">
        <f>IF(ISNONTEXT(deployment_raw[[#This Row],[Column3]]), "", deployment_raw[[#This Row],[Column3]])</f>
        <v/>
      </c>
      <c r="D258" s="6" t="str">
        <f>IF(ISNONTEXT(deployment_raw[[#This Row],[Column4]]), "", deployment_raw[[#This Row],[Column4]])</f>
        <v/>
      </c>
      <c r="E258" s="7" t="str">
        <f>IF(ISNUMBER(deployment_raw[[#This Row],[Column5]]), deployment_raw[[#This Row],[Column5]],"")</f>
        <v/>
      </c>
      <c r="F258" s="32" t="str">
        <f>IF(ISNUMBER(deployment_raw[[#This Row],[Column17]]), deployment_raw[[#This Row],[Column17]]/IF(OR($E$2="Deployment",deployment_raw[[#This Row],[Column5]]=0),1,deployment_raw[[#This Row],[Column5]]),"")</f>
        <v/>
      </c>
      <c r="G258" s="42" t="str">
        <f>IF(ISNUMBER(deployment_raw[[#This Row],[Column14]]), deployment_raw[[#This Row],[Column14]]/IF(OR($E$2="Deployment",deployment_raw[[#This Row],[Column5]]=0),1,deployment_raw[[#This Row],[Column5]]),"")</f>
        <v/>
      </c>
      <c r="H258" s="79" t="str">
        <f>IF(ISNUMBER(deployment_raw[[#This Row],[Column19]]), IF(I258&lt;&gt;0,(deployment_raw[[#This Row],[Column19]]/IF(OR($E$2="Deployment",deployment_raw[[#This Row],[Column5]]=0),1,deployment_raw[[#This Row],[Column5]]))/I258,0),"")</f>
        <v/>
      </c>
      <c r="I258" s="69" t="str">
        <f>IF(ISNUMBER(deployment_raw[[#This Row],[Column6]]), (deployment_raw[[#This Row],[Column6]] * IF($E$2="Deployment",deployment_raw[[#This Row],[Column5]],1)),"")</f>
        <v/>
      </c>
      <c r="J258" s="79" t="str">
        <f>IF(ISNUMBER(deployment_raw[[#This Row],[Column19]]), IF(K258&lt;&gt;0,(deployment_raw[[#This Row],[Column19]]/IF(OR($E$2="Deployment",deployment_raw[[#This Row],[Column5]]=0),1,deployment_raw[[#This Row],[Column5]]))/K258,0),"")</f>
        <v/>
      </c>
      <c r="K258" s="72" t="str">
        <f>IF(ISNUMBER(deployment_raw[[#This Row],[Column8]]), (deployment_raw[[#This Row],[Column8]]  * IF($E$2="Deployment",deployment_raw[[#This Row],[Column5]],1)),"")</f>
        <v/>
      </c>
      <c r="L25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5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58" s="81" t="str">
        <f>IF(ISNUMBER(deployment_raw[[#This Row],[Column20]]), IF(O258&lt;&gt;0,deployment_raw[[#This Row],[Column20]]/IF(OR($E$2="Deployment",deployment_raw[[#This Row],[Column5]]=0),1,deployment_raw[[#This Row],[Column5]])/1048576/O258,0),"")</f>
        <v/>
      </c>
      <c r="O258" s="74" t="str">
        <f>IF(ISNUMBER(deployment_raw[[#This Row],[Column7]]), (deployment_raw[[#This Row],[Column7]] * IF($E$2="Deployment",deployment_raw[[#This Row],[Column5]],1))/1048576,"")</f>
        <v/>
      </c>
      <c r="P258" s="81" t="str">
        <f>IF(ISNUMBER(deployment_raw[[#This Row],[Column20]]), IF(Q258&lt;&gt;0,deployment_raw[[#This Row],[Column20]]/IF(OR($E$2="Deployment",deployment_raw[[#This Row],[Column5]]=0),1,deployment_raw[[#This Row],[Column5]])/1048576/Q258,0),"")</f>
        <v/>
      </c>
      <c r="Q258" s="76" t="str">
        <f>IF(ISNUMBER(deployment_raw[[#This Row],[Column9]]), (deployment_raw[[#This Row],[Column9]] * IF($E$2="Deployment",deployment_raw[[#This Row],[Column5]],1))/1048576,"")</f>
        <v/>
      </c>
      <c r="R258" s="57" t="str">
        <f>IF(ISNUMBER(deployment_raw[[#This Row],[Column10]]), (deployment_raw[[#This Row],[Column10]] * IF($E$2="Deployment",deployment_raw[[#This Row],[Column5]],1)),"")</f>
        <v/>
      </c>
      <c r="S258" s="48" t="str">
        <f>IF(ISNUMBER(deployment_raw[[#This Row],[Column11]]), (deployment_raw[[#This Row],[Column11]] * IF($E$2="Deployment",deployment_raw[[#This Row],[Column5]],1))/1048576,"")</f>
        <v/>
      </c>
      <c r="T258" s="59" t="str">
        <f>IF(ISNUMBER(deployment_raw[[#This Row],[Column8]]),IF(OR(deployment_raw[[#This Row],[Column5]] &lt;&gt; 0,$E$2 &lt;&gt; "Deployment"), MAX(V258, ($T$2 * IF($E$2="Deployment",deployment_raw[[#This Row],[Column5]],1))), 0),"")</f>
        <v/>
      </c>
      <c r="U258" s="50" t="str">
        <f>IF(ISNUMBER(deployment_raw[[#This Row],[Column9]]),IF(OR(deployment_raw[[#This Row],[Column5]] &lt;&gt; 0,$E$2&lt;&gt;"Deployment"), MAX(W258, ($U$2 * IF($E$2="Deployment",deployment_raw[[#This Row],[Column5]],1))), 0),"")</f>
        <v/>
      </c>
      <c r="V258" s="15" t="str">
        <f>IF(ISNUMBER(deployment_raw[[#This Row],[Column12]]), (deployment_raw[[#This Row],[Column12]] * IF($E$2="Deployment",deployment_raw[[#This Row],[Column5]],1)*(1+$V$2)),"")</f>
        <v/>
      </c>
      <c r="W258" s="14" t="str">
        <f>IF(ISNUMBER(deployment_raw[[#This Row],[Column13]]), (deployment_raw[[#This Row],[Column13]] * IF($E$2="Deployment",deployment_raw[[#This Row],[Column5]],1)*(1+$W$2))/1048576,"")</f>
        <v/>
      </c>
    </row>
    <row r="259" spans="1:23" ht="15.75" customHeight="1" x14ac:dyDescent="0.25">
      <c r="A259" s="5" t="str">
        <f>IF(ISNONTEXT(deployment_raw[[#This Row],[Column1]]), "", deployment_raw[[#This Row],[Column1]])</f>
        <v/>
      </c>
      <c r="B259" s="6" t="str">
        <f>IF(ISNONTEXT(deployment_raw[[#This Row],[Column2]]), "", deployment_raw[[#This Row],[Column2]])</f>
        <v/>
      </c>
      <c r="C259" s="6" t="str">
        <f>IF(ISNONTEXT(deployment_raw[[#This Row],[Column3]]), "", deployment_raw[[#This Row],[Column3]])</f>
        <v/>
      </c>
      <c r="D259" s="6" t="str">
        <f>IF(ISNONTEXT(deployment_raw[[#This Row],[Column4]]), "", deployment_raw[[#This Row],[Column4]])</f>
        <v/>
      </c>
      <c r="E259" s="7" t="str">
        <f>IF(ISNUMBER(deployment_raw[[#This Row],[Column5]]), deployment_raw[[#This Row],[Column5]],"")</f>
        <v/>
      </c>
      <c r="F259" s="32" t="str">
        <f>IF(ISNUMBER(deployment_raw[[#This Row],[Column17]]), deployment_raw[[#This Row],[Column17]]/IF(OR($E$2="Deployment",deployment_raw[[#This Row],[Column5]]=0),1,deployment_raw[[#This Row],[Column5]]),"")</f>
        <v/>
      </c>
      <c r="G259" s="42" t="str">
        <f>IF(ISNUMBER(deployment_raw[[#This Row],[Column14]]), deployment_raw[[#This Row],[Column14]]/IF(OR($E$2="Deployment",deployment_raw[[#This Row],[Column5]]=0),1,deployment_raw[[#This Row],[Column5]]),"")</f>
        <v/>
      </c>
      <c r="H259" s="79" t="str">
        <f>IF(ISNUMBER(deployment_raw[[#This Row],[Column19]]), IF(I259&lt;&gt;0,(deployment_raw[[#This Row],[Column19]]/IF(OR($E$2="Deployment",deployment_raw[[#This Row],[Column5]]=0),1,deployment_raw[[#This Row],[Column5]]))/I259,0),"")</f>
        <v/>
      </c>
      <c r="I259" s="69" t="str">
        <f>IF(ISNUMBER(deployment_raw[[#This Row],[Column6]]), (deployment_raw[[#This Row],[Column6]] * IF($E$2="Deployment",deployment_raw[[#This Row],[Column5]],1)),"")</f>
        <v/>
      </c>
      <c r="J259" s="79" t="str">
        <f>IF(ISNUMBER(deployment_raw[[#This Row],[Column19]]), IF(K259&lt;&gt;0,(deployment_raw[[#This Row],[Column19]]/IF(OR($E$2="Deployment",deployment_raw[[#This Row],[Column5]]=0),1,deployment_raw[[#This Row],[Column5]]))/K259,0),"")</f>
        <v/>
      </c>
      <c r="K259" s="72" t="str">
        <f>IF(ISNUMBER(deployment_raw[[#This Row],[Column8]]), (deployment_raw[[#This Row],[Column8]]  * IF($E$2="Deployment",deployment_raw[[#This Row],[Column5]],1)),"")</f>
        <v/>
      </c>
      <c r="L25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5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59" s="81" t="str">
        <f>IF(ISNUMBER(deployment_raw[[#This Row],[Column20]]), IF(O259&lt;&gt;0,deployment_raw[[#This Row],[Column20]]/IF(OR($E$2="Deployment",deployment_raw[[#This Row],[Column5]]=0),1,deployment_raw[[#This Row],[Column5]])/1048576/O259,0),"")</f>
        <v/>
      </c>
      <c r="O259" s="74" t="str">
        <f>IF(ISNUMBER(deployment_raw[[#This Row],[Column7]]), (deployment_raw[[#This Row],[Column7]] * IF($E$2="Deployment",deployment_raw[[#This Row],[Column5]],1))/1048576,"")</f>
        <v/>
      </c>
      <c r="P259" s="81" t="str">
        <f>IF(ISNUMBER(deployment_raw[[#This Row],[Column20]]), IF(Q259&lt;&gt;0,deployment_raw[[#This Row],[Column20]]/IF(OR($E$2="Deployment",deployment_raw[[#This Row],[Column5]]=0),1,deployment_raw[[#This Row],[Column5]])/1048576/Q259,0),"")</f>
        <v/>
      </c>
      <c r="Q259" s="76" t="str">
        <f>IF(ISNUMBER(deployment_raw[[#This Row],[Column9]]), (deployment_raw[[#This Row],[Column9]] * IF($E$2="Deployment",deployment_raw[[#This Row],[Column5]],1))/1048576,"")</f>
        <v/>
      </c>
      <c r="R259" s="57" t="str">
        <f>IF(ISNUMBER(deployment_raw[[#This Row],[Column10]]), (deployment_raw[[#This Row],[Column10]] * IF($E$2="Deployment",deployment_raw[[#This Row],[Column5]],1)),"")</f>
        <v/>
      </c>
      <c r="S259" s="48" t="str">
        <f>IF(ISNUMBER(deployment_raw[[#This Row],[Column11]]), (deployment_raw[[#This Row],[Column11]] * IF($E$2="Deployment",deployment_raw[[#This Row],[Column5]],1))/1048576,"")</f>
        <v/>
      </c>
      <c r="T259" s="59" t="str">
        <f>IF(ISNUMBER(deployment_raw[[#This Row],[Column8]]),IF(OR(deployment_raw[[#This Row],[Column5]] &lt;&gt; 0,$E$2 &lt;&gt; "Deployment"), MAX(V259, ($T$2 * IF($E$2="Deployment",deployment_raw[[#This Row],[Column5]],1))), 0),"")</f>
        <v/>
      </c>
      <c r="U259" s="50" t="str">
        <f>IF(ISNUMBER(deployment_raw[[#This Row],[Column9]]),IF(OR(deployment_raw[[#This Row],[Column5]] &lt;&gt; 0,$E$2&lt;&gt;"Deployment"), MAX(W259, ($U$2 * IF($E$2="Deployment",deployment_raw[[#This Row],[Column5]],1))), 0),"")</f>
        <v/>
      </c>
      <c r="V259" s="15" t="str">
        <f>IF(ISNUMBER(deployment_raw[[#This Row],[Column12]]), (deployment_raw[[#This Row],[Column12]] * IF($E$2="Deployment",deployment_raw[[#This Row],[Column5]],1)*(1+$V$2)),"")</f>
        <v/>
      </c>
      <c r="W259" s="14" t="str">
        <f>IF(ISNUMBER(deployment_raw[[#This Row],[Column13]]), (deployment_raw[[#This Row],[Column13]] * IF($E$2="Deployment",deployment_raw[[#This Row],[Column5]],1)*(1+$W$2))/1048576,"")</f>
        <v/>
      </c>
    </row>
    <row r="260" spans="1:23" ht="15.75" customHeight="1" x14ac:dyDescent="0.25">
      <c r="A260" s="5" t="str">
        <f>IF(ISNONTEXT(deployment_raw[[#This Row],[Column1]]), "", deployment_raw[[#This Row],[Column1]])</f>
        <v/>
      </c>
      <c r="B260" s="6" t="str">
        <f>IF(ISNONTEXT(deployment_raw[[#This Row],[Column2]]), "", deployment_raw[[#This Row],[Column2]])</f>
        <v/>
      </c>
      <c r="C260" s="6" t="str">
        <f>IF(ISNONTEXT(deployment_raw[[#This Row],[Column3]]), "", deployment_raw[[#This Row],[Column3]])</f>
        <v/>
      </c>
      <c r="D260" s="6" t="str">
        <f>IF(ISNONTEXT(deployment_raw[[#This Row],[Column4]]), "", deployment_raw[[#This Row],[Column4]])</f>
        <v/>
      </c>
      <c r="E260" s="7" t="str">
        <f>IF(ISNUMBER(deployment_raw[[#This Row],[Column5]]), deployment_raw[[#This Row],[Column5]],"")</f>
        <v/>
      </c>
      <c r="F260" s="32" t="str">
        <f>IF(ISNUMBER(deployment_raw[[#This Row],[Column17]]), deployment_raw[[#This Row],[Column17]]/IF(OR($E$2="Deployment",deployment_raw[[#This Row],[Column5]]=0),1,deployment_raw[[#This Row],[Column5]]),"")</f>
        <v/>
      </c>
      <c r="G260" s="42" t="str">
        <f>IF(ISNUMBER(deployment_raw[[#This Row],[Column14]]), deployment_raw[[#This Row],[Column14]]/IF(OR($E$2="Deployment",deployment_raw[[#This Row],[Column5]]=0),1,deployment_raw[[#This Row],[Column5]]),"")</f>
        <v/>
      </c>
      <c r="H260" s="79" t="str">
        <f>IF(ISNUMBER(deployment_raw[[#This Row],[Column19]]), IF(I260&lt;&gt;0,(deployment_raw[[#This Row],[Column19]]/IF(OR($E$2="Deployment",deployment_raw[[#This Row],[Column5]]=0),1,deployment_raw[[#This Row],[Column5]]))/I260,0),"")</f>
        <v/>
      </c>
      <c r="I260" s="69" t="str">
        <f>IF(ISNUMBER(deployment_raw[[#This Row],[Column6]]), (deployment_raw[[#This Row],[Column6]] * IF($E$2="Deployment",deployment_raw[[#This Row],[Column5]],1)),"")</f>
        <v/>
      </c>
      <c r="J260" s="79" t="str">
        <f>IF(ISNUMBER(deployment_raw[[#This Row],[Column19]]), IF(K260&lt;&gt;0,(deployment_raw[[#This Row],[Column19]]/IF(OR($E$2="Deployment",deployment_raw[[#This Row],[Column5]]=0),1,deployment_raw[[#This Row],[Column5]]))/K260,0),"")</f>
        <v/>
      </c>
      <c r="K260" s="72" t="str">
        <f>IF(ISNUMBER(deployment_raw[[#This Row],[Column8]]), (deployment_raw[[#This Row],[Column8]]  * IF($E$2="Deployment",deployment_raw[[#This Row],[Column5]],1)),"")</f>
        <v/>
      </c>
      <c r="L26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6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60" s="81" t="str">
        <f>IF(ISNUMBER(deployment_raw[[#This Row],[Column20]]), IF(O260&lt;&gt;0,deployment_raw[[#This Row],[Column20]]/IF(OR($E$2="Deployment",deployment_raw[[#This Row],[Column5]]=0),1,deployment_raw[[#This Row],[Column5]])/1048576/O260,0),"")</f>
        <v/>
      </c>
      <c r="O260" s="74" t="str">
        <f>IF(ISNUMBER(deployment_raw[[#This Row],[Column7]]), (deployment_raw[[#This Row],[Column7]] * IF($E$2="Deployment",deployment_raw[[#This Row],[Column5]],1))/1048576,"")</f>
        <v/>
      </c>
      <c r="P260" s="81" t="str">
        <f>IF(ISNUMBER(deployment_raw[[#This Row],[Column20]]), IF(Q260&lt;&gt;0,deployment_raw[[#This Row],[Column20]]/IF(OR($E$2="Deployment",deployment_raw[[#This Row],[Column5]]=0),1,deployment_raw[[#This Row],[Column5]])/1048576/Q260,0),"")</f>
        <v/>
      </c>
      <c r="Q260" s="76" t="str">
        <f>IF(ISNUMBER(deployment_raw[[#This Row],[Column9]]), (deployment_raw[[#This Row],[Column9]] * IF($E$2="Deployment",deployment_raw[[#This Row],[Column5]],1))/1048576,"")</f>
        <v/>
      </c>
      <c r="R260" s="57" t="str">
        <f>IF(ISNUMBER(deployment_raw[[#This Row],[Column10]]), (deployment_raw[[#This Row],[Column10]] * IF($E$2="Deployment",deployment_raw[[#This Row],[Column5]],1)),"")</f>
        <v/>
      </c>
      <c r="S260" s="48" t="str">
        <f>IF(ISNUMBER(deployment_raw[[#This Row],[Column11]]), (deployment_raw[[#This Row],[Column11]] * IF($E$2="Deployment",deployment_raw[[#This Row],[Column5]],1))/1048576,"")</f>
        <v/>
      </c>
      <c r="T260" s="59" t="str">
        <f>IF(ISNUMBER(deployment_raw[[#This Row],[Column8]]),IF(OR(deployment_raw[[#This Row],[Column5]] &lt;&gt; 0,$E$2 &lt;&gt; "Deployment"), MAX(V260, ($T$2 * IF($E$2="Deployment",deployment_raw[[#This Row],[Column5]],1))), 0),"")</f>
        <v/>
      </c>
      <c r="U260" s="50" t="str">
        <f>IF(ISNUMBER(deployment_raw[[#This Row],[Column9]]),IF(OR(deployment_raw[[#This Row],[Column5]] &lt;&gt; 0,$E$2&lt;&gt;"Deployment"), MAX(W260, ($U$2 * IF($E$2="Deployment",deployment_raw[[#This Row],[Column5]],1))), 0),"")</f>
        <v/>
      </c>
      <c r="V260" s="15" t="str">
        <f>IF(ISNUMBER(deployment_raw[[#This Row],[Column12]]), (deployment_raw[[#This Row],[Column12]] * IF($E$2="Deployment",deployment_raw[[#This Row],[Column5]],1)*(1+$V$2)),"")</f>
        <v/>
      </c>
      <c r="W260" s="14" t="str">
        <f>IF(ISNUMBER(deployment_raw[[#This Row],[Column13]]), (deployment_raw[[#This Row],[Column13]] * IF($E$2="Deployment",deployment_raw[[#This Row],[Column5]],1)*(1+$W$2))/1048576,"")</f>
        <v/>
      </c>
    </row>
    <row r="261" spans="1:23" ht="15.75" customHeight="1" x14ac:dyDescent="0.25">
      <c r="A261" s="5" t="str">
        <f>IF(ISNONTEXT(deployment_raw[[#This Row],[Column1]]), "", deployment_raw[[#This Row],[Column1]])</f>
        <v/>
      </c>
      <c r="B261" s="6" t="str">
        <f>IF(ISNONTEXT(deployment_raw[[#This Row],[Column2]]), "", deployment_raw[[#This Row],[Column2]])</f>
        <v/>
      </c>
      <c r="C261" s="6" t="str">
        <f>IF(ISNONTEXT(deployment_raw[[#This Row],[Column3]]), "", deployment_raw[[#This Row],[Column3]])</f>
        <v/>
      </c>
      <c r="D261" s="6" t="str">
        <f>IF(ISNONTEXT(deployment_raw[[#This Row],[Column4]]), "", deployment_raw[[#This Row],[Column4]])</f>
        <v/>
      </c>
      <c r="E261" s="7" t="str">
        <f>IF(ISNUMBER(deployment_raw[[#This Row],[Column5]]), deployment_raw[[#This Row],[Column5]],"")</f>
        <v/>
      </c>
      <c r="F261" s="32" t="str">
        <f>IF(ISNUMBER(deployment_raw[[#This Row],[Column17]]), deployment_raw[[#This Row],[Column17]]/IF(OR($E$2="Deployment",deployment_raw[[#This Row],[Column5]]=0),1,deployment_raw[[#This Row],[Column5]]),"")</f>
        <v/>
      </c>
      <c r="G261" s="42" t="str">
        <f>IF(ISNUMBER(deployment_raw[[#This Row],[Column14]]), deployment_raw[[#This Row],[Column14]]/IF(OR($E$2="Deployment",deployment_raw[[#This Row],[Column5]]=0),1,deployment_raw[[#This Row],[Column5]]),"")</f>
        <v/>
      </c>
      <c r="H261" s="79" t="str">
        <f>IF(ISNUMBER(deployment_raw[[#This Row],[Column19]]), IF(I261&lt;&gt;0,(deployment_raw[[#This Row],[Column19]]/IF(OR($E$2="Deployment",deployment_raw[[#This Row],[Column5]]=0),1,deployment_raw[[#This Row],[Column5]]))/I261,0),"")</f>
        <v/>
      </c>
      <c r="I261" s="69" t="str">
        <f>IF(ISNUMBER(deployment_raw[[#This Row],[Column6]]), (deployment_raw[[#This Row],[Column6]] * IF($E$2="Deployment",deployment_raw[[#This Row],[Column5]],1)),"")</f>
        <v/>
      </c>
      <c r="J261" s="79" t="str">
        <f>IF(ISNUMBER(deployment_raw[[#This Row],[Column19]]), IF(K261&lt;&gt;0,(deployment_raw[[#This Row],[Column19]]/IF(OR($E$2="Deployment",deployment_raw[[#This Row],[Column5]]=0),1,deployment_raw[[#This Row],[Column5]]))/K261,0),"")</f>
        <v/>
      </c>
      <c r="K261" s="72" t="str">
        <f>IF(ISNUMBER(deployment_raw[[#This Row],[Column8]]), (deployment_raw[[#This Row],[Column8]]  * IF($E$2="Deployment",deployment_raw[[#This Row],[Column5]],1)),"")</f>
        <v/>
      </c>
      <c r="L26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6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61" s="81" t="str">
        <f>IF(ISNUMBER(deployment_raw[[#This Row],[Column20]]), IF(O261&lt;&gt;0,deployment_raw[[#This Row],[Column20]]/IF(OR($E$2="Deployment",deployment_raw[[#This Row],[Column5]]=0),1,deployment_raw[[#This Row],[Column5]])/1048576/O261,0),"")</f>
        <v/>
      </c>
      <c r="O261" s="74" t="str">
        <f>IF(ISNUMBER(deployment_raw[[#This Row],[Column7]]), (deployment_raw[[#This Row],[Column7]] * IF($E$2="Deployment",deployment_raw[[#This Row],[Column5]],1))/1048576,"")</f>
        <v/>
      </c>
      <c r="P261" s="81" t="str">
        <f>IF(ISNUMBER(deployment_raw[[#This Row],[Column20]]), IF(Q261&lt;&gt;0,deployment_raw[[#This Row],[Column20]]/IF(OR($E$2="Deployment",deployment_raw[[#This Row],[Column5]]=0),1,deployment_raw[[#This Row],[Column5]])/1048576/Q261,0),"")</f>
        <v/>
      </c>
      <c r="Q261" s="76" t="str">
        <f>IF(ISNUMBER(deployment_raw[[#This Row],[Column9]]), (deployment_raw[[#This Row],[Column9]] * IF($E$2="Deployment",deployment_raw[[#This Row],[Column5]],1))/1048576,"")</f>
        <v/>
      </c>
      <c r="R261" s="57" t="str">
        <f>IF(ISNUMBER(deployment_raw[[#This Row],[Column10]]), (deployment_raw[[#This Row],[Column10]] * IF($E$2="Deployment",deployment_raw[[#This Row],[Column5]],1)),"")</f>
        <v/>
      </c>
      <c r="S261" s="48" t="str">
        <f>IF(ISNUMBER(deployment_raw[[#This Row],[Column11]]), (deployment_raw[[#This Row],[Column11]] * IF($E$2="Deployment",deployment_raw[[#This Row],[Column5]],1))/1048576,"")</f>
        <v/>
      </c>
      <c r="T261" s="59" t="str">
        <f>IF(ISNUMBER(deployment_raw[[#This Row],[Column8]]),IF(OR(deployment_raw[[#This Row],[Column5]] &lt;&gt; 0,$E$2 &lt;&gt; "Deployment"), MAX(V261, ($T$2 * IF($E$2="Deployment",deployment_raw[[#This Row],[Column5]],1))), 0),"")</f>
        <v/>
      </c>
      <c r="U261" s="50" t="str">
        <f>IF(ISNUMBER(deployment_raw[[#This Row],[Column9]]),IF(OR(deployment_raw[[#This Row],[Column5]] &lt;&gt; 0,$E$2&lt;&gt;"Deployment"), MAX(W261, ($U$2 * IF($E$2="Deployment",deployment_raw[[#This Row],[Column5]],1))), 0),"")</f>
        <v/>
      </c>
      <c r="V261" s="15" t="str">
        <f>IF(ISNUMBER(deployment_raw[[#This Row],[Column12]]), (deployment_raw[[#This Row],[Column12]] * IF($E$2="Deployment",deployment_raw[[#This Row],[Column5]],1)*(1+$V$2)),"")</f>
        <v/>
      </c>
      <c r="W261" s="14" t="str">
        <f>IF(ISNUMBER(deployment_raw[[#This Row],[Column13]]), (deployment_raw[[#This Row],[Column13]] * IF($E$2="Deployment",deployment_raw[[#This Row],[Column5]],1)*(1+$W$2))/1048576,"")</f>
        <v/>
      </c>
    </row>
    <row r="262" spans="1:23" ht="15.75" customHeight="1" x14ac:dyDescent="0.25">
      <c r="A262" s="5" t="str">
        <f>IF(ISNONTEXT(deployment_raw[[#This Row],[Column1]]), "", deployment_raw[[#This Row],[Column1]])</f>
        <v/>
      </c>
      <c r="B262" s="6" t="str">
        <f>IF(ISNONTEXT(deployment_raw[[#This Row],[Column2]]), "", deployment_raw[[#This Row],[Column2]])</f>
        <v/>
      </c>
      <c r="C262" s="6" t="str">
        <f>IF(ISNONTEXT(deployment_raw[[#This Row],[Column3]]), "", deployment_raw[[#This Row],[Column3]])</f>
        <v/>
      </c>
      <c r="D262" s="6" t="str">
        <f>IF(ISNONTEXT(deployment_raw[[#This Row],[Column4]]), "", deployment_raw[[#This Row],[Column4]])</f>
        <v/>
      </c>
      <c r="E262" s="7" t="str">
        <f>IF(ISNUMBER(deployment_raw[[#This Row],[Column5]]), deployment_raw[[#This Row],[Column5]],"")</f>
        <v/>
      </c>
      <c r="F262" s="32" t="str">
        <f>IF(ISNUMBER(deployment_raw[[#This Row],[Column17]]), deployment_raw[[#This Row],[Column17]]/IF(OR($E$2="Deployment",deployment_raw[[#This Row],[Column5]]=0),1,deployment_raw[[#This Row],[Column5]]),"")</f>
        <v/>
      </c>
      <c r="G262" s="42" t="str">
        <f>IF(ISNUMBER(deployment_raw[[#This Row],[Column14]]), deployment_raw[[#This Row],[Column14]]/IF(OR($E$2="Deployment",deployment_raw[[#This Row],[Column5]]=0),1,deployment_raw[[#This Row],[Column5]]),"")</f>
        <v/>
      </c>
      <c r="H262" s="79" t="str">
        <f>IF(ISNUMBER(deployment_raw[[#This Row],[Column19]]), IF(I262&lt;&gt;0,(deployment_raw[[#This Row],[Column19]]/IF(OR($E$2="Deployment",deployment_raw[[#This Row],[Column5]]=0),1,deployment_raw[[#This Row],[Column5]]))/I262,0),"")</f>
        <v/>
      </c>
      <c r="I262" s="69" t="str">
        <f>IF(ISNUMBER(deployment_raw[[#This Row],[Column6]]), (deployment_raw[[#This Row],[Column6]] * IF($E$2="Deployment",deployment_raw[[#This Row],[Column5]],1)),"")</f>
        <v/>
      </c>
      <c r="J262" s="79" t="str">
        <f>IF(ISNUMBER(deployment_raw[[#This Row],[Column19]]), IF(K262&lt;&gt;0,(deployment_raw[[#This Row],[Column19]]/IF(OR($E$2="Deployment",deployment_raw[[#This Row],[Column5]]=0),1,deployment_raw[[#This Row],[Column5]]))/K262,0),"")</f>
        <v/>
      </c>
      <c r="K262" s="72" t="str">
        <f>IF(ISNUMBER(deployment_raw[[#This Row],[Column8]]), (deployment_raw[[#This Row],[Column8]]  * IF($E$2="Deployment",deployment_raw[[#This Row],[Column5]],1)),"")</f>
        <v/>
      </c>
      <c r="L26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6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62" s="81" t="str">
        <f>IF(ISNUMBER(deployment_raw[[#This Row],[Column20]]), IF(O262&lt;&gt;0,deployment_raw[[#This Row],[Column20]]/IF(OR($E$2="Deployment",deployment_raw[[#This Row],[Column5]]=0),1,deployment_raw[[#This Row],[Column5]])/1048576/O262,0),"")</f>
        <v/>
      </c>
      <c r="O262" s="74" t="str">
        <f>IF(ISNUMBER(deployment_raw[[#This Row],[Column7]]), (deployment_raw[[#This Row],[Column7]] * IF($E$2="Deployment",deployment_raw[[#This Row],[Column5]],1))/1048576,"")</f>
        <v/>
      </c>
      <c r="P262" s="81" t="str">
        <f>IF(ISNUMBER(deployment_raw[[#This Row],[Column20]]), IF(Q262&lt;&gt;0,deployment_raw[[#This Row],[Column20]]/IF(OR($E$2="Deployment",deployment_raw[[#This Row],[Column5]]=0),1,deployment_raw[[#This Row],[Column5]])/1048576/Q262,0),"")</f>
        <v/>
      </c>
      <c r="Q262" s="76" t="str">
        <f>IF(ISNUMBER(deployment_raw[[#This Row],[Column9]]), (deployment_raw[[#This Row],[Column9]] * IF($E$2="Deployment",deployment_raw[[#This Row],[Column5]],1))/1048576,"")</f>
        <v/>
      </c>
      <c r="R262" s="57" t="str">
        <f>IF(ISNUMBER(deployment_raw[[#This Row],[Column10]]), (deployment_raw[[#This Row],[Column10]] * IF($E$2="Deployment",deployment_raw[[#This Row],[Column5]],1)),"")</f>
        <v/>
      </c>
      <c r="S262" s="48" t="str">
        <f>IF(ISNUMBER(deployment_raw[[#This Row],[Column11]]), (deployment_raw[[#This Row],[Column11]] * IF($E$2="Deployment",deployment_raw[[#This Row],[Column5]],1))/1048576,"")</f>
        <v/>
      </c>
      <c r="T262" s="59" t="str">
        <f>IF(ISNUMBER(deployment_raw[[#This Row],[Column8]]),IF(OR(deployment_raw[[#This Row],[Column5]] &lt;&gt; 0,$E$2 &lt;&gt; "Deployment"), MAX(V262, ($T$2 * IF($E$2="Deployment",deployment_raw[[#This Row],[Column5]],1))), 0),"")</f>
        <v/>
      </c>
      <c r="U262" s="50" t="str">
        <f>IF(ISNUMBER(deployment_raw[[#This Row],[Column9]]),IF(OR(deployment_raw[[#This Row],[Column5]] &lt;&gt; 0,$E$2&lt;&gt;"Deployment"), MAX(W262, ($U$2 * IF($E$2="Deployment",deployment_raw[[#This Row],[Column5]],1))), 0),"")</f>
        <v/>
      </c>
      <c r="V262" s="15" t="str">
        <f>IF(ISNUMBER(deployment_raw[[#This Row],[Column12]]), (deployment_raw[[#This Row],[Column12]] * IF($E$2="Deployment",deployment_raw[[#This Row],[Column5]],1)*(1+$V$2)),"")</f>
        <v/>
      </c>
      <c r="W262" s="14" t="str">
        <f>IF(ISNUMBER(deployment_raw[[#This Row],[Column13]]), (deployment_raw[[#This Row],[Column13]] * IF($E$2="Deployment",deployment_raw[[#This Row],[Column5]],1)*(1+$W$2))/1048576,"")</f>
        <v/>
      </c>
    </row>
    <row r="263" spans="1:23" ht="15.75" customHeight="1" x14ac:dyDescent="0.25">
      <c r="A263" s="5" t="str">
        <f>IF(ISNONTEXT(deployment_raw[[#This Row],[Column1]]), "", deployment_raw[[#This Row],[Column1]])</f>
        <v/>
      </c>
      <c r="B263" s="6" t="str">
        <f>IF(ISNONTEXT(deployment_raw[[#This Row],[Column2]]), "", deployment_raw[[#This Row],[Column2]])</f>
        <v/>
      </c>
      <c r="C263" s="6" t="str">
        <f>IF(ISNONTEXT(deployment_raw[[#This Row],[Column3]]), "", deployment_raw[[#This Row],[Column3]])</f>
        <v/>
      </c>
      <c r="D263" s="6" t="str">
        <f>IF(ISNONTEXT(deployment_raw[[#This Row],[Column4]]), "", deployment_raw[[#This Row],[Column4]])</f>
        <v/>
      </c>
      <c r="E263" s="7" t="str">
        <f>IF(ISNUMBER(deployment_raw[[#This Row],[Column5]]), deployment_raw[[#This Row],[Column5]],"")</f>
        <v/>
      </c>
      <c r="F263" s="32" t="str">
        <f>IF(ISNUMBER(deployment_raw[[#This Row],[Column17]]), deployment_raw[[#This Row],[Column17]]/IF(OR($E$2="Deployment",deployment_raw[[#This Row],[Column5]]=0),1,deployment_raw[[#This Row],[Column5]]),"")</f>
        <v/>
      </c>
      <c r="G263" s="42" t="str">
        <f>IF(ISNUMBER(deployment_raw[[#This Row],[Column14]]), deployment_raw[[#This Row],[Column14]]/IF(OR($E$2="Deployment",deployment_raw[[#This Row],[Column5]]=0),1,deployment_raw[[#This Row],[Column5]]),"")</f>
        <v/>
      </c>
      <c r="H263" s="79" t="str">
        <f>IF(ISNUMBER(deployment_raw[[#This Row],[Column19]]), IF(I263&lt;&gt;0,(deployment_raw[[#This Row],[Column19]]/IF(OR($E$2="Deployment",deployment_raw[[#This Row],[Column5]]=0),1,deployment_raw[[#This Row],[Column5]]))/I263,0),"")</f>
        <v/>
      </c>
      <c r="I263" s="69" t="str">
        <f>IF(ISNUMBER(deployment_raw[[#This Row],[Column6]]), (deployment_raw[[#This Row],[Column6]] * IF($E$2="Deployment",deployment_raw[[#This Row],[Column5]],1)),"")</f>
        <v/>
      </c>
      <c r="J263" s="79" t="str">
        <f>IF(ISNUMBER(deployment_raw[[#This Row],[Column19]]), IF(K263&lt;&gt;0,(deployment_raw[[#This Row],[Column19]]/IF(OR($E$2="Deployment",deployment_raw[[#This Row],[Column5]]=0),1,deployment_raw[[#This Row],[Column5]]))/K263,0),"")</f>
        <v/>
      </c>
      <c r="K263" s="72" t="str">
        <f>IF(ISNUMBER(deployment_raw[[#This Row],[Column8]]), (deployment_raw[[#This Row],[Column8]]  * IF($E$2="Deployment",deployment_raw[[#This Row],[Column5]],1)),"")</f>
        <v/>
      </c>
      <c r="L26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6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63" s="81" t="str">
        <f>IF(ISNUMBER(deployment_raw[[#This Row],[Column20]]), IF(O263&lt;&gt;0,deployment_raw[[#This Row],[Column20]]/IF(OR($E$2="Deployment",deployment_raw[[#This Row],[Column5]]=0),1,deployment_raw[[#This Row],[Column5]])/1048576/O263,0),"")</f>
        <v/>
      </c>
      <c r="O263" s="74" t="str">
        <f>IF(ISNUMBER(deployment_raw[[#This Row],[Column7]]), (deployment_raw[[#This Row],[Column7]] * IF($E$2="Deployment",deployment_raw[[#This Row],[Column5]],1))/1048576,"")</f>
        <v/>
      </c>
      <c r="P263" s="81" t="str">
        <f>IF(ISNUMBER(deployment_raw[[#This Row],[Column20]]), IF(Q263&lt;&gt;0,deployment_raw[[#This Row],[Column20]]/IF(OR($E$2="Deployment",deployment_raw[[#This Row],[Column5]]=0),1,deployment_raw[[#This Row],[Column5]])/1048576/Q263,0),"")</f>
        <v/>
      </c>
      <c r="Q263" s="76" t="str">
        <f>IF(ISNUMBER(deployment_raw[[#This Row],[Column9]]), (deployment_raw[[#This Row],[Column9]] * IF($E$2="Deployment",deployment_raw[[#This Row],[Column5]],1))/1048576,"")</f>
        <v/>
      </c>
      <c r="R263" s="57" t="str">
        <f>IF(ISNUMBER(deployment_raw[[#This Row],[Column10]]), (deployment_raw[[#This Row],[Column10]] * IF($E$2="Deployment",deployment_raw[[#This Row],[Column5]],1)),"")</f>
        <v/>
      </c>
      <c r="S263" s="48" t="str">
        <f>IF(ISNUMBER(deployment_raw[[#This Row],[Column11]]), (deployment_raw[[#This Row],[Column11]] * IF($E$2="Deployment",deployment_raw[[#This Row],[Column5]],1))/1048576,"")</f>
        <v/>
      </c>
      <c r="T263" s="59" t="str">
        <f>IF(ISNUMBER(deployment_raw[[#This Row],[Column8]]),IF(OR(deployment_raw[[#This Row],[Column5]] &lt;&gt; 0,$E$2 &lt;&gt; "Deployment"), MAX(V263, ($T$2 * IF($E$2="Deployment",deployment_raw[[#This Row],[Column5]],1))), 0),"")</f>
        <v/>
      </c>
      <c r="U263" s="50" t="str">
        <f>IF(ISNUMBER(deployment_raw[[#This Row],[Column9]]),IF(OR(deployment_raw[[#This Row],[Column5]] &lt;&gt; 0,$E$2&lt;&gt;"Deployment"), MAX(W263, ($U$2 * IF($E$2="Deployment",deployment_raw[[#This Row],[Column5]],1))), 0),"")</f>
        <v/>
      </c>
      <c r="V263" s="15" t="str">
        <f>IF(ISNUMBER(deployment_raw[[#This Row],[Column12]]), (deployment_raw[[#This Row],[Column12]] * IF($E$2="Deployment",deployment_raw[[#This Row],[Column5]],1)*(1+$V$2)),"")</f>
        <v/>
      </c>
      <c r="W263" s="14" t="str">
        <f>IF(ISNUMBER(deployment_raw[[#This Row],[Column13]]), (deployment_raw[[#This Row],[Column13]] * IF($E$2="Deployment",deployment_raw[[#This Row],[Column5]],1)*(1+$W$2))/1048576,"")</f>
        <v/>
      </c>
    </row>
    <row r="264" spans="1:23" ht="15.75" customHeight="1" x14ac:dyDescent="0.25">
      <c r="A264" s="5" t="str">
        <f>IF(ISNONTEXT(deployment_raw[[#This Row],[Column1]]), "", deployment_raw[[#This Row],[Column1]])</f>
        <v/>
      </c>
      <c r="B264" s="6" t="str">
        <f>IF(ISNONTEXT(deployment_raw[[#This Row],[Column2]]), "", deployment_raw[[#This Row],[Column2]])</f>
        <v/>
      </c>
      <c r="C264" s="6" t="str">
        <f>IF(ISNONTEXT(deployment_raw[[#This Row],[Column3]]), "", deployment_raw[[#This Row],[Column3]])</f>
        <v/>
      </c>
      <c r="D264" s="6" t="str">
        <f>IF(ISNONTEXT(deployment_raw[[#This Row],[Column4]]), "", deployment_raw[[#This Row],[Column4]])</f>
        <v/>
      </c>
      <c r="E264" s="7" t="str">
        <f>IF(ISNUMBER(deployment_raw[[#This Row],[Column5]]), deployment_raw[[#This Row],[Column5]],"")</f>
        <v/>
      </c>
      <c r="F264" s="32" t="str">
        <f>IF(ISNUMBER(deployment_raw[[#This Row],[Column17]]), deployment_raw[[#This Row],[Column17]]/IF(OR($E$2="Deployment",deployment_raw[[#This Row],[Column5]]=0),1,deployment_raw[[#This Row],[Column5]]),"")</f>
        <v/>
      </c>
      <c r="G264" s="42" t="str">
        <f>IF(ISNUMBER(deployment_raw[[#This Row],[Column14]]), deployment_raw[[#This Row],[Column14]]/IF(OR($E$2="Deployment",deployment_raw[[#This Row],[Column5]]=0),1,deployment_raw[[#This Row],[Column5]]),"")</f>
        <v/>
      </c>
      <c r="H264" s="79" t="str">
        <f>IF(ISNUMBER(deployment_raw[[#This Row],[Column19]]), IF(I264&lt;&gt;0,(deployment_raw[[#This Row],[Column19]]/IF(OR($E$2="Deployment",deployment_raw[[#This Row],[Column5]]=0),1,deployment_raw[[#This Row],[Column5]]))/I264,0),"")</f>
        <v/>
      </c>
      <c r="I264" s="69" t="str">
        <f>IF(ISNUMBER(deployment_raw[[#This Row],[Column6]]), (deployment_raw[[#This Row],[Column6]] * IF($E$2="Deployment",deployment_raw[[#This Row],[Column5]],1)),"")</f>
        <v/>
      </c>
      <c r="J264" s="79" t="str">
        <f>IF(ISNUMBER(deployment_raw[[#This Row],[Column19]]), IF(K264&lt;&gt;0,(deployment_raw[[#This Row],[Column19]]/IF(OR($E$2="Deployment",deployment_raw[[#This Row],[Column5]]=0),1,deployment_raw[[#This Row],[Column5]]))/K264,0),"")</f>
        <v/>
      </c>
      <c r="K264" s="72" t="str">
        <f>IF(ISNUMBER(deployment_raw[[#This Row],[Column8]]), (deployment_raw[[#This Row],[Column8]]  * IF($E$2="Deployment",deployment_raw[[#This Row],[Column5]],1)),"")</f>
        <v/>
      </c>
      <c r="L26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6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64" s="81" t="str">
        <f>IF(ISNUMBER(deployment_raw[[#This Row],[Column20]]), IF(O264&lt;&gt;0,deployment_raw[[#This Row],[Column20]]/IF(OR($E$2="Deployment",deployment_raw[[#This Row],[Column5]]=0),1,deployment_raw[[#This Row],[Column5]])/1048576/O264,0),"")</f>
        <v/>
      </c>
      <c r="O264" s="74" t="str">
        <f>IF(ISNUMBER(deployment_raw[[#This Row],[Column7]]), (deployment_raw[[#This Row],[Column7]] * IF($E$2="Deployment",deployment_raw[[#This Row],[Column5]],1))/1048576,"")</f>
        <v/>
      </c>
      <c r="P264" s="81" t="str">
        <f>IF(ISNUMBER(deployment_raw[[#This Row],[Column20]]), IF(Q264&lt;&gt;0,deployment_raw[[#This Row],[Column20]]/IF(OR($E$2="Deployment",deployment_raw[[#This Row],[Column5]]=0),1,deployment_raw[[#This Row],[Column5]])/1048576/Q264,0),"")</f>
        <v/>
      </c>
      <c r="Q264" s="76" t="str">
        <f>IF(ISNUMBER(deployment_raw[[#This Row],[Column9]]), (deployment_raw[[#This Row],[Column9]] * IF($E$2="Deployment",deployment_raw[[#This Row],[Column5]],1))/1048576,"")</f>
        <v/>
      </c>
      <c r="R264" s="57" t="str">
        <f>IF(ISNUMBER(deployment_raw[[#This Row],[Column10]]), (deployment_raw[[#This Row],[Column10]] * IF($E$2="Deployment",deployment_raw[[#This Row],[Column5]],1)),"")</f>
        <v/>
      </c>
      <c r="S264" s="48" t="str">
        <f>IF(ISNUMBER(deployment_raw[[#This Row],[Column11]]), (deployment_raw[[#This Row],[Column11]] * IF($E$2="Deployment",deployment_raw[[#This Row],[Column5]],1))/1048576,"")</f>
        <v/>
      </c>
      <c r="T264" s="59" t="str">
        <f>IF(ISNUMBER(deployment_raw[[#This Row],[Column8]]),IF(OR(deployment_raw[[#This Row],[Column5]] &lt;&gt; 0,$E$2 &lt;&gt; "Deployment"), MAX(V264, ($T$2 * IF($E$2="Deployment",deployment_raw[[#This Row],[Column5]],1))), 0),"")</f>
        <v/>
      </c>
      <c r="U264" s="50" t="str">
        <f>IF(ISNUMBER(deployment_raw[[#This Row],[Column9]]),IF(OR(deployment_raw[[#This Row],[Column5]] &lt;&gt; 0,$E$2&lt;&gt;"Deployment"), MAX(W264, ($U$2 * IF($E$2="Deployment",deployment_raw[[#This Row],[Column5]],1))), 0),"")</f>
        <v/>
      </c>
      <c r="V264" s="15" t="str">
        <f>IF(ISNUMBER(deployment_raw[[#This Row],[Column12]]), (deployment_raw[[#This Row],[Column12]] * IF($E$2="Deployment",deployment_raw[[#This Row],[Column5]],1)*(1+$V$2)),"")</f>
        <v/>
      </c>
      <c r="W264" s="14" t="str">
        <f>IF(ISNUMBER(deployment_raw[[#This Row],[Column13]]), (deployment_raw[[#This Row],[Column13]] * IF($E$2="Deployment",deployment_raw[[#This Row],[Column5]],1)*(1+$W$2))/1048576,"")</f>
        <v/>
      </c>
    </row>
    <row r="265" spans="1:23" ht="15.75" customHeight="1" x14ac:dyDescent="0.25">
      <c r="A265" s="5" t="str">
        <f>IF(ISNONTEXT(deployment_raw[[#This Row],[Column1]]), "", deployment_raw[[#This Row],[Column1]])</f>
        <v/>
      </c>
      <c r="B265" s="6" t="str">
        <f>IF(ISNONTEXT(deployment_raw[[#This Row],[Column2]]), "", deployment_raw[[#This Row],[Column2]])</f>
        <v/>
      </c>
      <c r="C265" s="6" t="str">
        <f>IF(ISNONTEXT(deployment_raw[[#This Row],[Column3]]), "", deployment_raw[[#This Row],[Column3]])</f>
        <v/>
      </c>
      <c r="D265" s="6" t="str">
        <f>IF(ISNONTEXT(deployment_raw[[#This Row],[Column4]]), "", deployment_raw[[#This Row],[Column4]])</f>
        <v/>
      </c>
      <c r="E265" s="7" t="str">
        <f>IF(ISNUMBER(deployment_raw[[#This Row],[Column5]]), deployment_raw[[#This Row],[Column5]],"")</f>
        <v/>
      </c>
      <c r="F265" s="32" t="str">
        <f>IF(ISNUMBER(deployment_raw[[#This Row],[Column17]]), deployment_raw[[#This Row],[Column17]]/IF(OR($E$2="Deployment",deployment_raw[[#This Row],[Column5]]=0),1,deployment_raw[[#This Row],[Column5]]),"")</f>
        <v/>
      </c>
      <c r="G265" s="42" t="str">
        <f>IF(ISNUMBER(deployment_raw[[#This Row],[Column14]]), deployment_raw[[#This Row],[Column14]]/IF(OR($E$2="Deployment",deployment_raw[[#This Row],[Column5]]=0),1,deployment_raw[[#This Row],[Column5]]),"")</f>
        <v/>
      </c>
      <c r="H265" s="79" t="str">
        <f>IF(ISNUMBER(deployment_raw[[#This Row],[Column19]]), IF(I265&lt;&gt;0,(deployment_raw[[#This Row],[Column19]]/IF(OR($E$2="Deployment",deployment_raw[[#This Row],[Column5]]=0),1,deployment_raw[[#This Row],[Column5]]))/I265,0),"")</f>
        <v/>
      </c>
      <c r="I265" s="69" t="str">
        <f>IF(ISNUMBER(deployment_raw[[#This Row],[Column6]]), (deployment_raw[[#This Row],[Column6]] * IF($E$2="Deployment",deployment_raw[[#This Row],[Column5]],1)),"")</f>
        <v/>
      </c>
      <c r="J265" s="79" t="str">
        <f>IF(ISNUMBER(deployment_raw[[#This Row],[Column19]]), IF(K265&lt;&gt;0,(deployment_raw[[#This Row],[Column19]]/IF(OR($E$2="Deployment",deployment_raw[[#This Row],[Column5]]=0),1,deployment_raw[[#This Row],[Column5]]))/K265,0),"")</f>
        <v/>
      </c>
      <c r="K265" s="72" t="str">
        <f>IF(ISNUMBER(deployment_raw[[#This Row],[Column8]]), (deployment_raw[[#This Row],[Column8]]  * IF($E$2="Deployment",deployment_raw[[#This Row],[Column5]],1)),"")</f>
        <v/>
      </c>
      <c r="L26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6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65" s="81" t="str">
        <f>IF(ISNUMBER(deployment_raw[[#This Row],[Column20]]), IF(O265&lt;&gt;0,deployment_raw[[#This Row],[Column20]]/IF(OR($E$2="Deployment",deployment_raw[[#This Row],[Column5]]=0),1,deployment_raw[[#This Row],[Column5]])/1048576/O265,0),"")</f>
        <v/>
      </c>
      <c r="O265" s="74" t="str">
        <f>IF(ISNUMBER(deployment_raw[[#This Row],[Column7]]), (deployment_raw[[#This Row],[Column7]] * IF($E$2="Deployment",deployment_raw[[#This Row],[Column5]],1))/1048576,"")</f>
        <v/>
      </c>
      <c r="P265" s="81" t="str">
        <f>IF(ISNUMBER(deployment_raw[[#This Row],[Column20]]), IF(Q265&lt;&gt;0,deployment_raw[[#This Row],[Column20]]/IF(OR($E$2="Deployment",deployment_raw[[#This Row],[Column5]]=0),1,deployment_raw[[#This Row],[Column5]])/1048576/Q265,0),"")</f>
        <v/>
      </c>
      <c r="Q265" s="76" t="str">
        <f>IF(ISNUMBER(deployment_raw[[#This Row],[Column9]]), (deployment_raw[[#This Row],[Column9]] * IF($E$2="Deployment",deployment_raw[[#This Row],[Column5]],1))/1048576,"")</f>
        <v/>
      </c>
      <c r="R265" s="57" t="str">
        <f>IF(ISNUMBER(deployment_raw[[#This Row],[Column10]]), (deployment_raw[[#This Row],[Column10]] * IF($E$2="Deployment",deployment_raw[[#This Row],[Column5]],1)),"")</f>
        <v/>
      </c>
      <c r="S265" s="48" t="str">
        <f>IF(ISNUMBER(deployment_raw[[#This Row],[Column11]]), (deployment_raw[[#This Row],[Column11]] * IF($E$2="Deployment",deployment_raw[[#This Row],[Column5]],1))/1048576,"")</f>
        <v/>
      </c>
      <c r="T265" s="59" t="str">
        <f>IF(ISNUMBER(deployment_raw[[#This Row],[Column8]]),IF(OR(deployment_raw[[#This Row],[Column5]] &lt;&gt; 0,$E$2 &lt;&gt; "Deployment"), MAX(V265, ($T$2 * IF($E$2="Deployment",deployment_raw[[#This Row],[Column5]],1))), 0),"")</f>
        <v/>
      </c>
      <c r="U265" s="50" t="str">
        <f>IF(ISNUMBER(deployment_raw[[#This Row],[Column9]]),IF(OR(deployment_raw[[#This Row],[Column5]] &lt;&gt; 0,$E$2&lt;&gt;"Deployment"), MAX(W265, ($U$2 * IF($E$2="Deployment",deployment_raw[[#This Row],[Column5]],1))), 0),"")</f>
        <v/>
      </c>
      <c r="V265" s="15" t="str">
        <f>IF(ISNUMBER(deployment_raw[[#This Row],[Column12]]), (deployment_raw[[#This Row],[Column12]] * IF($E$2="Deployment",deployment_raw[[#This Row],[Column5]],1)*(1+$V$2)),"")</f>
        <v/>
      </c>
      <c r="W265" s="14" t="str">
        <f>IF(ISNUMBER(deployment_raw[[#This Row],[Column13]]), (deployment_raw[[#This Row],[Column13]] * IF($E$2="Deployment",deployment_raw[[#This Row],[Column5]],1)*(1+$W$2))/1048576,"")</f>
        <v/>
      </c>
    </row>
    <row r="266" spans="1:23" ht="15.75" customHeight="1" x14ac:dyDescent="0.25">
      <c r="A266" s="5" t="str">
        <f>IF(ISNONTEXT(deployment_raw[[#This Row],[Column1]]), "", deployment_raw[[#This Row],[Column1]])</f>
        <v/>
      </c>
      <c r="B266" s="6" t="str">
        <f>IF(ISNONTEXT(deployment_raw[[#This Row],[Column2]]), "", deployment_raw[[#This Row],[Column2]])</f>
        <v/>
      </c>
      <c r="C266" s="6" t="str">
        <f>IF(ISNONTEXT(deployment_raw[[#This Row],[Column3]]), "", deployment_raw[[#This Row],[Column3]])</f>
        <v/>
      </c>
      <c r="D266" s="6" t="str">
        <f>IF(ISNONTEXT(deployment_raw[[#This Row],[Column4]]), "", deployment_raw[[#This Row],[Column4]])</f>
        <v/>
      </c>
      <c r="E266" s="7" t="str">
        <f>IF(ISNUMBER(deployment_raw[[#This Row],[Column5]]), deployment_raw[[#This Row],[Column5]],"")</f>
        <v/>
      </c>
      <c r="F266" s="32" t="str">
        <f>IF(ISNUMBER(deployment_raw[[#This Row],[Column17]]), deployment_raw[[#This Row],[Column17]]/IF(OR($E$2="Deployment",deployment_raw[[#This Row],[Column5]]=0),1,deployment_raw[[#This Row],[Column5]]),"")</f>
        <v/>
      </c>
      <c r="G266" s="42" t="str">
        <f>IF(ISNUMBER(deployment_raw[[#This Row],[Column14]]), deployment_raw[[#This Row],[Column14]]/IF(OR($E$2="Deployment",deployment_raw[[#This Row],[Column5]]=0),1,deployment_raw[[#This Row],[Column5]]),"")</f>
        <v/>
      </c>
      <c r="H266" s="79" t="str">
        <f>IF(ISNUMBER(deployment_raw[[#This Row],[Column19]]), IF(I266&lt;&gt;0,(deployment_raw[[#This Row],[Column19]]/IF(OR($E$2="Deployment",deployment_raw[[#This Row],[Column5]]=0),1,deployment_raw[[#This Row],[Column5]]))/I266,0),"")</f>
        <v/>
      </c>
      <c r="I266" s="69" t="str">
        <f>IF(ISNUMBER(deployment_raw[[#This Row],[Column6]]), (deployment_raw[[#This Row],[Column6]] * IF($E$2="Deployment",deployment_raw[[#This Row],[Column5]],1)),"")</f>
        <v/>
      </c>
      <c r="J266" s="79" t="str">
        <f>IF(ISNUMBER(deployment_raw[[#This Row],[Column19]]), IF(K266&lt;&gt;0,(deployment_raw[[#This Row],[Column19]]/IF(OR($E$2="Deployment",deployment_raw[[#This Row],[Column5]]=0),1,deployment_raw[[#This Row],[Column5]]))/K266,0),"")</f>
        <v/>
      </c>
      <c r="K266" s="72" t="str">
        <f>IF(ISNUMBER(deployment_raw[[#This Row],[Column8]]), (deployment_raw[[#This Row],[Column8]]  * IF($E$2="Deployment",deployment_raw[[#This Row],[Column5]],1)),"")</f>
        <v/>
      </c>
      <c r="L26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6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66" s="81" t="str">
        <f>IF(ISNUMBER(deployment_raw[[#This Row],[Column20]]), IF(O266&lt;&gt;0,deployment_raw[[#This Row],[Column20]]/IF(OR($E$2="Deployment",deployment_raw[[#This Row],[Column5]]=0),1,deployment_raw[[#This Row],[Column5]])/1048576/O266,0),"")</f>
        <v/>
      </c>
      <c r="O266" s="74" t="str">
        <f>IF(ISNUMBER(deployment_raw[[#This Row],[Column7]]), (deployment_raw[[#This Row],[Column7]] * IF($E$2="Deployment",deployment_raw[[#This Row],[Column5]],1))/1048576,"")</f>
        <v/>
      </c>
      <c r="P266" s="81" t="str">
        <f>IF(ISNUMBER(deployment_raw[[#This Row],[Column20]]), IF(Q266&lt;&gt;0,deployment_raw[[#This Row],[Column20]]/IF(OR($E$2="Deployment",deployment_raw[[#This Row],[Column5]]=0),1,deployment_raw[[#This Row],[Column5]])/1048576/Q266,0),"")</f>
        <v/>
      </c>
      <c r="Q266" s="76" t="str">
        <f>IF(ISNUMBER(deployment_raw[[#This Row],[Column9]]), (deployment_raw[[#This Row],[Column9]] * IF($E$2="Deployment",deployment_raw[[#This Row],[Column5]],1))/1048576,"")</f>
        <v/>
      </c>
      <c r="R266" s="57" t="str">
        <f>IF(ISNUMBER(deployment_raw[[#This Row],[Column10]]), (deployment_raw[[#This Row],[Column10]] * IF($E$2="Deployment",deployment_raw[[#This Row],[Column5]],1)),"")</f>
        <v/>
      </c>
      <c r="S266" s="48" t="str">
        <f>IF(ISNUMBER(deployment_raw[[#This Row],[Column11]]), (deployment_raw[[#This Row],[Column11]] * IF($E$2="Deployment",deployment_raw[[#This Row],[Column5]],1))/1048576,"")</f>
        <v/>
      </c>
      <c r="T266" s="59" t="str">
        <f>IF(ISNUMBER(deployment_raw[[#This Row],[Column8]]),IF(OR(deployment_raw[[#This Row],[Column5]] &lt;&gt; 0,$E$2 &lt;&gt; "Deployment"), MAX(V266, ($T$2 * IF($E$2="Deployment",deployment_raw[[#This Row],[Column5]],1))), 0),"")</f>
        <v/>
      </c>
      <c r="U266" s="50" t="str">
        <f>IF(ISNUMBER(deployment_raw[[#This Row],[Column9]]),IF(OR(deployment_raw[[#This Row],[Column5]] &lt;&gt; 0,$E$2&lt;&gt;"Deployment"), MAX(W266, ($U$2 * IF($E$2="Deployment",deployment_raw[[#This Row],[Column5]],1))), 0),"")</f>
        <v/>
      </c>
      <c r="V266" s="15" t="str">
        <f>IF(ISNUMBER(deployment_raw[[#This Row],[Column12]]), (deployment_raw[[#This Row],[Column12]] * IF($E$2="Deployment",deployment_raw[[#This Row],[Column5]],1)*(1+$V$2)),"")</f>
        <v/>
      </c>
      <c r="W266" s="14" t="str">
        <f>IF(ISNUMBER(deployment_raw[[#This Row],[Column13]]), (deployment_raw[[#This Row],[Column13]] * IF($E$2="Deployment",deployment_raw[[#This Row],[Column5]],1)*(1+$W$2))/1048576,"")</f>
        <v/>
      </c>
    </row>
    <row r="267" spans="1:23" ht="15.75" customHeight="1" x14ac:dyDescent="0.25">
      <c r="A267" s="5" t="str">
        <f>IF(ISNONTEXT(deployment_raw[[#This Row],[Column1]]), "", deployment_raw[[#This Row],[Column1]])</f>
        <v/>
      </c>
      <c r="B267" s="6" t="str">
        <f>IF(ISNONTEXT(deployment_raw[[#This Row],[Column2]]), "", deployment_raw[[#This Row],[Column2]])</f>
        <v/>
      </c>
      <c r="C267" s="6" t="str">
        <f>IF(ISNONTEXT(deployment_raw[[#This Row],[Column3]]), "", deployment_raw[[#This Row],[Column3]])</f>
        <v/>
      </c>
      <c r="D267" s="6" t="str">
        <f>IF(ISNONTEXT(deployment_raw[[#This Row],[Column4]]), "", deployment_raw[[#This Row],[Column4]])</f>
        <v/>
      </c>
      <c r="E267" s="7" t="str">
        <f>IF(ISNUMBER(deployment_raw[[#This Row],[Column5]]), deployment_raw[[#This Row],[Column5]],"")</f>
        <v/>
      </c>
      <c r="F267" s="32" t="str">
        <f>IF(ISNUMBER(deployment_raw[[#This Row],[Column17]]), deployment_raw[[#This Row],[Column17]]/IF(OR($E$2="Deployment",deployment_raw[[#This Row],[Column5]]=0),1,deployment_raw[[#This Row],[Column5]]),"")</f>
        <v/>
      </c>
      <c r="G267" s="42" t="str">
        <f>IF(ISNUMBER(deployment_raw[[#This Row],[Column14]]), deployment_raw[[#This Row],[Column14]]/IF(OR($E$2="Deployment",deployment_raw[[#This Row],[Column5]]=0),1,deployment_raw[[#This Row],[Column5]]),"")</f>
        <v/>
      </c>
      <c r="H267" s="79" t="str">
        <f>IF(ISNUMBER(deployment_raw[[#This Row],[Column19]]), IF(I267&lt;&gt;0,(deployment_raw[[#This Row],[Column19]]/IF(OR($E$2="Deployment",deployment_raw[[#This Row],[Column5]]=0),1,deployment_raw[[#This Row],[Column5]]))/I267,0),"")</f>
        <v/>
      </c>
      <c r="I267" s="69" t="str">
        <f>IF(ISNUMBER(deployment_raw[[#This Row],[Column6]]), (deployment_raw[[#This Row],[Column6]] * IF($E$2="Deployment",deployment_raw[[#This Row],[Column5]],1)),"")</f>
        <v/>
      </c>
      <c r="J267" s="79" t="str">
        <f>IF(ISNUMBER(deployment_raw[[#This Row],[Column19]]), IF(K267&lt;&gt;0,(deployment_raw[[#This Row],[Column19]]/IF(OR($E$2="Deployment",deployment_raw[[#This Row],[Column5]]=0),1,deployment_raw[[#This Row],[Column5]]))/K267,0),"")</f>
        <v/>
      </c>
      <c r="K267" s="72" t="str">
        <f>IF(ISNUMBER(deployment_raw[[#This Row],[Column8]]), (deployment_raw[[#This Row],[Column8]]  * IF($E$2="Deployment",deployment_raw[[#This Row],[Column5]],1)),"")</f>
        <v/>
      </c>
      <c r="L26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6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67" s="81" t="str">
        <f>IF(ISNUMBER(deployment_raw[[#This Row],[Column20]]), IF(O267&lt;&gt;0,deployment_raw[[#This Row],[Column20]]/IF(OR($E$2="Deployment",deployment_raw[[#This Row],[Column5]]=0),1,deployment_raw[[#This Row],[Column5]])/1048576/O267,0),"")</f>
        <v/>
      </c>
      <c r="O267" s="74" t="str">
        <f>IF(ISNUMBER(deployment_raw[[#This Row],[Column7]]), (deployment_raw[[#This Row],[Column7]] * IF($E$2="Deployment",deployment_raw[[#This Row],[Column5]],1))/1048576,"")</f>
        <v/>
      </c>
      <c r="P267" s="81" t="str">
        <f>IF(ISNUMBER(deployment_raw[[#This Row],[Column20]]), IF(Q267&lt;&gt;0,deployment_raw[[#This Row],[Column20]]/IF(OR($E$2="Deployment",deployment_raw[[#This Row],[Column5]]=0),1,deployment_raw[[#This Row],[Column5]])/1048576/Q267,0),"")</f>
        <v/>
      </c>
      <c r="Q267" s="76" t="str">
        <f>IF(ISNUMBER(deployment_raw[[#This Row],[Column9]]), (deployment_raw[[#This Row],[Column9]] * IF($E$2="Deployment",deployment_raw[[#This Row],[Column5]],1))/1048576,"")</f>
        <v/>
      </c>
      <c r="R267" s="57" t="str">
        <f>IF(ISNUMBER(deployment_raw[[#This Row],[Column10]]), (deployment_raw[[#This Row],[Column10]] * IF($E$2="Deployment",deployment_raw[[#This Row],[Column5]],1)),"")</f>
        <v/>
      </c>
      <c r="S267" s="48" t="str">
        <f>IF(ISNUMBER(deployment_raw[[#This Row],[Column11]]), (deployment_raw[[#This Row],[Column11]] * IF($E$2="Deployment",deployment_raw[[#This Row],[Column5]],1))/1048576,"")</f>
        <v/>
      </c>
      <c r="T267" s="59" t="str">
        <f>IF(ISNUMBER(deployment_raw[[#This Row],[Column8]]),IF(OR(deployment_raw[[#This Row],[Column5]] &lt;&gt; 0,$E$2 &lt;&gt; "Deployment"), MAX(V267, ($T$2 * IF($E$2="Deployment",deployment_raw[[#This Row],[Column5]],1))), 0),"")</f>
        <v/>
      </c>
      <c r="U267" s="50" t="str">
        <f>IF(ISNUMBER(deployment_raw[[#This Row],[Column9]]),IF(OR(deployment_raw[[#This Row],[Column5]] &lt;&gt; 0,$E$2&lt;&gt;"Deployment"), MAX(W267, ($U$2 * IF($E$2="Deployment",deployment_raw[[#This Row],[Column5]],1))), 0),"")</f>
        <v/>
      </c>
      <c r="V267" s="15" t="str">
        <f>IF(ISNUMBER(deployment_raw[[#This Row],[Column12]]), (deployment_raw[[#This Row],[Column12]] * IF($E$2="Deployment",deployment_raw[[#This Row],[Column5]],1)*(1+$V$2)),"")</f>
        <v/>
      </c>
      <c r="W267" s="14" t="str">
        <f>IF(ISNUMBER(deployment_raw[[#This Row],[Column13]]), (deployment_raw[[#This Row],[Column13]] * IF($E$2="Deployment",deployment_raw[[#This Row],[Column5]],1)*(1+$W$2))/1048576,"")</f>
        <v/>
      </c>
    </row>
    <row r="268" spans="1:23" ht="15.75" customHeight="1" x14ac:dyDescent="0.25">
      <c r="A268" s="5" t="str">
        <f>IF(ISNONTEXT(deployment_raw[[#This Row],[Column1]]), "", deployment_raw[[#This Row],[Column1]])</f>
        <v/>
      </c>
      <c r="B268" s="6" t="str">
        <f>IF(ISNONTEXT(deployment_raw[[#This Row],[Column2]]), "", deployment_raw[[#This Row],[Column2]])</f>
        <v/>
      </c>
      <c r="C268" s="6" t="str">
        <f>IF(ISNONTEXT(deployment_raw[[#This Row],[Column3]]), "", deployment_raw[[#This Row],[Column3]])</f>
        <v/>
      </c>
      <c r="D268" s="6" t="str">
        <f>IF(ISNONTEXT(deployment_raw[[#This Row],[Column4]]), "", deployment_raw[[#This Row],[Column4]])</f>
        <v/>
      </c>
      <c r="E268" s="7" t="str">
        <f>IF(ISNUMBER(deployment_raw[[#This Row],[Column5]]), deployment_raw[[#This Row],[Column5]],"")</f>
        <v/>
      </c>
      <c r="F268" s="32" t="str">
        <f>IF(ISNUMBER(deployment_raw[[#This Row],[Column17]]), deployment_raw[[#This Row],[Column17]]/IF(OR($E$2="Deployment",deployment_raw[[#This Row],[Column5]]=0),1,deployment_raw[[#This Row],[Column5]]),"")</f>
        <v/>
      </c>
      <c r="G268" s="42" t="str">
        <f>IF(ISNUMBER(deployment_raw[[#This Row],[Column14]]), deployment_raw[[#This Row],[Column14]]/IF(OR($E$2="Deployment",deployment_raw[[#This Row],[Column5]]=0),1,deployment_raw[[#This Row],[Column5]]),"")</f>
        <v/>
      </c>
      <c r="H268" s="79" t="str">
        <f>IF(ISNUMBER(deployment_raw[[#This Row],[Column19]]), IF(I268&lt;&gt;0,(deployment_raw[[#This Row],[Column19]]/IF(OR($E$2="Deployment",deployment_raw[[#This Row],[Column5]]=0),1,deployment_raw[[#This Row],[Column5]]))/I268,0),"")</f>
        <v/>
      </c>
      <c r="I268" s="69" t="str">
        <f>IF(ISNUMBER(deployment_raw[[#This Row],[Column6]]), (deployment_raw[[#This Row],[Column6]] * IF($E$2="Deployment",deployment_raw[[#This Row],[Column5]],1)),"")</f>
        <v/>
      </c>
      <c r="J268" s="79" t="str">
        <f>IF(ISNUMBER(deployment_raw[[#This Row],[Column19]]), IF(K268&lt;&gt;0,(deployment_raw[[#This Row],[Column19]]/IF(OR($E$2="Deployment",deployment_raw[[#This Row],[Column5]]=0),1,deployment_raw[[#This Row],[Column5]]))/K268,0),"")</f>
        <v/>
      </c>
      <c r="K268" s="72" t="str">
        <f>IF(ISNUMBER(deployment_raw[[#This Row],[Column8]]), (deployment_raw[[#This Row],[Column8]]  * IF($E$2="Deployment",deployment_raw[[#This Row],[Column5]],1)),"")</f>
        <v/>
      </c>
      <c r="L26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6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68" s="81" t="str">
        <f>IF(ISNUMBER(deployment_raw[[#This Row],[Column20]]), IF(O268&lt;&gt;0,deployment_raw[[#This Row],[Column20]]/IF(OR($E$2="Deployment",deployment_raw[[#This Row],[Column5]]=0),1,deployment_raw[[#This Row],[Column5]])/1048576/O268,0),"")</f>
        <v/>
      </c>
      <c r="O268" s="74" t="str">
        <f>IF(ISNUMBER(deployment_raw[[#This Row],[Column7]]), (deployment_raw[[#This Row],[Column7]] * IF($E$2="Deployment",deployment_raw[[#This Row],[Column5]],1))/1048576,"")</f>
        <v/>
      </c>
      <c r="P268" s="81" t="str">
        <f>IF(ISNUMBER(deployment_raw[[#This Row],[Column20]]), IF(Q268&lt;&gt;0,deployment_raw[[#This Row],[Column20]]/IF(OR($E$2="Deployment",deployment_raw[[#This Row],[Column5]]=0),1,deployment_raw[[#This Row],[Column5]])/1048576/Q268,0),"")</f>
        <v/>
      </c>
      <c r="Q268" s="76" t="str">
        <f>IF(ISNUMBER(deployment_raw[[#This Row],[Column9]]), (deployment_raw[[#This Row],[Column9]] * IF($E$2="Deployment",deployment_raw[[#This Row],[Column5]],1))/1048576,"")</f>
        <v/>
      </c>
      <c r="R268" s="57" t="str">
        <f>IF(ISNUMBER(deployment_raw[[#This Row],[Column10]]), (deployment_raw[[#This Row],[Column10]] * IF($E$2="Deployment",deployment_raw[[#This Row],[Column5]],1)),"")</f>
        <v/>
      </c>
      <c r="S268" s="48" t="str">
        <f>IF(ISNUMBER(deployment_raw[[#This Row],[Column11]]), (deployment_raw[[#This Row],[Column11]] * IF($E$2="Deployment",deployment_raw[[#This Row],[Column5]],1))/1048576,"")</f>
        <v/>
      </c>
      <c r="T268" s="59" t="str">
        <f>IF(ISNUMBER(deployment_raw[[#This Row],[Column8]]),IF(OR(deployment_raw[[#This Row],[Column5]] &lt;&gt; 0,$E$2 &lt;&gt; "Deployment"), MAX(V268, ($T$2 * IF($E$2="Deployment",deployment_raw[[#This Row],[Column5]],1))), 0),"")</f>
        <v/>
      </c>
      <c r="U268" s="50" t="str">
        <f>IF(ISNUMBER(deployment_raw[[#This Row],[Column9]]),IF(OR(deployment_raw[[#This Row],[Column5]] &lt;&gt; 0,$E$2&lt;&gt;"Deployment"), MAX(W268, ($U$2 * IF($E$2="Deployment",deployment_raw[[#This Row],[Column5]],1))), 0),"")</f>
        <v/>
      </c>
      <c r="V268" s="15" t="str">
        <f>IF(ISNUMBER(deployment_raw[[#This Row],[Column12]]), (deployment_raw[[#This Row],[Column12]] * IF($E$2="Deployment",deployment_raw[[#This Row],[Column5]],1)*(1+$V$2)),"")</f>
        <v/>
      </c>
      <c r="W268" s="14" t="str">
        <f>IF(ISNUMBER(deployment_raw[[#This Row],[Column13]]), (deployment_raw[[#This Row],[Column13]] * IF($E$2="Deployment",deployment_raw[[#This Row],[Column5]],1)*(1+$W$2))/1048576,"")</f>
        <v/>
      </c>
    </row>
    <row r="269" spans="1:23" ht="15.75" customHeight="1" x14ac:dyDescent="0.25">
      <c r="A269" s="5" t="str">
        <f>IF(ISNONTEXT(deployment_raw[[#This Row],[Column1]]), "", deployment_raw[[#This Row],[Column1]])</f>
        <v/>
      </c>
      <c r="B269" s="6" t="str">
        <f>IF(ISNONTEXT(deployment_raw[[#This Row],[Column2]]), "", deployment_raw[[#This Row],[Column2]])</f>
        <v/>
      </c>
      <c r="C269" s="6" t="str">
        <f>IF(ISNONTEXT(deployment_raw[[#This Row],[Column3]]), "", deployment_raw[[#This Row],[Column3]])</f>
        <v/>
      </c>
      <c r="D269" s="6" t="str">
        <f>IF(ISNONTEXT(deployment_raw[[#This Row],[Column4]]), "", deployment_raw[[#This Row],[Column4]])</f>
        <v/>
      </c>
      <c r="E269" s="7" t="str">
        <f>IF(ISNUMBER(deployment_raw[[#This Row],[Column5]]), deployment_raw[[#This Row],[Column5]],"")</f>
        <v/>
      </c>
      <c r="F269" s="32" t="str">
        <f>IF(ISNUMBER(deployment_raw[[#This Row],[Column17]]), deployment_raw[[#This Row],[Column17]]/IF(OR($E$2="Deployment",deployment_raw[[#This Row],[Column5]]=0),1,deployment_raw[[#This Row],[Column5]]),"")</f>
        <v/>
      </c>
      <c r="G269" s="42" t="str">
        <f>IF(ISNUMBER(deployment_raw[[#This Row],[Column14]]), deployment_raw[[#This Row],[Column14]]/IF(OR($E$2="Deployment",deployment_raw[[#This Row],[Column5]]=0),1,deployment_raw[[#This Row],[Column5]]),"")</f>
        <v/>
      </c>
      <c r="H269" s="79" t="str">
        <f>IF(ISNUMBER(deployment_raw[[#This Row],[Column19]]), IF(I269&lt;&gt;0,(deployment_raw[[#This Row],[Column19]]/IF(OR($E$2="Deployment",deployment_raw[[#This Row],[Column5]]=0),1,deployment_raw[[#This Row],[Column5]]))/I269,0),"")</f>
        <v/>
      </c>
      <c r="I269" s="69" t="str">
        <f>IF(ISNUMBER(deployment_raw[[#This Row],[Column6]]), (deployment_raw[[#This Row],[Column6]] * IF($E$2="Deployment",deployment_raw[[#This Row],[Column5]],1)),"")</f>
        <v/>
      </c>
      <c r="J269" s="79" t="str">
        <f>IF(ISNUMBER(deployment_raw[[#This Row],[Column19]]), IF(K269&lt;&gt;0,(deployment_raw[[#This Row],[Column19]]/IF(OR($E$2="Deployment",deployment_raw[[#This Row],[Column5]]=0),1,deployment_raw[[#This Row],[Column5]]))/K269,0),"")</f>
        <v/>
      </c>
      <c r="K269" s="72" t="str">
        <f>IF(ISNUMBER(deployment_raw[[#This Row],[Column8]]), (deployment_raw[[#This Row],[Column8]]  * IF($E$2="Deployment",deployment_raw[[#This Row],[Column5]],1)),"")</f>
        <v/>
      </c>
      <c r="L26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6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69" s="81" t="str">
        <f>IF(ISNUMBER(deployment_raw[[#This Row],[Column20]]), IF(O269&lt;&gt;0,deployment_raw[[#This Row],[Column20]]/IF(OR($E$2="Deployment",deployment_raw[[#This Row],[Column5]]=0),1,deployment_raw[[#This Row],[Column5]])/1048576/O269,0),"")</f>
        <v/>
      </c>
      <c r="O269" s="74" t="str">
        <f>IF(ISNUMBER(deployment_raw[[#This Row],[Column7]]), (deployment_raw[[#This Row],[Column7]] * IF($E$2="Deployment",deployment_raw[[#This Row],[Column5]],1))/1048576,"")</f>
        <v/>
      </c>
      <c r="P269" s="81" t="str">
        <f>IF(ISNUMBER(deployment_raw[[#This Row],[Column20]]), IF(Q269&lt;&gt;0,deployment_raw[[#This Row],[Column20]]/IF(OR($E$2="Deployment",deployment_raw[[#This Row],[Column5]]=0),1,deployment_raw[[#This Row],[Column5]])/1048576/Q269,0),"")</f>
        <v/>
      </c>
      <c r="Q269" s="76" t="str">
        <f>IF(ISNUMBER(deployment_raw[[#This Row],[Column9]]), (deployment_raw[[#This Row],[Column9]] * IF($E$2="Deployment",deployment_raw[[#This Row],[Column5]],1))/1048576,"")</f>
        <v/>
      </c>
      <c r="R269" s="57" t="str">
        <f>IF(ISNUMBER(deployment_raw[[#This Row],[Column10]]), (deployment_raw[[#This Row],[Column10]] * IF($E$2="Deployment",deployment_raw[[#This Row],[Column5]],1)),"")</f>
        <v/>
      </c>
      <c r="S269" s="48" t="str">
        <f>IF(ISNUMBER(deployment_raw[[#This Row],[Column11]]), (deployment_raw[[#This Row],[Column11]] * IF($E$2="Deployment",deployment_raw[[#This Row],[Column5]],1))/1048576,"")</f>
        <v/>
      </c>
      <c r="T269" s="59" t="str">
        <f>IF(ISNUMBER(deployment_raw[[#This Row],[Column8]]),IF(OR(deployment_raw[[#This Row],[Column5]] &lt;&gt; 0,$E$2 &lt;&gt; "Deployment"), MAX(V269, ($T$2 * IF($E$2="Deployment",deployment_raw[[#This Row],[Column5]],1))), 0),"")</f>
        <v/>
      </c>
      <c r="U269" s="50" t="str">
        <f>IF(ISNUMBER(deployment_raw[[#This Row],[Column9]]),IF(OR(deployment_raw[[#This Row],[Column5]] &lt;&gt; 0,$E$2&lt;&gt;"Deployment"), MAX(W269, ($U$2 * IF($E$2="Deployment",deployment_raw[[#This Row],[Column5]],1))), 0),"")</f>
        <v/>
      </c>
      <c r="V269" s="15" t="str">
        <f>IF(ISNUMBER(deployment_raw[[#This Row],[Column12]]), (deployment_raw[[#This Row],[Column12]] * IF($E$2="Deployment",deployment_raw[[#This Row],[Column5]],1)*(1+$V$2)),"")</f>
        <v/>
      </c>
      <c r="W269" s="14" t="str">
        <f>IF(ISNUMBER(deployment_raw[[#This Row],[Column13]]), (deployment_raw[[#This Row],[Column13]] * IF($E$2="Deployment",deployment_raw[[#This Row],[Column5]],1)*(1+$W$2))/1048576,"")</f>
        <v/>
      </c>
    </row>
    <row r="270" spans="1:23" ht="15.75" customHeight="1" x14ac:dyDescent="0.25">
      <c r="A270" s="5" t="str">
        <f>IF(ISNONTEXT(deployment_raw[[#This Row],[Column1]]), "", deployment_raw[[#This Row],[Column1]])</f>
        <v/>
      </c>
      <c r="B270" s="6" t="str">
        <f>IF(ISNONTEXT(deployment_raw[[#This Row],[Column2]]), "", deployment_raw[[#This Row],[Column2]])</f>
        <v/>
      </c>
      <c r="C270" s="6" t="str">
        <f>IF(ISNONTEXT(deployment_raw[[#This Row],[Column3]]), "", deployment_raw[[#This Row],[Column3]])</f>
        <v/>
      </c>
      <c r="D270" s="6" t="str">
        <f>IF(ISNONTEXT(deployment_raw[[#This Row],[Column4]]), "", deployment_raw[[#This Row],[Column4]])</f>
        <v/>
      </c>
      <c r="E270" s="7" t="str">
        <f>IF(ISNUMBER(deployment_raw[[#This Row],[Column5]]), deployment_raw[[#This Row],[Column5]],"")</f>
        <v/>
      </c>
      <c r="F270" s="32" t="str">
        <f>IF(ISNUMBER(deployment_raw[[#This Row],[Column17]]), deployment_raw[[#This Row],[Column17]]/IF(OR($E$2="Deployment",deployment_raw[[#This Row],[Column5]]=0),1,deployment_raw[[#This Row],[Column5]]),"")</f>
        <v/>
      </c>
      <c r="G270" s="42" t="str">
        <f>IF(ISNUMBER(deployment_raw[[#This Row],[Column14]]), deployment_raw[[#This Row],[Column14]]/IF(OR($E$2="Deployment",deployment_raw[[#This Row],[Column5]]=0),1,deployment_raw[[#This Row],[Column5]]),"")</f>
        <v/>
      </c>
      <c r="H270" s="79" t="str">
        <f>IF(ISNUMBER(deployment_raw[[#This Row],[Column19]]), IF(I270&lt;&gt;0,(deployment_raw[[#This Row],[Column19]]/IF(OR($E$2="Deployment",deployment_raw[[#This Row],[Column5]]=0),1,deployment_raw[[#This Row],[Column5]]))/I270,0),"")</f>
        <v/>
      </c>
      <c r="I270" s="69" t="str">
        <f>IF(ISNUMBER(deployment_raw[[#This Row],[Column6]]), (deployment_raw[[#This Row],[Column6]] * IF($E$2="Deployment",deployment_raw[[#This Row],[Column5]],1)),"")</f>
        <v/>
      </c>
      <c r="J270" s="79" t="str">
        <f>IF(ISNUMBER(deployment_raw[[#This Row],[Column19]]), IF(K270&lt;&gt;0,(deployment_raw[[#This Row],[Column19]]/IF(OR($E$2="Deployment",deployment_raw[[#This Row],[Column5]]=0),1,deployment_raw[[#This Row],[Column5]]))/K270,0),"")</f>
        <v/>
      </c>
      <c r="K270" s="72" t="str">
        <f>IF(ISNUMBER(deployment_raw[[#This Row],[Column8]]), (deployment_raw[[#This Row],[Column8]]  * IF($E$2="Deployment",deployment_raw[[#This Row],[Column5]],1)),"")</f>
        <v/>
      </c>
      <c r="L27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7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70" s="81" t="str">
        <f>IF(ISNUMBER(deployment_raw[[#This Row],[Column20]]), IF(O270&lt;&gt;0,deployment_raw[[#This Row],[Column20]]/IF(OR($E$2="Deployment",deployment_raw[[#This Row],[Column5]]=0),1,deployment_raw[[#This Row],[Column5]])/1048576/O270,0),"")</f>
        <v/>
      </c>
      <c r="O270" s="74" t="str">
        <f>IF(ISNUMBER(deployment_raw[[#This Row],[Column7]]), (deployment_raw[[#This Row],[Column7]] * IF($E$2="Deployment",deployment_raw[[#This Row],[Column5]],1))/1048576,"")</f>
        <v/>
      </c>
      <c r="P270" s="81" t="str">
        <f>IF(ISNUMBER(deployment_raw[[#This Row],[Column20]]), IF(Q270&lt;&gt;0,deployment_raw[[#This Row],[Column20]]/IF(OR($E$2="Deployment",deployment_raw[[#This Row],[Column5]]=0),1,deployment_raw[[#This Row],[Column5]])/1048576/Q270,0),"")</f>
        <v/>
      </c>
      <c r="Q270" s="76" t="str">
        <f>IF(ISNUMBER(deployment_raw[[#This Row],[Column9]]), (deployment_raw[[#This Row],[Column9]] * IF($E$2="Deployment",deployment_raw[[#This Row],[Column5]],1))/1048576,"")</f>
        <v/>
      </c>
      <c r="R270" s="57" t="str">
        <f>IF(ISNUMBER(deployment_raw[[#This Row],[Column10]]), (deployment_raw[[#This Row],[Column10]] * IF($E$2="Deployment",deployment_raw[[#This Row],[Column5]],1)),"")</f>
        <v/>
      </c>
      <c r="S270" s="48" t="str">
        <f>IF(ISNUMBER(deployment_raw[[#This Row],[Column11]]), (deployment_raw[[#This Row],[Column11]] * IF($E$2="Deployment",deployment_raw[[#This Row],[Column5]],1))/1048576,"")</f>
        <v/>
      </c>
      <c r="T270" s="59" t="str">
        <f>IF(ISNUMBER(deployment_raw[[#This Row],[Column8]]),IF(OR(deployment_raw[[#This Row],[Column5]] &lt;&gt; 0,$E$2 &lt;&gt; "Deployment"), MAX(V270, ($T$2 * IF($E$2="Deployment",deployment_raw[[#This Row],[Column5]],1))), 0),"")</f>
        <v/>
      </c>
      <c r="U270" s="50" t="str">
        <f>IF(ISNUMBER(deployment_raw[[#This Row],[Column9]]),IF(OR(deployment_raw[[#This Row],[Column5]] &lt;&gt; 0,$E$2&lt;&gt;"Deployment"), MAX(W270, ($U$2 * IF($E$2="Deployment",deployment_raw[[#This Row],[Column5]],1))), 0),"")</f>
        <v/>
      </c>
      <c r="V270" s="15" t="str">
        <f>IF(ISNUMBER(deployment_raw[[#This Row],[Column12]]), (deployment_raw[[#This Row],[Column12]] * IF($E$2="Deployment",deployment_raw[[#This Row],[Column5]],1)*(1+$V$2)),"")</f>
        <v/>
      </c>
      <c r="W270" s="14" t="str">
        <f>IF(ISNUMBER(deployment_raw[[#This Row],[Column13]]), (deployment_raw[[#This Row],[Column13]] * IF($E$2="Deployment",deployment_raw[[#This Row],[Column5]],1)*(1+$W$2))/1048576,"")</f>
        <v/>
      </c>
    </row>
    <row r="271" spans="1:23" ht="15.75" customHeight="1" x14ac:dyDescent="0.25">
      <c r="A271" s="5" t="str">
        <f>IF(ISNONTEXT(deployment_raw[[#This Row],[Column1]]), "", deployment_raw[[#This Row],[Column1]])</f>
        <v/>
      </c>
      <c r="B271" s="6" t="str">
        <f>IF(ISNONTEXT(deployment_raw[[#This Row],[Column2]]), "", deployment_raw[[#This Row],[Column2]])</f>
        <v/>
      </c>
      <c r="C271" s="6" t="str">
        <f>IF(ISNONTEXT(deployment_raw[[#This Row],[Column3]]), "", deployment_raw[[#This Row],[Column3]])</f>
        <v/>
      </c>
      <c r="D271" s="6" t="str">
        <f>IF(ISNONTEXT(deployment_raw[[#This Row],[Column4]]), "", deployment_raw[[#This Row],[Column4]])</f>
        <v/>
      </c>
      <c r="E271" s="7" t="str">
        <f>IF(ISNUMBER(deployment_raw[[#This Row],[Column5]]), deployment_raw[[#This Row],[Column5]],"")</f>
        <v/>
      </c>
      <c r="F271" s="32" t="str">
        <f>IF(ISNUMBER(deployment_raw[[#This Row],[Column17]]), deployment_raw[[#This Row],[Column17]]/IF(OR($E$2="Deployment",deployment_raw[[#This Row],[Column5]]=0),1,deployment_raw[[#This Row],[Column5]]),"")</f>
        <v/>
      </c>
      <c r="G271" s="42" t="str">
        <f>IF(ISNUMBER(deployment_raw[[#This Row],[Column14]]), deployment_raw[[#This Row],[Column14]]/IF(OR($E$2="Deployment",deployment_raw[[#This Row],[Column5]]=0),1,deployment_raw[[#This Row],[Column5]]),"")</f>
        <v/>
      </c>
      <c r="H271" s="79" t="str">
        <f>IF(ISNUMBER(deployment_raw[[#This Row],[Column19]]), IF(I271&lt;&gt;0,(deployment_raw[[#This Row],[Column19]]/IF(OR($E$2="Deployment",deployment_raw[[#This Row],[Column5]]=0),1,deployment_raw[[#This Row],[Column5]]))/I271,0),"")</f>
        <v/>
      </c>
      <c r="I271" s="69" t="str">
        <f>IF(ISNUMBER(deployment_raw[[#This Row],[Column6]]), (deployment_raw[[#This Row],[Column6]] * IF($E$2="Deployment",deployment_raw[[#This Row],[Column5]],1)),"")</f>
        <v/>
      </c>
      <c r="J271" s="79" t="str">
        <f>IF(ISNUMBER(deployment_raw[[#This Row],[Column19]]), IF(K271&lt;&gt;0,(deployment_raw[[#This Row],[Column19]]/IF(OR($E$2="Deployment",deployment_raw[[#This Row],[Column5]]=0),1,deployment_raw[[#This Row],[Column5]]))/K271,0),"")</f>
        <v/>
      </c>
      <c r="K271" s="72" t="str">
        <f>IF(ISNUMBER(deployment_raw[[#This Row],[Column8]]), (deployment_raw[[#This Row],[Column8]]  * IF($E$2="Deployment",deployment_raw[[#This Row],[Column5]],1)),"")</f>
        <v/>
      </c>
      <c r="L27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7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71" s="81" t="str">
        <f>IF(ISNUMBER(deployment_raw[[#This Row],[Column20]]), IF(O271&lt;&gt;0,deployment_raw[[#This Row],[Column20]]/IF(OR($E$2="Deployment",deployment_raw[[#This Row],[Column5]]=0),1,deployment_raw[[#This Row],[Column5]])/1048576/O271,0),"")</f>
        <v/>
      </c>
      <c r="O271" s="74" t="str">
        <f>IF(ISNUMBER(deployment_raw[[#This Row],[Column7]]), (deployment_raw[[#This Row],[Column7]] * IF($E$2="Deployment",deployment_raw[[#This Row],[Column5]],1))/1048576,"")</f>
        <v/>
      </c>
      <c r="P271" s="81" t="str">
        <f>IF(ISNUMBER(deployment_raw[[#This Row],[Column20]]), IF(Q271&lt;&gt;0,deployment_raw[[#This Row],[Column20]]/IF(OR($E$2="Deployment",deployment_raw[[#This Row],[Column5]]=0),1,deployment_raw[[#This Row],[Column5]])/1048576/Q271,0),"")</f>
        <v/>
      </c>
      <c r="Q271" s="76" t="str">
        <f>IF(ISNUMBER(deployment_raw[[#This Row],[Column9]]), (deployment_raw[[#This Row],[Column9]] * IF($E$2="Deployment",deployment_raw[[#This Row],[Column5]],1))/1048576,"")</f>
        <v/>
      </c>
      <c r="R271" s="57" t="str">
        <f>IF(ISNUMBER(deployment_raw[[#This Row],[Column10]]), (deployment_raw[[#This Row],[Column10]] * IF($E$2="Deployment",deployment_raw[[#This Row],[Column5]],1)),"")</f>
        <v/>
      </c>
      <c r="S271" s="48" t="str">
        <f>IF(ISNUMBER(deployment_raw[[#This Row],[Column11]]), (deployment_raw[[#This Row],[Column11]] * IF($E$2="Deployment",deployment_raw[[#This Row],[Column5]],1))/1048576,"")</f>
        <v/>
      </c>
      <c r="T271" s="59" t="str">
        <f>IF(ISNUMBER(deployment_raw[[#This Row],[Column8]]),IF(OR(deployment_raw[[#This Row],[Column5]] &lt;&gt; 0,$E$2 &lt;&gt; "Deployment"), MAX(V271, ($T$2 * IF($E$2="Deployment",deployment_raw[[#This Row],[Column5]],1))), 0),"")</f>
        <v/>
      </c>
      <c r="U271" s="50" t="str">
        <f>IF(ISNUMBER(deployment_raw[[#This Row],[Column9]]),IF(OR(deployment_raw[[#This Row],[Column5]] &lt;&gt; 0,$E$2&lt;&gt;"Deployment"), MAX(W271, ($U$2 * IF($E$2="Deployment",deployment_raw[[#This Row],[Column5]],1))), 0),"")</f>
        <v/>
      </c>
      <c r="V271" s="15" t="str">
        <f>IF(ISNUMBER(deployment_raw[[#This Row],[Column12]]), (deployment_raw[[#This Row],[Column12]] * IF($E$2="Deployment",deployment_raw[[#This Row],[Column5]],1)*(1+$V$2)),"")</f>
        <v/>
      </c>
      <c r="W271" s="14" t="str">
        <f>IF(ISNUMBER(deployment_raw[[#This Row],[Column13]]), (deployment_raw[[#This Row],[Column13]] * IF($E$2="Deployment",deployment_raw[[#This Row],[Column5]],1)*(1+$W$2))/1048576,"")</f>
        <v/>
      </c>
    </row>
    <row r="272" spans="1:23" ht="15.75" customHeight="1" x14ac:dyDescent="0.25">
      <c r="A272" s="5" t="str">
        <f>IF(ISNONTEXT(deployment_raw[[#This Row],[Column1]]), "", deployment_raw[[#This Row],[Column1]])</f>
        <v/>
      </c>
      <c r="B272" s="6" t="str">
        <f>IF(ISNONTEXT(deployment_raw[[#This Row],[Column2]]), "", deployment_raw[[#This Row],[Column2]])</f>
        <v/>
      </c>
      <c r="C272" s="6" t="str">
        <f>IF(ISNONTEXT(deployment_raw[[#This Row],[Column3]]), "", deployment_raw[[#This Row],[Column3]])</f>
        <v/>
      </c>
      <c r="D272" s="6" t="str">
        <f>IF(ISNONTEXT(deployment_raw[[#This Row],[Column4]]), "", deployment_raw[[#This Row],[Column4]])</f>
        <v/>
      </c>
      <c r="E272" s="7" t="str">
        <f>IF(ISNUMBER(deployment_raw[[#This Row],[Column5]]), deployment_raw[[#This Row],[Column5]],"")</f>
        <v/>
      </c>
      <c r="F272" s="32" t="str">
        <f>IF(ISNUMBER(deployment_raw[[#This Row],[Column17]]), deployment_raw[[#This Row],[Column17]]/IF(OR($E$2="Deployment",deployment_raw[[#This Row],[Column5]]=0),1,deployment_raw[[#This Row],[Column5]]),"")</f>
        <v/>
      </c>
      <c r="G272" s="42" t="str">
        <f>IF(ISNUMBER(deployment_raw[[#This Row],[Column14]]), deployment_raw[[#This Row],[Column14]]/IF(OR($E$2="Deployment",deployment_raw[[#This Row],[Column5]]=0),1,deployment_raw[[#This Row],[Column5]]),"")</f>
        <v/>
      </c>
      <c r="H272" s="79" t="str">
        <f>IF(ISNUMBER(deployment_raw[[#This Row],[Column19]]), IF(I272&lt;&gt;0,(deployment_raw[[#This Row],[Column19]]/IF(OR($E$2="Deployment",deployment_raw[[#This Row],[Column5]]=0),1,deployment_raw[[#This Row],[Column5]]))/I272,0),"")</f>
        <v/>
      </c>
      <c r="I272" s="69" t="str">
        <f>IF(ISNUMBER(deployment_raw[[#This Row],[Column6]]), (deployment_raw[[#This Row],[Column6]] * IF($E$2="Deployment",deployment_raw[[#This Row],[Column5]],1)),"")</f>
        <v/>
      </c>
      <c r="J272" s="79" t="str">
        <f>IF(ISNUMBER(deployment_raw[[#This Row],[Column19]]), IF(K272&lt;&gt;0,(deployment_raw[[#This Row],[Column19]]/IF(OR($E$2="Deployment",deployment_raw[[#This Row],[Column5]]=0),1,deployment_raw[[#This Row],[Column5]]))/K272,0),"")</f>
        <v/>
      </c>
      <c r="K272" s="72" t="str">
        <f>IF(ISNUMBER(deployment_raw[[#This Row],[Column8]]), (deployment_raw[[#This Row],[Column8]]  * IF($E$2="Deployment",deployment_raw[[#This Row],[Column5]],1)),"")</f>
        <v/>
      </c>
      <c r="L27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7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72" s="81" t="str">
        <f>IF(ISNUMBER(deployment_raw[[#This Row],[Column20]]), IF(O272&lt;&gt;0,deployment_raw[[#This Row],[Column20]]/IF(OR($E$2="Deployment",deployment_raw[[#This Row],[Column5]]=0),1,deployment_raw[[#This Row],[Column5]])/1048576/O272,0),"")</f>
        <v/>
      </c>
      <c r="O272" s="74" t="str">
        <f>IF(ISNUMBER(deployment_raw[[#This Row],[Column7]]), (deployment_raw[[#This Row],[Column7]] * IF($E$2="Deployment",deployment_raw[[#This Row],[Column5]],1))/1048576,"")</f>
        <v/>
      </c>
      <c r="P272" s="81" t="str">
        <f>IF(ISNUMBER(deployment_raw[[#This Row],[Column20]]), IF(Q272&lt;&gt;0,deployment_raw[[#This Row],[Column20]]/IF(OR($E$2="Deployment",deployment_raw[[#This Row],[Column5]]=0),1,deployment_raw[[#This Row],[Column5]])/1048576/Q272,0),"")</f>
        <v/>
      </c>
      <c r="Q272" s="76" t="str">
        <f>IF(ISNUMBER(deployment_raw[[#This Row],[Column9]]), (deployment_raw[[#This Row],[Column9]] * IF($E$2="Deployment",deployment_raw[[#This Row],[Column5]],1))/1048576,"")</f>
        <v/>
      </c>
      <c r="R272" s="57" t="str">
        <f>IF(ISNUMBER(deployment_raw[[#This Row],[Column10]]), (deployment_raw[[#This Row],[Column10]] * IF($E$2="Deployment",deployment_raw[[#This Row],[Column5]],1)),"")</f>
        <v/>
      </c>
      <c r="S272" s="48" t="str">
        <f>IF(ISNUMBER(deployment_raw[[#This Row],[Column11]]), (deployment_raw[[#This Row],[Column11]] * IF($E$2="Deployment",deployment_raw[[#This Row],[Column5]],1))/1048576,"")</f>
        <v/>
      </c>
      <c r="T272" s="59" t="str">
        <f>IF(ISNUMBER(deployment_raw[[#This Row],[Column8]]),IF(OR(deployment_raw[[#This Row],[Column5]] &lt;&gt; 0,$E$2 &lt;&gt; "Deployment"), MAX(V272, ($T$2 * IF($E$2="Deployment",deployment_raw[[#This Row],[Column5]],1))), 0),"")</f>
        <v/>
      </c>
      <c r="U272" s="50" t="str">
        <f>IF(ISNUMBER(deployment_raw[[#This Row],[Column9]]),IF(OR(deployment_raw[[#This Row],[Column5]] &lt;&gt; 0,$E$2&lt;&gt;"Deployment"), MAX(W272, ($U$2 * IF($E$2="Deployment",deployment_raw[[#This Row],[Column5]],1))), 0),"")</f>
        <v/>
      </c>
      <c r="V272" s="15" t="str">
        <f>IF(ISNUMBER(deployment_raw[[#This Row],[Column12]]), (deployment_raw[[#This Row],[Column12]] * IF($E$2="Deployment",deployment_raw[[#This Row],[Column5]],1)*(1+$V$2)),"")</f>
        <v/>
      </c>
      <c r="W272" s="14" t="str">
        <f>IF(ISNUMBER(deployment_raw[[#This Row],[Column13]]), (deployment_raw[[#This Row],[Column13]] * IF($E$2="Deployment",deployment_raw[[#This Row],[Column5]],1)*(1+$W$2))/1048576,"")</f>
        <v/>
      </c>
    </row>
    <row r="273" spans="1:23" ht="15.75" customHeight="1" x14ac:dyDescent="0.25">
      <c r="A273" s="5" t="str">
        <f>IF(ISNONTEXT(deployment_raw[[#This Row],[Column1]]), "", deployment_raw[[#This Row],[Column1]])</f>
        <v/>
      </c>
      <c r="B273" s="6" t="str">
        <f>IF(ISNONTEXT(deployment_raw[[#This Row],[Column2]]), "", deployment_raw[[#This Row],[Column2]])</f>
        <v/>
      </c>
      <c r="C273" s="6" t="str">
        <f>IF(ISNONTEXT(deployment_raw[[#This Row],[Column3]]), "", deployment_raw[[#This Row],[Column3]])</f>
        <v/>
      </c>
      <c r="D273" s="6" t="str">
        <f>IF(ISNONTEXT(deployment_raw[[#This Row],[Column4]]), "", deployment_raw[[#This Row],[Column4]])</f>
        <v/>
      </c>
      <c r="E273" s="7" t="str">
        <f>IF(ISNUMBER(deployment_raw[[#This Row],[Column5]]), deployment_raw[[#This Row],[Column5]],"")</f>
        <v/>
      </c>
      <c r="F273" s="32" t="str">
        <f>IF(ISNUMBER(deployment_raw[[#This Row],[Column17]]), deployment_raw[[#This Row],[Column17]]/IF(OR($E$2="Deployment",deployment_raw[[#This Row],[Column5]]=0),1,deployment_raw[[#This Row],[Column5]]),"")</f>
        <v/>
      </c>
      <c r="G273" s="42" t="str">
        <f>IF(ISNUMBER(deployment_raw[[#This Row],[Column14]]), deployment_raw[[#This Row],[Column14]]/IF(OR($E$2="Deployment",deployment_raw[[#This Row],[Column5]]=0),1,deployment_raw[[#This Row],[Column5]]),"")</f>
        <v/>
      </c>
      <c r="H273" s="79" t="str">
        <f>IF(ISNUMBER(deployment_raw[[#This Row],[Column19]]), IF(I273&lt;&gt;0,(deployment_raw[[#This Row],[Column19]]/IF(OR($E$2="Deployment",deployment_raw[[#This Row],[Column5]]=0),1,deployment_raw[[#This Row],[Column5]]))/I273,0),"")</f>
        <v/>
      </c>
      <c r="I273" s="69" t="str">
        <f>IF(ISNUMBER(deployment_raw[[#This Row],[Column6]]), (deployment_raw[[#This Row],[Column6]] * IF($E$2="Deployment",deployment_raw[[#This Row],[Column5]],1)),"")</f>
        <v/>
      </c>
      <c r="J273" s="79" t="str">
        <f>IF(ISNUMBER(deployment_raw[[#This Row],[Column19]]), IF(K273&lt;&gt;0,(deployment_raw[[#This Row],[Column19]]/IF(OR($E$2="Deployment",deployment_raw[[#This Row],[Column5]]=0),1,deployment_raw[[#This Row],[Column5]]))/K273,0),"")</f>
        <v/>
      </c>
      <c r="K273" s="72" t="str">
        <f>IF(ISNUMBER(deployment_raw[[#This Row],[Column8]]), (deployment_raw[[#This Row],[Column8]]  * IF($E$2="Deployment",deployment_raw[[#This Row],[Column5]],1)),"")</f>
        <v/>
      </c>
      <c r="L27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7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73" s="81" t="str">
        <f>IF(ISNUMBER(deployment_raw[[#This Row],[Column20]]), IF(O273&lt;&gt;0,deployment_raw[[#This Row],[Column20]]/IF(OR($E$2="Deployment",deployment_raw[[#This Row],[Column5]]=0),1,deployment_raw[[#This Row],[Column5]])/1048576/O273,0),"")</f>
        <v/>
      </c>
      <c r="O273" s="74" t="str">
        <f>IF(ISNUMBER(deployment_raw[[#This Row],[Column7]]), (deployment_raw[[#This Row],[Column7]] * IF($E$2="Deployment",deployment_raw[[#This Row],[Column5]],1))/1048576,"")</f>
        <v/>
      </c>
      <c r="P273" s="81" t="str">
        <f>IF(ISNUMBER(deployment_raw[[#This Row],[Column20]]), IF(Q273&lt;&gt;0,deployment_raw[[#This Row],[Column20]]/IF(OR($E$2="Deployment",deployment_raw[[#This Row],[Column5]]=0),1,deployment_raw[[#This Row],[Column5]])/1048576/Q273,0),"")</f>
        <v/>
      </c>
      <c r="Q273" s="76" t="str">
        <f>IF(ISNUMBER(deployment_raw[[#This Row],[Column9]]), (deployment_raw[[#This Row],[Column9]] * IF($E$2="Deployment",deployment_raw[[#This Row],[Column5]],1))/1048576,"")</f>
        <v/>
      </c>
      <c r="R273" s="57" t="str">
        <f>IF(ISNUMBER(deployment_raw[[#This Row],[Column10]]), (deployment_raw[[#This Row],[Column10]] * IF($E$2="Deployment",deployment_raw[[#This Row],[Column5]],1)),"")</f>
        <v/>
      </c>
      <c r="S273" s="48" t="str">
        <f>IF(ISNUMBER(deployment_raw[[#This Row],[Column11]]), (deployment_raw[[#This Row],[Column11]] * IF($E$2="Deployment",deployment_raw[[#This Row],[Column5]],1))/1048576,"")</f>
        <v/>
      </c>
      <c r="T273" s="59" t="str">
        <f>IF(ISNUMBER(deployment_raw[[#This Row],[Column8]]),IF(OR(deployment_raw[[#This Row],[Column5]] &lt;&gt; 0,$E$2 &lt;&gt; "Deployment"), MAX(V273, ($T$2 * IF($E$2="Deployment",deployment_raw[[#This Row],[Column5]],1))), 0),"")</f>
        <v/>
      </c>
      <c r="U273" s="50" t="str">
        <f>IF(ISNUMBER(deployment_raw[[#This Row],[Column9]]),IF(OR(deployment_raw[[#This Row],[Column5]] &lt;&gt; 0,$E$2&lt;&gt;"Deployment"), MAX(W273, ($U$2 * IF($E$2="Deployment",deployment_raw[[#This Row],[Column5]],1))), 0),"")</f>
        <v/>
      </c>
      <c r="V273" s="15" t="str">
        <f>IF(ISNUMBER(deployment_raw[[#This Row],[Column12]]), (deployment_raw[[#This Row],[Column12]] * IF($E$2="Deployment",deployment_raw[[#This Row],[Column5]],1)*(1+$V$2)),"")</f>
        <v/>
      </c>
      <c r="W273" s="14" t="str">
        <f>IF(ISNUMBER(deployment_raw[[#This Row],[Column13]]), (deployment_raw[[#This Row],[Column13]] * IF($E$2="Deployment",deployment_raw[[#This Row],[Column5]],1)*(1+$W$2))/1048576,"")</f>
        <v/>
      </c>
    </row>
    <row r="274" spans="1:23" ht="15.75" customHeight="1" x14ac:dyDescent="0.25">
      <c r="A274" s="5" t="str">
        <f>IF(ISNONTEXT(deployment_raw[[#This Row],[Column1]]), "", deployment_raw[[#This Row],[Column1]])</f>
        <v/>
      </c>
      <c r="B274" s="6" t="str">
        <f>IF(ISNONTEXT(deployment_raw[[#This Row],[Column2]]), "", deployment_raw[[#This Row],[Column2]])</f>
        <v/>
      </c>
      <c r="C274" s="6" t="str">
        <f>IF(ISNONTEXT(deployment_raw[[#This Row],[Column3]]), "", deployment_raw[[#This Row],[Column3]])</f>
        <v/>
      </c>
      <c r="D274" s="6" t="str">
        <f>IF(ISNONTEXT(deployment_raw[[#This Row],[Column4]]), "", deployment_raw[[#This Row],[Column4]])</f>
        <v/>
      </c>
      <c r="E274" s="7" t="str">
        <f>IF(ISNUMBER(deployment_raw[[#This Row],[Column5]]), deployment_raw[[#This Row],[Column5]],"")</f>
        <v/>
      </c>
      <c r="F274" s="32" t="str">
        <f>IF(ISNUMBER(deployment_raw[[#This Row],[Column17]]), deployment_raw[[#This Row],[Column17]]/IF(OR($E$2="Deployment",deployment_raw[[#This Row],[Column5]]=0),1,deployment_raw[[#This Row],[Column5]]),"")</f>
        <v/>
      </c>
      <c r="G274" s="42" t="str">
        <f>IF(ISNUMBER(deployment_raw[[#This Row],[Column14]]), deployment_raw[[#This Row],[Column14]]/IF(OR($E$2="Deployment",deployment_raw[[#This Row],[Column5]]=0),1,deployment_raw[[#This Row],[Column5]]),"")</f>
        <v/>
      </c>
      <c r="H274" s="79" t="str">
        <f>IF(ISNUMBER(deployment_raw[[#This Row],[Column19]]), IF(I274&lt;&gt;0,(deployment_raw[[#This Row],[Column19]]/IF(OR($E$2="Deployment",deployment_raw[[#This Row],[Column5]]=0),1,deployment_raw[[#This Row],[Column5]]))/I274,0),"")</f>
        <v/>
      </c>
      <c r="I274" s="69" t="str">
        <f>IF(ISNUMBER(deployment_raw[[#This Row],[Column6]]), (deployment_raw[[#This Row],[Column6]] * IF($E$2="Deployment",deployment_raw[[#This Row],[Column5]],1)),"")</f>
        <v/>
      </c>
      <c r="J274" s="79" t="str">
        <f>IF(ISNUMBER(deployment_raw[[#This Row],[Column19]]), IF(K274&lt;&gt;0,(deployment_raw[[#This Row],[Column19]]/IF(OR($E$2="Deployment",deployment_raw[[#This Row],[Column5]]=0),1,deployment_raw[[#This Row],[Column5]]))/K274,0),"")</f>
        <v/>
      </c>
      <c r="K274" s="72" t="str">
        <f>IF(ISNUMBER(deployment_raw[[#This Row],[Column8]]), (deployment_raw[[#This Row],[Column8]]  * IF($E$2="Deployment",deployment_raw[[#This Row],[Column5]],1)),"")</f>
        <v/>
      </c>
      <c r="L27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7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74" s="81" t="str">
        <f>IF(ISNUMBER(deployment_raw[[#This Row],[Column20]]), IF(O274&lt;&gt;0,deployment_raw[[#This Row],[Column20]]/IF(OR($E$2="Deployment",deployment_raw[[#This Row],[Column5]]=0),1,deployment_raw[[#This Row],[Column5]])/1048576/O274,0),"")</f>
        <v/>
      </c>
      <c r="O274" s="74" t="str">
        <f>IF(ISNUMBER(deployment_raw[[#This Row],[Column7]]), (deployment_raw[[#This Row],[Column7]] * IF($E$2="Deployment",deployment_raw[[#This Row],[Column5]],1))/1048576,"")</f>
        <v/>
      </c>
      <c r="P274" s="81" t="str">
        <f>IF(ISNUMBER(deployment_raw[[#This Row],[Column20]]), IF(Q274&lt;&gt;0,deployment_raw[[#This Row],[Column20]]/IF(OR($E$2="Deployment",deployment_raw[[#This Row],[Column5]]=0),1,deployment_raw[[#This Row],[Column5]])/1048576/Q274,0),"")</f>
        <v/>
      </c>
      <c r="Q274" s="76" t="str">
        <f>IF(ISNUMBER(deployment_raw[[#This Row],[Column9]]), (deployment_raw[[#This Row],[Column9]] * IF($E$2="Deployment",deployment_raw[[#This Row],[Column5]],1))/1048576,"")</f>
        <v/>
      </c>
      <c r="R274" s="57" t="str">
        <f>IF(ISNUMBER(deployment_raw[[#This Row],[Column10]]), (deployment_raw[[#This Row],[Column10]] * IF($E$2="Deployment",deployment_raw[[#This Row],[Column5]],1)),"")</f>
        <v/>
      </c>
      <c r="S274" s="48" t="str">
        <f>IF(ISNUMBER(deployment_raw[[#This Row],[Column11]]), (deployment_raw[[#This Row],[Column11]] * IF($E$2="Deployment",deployment_raw[[#This Row],[Column5]],1))/1048576,"")</f>
        <v/>
      </c>
      <c r="T274" s="59" t="str">
        <f>IF(ISNUMBER(deployment_raw[[#This Row],[Column8]]),IF(OR(deployment_raw[[#This Row],[Column5]] &lt;&gt; 0,$E$2 &lt;&gt; "Deployment"), MAX(V274, ($T$2 * IF($E$2="Deployment",deployment_raw[[#This Row],[Column5]],1))), 0),"")</f>
        <v/>
      </c>
      <c r="U274" s="50" t="str">
        <f>IF(ISNUMBER(deployment_raw[[#This Row],[Column9]]),IF(OR(deployment_raw[[#This Row],[Column5]] &lt;&gt; 0,$E$2&lt;&gt;"Deployment"), MAX(W274, ($U$2 * IF($E$2="Deployment",deployment_raw[[#This Row],[Column5]],1))), 0),"")</f>
        <v/>
      </c>
      <c r="V274" s="15" t="str">
        <f>IF(ISNUMBER(deployment_raw[[#This Row],[Column12]]), (deployment_raw[[#This Row],[Column12]] * IF($E$2="Deployment",deployment_raw[[#This Row],[Column5]],1)*(1+$V$2)),"")</f>
        <v/>
      </c>
      <c r="W274" s="14" t="str">
        <f>IF(ISNUMBER(deployment_raw[[#This Row],[Column13]]), (deployment_raw[[#This Row],[Column13]] * IF($E$2="Deployment",deployment_raw[[#This Row],[Column5]],1)*(1+$W$2))/1048576,"")</f>
        <v/>
      </c>
    </row>
    <row r="275" spans="1:23" ht="15.75" customHeight="1" x14ac:dyDescent="0.25">
      <c r="A275" s="5" t="str">
        <f>IF(ISNONTEXT(deployment_raw[[#This Row],[Column1]]), "", deployment_raw[[#This Row],[Column1]])</f>
        <v/>
      </c>
      <c r="B275" s="6" t="str">
        <f>IF(ISNONTEXT(deployment_raw[[#This Row],[Column2]]), "", deployment_raw[[#This Row],[Column2]])</f>
        <v/>
      </c>
      <c r="C275" s="6" t="str">
        <f>IF(ISNONTEXT(deployment_raw[[#This Row],[Column3]]), "", deployment_raw[[#This Row],[Column3]])</f>
        <v/>
      </c>
      <c r="D275" s="6" t="str">
        <f>IF(ISNONTEXT(deployment_raw[[#This Row],[Column4]]), "", deployment_raw[[#This Row],[Column4]])</f>
        <v/>
      </c>
      <c r="E275" s="7" t="str">
        <f>IF(ISNUMBER(deployment_raw[[#This Row],[Column5]]), deployment_raw[[#This Row],[Column5]],"")</f>
        <v/>
      </c>
      <c r="F275" s="32" t="str">
        <f>IF(ISNUMBER(deployment_raw[[#This Row],[Column17]]), deployment_raw[[#This Row],[Column17]]/IF(OR($E$2="Deployment",deployment_raw[[#This Row],[Column5]]=0),1,deployment_raw[[#This Row],[Column5]]),"")</f>
        <v/>
      </c>
      <c r="G275" s="42" t="str">
        <f>IF(ISNUMBER(deployment_raw[[#This Row],[Column14]]), deployment_raw[[#This Row],[Column14]]/IF(OR($E$2="Deployment",deployment_raw[[#This Row],[Column5]]=0),1,deployment_raw[[#This Row],[Column5]]),"")</f>
        <v/>
      </c>
      <c r="H275" s="79" t="str">
        <f>IF(ISNUMBER(deployment_raw[[#This Row],[Column19]]), IF(I275&lt;&gt;0,(deployment_raw[[#This Row],[Column19]]/IF(OR($E$2="Deployment",deployment_raw[[#This Row],[Column5]]=0),1,deployment_raw[[#This Row],[Column5]]))/I275,0),"")</f>
        <v/>
      </c>
      <c r="I275" s="69" t="str">
        <f>IF(ISNUMBER(deployment_raw[[#This Row],[Column6]]), (deployment_raw[[#This Row],[Column6]] * IF($E$2="Deployment",deployment_raw[[#This Row],[Column5]],1)),"")</f>
        <v/>
      </c>
      <c r="J275" s="79" t="str">
        <f>IF(ISNUMBER(deployment_raw[[#This Row],[Column19]]), IF(K275&lt;&gt;0,(deployment_raw[[#This Row],[Column19]]/IF(OR($E$2="Deployment",deployment_raw[[#This Row],[Column5]]=0),1,deployment_raw[[#This Row],[Column5]]))/K275,0),"")</f>
        <v/>
      </c>
      <c r="K275" s="72" t="str">
        <f>IF(ISNUMBER(deployment_raw[[#This Row],[Column8]]), (deployment_raw[[#This Row],[Column8]]  * IF($E$2="Deployment",deployment_raw[[#This Row],[Column5]],1)),"")</f>
        <v/>
      </c>
      <c r="L27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7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75" s="81" t="str">
        <f>IF(ISNUMBER(deployment_raw[[#This Row],[Column20]]), IF(O275&lt;&gt;0,deployment_raw[[#This Row],[Column20]]/IF(OR($E$2="Deployment",deployment_raw[[#This Row],[Column5]]=0),1,deployment_raw[[#This Row],[Column5]])/1048576/O275,0),"")</f>
        <v/>
      </c>
      <c r="O275" s="74" t="str">
        <f>IF(ISNUMBER(deployment_raw[[#This Row],[Column7]]), (deployment_raw[[#This Row],[Column7]] * IF($E$2="Deployment",deployment_raw[[#This Row],[Column5]],1))/1048576,"")</f>
        <v/>
      </c>
      <c r="P275" s="81" t="str">
        <f>IF(ISNUMBER(deployment_raw[[#This Row],[Column20]]), IF(Q275&lt;&gt;0,deployment_raw[[#This Row],[Column20]]/IF(OR($E$2="Deployment",deployment_raw[[#This Row],[Column5]]=0),1,deployment_raw[[#This Row],[Column5]])/1048576/Q275,0),"")</f>
        <v/>
      </c>
      <c r="Q275" s="76" t="str">
        <f>IF(ISNUMBER(deployment_raw[[#This Row],[Column9]]), (deployment_raw[[#This Row],[Column9]] * IF($E$2="Deployment",deployment_raw[[#This Row],[Column5]],1))/1048576,"")</f>
        <v/>
      </c>
      <c r="R275" s="57" t="str">
        <f>IF(ISNUMBER(deployment_raw[[#This Row],[Column10]]), (deployment_raw[[#This Row],[Column10]] * IF($E$2="Deployment",deployment_raw[[#This Row],[Column5]],1)),"")</f>
        <v/>
      </c>
      <c r="S275" s="48" t="str">
        <f>IF(ISNUMBER(deployment_raw[[#This Row],[Column11]]), (deployment_raw[[#This Row],[Column11]] * IF($E$2="Deployment",deployment_raw[[#This Row],[Column5]],1))/1048576,"")</f>
        <v/>
      </c>
      <c r="T275" s="59" t="str">
        <f>IF(ISNUMBER(deployment_raw[[#This Row],[Column8]]),IF(OR(deployment_raw[[#This Row],[Column5]] &lt;&gt; 0,$E$2 &lt;&gt; "Deployment"), MAX(V275, ($T$2 * IF($E$2="Deployment",deployment_raw[[#This Row],[Column5]],1))), 0),"")</f>
        <v/>
      </c>
      <c r="U275" s="50" t="str">
        <f>IF(ISNUMBER(deployment_raw[[#This Row],[Column9]]),IF(OR(deployment_raw[[#This Row],[Column5]] &lt;&gt; 0,$E$2&lt;&gt;"Deployment"), MAX(W275, ($U$2 * IF($E$2="Deployment",deployment_raw[[#This Row],[Column5]],1))), 0),"")</f>
        <v/>
      </c>
      <c r="V275" s="15" t="str">
        <f>IF(ISNUMBER(deployment_raw[[#This Row],[Column12]]), (deployment_raw[[#This Row],[Column12]] * IF($E$2="Deployment",deployment_raw[[#This Row],[Column5]],1)*(1+$V$2)),"")</f>
        <v/>
      </c>
      <c r="W275" s="14" t="str">
        <f>IF(ISNUMBER(deployment_raw[[#This Row],[Column13]]), (deployment_raw[[#This Row],[Column13]] * IF($E$2="Deployment",deployment_raw[[#This Row],[Column5]],1)*(1+$W$2))/1048576,"")</f>
        <v/>
      </c>
    </row>
    <row r="276" spans="1:23" ht="15.75" customHeight="1" x14ac:dyDescent="0.25">
      <c r="A276" s="5" t="str">
        <f>IF(ISNONTEXT(deployment_raw[[#This Row],[Column1]]), "", deployment_raw[[#This Row],[Column1]])</f>
        <v/>
      </c>
      <c r="B276" s="6" t="str">
        <f>IF(ISNONTEXT(deployment_raw[[#This Row],[Column2]]), "", deployment_raw[[#This Row],[Column2]])</f>
        <v/>
      </c>
      <c r="C276" s="6" t="str">
        <f>IF(ISNONTEXT(deployment_raw[[#This Row],[Column3]]), "", deployment_raw[[#This Row],[Column3]])</f>
        <v/>
      </c>
      <c r="D276" s="6" t="str">
        <f>IF(ISNONTEXT(deployment_raw[[#This Row],[Column4]]), "", deployment_raw[[#This Row],[Column4]])</f>
        <v/>
      </c>
      <c r="E276" s="7" t="str">
        <f>IF(ISNUMBER(deployment_raw[[#This Row],[Column5]]), deployment_raw[[#This Row],[Column5]],"")</f>
        <v/>
      </c>
      <c r="F276" s="32" t="str">
        <f>IF(ISNUMBER(deployment_raw[[#This Row],[Column17]]), deployment_raw[[#This Row],[Column17]]/IF(OR($E$2="Deployment",deployment_raw[[#This Row],[Column5]]=0),1,deployment_raw[[#This Row],[Column5]]),"")</f>
        <v/>
      </c>
      <c r="G276" s="42" t="str">
        <f>IF(ISNUMBER(deployment_raw[[#This Row],[Column14]]), deployment_raw[[#This Row],[Column14]]/IF(OR($E$2="Deployment",deployment_raw[[#This Row],[Column5]]=0),1,deployment_raw[[#This Row],[Column5]]),"")</f>
        <v/>
      </c>
      <c r="H276" s="79" t="str">
        <f>IF(ISNUMBER(deployment_raw[[#This Row],[Column19]]), IF(I276&lt;&gt;0,(deployment_raw[[#This Row],[Column19]]/IF(OR($E$2="Deployment",deployment_raw[[#This Row],[Column5]]=0),1,deployment_raw[[#This Row],[Column5]]))/I276,0),"")</f>
        <v/>
      </c>
      <c r="I276" s="69" t="str">
        <f>IF(ISNUMBER(deployment_raw[[#This Row],[Column6]]), (deployment_raw[[#This Row],[Column6]] * IF($E$2="Deployment",deployment_raw[[#This Row],[Column5]],1)),"")</f>
        <v/>
      </c>
      <c r="J276" s="79" t="str">
        <f>IF(ISNUMBER(deployment_raw[[#This Row],[Column19]]), IF(K276&lt;&gt;0,(deployment_raw[[#This Row],[Column19]]/IF(OR($E$2="Deployment",deployment_raw[[#This Row],[Column5]]=0),1,deployment_raw[[#This Row],[Column5]]))/K276,0),"")</f>
        <v/>
      </c>
      <c r="K276" s="72" t="str">
        <f>IF(ISNUMBER(deployment_raw[[#This Row],[Column8]]), (deployment_raw[[#This Row],[Column8]]  * IF($E$2="Deployment",deployment_raw[[#This Row],[Column5]],1)),"")</f>
        <v/>
      </c>
      <c r="L27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7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76" s="81" t="str">
        <f>IF(ISNUMBER(deployment_raw[[#This Row],[Column20]]), IF(O276&lt;&gt;0,deployment_raw[[#This Row],[Column20]]/IF(OR($E$2="Deployment",deployment_raw[[#This Row],[Column5]]=0),1,deployment_raw[[#This Row],[Column5]])/1048576/O276,0),"")</f>
        <v/>
      </c>
      <c r="O276" s="74" t="str">
        <f>IF(ISNUMBER(deployment_raw[[#This Row],[Column7]]), (deployment_raw[[#This Row],[Column7]] * IF($E$2="Deployment",deployment_raw[[#This Row],[Column5]],1))/1048576,"")</f>
        <v/>
      </c>
      <c r="P276" s="81" t="str">
        <f>IF(ISNUMBER(deployment_raw[[#This Row],[Column20]]), IF(Q276&lt;&gt;0,deployment_raw[[#This Row],[Column20]]/IF(OR($E$2="Deployment",deployment_raw[[#This Row],[Column5]]=0),1,deployment_raw[[#This Row],[Column5]])/1048576/Q276,0),"")</f>
        <v/>
      </c>
      <c r="Q276" s="76" t="str">
        <f>IF(ISNUMBER(deployment_raw[[#This Row],[Column9]]), (deployment_raw[[#This Row],[Column9]] * IF($E$2="Deployment",deployment_raw[[#This Row],[Column5]],1))/1048576,"")</f>
        <v/>
      </c>
      <c r="R276" s="57" t="str">
        <f>IF(ISNUMBER(deployment_raw[[#This Row],[Column10]]), (deployment_raw[[#This Row],[Column10]] * IF($E$2="Deployment",deployment_raw[[#This Row],[Column5]],1)),"")</f>
        <v/>
      </c>
      <c r="S276" s="48" t="str">
        <f>IF(ISNUMBER(deployment_raw[[#This Row],[Column11]]), (deployment_raw[[#This Row],[Column11]] * IF($E$2="Deployment",deployment_raw[[#This Row],[Column5]],1))/1048576,"")</f>
        <v/>
      </c>
      <c r="T276" s="59" t="str">
        <f>IF(ISNUMBER(deployment_raw[[#This Row],[Column8]]),IF(OR(deployment_raw[[#This Row],[Column5]] &lt;&gt; 0,$E$2 &lt;&gt; "Deployment"), MAX(V276, ($T$2 * IF($E$2="Deployment",deployment_raw[[#This Row],[Column5]],1))), 0),"")</f>
        <v/>
      </c>
      <c r="U276" s="50" t="str">
        <f>IF(ISNUMBER(deployment_raw[[#This Row],[Column9]]),IF(OR(deployment_raw[[#This Row],[Column5]] &lt;&gt; 0,$E$2&lt;&gt;"Deployment"), MAX(W276, ($U$2 * IF($E$2="Deployment",deployment_raw[[#This Row],[Column5]],1))), 0),"")</f>
        <v/>
      </c>
      <c r="V276" s="15" t="str">
        <f>IF(ISNUMBER(deployment_raw[[#This Row],[Column12]]), (deployment_raw[[#This Row],[Column12]] * IF($E$2="Deployment",deployment_raw[[#This Row],[Column5]],1)*(1+$V$2)),"")</f>
        <v/>
      </c>
      <c r="W276" s="14" t="str">
        <f>IF(ISNUMBER(deployment_raw[[#This Row],[Column13]]), (deployment_raw[[#This Row],[Column13]] * IF($E$2="Deployment",deployment_raw[[#This Row],[Column5]],1)*(1+$W$2))/1048576,"")</f>
        <v/>
      </c>
    </row>
    <row r="277" spans="1:23" ht="15.75" customHeight="1" x14ac:dyDescent="0.25">
      <c r="A277" s="5" t="str">
        <f>IF(ISNONTEXT(deployment_raw[[#This Row],[Column1]]), "", deployment_raw[[#This Row],[Column1]])</f>
        <v/>
      </c>
      <c r="B277" s="6" t="str">
        <f>IF(ISNONTEXT(deployment_raw[[#This Row],[Column2]]), "", deployment_raw[[#This Row],[Column2]])</f>
        <v/>
      </c>
      <c r="C277" s="6" t="str">
        <f>IF(ISNONTEXT(deployment_raw[[#This Row],[Column3]]), "", deployment_raw[[#This Row],[Column3]])</f>
        <v/>
      </c>
      <c r="D277" s="6" t="str">
        <f>IF(ISNONTEXT(deployment_raw[[#This Row],[Column4]]), "", deployment_raw[[#This Row],[Column4]])</f>
        <v/>
      </c>
      <c r="E277" s="7" t="str">
        <f>IF(ISNUMBER(deployment_raw[[#This Row],[Column5]]), deployment_raw[[#This Row],[Column5]],"")</f>
        <v/>
      </c>
      <c r="F277" s="32" t="str">
        <f>IF(ISNUMBER(deployment_raw[[#This Row],[Column17]]), deployment_raw[[#This Row],[Column17]]/IF(OR($E$2="Deployment",deployment_raw[[#This Row],[Column5]]=0),1,deployment_raw[[#This Row],[Column5]]),"")</f>
        <v/>
      </c>
      <c r="G277" s="42" t="str">
        <f>IF(ISNUMBER(deployment_raw[[#This Row],[Column14]]), deployment_raw[[#This Row],[Column14]]/IF(OR($E$2="Deployment",deployment_raw[[#This Row],[Column5]]=0),1,deployment_raw[[#This Row],[Column5]]),"")</f>
        <v/>
      </c>
      <c r="H277" s="79" t="str">
        <f>IF(ISNUMBER(deployment_raw[[#This Row],[Column19]]), IF(I277&lt;&gt;0,(deployment_raw[[#This Row],[Column19]]/IF(OR($E$2="Deployment",deployment_raw[[#This Row],[Column5]]=0),1,deployment_raw[[#This Row],[Column5]]))/I277,0),"")</f>
        <v/>
      </c>
      <c r="I277" s="69" t="str">
        <f>IF(ISNUMBER(deployment_raw[[#This Row],[Column6]]), (deployment_raw[[#This Row],[Column6]] * IF($E$2="Deployment",deployment_raw[[#This Row],[Column5]],1)),"")</f>
        <v/>
      </c>
      <c r="J277" s="79" t="str">
        <f>IF(ISNUMBER(deployment_raw[[#This Row],[Column19]]), IF(K277&lt;&gt;0,(deployment_raw[[#This Row],[Column19]]/IF(OR($E$2="Deployment",deployment_raw[[#This Row],[Column5]]=0),1,deployment_raw[[#This Row],[Column5]]))/K277,0),"")</f>
        <v/>
      </c>
      <c r="K277" s="72" t="str">
        <f>IF(ISNUMBER(deployment_raw[[#This Row],[Column8]]), (deployment_raw[[#This Row],[Column8]]  * IF($E$2="Deployment",deployment_raw[[#This Row],[Column5]],1)),"")</f>
        <v/>
      </c>
      <c r="L27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7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77" s="81" t="str">
        <f>IF(ISNUMBER(deployment_raw[[#This Row],[Column20]]), IF(O277&lt;&gt;0,deployment_raw[[#This Row],[Column20]]/IF(OR($E$2="Deployment",deployment_raw[[#This Row],[Column5]]=0),1,deployment_raw[[#This Row],[Column5]])/1048576/O277,0),"")</f>
        <v/>
      </c>
      <c r="O277" s="74" t="str">
        <f>IF(ISNUMBER(deployment_raw[[#This Row],[Column7]]), (deployment_raw[[#This Row],[Column7]] * IF($E$2="Deployment",deployment_raw[[#This Row],[Column5]],1))/1048576,"")</f>
        <v/>
      </c>
      <c r="P277" s="81" t="str">
        <f>IF(ISNUMBER(deployment_raw[[#This Row],[Column20]]), IF(Q277&lt;&gt;0,deployment_raw[[#This Row],[Column20]]/IF(OR($E$2="Deployment",deployment_raw[[#This Row],[Column5]]=0),1,deployment_raw[[#This Row],[Column5]])/1048576/Q277,0),"")</f>
        <v/>
      </c>
      <c r="Q277" s="76" t="str">
        <f>IF(ISNUMBER(deployment_raw[[#This Row],[Column9]]), (deployment_raw[[#This Row],[Column9]] * IF($E$2="Deployment",deployment_raw[[#This Row],[Column5]],1))/1048576,"")</f>
        <v/>
      </c>
      <c r="R277" s="57" t="str">
        <f>IF(ISNUMBER(deployment_raw[[#This Row],[Column10]]), (deployment_raw[[#This Row],[Column10]] * IF($E$2="Deployment",deployment_raw[[#This Row],[Column5]],1)),"")</f>
        <v/>
      </c>
      <c r="S277" s="48" t="str">
        <f>IF(ISNUMBER(deployment_raw[[#This Row],[Column11]]), (deployment_raw[[#This Row],[Column11]] * IF($E$2="Deployment",deployment_raw[[#This Row],[Column5]],1))/1048576,"")</f>
        <v/>
      </c>
      <c r="T277" s="59" t="str">
        <f>IF(ISNUMBER(deployment_raw[[#This Row],[Column8]]),IF(OR(deployment_raw[[#This Row],[Column5]] &lt;&gt; 0,$E$2 &lt;&gt; "Deployment"), MAX(V277, ($T$2 * IF($E$2="Deployment",deployment_raw[[#This Row],[Column5]],1))), 0),"")</f>
        <v/>
      </c>
      <c r="U277" s="50" t="str">
        <f>IF(ISNUMBER(deployment_raw[[#This Row],[Column9]]),IF(OR(deployment_raw[[#This Row],[Column5]] &lt;&gt; 0,$E$2&lt;&gt;"Deployment"), MAX(W277, ($U$2 * IF($E$2="Deployment",deployment_raw[[#This Row],[Column5]],1))), 0),"")</f>
        <v/>
      </c>
      <c r="V277" s="15" t="str">
        <f>IF(ISNUMBER(deployment_raw[[#This Row],[Column12]]), (deployment_raw[[#This Row],[Column12]] * IF($E$2="Deployment",deployment_raw[[#This Row],[Column5]],1)*(1+$V$2)),"")</f>
        <v/>
      </c>
      <c r="W277" s="14" t="str">
        <f>IF(ISNUMBER(deployment_raw[[#This Row],[Column13]]), (deployment_raw[[#This Row],[Column13]] * IF($E$2="Deployment",deployment_raw[[#This Row],[Column5]],1)*(1+$W$2))/1048576,"")</f>
        <v/>
      </c>
    </row>
    <row r="278" spans="1:23" ht="15.75" customHeight="1" x14ac:dyDescent="0.25">
      <c r="A278" s="5" t="str">
        <f>IF(ISNONTEXT(deployment_raw[[#This Row],[Column1]]), "", deployment_raw[[#This Row],[Column1]])</f>
        <v/>
      </c>
      <c r="B278" s="6" t="str">
        <f>IF(ISNONTEXT(deployment_raw[[#This Row],[Column2]]), "", deployment_raw[[#This Row],[Column2]])</f>
        <v/>
      </c>
      <c r="C278" s="6" t="str">
        <f>IF(ISNONTEXT(deployment_raw[[#This Row],[Column3]]), "", deployment_raw[[#This Row],[Column3]])</f>
        <v/>
      </c>
      <c r="D278" s="6" t="str">
        <f>IF(ISNONTEXT(deployment_raw[[#This Row],[Column4]]), "", deployment_raw[[#This Row],[Column4]])</f>
        <v/>
      </c>
      <c r="E278" s="7" t="str">
        <f>IF(ISNUMBER(deployment_raw[[#This Row],[Column5]]), deployment_raw[[#This Row],[Column5]],"")</f>
        <v/>
      </c>
      <c r="F278" s="32" t="str">
        <f>IF(ISNUMBER(deployment_raw[[#This Row],[Column17]]), deployment_raw[[#This Row],[Column17]]/IF(OR($E$2="Deployment",deployment_raw[[#This Row],[Column5]]=0),1,deployment_raw[[#This Row],[Column5]]),"")</f>
        <v/>
      </c>
      <c r="G278" s="42" t="str">
        <f>IF(ISNUMBER(deployment_raw[[#This Row],[Column14]]), deployment_raw[[#This Row],[Column14]]/IF(OR($E$2="Deployment",deployment_raw[[#This Row],[Column5]]=0),1,deployment_raw[[#This Row],[Column5]]),"")</f>
        <v/>
      </c>
      <c r="H278" s="79" t="str">
        <f>IF(ISNUMBER(deployment_raw[[#This Row],[Column19]]), IF(I278&lt;&gt;0,(deployment_raw[[#This Row],[Column19]]/IF(OR($E$2="Deployment",deployment_raw[[#This Row],[Column5]]=0),1,deployment_raw[[#This Row],[Column5]]))/I278,0),"")</f>
        <v/>
      </c>
      <c r="I278" s="69" t="str">
        <f>IF(ISNUMBER(deployment_raw[[#This Row],[Column6]]), (deployment_raw[[#This Row],[Column6]] * IF($E$2="Deployment",deployment_raw[[#This Row],[Column5]],1)),"")</f>
        <v/>
      </c>
      <c r="J278" s="79" t="str">
        <f>IF(ISNUMBER(deployment_raw[[#This Row],[Column19]]), IF(K278&lt;&gt;0,(deployment_raw[[#This Row],[Column19]]/IF(OR($E$2="Deployment",deployment_raw[[#This Row],[Column5]]=0),1,deployment_raw[[#This Row],[Column5]]))/K278,0),"")</f>
        <v/>
      </c>
      <c r="K278" s="72" t="str">
        <f>IF(ISNUMBER(deployment_raw[[#This Row],[Column8]]), (deployment_raw[[#This Row],[Column8]]  * IF($E$2="Deployment",deployment_raw[[#This Row],[Column5]],1)),"")</f>
        <v/>
      </c>
      <c r="L27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7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78" s="81" t="str">
        <f>IF(ISNUMBER(deployment_raw[[#This Row],[Column20]]), IF(O278&lt;&gt;0,deployment_raw[[#This Row],[Column20]]/IF(OR($E$2="Deployment",deployment_raw[[#This Row],[Column5]]=0),1,deployment_raw[[#This Row],[Column5]])/1048576/O278,0),"")</f>
        <v/>
      </c>
      <c r="O278" s="74" t="str">
        <f>IF(ISNUMBER(deployment_raw[[#This Row],[Column7]]), (deployment_raw[[#This Row],[Column7]] * IF($E$2="Deployment",deployment_raw[[#This Row],[Column5]],1))/1048576,"")</f>
        <v/>
      </c>
      <c r="P278" s="81" t="str">
        <f>IF(ISNUMBER(deployment_raw[[#This Row],[Column20]]), IF(Q278&lt;&gt;0,deployment_raw[[#This Row],[Column20]]/IF(OR($E$2="Deployment",deployment_raw[[#This Row],[Column5]]=0),1,deployment_raw[[#This Row],[Column5]])/1048576/Q278,0),"")</f>
        <v/>
      </c>
      <c r="Q278" s="76" t="str">
        <f>IF(ISNUMBER(deployment_raw[[#This Row],[Column9]]), (deployment_raw[[#This Row],[Column9]] * IF($E$2="Deployment",deployment_raw[[#This Row],[Column5]],1))/1048576,"")</f>
        <v/>
      </c>
      <c r="R278" s="57" t="str">
        <f>IF(ISNUMBER(deployment_raw[[#This Row],[Column10]]), (deployment_raw[[#This Row],[Column10]] * IF($E$2="Deployment",deployment_raw[[#This Row],[Column5]],1)),"")</f>
        <v/>
      </c>
      <c r="S278" s="48" t="str">
        <f>IF(ISNUMBER(deployment_raw[[#This Row],[Column11]]), (deployment_raw[[#This Row],[Column11]] * IF($E$2="Deployment",deployment_raw[[#This Row],[Column5]],1))/1048576,"")</f>
        <v/>
      </c>
      <c r="T278" s="59" t="str">
        <f>IF(ISNUMBER(deployment_raw[[#This Row],[Column8]]),IF(OR(deployment_raw[[#This Row],[Column5]] &lt;&gt; 0,$E$2 &lt;&gt; "Deployment"), MAX(V278, ($T$2 * IF($E$2="Deployment",deployment_raw[[#This Row],[Column5]],1))), 0),"")</f>
        <v/>
      </c>
      <c r="U278" s="50" t="str">
        <f>IF(ISNUMBER(deployment_raw[[#This Row],[Column9]]),IF(OR(deployment_raw[[#This Row],[Column5]] &lt;&gt; 0,$E$2&lt;&gt;"Deployment"), MAX(W278, ($U$2 * IF($E$2="Deployment",deployment_raw[[#This Row],[Column5]],1))), 0),"")</f>
        <v/>
      </c>
      <c r="V278" s="15" t="str">
        <f>IF(ISNUMBER(deployment_raw[[#This Row],[Column12]]), (deployment_raw[[#This Row],[Column12]] * IF($E$2="Deployment",deployment_raw[[#This Row],[Column5]],1)*(1+$V$2)),"")</f>
        <v/>
      </c>
      <c r="W278" s="14" t="str">
        <f>IF(ISNUMBER(deployment_raw[[#This Row],[Column13]]), (deployment_raw[[#This Row],[Column13]] * IF($E$2="Deployment",deployment_raw[[#This Row],[Column5]],1)*(1+$W$2))/1048576,"")</f>
        <v/>
      </c>
    </row>
    <row r="279" spans="1:23" ht="15.75" customHeight="1" x14ac:dyDescent="0.25">
      <c r="A279" s="5" t="str">
        <f>IF(ISNONTEXT(deployment_raw[[#This Row],[Column1]]), "", deployment_raw[[#This Row],[Column1]])</f>
        <v/>
      </c>
      <c r="B279" s="6" t="str">
        <f>IF(ISNONTEXT(deployment_raw[[#This Row],[Column2]]), "", deployment_raw[[#This Row],[Column2]])</f>
        <v/>
      </c>
      <c r="C279" s="6" t="str">
        <f>IF(ISNONTEXT(deployment_raw[[#This Row],[Column3]]), "", deployment_raw[[#This Row],[Column3]])</f>
        <v/>
      </c>
      <c r="D279" s="6" t="str">
        <f>IF(ISNONTEXT(deployment_raw[[#This Row],[Column4]]), "", deployment_raw[[#This Row],[Column4]])</f>
        <v/>
      </c>
      <c r="E279" s="7" t="str">
        <f>IF(ISNUMBER(deployment_raw[[#This Row],[Column5]]), deployment_raw[[#This Row],[Column5]],"")</f>
        <v/>
      </c>
      <c r="F279" s="32" t="str">
        <f>IF(ISNUMBER(deployment_raw[[#This Row],[Column17]]), deployment_raw[[#This Row],[Column17]]/IF(OR($E$2="Deployment",deployment_raw[[#This Row],[Column5]]=0),1,deployment_raw[[#This Row],[Column5]]),"")</f>
        <v/>
      </c>
      <c r="G279" s="42" t="str">
        <f>IF(ISNUMBER(deployment_raw[[#This Row],[Column14]]), deployment_raw[[#This Row],[Column14]]/IF(OR($E$2="Deployment",deployment_raw[[#This Row],[Column5]]=0),1,deployment_raw[[#This Row],[Column5]]),"")</f>
        <v/>
      </c>
      <c r="H279" s="79" t="str">
        <f>IF(ISNUMBER(deployment_raw[[#This Row],[Column19]]), IF(I279&lt;&gt;0,(deployment_raw[[#This Row],[Column19]]/IF(OR($E$2="Deployment",deployment_raw[[#This Row],[Column5]]=0),1,deployment_raw[[#This Row],[Column5]]))/I279,0),"")</f>
        <v/>
      </c>
      <c r="I279" s="69" t="str">
        <f>IF(ISNUMBER(deployment_raw[[#This Row],[Column6]]), (deployment_raw[[#This Row],[Column6]] * IF($E$2="Deployment",deployment_raw[[#This Row],[Column5]],1)),"")</f>
        <v/>
      </c>
      <c r="J279" s="79" t="str">
        <f>IF(ISNUMBER(deployment_raw[[#This Row],[Column19]]), IF(K279&lt;&gt;0,(deployment_raw[[#This Row],[Column19]]/IF(OR($E$2="Deployment",deployment_raw[[#This Row],[Column5]]=0),1,deployment_raw[[#This Row],[Column5]]))/K279,0),"")</f>
        <v/>
      </c>
      <c r="K279" s="72" t="str">
        <f>IF(ISNUMBER(deployment_raw[[#This Row],[Column8]]), (deployment_raw[[#This Row],[Column8]]  * IF($E$2="Deployment",deployment_raw[[#This Row],[Column5]],1)),"")</f>
        <v/>
      </c>
      <c r="L27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7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79" s="81" t="str">
        <f>IF(ISNUMBER(deployment_raw[[#This Row],[Column20]]), IF(O279&lt;&gt;0,deployment_raw[[#This Row],[Column20]]/IF(OR($E$2="Deployment",deployment_raw[[#This Row],[Column5]]=0),1,deployment_raw[[#This Row],[Column5]])/1048576/O279,0),"")</f>
        <v/>
      </c>
      <c r="O279" s="74" t="str">
        <f>IF(ISNUMBER(deployment_raw[[#This Row],[Column7]]), (deployment_raw[[#This Row],[Column7]] * IF($E$2="Deployment",deployment_raw[[#This Row],[Column5]],1))/1048576,"")</f>
        <v/>
      </c>
      <c r="P279" s="81" t="str">
        <f>IF(ISNUMBER(deployment_raw[[#This Row],[Column20]]), IF(Q279&lt;&gt;0,deployment_raw[[#This Row],[Column20]]/IF(OR($E$2="Deployment",deployment_raw[[#This Row],[Column5]]=0),1,deployment_raw[[#This Row],[Column5]])/1048576/Q279,0),"")</f>
        <v/>
      </c>
      <c r="Q279" s="76" t="str">
        <f>IF(ISNUMBER(deployment_raw[[#This Row],[Column9]]), (deployment_raw[[#This Row],[Column9]] * IF($E$2="Deployment",deployment_raw[[#This Row],[Column5]],1))/1048576,"")</f>
        <v/>
      </c>
      <c r="R279" s="57" t="str">
        <f>IF(ISNUMBER(deployment_raw[[#This Row],[Column10]]), (deployment_raw[[#This Row],[Column10]] * IF($E$2="Deployment",deployment_raw[[#This Row],[Column5]],1)),"")</f>
        <v/>
      </c>
      <c r="S279" s="48" t="str">
        <f>IF(ISNUMBER(deployment_raw[[#This Row],[Column11]]), (deployment_raw[[#This Row],[Column11]] * IF($E$2="Deployment",deployment_raw[[#This Row],[Column5]],1))/1048576,"")</f>
        <v/>
      </c>
      <c r="T279" s="59" t="str">
        <f>IF(ISNUMBER(deployment_raw[[#This Row],[Column8]]),IF(OR(deployment_raw[[#This Row],[Column5]] &lt;&gt; 0,$E$2 &lt;&gt; "Deployment"), MAX(V279, ($T$2 * IF($E$2="Deployment",deployment_raw[[#This Row],[Column5]],1))), 0),"")</f>
        <v/>
      </c>
      <c r="U279" s="50" t="str">
        <f>IF(ISNUMBER(deployment_raw[[#This Row],[Column9]]),IF(OR(deployment_raw[[#This Row],[Column5]] &lt;&gt; 0,$E$2&lt;&gt;"Deployment"), MAX(W279, ($U$2 * IF($E$2="Deployment",deployment_raw[[#This Row],[Column5]],1))), 0),"")</f>
        <v/>
      </c>
      <c r="V279" s="15" t="str">
        <f>IF(ISNUMBER(deployment_raw[[#This Row],[Column12]]), (deployment_raw[[#This Row],[Column12]] * IF($E$2="Deployment",deployment_raw[[#This Row],[Column5]],1)*(1+$V$2)),"")</f>
        <v/>
      </c>
      <c r="W279" s="14" t="str">
        <f>IF(ISNUMBER(deployment_raw[[#This Row],[Column13]]), (deployment_raw[[#This Row],[Column13]] * IF($E$2="Deployment",deployment_raw[[#This Row],[Column5]],1)*(1+$W$2))/1048576,"")</f>
        <v/>
      </c>
    </row>
    <row r="280" spans="1:23" ht="15.75" customHeight="1" x14ac:dyDescent="0.25">
      <c r="A280" s="5" t="str">
        <f>IF(ISNONTEXT(deployment_raw[[#This Row],[Column1]]), "", deployment_raw[[#This Row],[Column1]])</f>
        <v/>
      </c>
      <c r="B280" s="6" t="str">
        <f>IF(ISNONTEXT(deployment_raw[[#This Row],[Column2]]), "", deployment_raw[[#This Row],[Column2]])</f>
        <v/>
      </c>
      <c r="C280" s="6" t="str">
        <f>IF(ISNONTEXT(deployment_raw[[#This Row],[Column3]]), "", deployment_raw[[#This Row],[Column3]])</f>
        <v/>
      </c>
      <c r="D280" s="6" t="str">
        <f>IF(ISNONTEXT(deployment_raw[[#This Row],[Column4]]), "", deployment_raw[[#This Row],[Column4]])</f>
        <v/>
      </c>
      <c r="E280" s="7" t="str">
        <f>IF(ISNUMBER(deployment_raw[[#This Row],[Column5]]), deployment_raw[[#This Row],[Column5]],"")</f>
        <v/>
      </c>
      <c r="F280" s="32" t="str">
        <f>IF(ISNUMBER(deployment_raw[[#This Row],[Column17]]), deployment_raw[[#This Row],[Column17]]/IF(OR($E$2="Deployment",deployment_raw[[#This Row],[Column5]]=0),1,deployment_raw[[#This Row],[Column5]]),"")</f>
        <v/>
      </c>
      <c r="G280" s="42" t="str">
        <f>IF(ISNUMBER(deployment_raw[[#This Row],[Column14]]), deployment_raw[[#This Row],[Column14]]/IF(OR($E$2="Deployment",deployment_raw[[#This Row],[Column5]]=0),1,deployment_raw[[#This Row],[Column5]]),"")</f>
        <v/>
      </c>
      <c r="H280" s="79" t="str">
        <f>IF(ISNUMBER(deployment_raw[[#This Row],[Column19]]), IF(I280&lt;&gt;0,(deployment_raw[[#This Row],[Column19]]/IF(OR($E$2="Deployment",deployment_raw[[#This Row],[Column5]]=0),1,deployment_raw[[#This Row],[Column5]]))/I280,0),"")</f>
        <v/>
      </c>
      <c r="I280" s="69" t="str">
        <f>IF(ISNUMBER(deployment_raw[[#This Row],[Column6]]), (deployment_raw[[#This Row],[Column6]] * IF($E$2="Deployment",deployment_raw[[#This Row],[Column5]],1)),"")</f>
        <v/>
      </c>
      <c r="J280" s="79" t="str">
        <f>IF(ISNUMBER(deployment_raw[[#This Row],[Column19]]), IF(K280&lt;&gt;0,(deployment_raw[[#This Row],[Column19]]/IF(OR($E$2="Deployment",deployment_raw[[#This Row],[Column5]]=0),1,deployment_raw[[#This Row],[Column5]]))/K280,0),"")</f>
        <v/>
      </c>
      <c r="K280" s="72" t="str">
        <f>IF(ISNUMBER(deployment_raw[[#This Row],[Column8]]), (deployment_raw[[#This Row],[Column8]]  * IF($E$2="Deployment",deployment_raw[[#This Row],[Column5]],1)),"")</f>
        <v/>
      </c>
      <c r="L28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8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80" s="81" t="str">
        <f>IF(ISNUMBER(deployment_raw[[#This Row],[Column20]]), IF(O280&lt;&gt;0,deployment_raw[[#This Row],[Column20]]/IF(OR($E$2="Deployment",deployment_raw[[#This Row],[Column5]]=0),1,deployment_raw[[#This Row],[Column5]])/1048576/O280,0),"")</f>
        <v/>
      </c>
      <c r="O280" s="74" t="str">
        <f>IF(ISNUMBER(deployment_raw[[#This Row],[Column7]]), (deployment_raw[[#This Row],[Column7]] * IF($E$2="Deployment",deployment_raw[[#This Row],[Column5]],1))/1048576,"")</f>
        <v/>
      </c>
      <c r="P280" s="81" t="str">
        <f>IF(ISNUMBER(deployment_raw[[#This Row],[Column20]]), IF(Q280&lt;&gt;0,deployment_raw[[#This Row],[Column20]]/IF(OR($E$2="Deployment",deployment_raw[[#This Row],[Column5]]=0),1,deployment_raw[[#This Row],[Column5]])/1048576/Q280,0),"")</f>
        <v/>
      </c>
      <c r="Q280" s="76" t="str">
        <f>IF(ISNUMBER(deployment_raw[[#This Row],[Column9]]), (deployment_raw[[#This Row],[Column9]] * IF($E$2="Deployment",deployment_raw[[#This Row],[Column5]],1))/1048576,"")</f>
        <v/>
      </c>
      <c r="R280" s="57" t="str">
        <f>IF(ISNUMBER(deployment_raw[[#This Row],[Column10]]), (deployment_raw[[#This Row],[Column10]] * IF($E$2="Deployment",deployment_raw[[#This Row],[Column5]],1)),"")</f>
        <v/>
      </c>
      <c r="S280" s="48" t="str">
        <f>IF(ISNUMBER(deployment_raw[[#This Row],[Column11]]), (deployment_raw[[#This Row],[Column11]] * IF($E$2="Deployment",deployment_raw[[#This Row],[Column5]],1))/1048576,"")</f>
        <v/>
      </c>
      <c r="T280" s="59" t="str">
        <f>IF(ISNUMBER(deployment_raw[[#This Row],[Column8]]),IF(OR(deployment_raw[[#This Row],[Column5]] &lt;&gt; 0,$E$2 &lt;&gt; "Deployment"), MAX(V280, ($T$2 * IF($E$2="Deployment",deployment_raw[[#This Row],[Column5]],1))), 0),"")</f>
        <v/>
      </c>
      <c r="U280" s="50" t="str">
        <f>IF(ISNUMBER(deployment_raw[[#This Row],[Column9]]),IF(OR(deployment_raw[[#This Row],[Column5]] &lt;&gt; 0,$E$2&lt;&gt;"Deployment"), MAX(W280, ($U$2 * IF($E$2="Deployment",deployment_raw[[#This Row],[Column5]],1))), 0),"")</f>
        <v/>
      </c>
      <c r="V280" s="15" t="str">
        <f>IF(ISNUMBER(deployment_raw[[#This Row],[Column12]]), (deployment_raw[[#This Row],[Column12]] * IF($E$2="Deployment",deployment_raw[[#This Row],[Column5]],1)*(1+$V$2)),"")</f>
        <v/>
      </c>
      <c r="W280" s="14" t="str">
        <f>IF(ISNUMBER(deployment_raw[[#This Row],[Column13]]), (deployment_raw[[#This Row],[Column13]] * IF($E$2="Deployment",deployment_raw[[#This Row],[Column5]],1)*(1+$W$2))/1048576,"")</f>
        <v/>
      </c>
    </row>
    <row r="281" spans="1:23" ht="15.75" customHeight="1" x14ac:dyDescent="0.25">
      <c r="A281" s="5" t="str">
        <f>IF(ISNONTEXT(deployment_raw[[#This Row],[Column1]]), "", deployment_raw[[#This Row],[Column1]])</f>
        <v/>
      </c>
      <c r="B281" s="6" t="str">
        <f>IF(ISNONTEXT(deployment_raw[[#This Row],[Column2]]), "", deployment_raw[[#This Row],[Column2]])</f>
        <v/>
      </c>
      <c r="C281" s="6" t="str">
        <f>IF(ISNONTEXT(deployment_raw[[#This Row],[Column3]]), "", deployment_raw[[#This Row],[Column3]])</f>
        <v/>
      </c>
      <c r="D281" s="6" t="str">
        <f>IF(ISNONTEXT(deployment_raw[[#This Row],[Column4]]), "", deployment_raw[[#This Row],[Column4]])</f>
        <v/>
      </c>
      <c r="E281" s="7" t="str">
        <f>IF(ISNUMBER(deployment_raw[[#This Row],[Column5]]), deployment_raw[[#This Row],[Column5]],"")</f>
        <v/>
      </c>
      <c r="F281" s="32" t="str">
        <f>IF(ISNUMBER(deployment_raw[[#This Row],[Column17]]), deployment_raw[[#This Row],[Column17]]/IF(OR($E$2="Deployment",deployment_raw[[#This Row],[Column5]]=0),1,deployment_raw[[#This Row],[Column5]]),"")</f>
        <v/>
      </c>
      <c r="G281" s="42" t="str">
        <f>IF(ISNUMBER(deployment_raw[[#This Row],[Column14]]), deployment_raw[[#This Row],[Column14]]/IF(OR($E$2="Deployment",deployment_raw[[#This Row],[Column5]]=0),1,deployment_raw[[#This Row],[Column5]]),"")</f>
        <v/>
      </c>
      <c r="H281" s="79" t="str">
        <f>IF(ISNUMBER(deployment_raw[[#This Row],[Column19]]), IF(I281&lt;&gt;0,(deployment_raw[[#This Row],[Column19]]/IF(OR($E$2="Deployment",deployment_raw[[#This Row],[Column5]]=0),1,deployment_raw[[#This Row],[Column5]]))/I281,0),"")</f>
        <v/>
      </c>
      <c r="I281" s="69" t="str">
        <f>IF(ISNUMBER(deployment_raw[[#This Row],[Column6]]), (deployment_raw[[#This Row],[Column6]] * IF($E$2="Deployment",deployment_raw[[#This Row],[Column5]],1)),"")</f>
        <v/>
      </c>
      <c r="J281" s="79" t="str">
        <f>IF(ISNUMBER(deployment_raw[[#This Row],[Column19]]), IF(K281&lt;&gt;0,(deployment_raw[[#This Row],[Column19]]/IF(OR($E$2="Deployment",deployment_raw[[#This Row],[Column5]]=0),1,deployment_raw[[#This Row],[Column5]]))/K281,0),"")</f>
        <v/>
      </c>
      <c r="K281" s="72" t="str">
        <f>IF(ISNUMBER(deployment_raw[[#This Row],[Column8]]), (deployment_raw[[#This Row],[Column8]]  * IF($E$2="Deployment",deployment_raw[[#This Row],[Column5]],1)),"")</f>
        <v/>
      </c>
      <c r="L28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8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81" s="81" t="str">
        <f>IF(ISNUMBER(deployment_raw[[#This Row],[Column20]]), IF(O281&lt;&gt;0,deployment_raw[[#This Row],[Column20]]/IF(OR($E$2="Deployment",deployment_raw[[#This Row],[Column5]]=0),1,deployment_raw[[#This Row],[Column5]])/1048576/O281,0),"")</f>
        <v/>
      </c>
      <c r="O281" s="74" t="str">
        <f>IF(ISNUMBER(deployment_raw[[#This Row],[Column7]]), (deployment_raw[[#This Row],[Column7]] * IF($E$2="Deployment",deployment_raw[[#This Row],[Column5]],1))/1048576,"")</f>
        <v/>
      </c>
      <c r="P281" s="81" t="str">
        <f>IF(ISNUMBER(deployment_raw[[#This Row],[Column20]]), IF(Q281&lt;&gt;0,deployment_raw[[#This Row],[Column20]]/IF(OR($E$2="Deployment",deployment_raw[[#This Row],[Column5]]=0),1,deployment_raw[[#This Row],[Column5]])/1048576/Q281,0),"")</f>
        <v/>
      </c>
      <c r="Q281" s="76" t="str">
        <f>IF(ISNUMBER(deployment_raw[[#This Row],[Column9]]), (deployment_raw[[#This Row],[Column9]] * IF($E$2="Deployment",deployment_raw[[#This Row],[Column5]],1))/1048576,"")</f>
        <v/>
      </c>
      <c r="R281" s="57" t="str">
        <f>IF(ISNUMBER(deployment_raw[[#This Row],[Column10]]), (deployment_raw[[#This Row],[Column10]] * IF($E$2="Deployment",deployment_raw[[#This Row],[Column5]],1)),"")</f>
        <v/>
      </c>
      <c r="S281" s="48" t="str">
        <f>IF(ISNUMBER(deployment_raw[[#This Row],[Column11]]), (deployment_raw[[#This Row],[Column11]] * IF($E$2="Deployment",deployment_raw[[#This Row],[Column5]],1))/1048576,"")</f>
        <v/>
      </c>
      <c r="T281" s="59" t="str">
        <f>IF(ISNUMBER(deployment_raw[[#This Row],[Column8]]),IF(OR(deployment_raw[[#This Row],[Column5]] &lt;&gt; 0,$E$2 &lt;&gt; "Deployment"), MAX(V281, ($T$2 * IF($E$2="Deployment",deployment_raw[[#This Row],[Column5]],1))), 0),"")</f>
        <v/>
      </c>
      <c r="U281" s="50" t="str">
        <f>IF(ISNUMBER(deployment_raw[[#This Row],[Column9]]),IF(OR(deployment_raw[[#This Row],[Column5]] &lt;&gt; 0,$E$2&lt;&gt;"Deployment"), MAX(W281, ($U$2 * IF($E$2="Deployment",deployment_raw[[#This Row],[Column5]],1))), 0),"")</f>
        <v/>
      </c>
      <c r="V281" s="15" t="str">
        <f>IF(ISNUMBER(deployment_raw[[#This Row],[Column12]]), (deployment_raw[[#This Row],[Column12]] * IF($E$2="Deployment",deployment_raw[[#This Row],[Column5]],1)*(1+$V$2)),"")</f>
        <v/>
      </c>
      <c r="W281" s="14" t="str">
        <f>IF(ISNUMBER(deployment_raw[[#This Row],[Column13]]), (deployment_raw[[#This Row],[Column13]] * IF($E$2="Deployment",deployment_raw[[#This Row],[Column5]],1)*(1+$W$2))/1048576,"")</f>
        <v/>
      </c>
    </row>
    <row r="282" spans="1:23" ht="15.75" customHeight="1" x14ac:dyDescent="0.25">
      <c r="A282" s="5" t="str">
        <f>IF(ISNONTEXT(deployment_raw[[#This Row],[Column1]]), "", deployment_raw[[#This Row],[Column1]])</f>
        <v/>
      </c>
      <c r="B282" s="6" t="str">
        <f>IF(ISNONTEXT(deployment_raw[[#This Row],[Column2]]), "", deployment_raw[[#This Row],[Column2]])</f>
        <v/>
      </c>
      <c r="C282" s="6" t="str">
        <f>IF(ISNONTEXT(deployment_raw[[#This Row],[Column3]]), "", deployment_raw[[#This Row],[Column3]])</f>
        <v/>
      </c>
      <c r="D282" s="6" t="str">
        <f>IF(ISNONTEXT(deployment_raw[[#This Row],[Column4]]), "", deployment_raw[[#This Row],[Column4]])</f>
        <v/>
      </c>
      <c r="E282" s="7" t="str">
        <f>IF(ISNUMBER(deployment_raw[[#This Row],[Column5]]), deployment_raw[[#This Row],[Column5]],"")</f>
        <v/>
      </c>
      <c r="F282" s="32" t="str">
        <f>IF(ISNUMBER(deployment_raw[[#This Row],[Column17]]), deployment_raw[[#This Row],[Column17]]/IF(OR($E$2="Deployment",deployment_raw[[#This Row],[Column5]]=0),1,deployment_raw[[#This Row],[Column5]]),"")</f>
        <v/>
      </c>
      <c r="G282" s="42" t="str">
        <f>IF(ISNUMBER(deployment_raw[[#This Row],[Column14]]), deployment_raw[[#This Row],[Column14]]/IF(OR($E$2="Deployment",deployment_raw[[#This Row],[Column5]]=0),1,deployment_raw[[#This Row],[Column5]]),"")</f>
        <v/>
      </c>
      <c r="H282" s="79" t="str">
        <f>IF(ISNUMBER(deployment_raw[[#This Row],[Column19]]), IF(I282&lt;&gt;0,(deployment_raw[[#This Row],[Column19]]/IF(OR($E$2="Deployment",deployment_raw[[#This Row],[Column5]]=0),1,deployment_raw[[#This Row],[Column5]]))/I282,0),"")</f>
        <v/>
      </c>
      <c r="I282" s="69" t="str">
        <f>IF(ISNUMBER(deployment_raw[[#This Row],[Column6]]), (deployment_raw[[#This Row],[Column6]] * IF($E$2="Deployment",deployment_raw[[#This Row],[Column5]],1)),"")</f>
        <v/>
      </c>
      <c r="J282" s="79" t="str">
        <f>IF(ISNUMBER(deployment_raw[[#This Row],[Column19]]), IF(K282&lt;&gt;0,(deployment_raw[[#This Row],[Column19]]/IF(OR($E$2="Deployment",deployment_raw[[#This Row],[Column5]]=0),1,deployment_raw[[#This Row],[Column5]]))/K282,0),"")</f>
        <v/>
      </c>
      <c r="K282" s="72" t="str">
        <f>IF(ISNUMBER(deployment_raw[[#This Row],[Column8]]), (deployment_raw[[#This Row],[Column8]]  * IF($E$2="Deployment",deployment_raw[[#This Row],[Column5]],1)),"")</f>
        <v/>
      </c>
      <c r="L28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8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82" s="81" t="str">
        <f>IF(ISNUMBER(deployment_raw[[#This Row],[Column20]]), IF(O282&lt;&gt;0,deployment_raw[[#This Row],[Column20]]/IF(OR($E$2="Deployment",deployment_raw[[#This Row],[Column5]]=0),1,deployment_raw[[#This Row],[Column5]])/1048576/O282,0),"")</f>
        <v/>
      </c>
      <c r="O282" s="74" t="str">
        <f>IF(ISNUMBER(deployment_raw[[#This Row],[Column7]]), (deployment_raw[[#This Row],[Column7]] * IF($E$2="Deployment",deployment_raw[[#This Row],[Column5]],1))/1048576,"")</f>
        <v/>
      </c>
      <c r="P282" s="81" t="str">
        <f>IF(ISNUMBER(deployment_raw[[#This Row],[Column20]]), IF(Q282&lt;&gt;0,deployment_raw[[#This Row],[Column20]]/IF(OR($E$2="Deployment",deployment_raw[[#This Row],[Column5]]=0),1,deployment_raw[[#This Row],[Column5]])/1048576/Q282,0),"")</f>
        <v/>
      </c>
      <c r="Q282" s="76" t="str">
        <f>IF(ISNUMBER(deployment_raw[[#This Row],[Column9]]), (deployment_raw[[#This Row],[Column9]] * IF($E$2="Deployment",deployment_raw[[#This Row],[Column5]],1))/1048576,"")</f>
        <v/>
      </c>
      <c r="R282" s="57" t="str">
        <f>IF(ISNUMBER(deployment_raw[[#This Row],[Column10]]), (deployment_raw[[#This Row],[Column10]] * IF($E$2="Deployment",deployment_raw[[#This Row],[Column5]],1)),"")</f>
        <v/>
      </c>
      <c r="S282" s="48" t="str">
        <f>IF(ISNUMBER(deployment_raw[[#This Row],[Column11]]), (deployment_raw[[#This Row],[Column11]] * IF($E$2="Deployment",deployment_raw[[#This Row],[Column5]],1))/1048576,"")</f>
        <v/>
      </c>
      <c r="T282" s="59" t="str">
        <f>IF(ISNUMBER(deployment_raw[[#This Row],[Column8]]),IF(OR(deployment_raw[[#This Row],[Column5]] &lt;&gt; 0,$E$2 &lt;&gt; "Deployment"), MAX(V282, ($T$2 * IF($E$2="Deployment",deployment_raw[[#This Row],[Column5]],1))), 0),"")</f>
        <v/>
      </c>
      <c r="U282" s="50" t="str">
        <f>IF(ISNUMBER(deployment_raw[[#This Row],[Column9]]),IF(OR(deployment_raw[[#This Row],[Column5]] &lt;&gt; 0,$E$2&lt;&gt;"Deployment"), MAX(W282, ($U$2 * IF($E$2="Deployment",deployment_raw[[#This Row],[Column5]],1))), 0),"")</f>
        <v/>
      </c>
      <c r="V282" s="15" t="str">
        <f>IF(ISNUMBER(deployment_raw[[#This Row],[Column12]]), (deployment_raw[[#This Row],[Column12]] * IF($E$2="Deployment",deployment_raw[[#This Row],[Column5]],1)*(1+$V$2)),"")</f>
        <v/>
      </c>
      <c r="W282" s="14" t="str">
        <f>IF(ISNUMBER(deployment_raw[[#This Row],[Column13]]), (deployment_raw[[#This Row],[Column13]] * IF($E$2="Deployment",deployment_raw[[#This Row],[Column5]],1)*(1+$W$2))/1048576,"")</f>
        <v/>
      </c>
    </row>
    <row r="283" spans="1:23" ht="15.75" customHeight="1" x14ac:dyDescent="0.25">
      <c r="A283" s="5" t="str">
        <f>IF(ISNONTEXT(deployment_raw[[#This Row],[Column1]]), "", deployment_raw[[#This Row],[Column1]])</f>
        <v/>
      </c>
      <c r="B283" s="6" t="str">
        <f>IF(ISNONTEXT(deployment_raw[[#This Row],[Column2]]), "", deployment_raw[[#This Row],[Column2]])</f>
        <v/>
      </c>
      <c r="C283" s="6" t="str">
        <f>IF(ISNONTEXT(deployment_raw[[#This Row],[Column3]]), "", deployment_raw[[#This Row],[Column3]])</f>
        <v/>
      </c>
      <c r="D283" s="6" t="str">
        <f>IF(ISNONTEXT(deployment_raw[[#This Row],[Column4]]), "", deployment_raw[[#This Row],[Column4]])</f>
        <v/>
      </c>
      <c r="E283" s="7" t="str">
        <f>IF(ISNUMBER(deployment_raw[[#This Row],[Column5]]), deployment_raw[[#This Row],[Column5]],"")</f>
        <v/>
      </c>
      <c r="F283" s="32" t="str">
        <f>IF(ISNUMBER(deployment_raw[[#This Row],[Column17]]), deployment_raw[[#This Row],[Column17]]/IF(OR($E$2="Deployment",deployment_raw[[#This Row],[Column5]]=0),1,deployment_raw[[#This Row],[Column5]]),"")</f>
        <v/>
      </c>
      <c r="G283" s="42" t="str">
        <f>IF(ISNUMBER(deployment_raw[[#This Row],[Column14]]), deployment_raw[[#This Row],[Column14]]/IF(OR($E$2="Deployment",deployment_raw[[#This Row],[Column5]]=0),1,deployment_raw[[#This Row],[Column5]]),"")</f>
        <v/>
      </c>
      <c r="H283" s="79" t="str">
        <f>IF(ISNUMBER(deployment_raw[[#This Row],[Column19]]), IF(I283&lt;&gt;0,(deployment_raw[[#This Row],[Column19]]/IF(OR($E$2="Deployment",deployment_raw[[#This Row],[Column5]]=0),1,deployment_raw[[#This Row],[Column5]]))/I283,0),"")</f>
        <v/>
      </c>
      <c r="I283" s="69" t="str">
        <f>IF(ISNUMBER(deployment_raw[[#This Row],[Column6]]), (deployment_raw[[#This Row],[Column6]] * IF($E$2="Deployment",deployment_raw[[#This Row],[Column5]],1)),"")</f>
        <v/>
      </c>
      <c r="J283" s="79" t="str">
        <f>IF(ISNUMBER(deployment_raw[[#This Row],[Column19]]), IF(K283&lt;&gt;0,(deployment_raw[[#This Row],[Column19]]/IF(OR($E$2="Deployment",deployment_raw[[#This Row],[Column5]]=0),1,deployment_raw[[#This Row],[Column5]]))/K283,0),"")</f>
        <v/>
      </c>
      <c r="K283" s="72" t="str">
        <f>IF(ISNUMBER(deployment_raw[[#This Row],[Column8]]), (deployment_raw[[#This Row],[Column8]]  * IF($E$2="Deployment",deployment_raw[[#This Row],[Column5]],1)),"")</f>
        <v/>
      </c>
      <c r="L28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8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83" s="81" t="str">
        <f>IF(ISNUMBER(deployment_raw[[#This Row],[Column20]]), IF(O283&lt;&gt;0,deployment_raw[[#This Row],[Column20]]/IF(OR($E$2="Deployment",deployment_raw[[#This Row],[Column5]]=0),1,deployment_raw[[#This Row],[Column5]])/1048576/O283,0),"")</f>
        <v/>
      </c>
      <c r="O283" s="74" t="str">
        <f>IF(ISNUMBER(deployment_raw[[#This Row],[Column7]]), (deployment_raw[[#This Row],[Column7]] * IF($E$2="Deployment",deployment_raw[[#This Row],[Column5]],1))/1048576,"")</f>
        <v/>
      </c>
      <c r="P283" s="81" t="str">
        <f>IF(ISNUMBER(deployment_raw[[#This Row],[Column20]]), IF(Q283&lt;&gt;0,deployment_raw[[#This Row],[Column20]]/IF(OR($E$2="Deployment",deployment_raw[[#This Row],[Column5]]=0),1,deployment_raw[[#This Row],[Column5]])/1048576/Q283,0),"")</f>
        <v/>
      </c>
      <c r="Q283" s="76" t="str">
        <f>IF(ISNUMBER(deployment_raw[[#This Row],[Column9]]), (deployment_raw[[#This Row],[Column9]] * IF($E$2="Deployment",deployment_raw[[#This Row],[Column5]],1))/1048576,"")</f>
        <v/>
      </c>
      <c r="R283" s="57" t="str">
        <f>IF(ISNUMBER(deployment_raw[[#This Row],[Column10]]), (deployment_raw[[#This Row],[Column10]] * IF($E$2="Deployment",deployment_raw[[#This Row],[Column5]],1)),"")</f>
        <v/>
      </c>
      <c r="S283" s="48" t="str">
        <f>IF(ISNUMBER(deployment_raw[[#This Row],[Column11]]), (deployment_raw[[#This Row],[Column11]] * IF($E$2="Deployment",deployment_raw[[#This Row],[Column5]],1))/1048576,"")</f>
        <v/>
      </c>
      <c r="T283" s="59" t="str">
        <f>IF(ISNUMBER(deployment_raw[[#This Row],[Column8]]),IF(OR(deployment_raw[[#This Row],[Column5]] &lt;&gt; 0,$E$2 &lt;&gt; "Deployment"), MAX(V283, ($T$2 * IF($E$2="Deployment",deployment_raw[[#This Row],[Column5]],1))), 0),"")</f>
        <v/>
      </c>
      <c r="U283" s="50" t="str">
        <f>IF(ISNUMBER(deployment_raw[[#This Row],[Column9]]),IF(OR(deployment_raw[[#This Row],[Column5]] &lt;&gt; 0,$E$2&lt;&gt;"Deployment"), MAX(W283, ($U$2 * IF($E$2="Deployment",deployment_raw[[#This Row],[Column5]],1))), 0),"")</f>
        <v/>
      </c>
      <c r="V283" s="15" t="str">
        <f>IF(ISNUMBER(deployment_raw[[#This Row],[Column12]]), (deployment_raw[[#This Row],[Column12]] * IF($E$2="Deployment",deployment_raw[[#This Row],[Column5]],1)*(1+$V$2)),"")</f>
        <v/>
      </c>
      <c r="W283" s="14" t="str">
        <f>IF(ISNUMBER(deployment_raw[[#This Row],[Column13]]), (deployment_raw[[#This Row],[Column13]] * IF($E$2="Deployment",deployment_raw[[#This Row],[Column5]],1)*(1+$W$2))/1048576,"")</f>
        <v/>
      </c>
    </row>
    <row r="284" spans="1:23" ht="15.75" customHeight="1" x14ac:dyDescent="0.25">
      <c r="A284" s="5" t="str">
        <f>IF(ISNONTEXT(deployment_raw[[#This Row],[Column1]]), "", deployment_raw[[#This Row],[Column1]])</f>
        <v/>
      </c>
      <c r="B284" s="6" t="str">
        <f>IF(ISNONTEXT(deployment_raw[[#This Row],[Column2]]), "", deployment_raw[[#This Row],[Column2]])</f>
        <v/>
      </c>
      <c r="C284" s="6" t="str">
        <f>IF(ISNONTEXT(deployment_raw[[#This Row],[Column3]]), "", deployment_raw[[#This Row],[Column3]])</f>
        <v/>
      </c>
      <c r="D284" s="6" t="str">
        <f>IF(ISNONTEXT(deployment_raw[[#This Row],[Column4]]), "", deployment_raw[[#This Row],[Column4]])</f>
        <v/>
      </c>
      <c r="E284" s="7" t="str">
        <f>IF(ISNUMBER(deployment_raw[[#This Row],[Column5]]), deployment_raw[[#This Row],[Column5]],"")</f>
        <v/>
      </c>
      <c r="F284" s="32" t="str">
        <f>IF(ISNUMBER(deployment_raw[[#This Row],[Column17]]), deployment_raw[[#This Row],[Column17]]/IF(OR($E$2="Deployment",deployment_raw[[#This Row],[Column5]]=0),1,deployment_raw[[#This Row],[Column5]]),"")</f>
        <v/>
      </c>
      <c r="G284" s="42" t="str">
        <f>IF(ISNUMBER(deployment_raw[[#This Row],[Column14]]), deployment_raw[[#This Row],[Column14]]/IF(OR($E$2="Deployment",deployment_raw[[#This Row],[Column5]]=0),1,deployment_raw[[#This Row],[Column5]]),"")</f>
        <v/>
      </c>
      <c r="H284" s="79" t="str">
        <f>IF(ISNUMBER(deployment_raw[[#This Row],[Column19]]), IF(I284&lt;&gt;0,(deployment_raw[[#This Row],[Column19]]/IF(OR($E$2="Deployment",deployment_raw[[#This Row],[Column5]]=0),1,deployment_raw[[#This Row],[Column5]]))/I284,0),"")</f>
        <v/>
      </c>
      <c r="I284" s="69" t="str">
        <f>IF(ISNUMBER(deployment_raw[[#This Row],[Column6]]), (deployment_raw[[#This Row],[Column6]] * IF($E$2="Deployment",deployment_raw[[#This Row],[Column5]],1)),"")</f>
        <v/>
      </c>
      <c r="J284" s="79" t="str">
        <f>IF(ISNUMBER(deployment_raw[[#This Row],[Column19]]), IF(K284&lt;&gt;0,(deployment_raw[[#This Row],[Column19]]/IF(OR($E$2="Deployment",deployment_raw[[#This Row],[Column5]]=0),1,deployment_raw[[#This Row],[Column5]]))/K284,0),"")</f>
        <v/>
      </c>
      <c r="K284" s="72" t="str">
        <f>IF(ISNUMBER(deployment_raw[[#This Row],[Column8]]), (deployment_raw[[#This Row],[Column8]]  * IF($E$2="Deployment",deployment_raw[[#This Row],[Column5]],1)),"")</f>
        <v/>
      </c>
      <c r="L28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8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84" s="81" t="str">
        <f>IF(ISNUMBER(deployment_raw[[#This Row],[Column20]]), IF(O284&lt;&gt;0,deployment_raw[[#This Row],[Column20]]/IF(OR($E$2="Deployment",deployment_raw[[#This Row],[Column5]]=0),1,deployment_raw[[#This Row],[Column5]])/1048576/O284,0),"")</f>
        <v/>
      </c>
      <c r="O284" s="74" t="str">
        <f>IF(ISNUMBER(deployment_raw[[#This Row],[Column7]]), (deployment_raw[[#This Row],[Column7]] * IF($E$2="Deployment",deployment_raw[[#This Row],[Column5]],1))/1048576,"")</f>
        <v/>
      </c>
      <c r="P284" s="81" t="str">
        <f>IF(ISNUMBER(deployment_raw[[#This Row],[Column20]]), IF(Q284&lt;&gt;0,deployment_raw[[#This Row],[Column20]]/IF(OR($E$2="Deployment",deployment_raw[[#This Row],[Column5]]=0),1,deployment_raw[[#This Row],[Column5]])/1048576/Q284,0),"")</f>
        <v/>
      </c>
      <c r="Q284" s="76" t="str">
        <f>IF(ISNUMBER(deployment_raw[[#This Row],[Column9]]), (deployment_raw[[#This Row],[Column9]] * IF($E$2="Deployment",deployment_raw[[#This Row],[Column5]],1))/1048576,"")</f>
        <v/>
      </c>
      <c r="R284" s="57" t="str">
        <f>IF(ISNUMBER(deployment_raw[[#This Row],[Column10]]), (deployment_raw[[#This Row],[Column10]] * IF($E$2="Deployment",deployment_raw[[#This Row],[Column5]],1)),"")</f>
        <v/>
      </c>
      <c r="S284" s="48" t="str">
        <f>IF(ISNUMBER(deployment_raw[[#This Row],[Column11]]), (deployment_raw[[#This Row],[Column11]] * IF($E$2="Deployment",deployment_raw[[#This Row],[Column5]],1))/1048576,"")</f>
        <v/>
      </c>
      <c r="T284" s="59" t="str">
        <f>IF(ISNUMBER(deployment_raw[[#This Row],[Column8]]),IF(OR(deployment_raw[[#This Row],[Column5]] &lt;&gt; 0,$E$2 &lt;&gt; "Deployment"), MAX(V284, ($T$2 * IF($E$2="Deployment",deployment_raw[[#This Row],[Column5]],1))), 0),"")</f>
        <v/>
      </c>
      <c r="U284" s="50" t="str">
        <f>IF(ISNUMBER(deployment_raw[[#This Row],[Column9]]),IF(OR(deployment_raw[[#This Row],[Column5]] &lt;&gt; 0,$E$2&lt;&gt;"Deployment"), MAX(W284, ($U$2 * IF($E$2="Deployment",deployment_raw[[#This Row],[Column5]],1))), 0),"")</f>
        <v/>
      </c>
      <c r="V284" s="15" t="str">
        <f>IF(ISNUMBER(deployment_raw[[#This Row],[Column12]]), (deployment_raw[[#This Row],[Column12]] * IF($E$2="Deployment",deployment_raw[[#This Row],[Column5]],1)*(1+$V$2)),"")</f>
        <v/>
      </c>
      <c r="W284" s="14" t="str">
        <f>IF(ISNUMBER(deployment_raw[[#This Row],[Column13]]), (deployment_raw[[#This Row],[Column13]] * IF($E$2="Deployment",deployment_raw[[#This Row],[Column5]],1)*(1+$W$2))/1048576,"")</f>
        <v/>
      </c>
    </row>
    <row r="285" spans="1:23" ht="15.75" customHeight="1" x14ac:dyDescent="0.25">
      <c r="A285" s="5" t="str">
        <f>IF(ISNONTEXT(deployment_raw[[#This Row],[Column1]]), "", deployment_raw[[#This Row],[Column1]])</f>
        <v/>
      </c>
      <c r="B285" s="6" t="str">
        <f>IF(ISNONTEXT(deployment_raw[[#This Row],[Column2]]), "", deployment_raw[[#This Row],[Column2]])</f>
        <v/>
      </c>
      <c r="C285" s="6" t="str">
        <f>IF(ISNONTEXT(deployment_raw[[#This Row],[Column3]]), "", deployment_raw[[#This Row],[Column3]])</f>
        <v/>
      </c>
      <c r="D285" s="6" t="str">
        <f>IF(ISNONTEXT(deployment_raw[[#This Row],[Column4]]), "", deployment_raw[[#This Row],[Column4]])</f>
        <v/>
      </c>
      <c r="E285" s="7" t="str">
        <f>IF(ISNUMBER(deployment_raw[[#This Row],[Column5]]), deployment_raw[[#This Row],[Column5]],"")</f>
        <v/>
      </c>
      <c r="F285" s="32" t="str">
        <f>IF(ISNUMBER(deployment_raw[[#This Row],[Column17]]), deployment_raw[[#This Row],[Column17]]/IF(OR($E$2="Deployment",deployment_raw[[#This Row],[Column5]]=0),1,deployment_raw[[#This Row],[Column5]]),"")</f>
        <v/>
      </c>
      <c r="G285" s="42" t="str">
        <f>IF(ISNUMBER(deployment_raw[[#This Row],[Column14]]), deployment_raw[[#This Row],[Column14]]/IF(OR($E$2="Deployment",deployment_raw[[#This Row],[Column5]]=0),1,deployment_raw[[#This Row],[Column5]]),"")</f>
        <v/>
      </c>
      <c r="H285" s="79" t="str">
        <f>IF(ISNUMBER(deployment_raw[[#This Row],[Column19]]), IF(I285&lt;&gt;0,(deployment_raw[[#This Row],[Column19]]/IF(OR($E$2="Deployment",deployment_raw[[#This Row],[Column5]]=0),1,deployment_raw[[#This Row],[Column5]]))/I285,0),"")</f>
        <v/>
      </c>
      <c r="I285" s="69" t="str">
        <f>IF(ISNUMBER(deployment_raw[[#This Row],[Column6]]), (deployment_raw[[#This Row],[Column6]] * IF($E$2="Deployment",deployment_raw[[#This Row],[Column5]],1)),"")</f>
        <v/>
      </c>
      <c r="J285" s="79" t="str">
        <f>IF(ISNUMBER(deployment_raw[[#This Row],[Column19]]), IF(K285&lt;&gt;0,(deployment_raw[[#This Row],[Column19]]/IF(OR($E$2="Deployment",deployment_raw[[#This Row],[Column5]]=0),1,deployment_raw[[#This Row],[Column5]]))/K285,0),"")</f>
        <v/>
      </c>
      <c r="K285" s="72" t="str">
        <f>IF(ISNUMBER(deployment_raw[[#This Row],[Column8]]), (deployment_raw[[#This Row],[Column8]]  * IF($E$2="Deployment",deployment_raw[[#This Row],[Column5]],1)),"")</f>
        <v/>
      </c>
      <c r="L28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8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85" s="81" t="str">
        <f>IF(ISNUMBER(deployment_raw[[#This Row],[Column20]]), IF(O285&lt;&gt;0,deployment_raw[[#This Row],[Column20]]/IF(OR($E$2="Deployment",deployment_raw[[#This Row],[Column5]]=0),1,deployment_raw[[#This Row],[Column5]])/1048576/O285,0),"")</f>
        <v/>
      </c>
      <c r="O285" s="74" t="str">
        <f>IF(ISNUMBER(deployment_raw[[#This Row],[Column7]]), (deployment_raw[[#This Row],[Column7]] * IF($E$2="Deployment",deployment_raw[[#This Row],[Column5]],1))/1048576,"")</f>
        <v/>
      </c>
      <c r="P285" s="81" t="str">
        <f>IF(ISNUMBER(deployment_raw[[#This Row],[Column20]]), IF(Q285&lt;&gt;0,deployment_raw[[#This Row],[Column20]]/IF(OR($E$2="Deployment",deployment_raw[[#This Row],[Column5]]=0),1,deployment_raw[[#This Row],[Column5]])/1048576/Q285,0),"")</f>
        <v/>
      </c>
      <c r="Q285" s="76" t="str">
        <f>IF(ISNUMBER(deployment_raw[[#This Row],[Column9]]), (deployment_raw[[#This Row],[Column9]] * IF($E$2="Deployment",deployment_raw[[#This Row],[Column5]],1))/1048576,"")</f>
        <v/>
      </c>
      <c r="R285" s="57" t="str">
        <f>IF(ISNUMBER(deployment_raw[[#This Row],[Column10]]), (deployment_raw[[#This Row],[Column10]] * IF($E$2="Deployment",deployment_raw[[#This Row],[Column5]],1)),"")</f>
        <v/>
      </c>
      <c r="S285" s="48" t="str">
        <f>IF(ISNUMBER(deployment_raw[[#This Row],[Column11]]), (deployment_raw[[#This Row],[Column11]] * IF($E$2="Deployment",deployment_raw[[#This Row],[Column5]],1))/1048576,"")</f>
        <v/>
      </c>
      <c r="T285" s="59" t="str">
        <f>IF(ISNUMBER(deployment_raw[[#This Row],[Column8]]),IF(OR(deployment_raw[[#This Row],[Column5]] &lt;&gt; 0,$E$2 &lt;&gt; "Deployment"), MAX(V285, ($T$2 * IF($E$2="Deployment",deployment_raw[[#This Row],[Column5]],1))), 0),"")</f>
        <v/>
      </c>
      <c r="U285" s="50" t="str">
        <f>IF(ISNUMBER(deployment_raw[[#This Row],[Column9]]),IF(OR(deployment_raw[[#This Row],[Column5]] &lt;&gt; 0,$E$2&lt;&gt;"Deployment"), MAX(W285, ($U$2 * IF($E$2="Deployment",deployment_raw[[#This Row],[Column5]],1))), 0),"")</f>
        <v/>
      </c>
      <c r="V285" s="15" t="str">
        <f>IF(ISNUMBER(deployment_raw[[#This Row],[Column12]]), (deployment_raw[[#This Row],[Column12]] * IF($E$2="Deployment",deployment_raw[[#This Row],[Column5]],1)*(1+$V$2)),"")</f>
        <v/>
      </c>
      <c r="W285" s="14" t="str">
        <f>IF(ISNUMBER(deployment_raw[[#This Row],[Column13]]), (deployment_raw[[#This Row],[Column13]] * IF($E$2="Deployment",deployment_raw[[#This Row],[Column5]],1)*(1+$W$2))/1048576,"")</f>
        <v/>
      </c>
    </row>
    <row r="286" spans="1:23" ht="15.75" customHeight="1" x14ac:dyDescent="0.25">
      <c r="A286" s="5" t="str">
        <f>IF(ISNONTEXT(deployment_raw[[#This Row],[Column1]]), "", deployment_raw[[#This Row],[Column1]])</f>
        <v/>
      </c>
      <c r="B286" s="6" t="str">
        <f>IF(ISNONTEXT(deployment_raw[[#This Row],[Column2]]), "", deployment_raw[[#This Row],[Column2]])</f>
        <v/>
      </c>
      <c r="C286" s="6" t="str">
        <f>IF(ISNONTEXT(deployment_raw[[#This Row],[Column3]]), "", deployment_raw[[#This Row],[Column3]])</f>
        <v/>
      </c>
      <c r="D286" s="6" t="str">
        <f>IF(ISNONTEXT(deployment_raw[[#This Row],[Column4]]), "", deployment_raw[[#This Row],[Column4]])</f>
        <v/>
      </c>
      <c r="E286" s="7" t="str">
        <f>IF(ISNUMBER(deployment_raw[[#This Row],[Column5]]), deployment_raw[[#This Row],[Column5]],"")</f>
        <v/>
      </c>
      <c r="F286" s="32" t="str">
        <f>IF(ISNUMBER(deployment_raw[[#This Row],[Column17]]), deployment_raw[[#This Row],[Column17]]/IF(OR($E$2="Deployment",deployment_raw[[#This Row],[Column5]]=0),1,deployment_raw[[#This Row],[Column5]]),"")</f>
        <v/>
      </c>
      <c r="G286" s="42" t="str">
        <f>IF(ISNUMBER(deployment_raw[[#This Row],[Column14]]), deployment_raw[[#This Row],[Column14]]/IF(OR($E$2="Deployment",deployment_raw[[#This Row],[Column5]]=0),1,deployment_raw[[#This Row],[Column5]]),"")</f>
        <v/>
      </c>
      <c r="H286" s="79" t="str">
        <f>IF(ISNUMBER(deployment_raw[[#This Row],[Column19]]), IF(I286&lt;&gt;0,(deployment_raw[[#This Row],[Column19]]/IF(OR($E$2="Deployment",deployment_raw[[#This Row],[Column5]]=0),1,deployment_raw[[#This Row],[Column5]]))/I286,0),"")</f>
        <v/>
      </c>
      <c r="I286" s="69" t="str">
        <f>IF(ISNUMBER(deployment_raw[[#This Row],[Column6]]), (deployment_raw[[#This Row],[Column6]] * IF($E$2="Deployment",deployment_raw[[#This Row],[Column5]],1)),"")</f>
        <v/>
      </c>
      <c r="J286" s="79" t="str">
        <f>IF(ISNUMBER(deployment_raw[[#This Row],[Column19]]), IF(K286&lt;&gt;0,(deployment_raw[[#This Row],[Column19]]/IF(OR($E$2="Deployment",deployment_raw[[#This Row],[Column5]]=0),1,deployment_raw[[#This Row],[Column5]]))/K286,0),"")</f>
        <v/>
      </c>
      <c r="K286" s="72" t="str">
        <f>IF(ISNUMBER(deployment_raw[[#This Row],[Column8]]), (deployment_raw[[#This Row],[Column8]]  * IF($E$2="Deployment",deployment_raw[[#This Row],[Column5]],1)),"")</f>
        <v/>
      </c>
      <c r="L28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8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86" s="81" t="str">
        <f>IF(ISNUMBER(deployment_raw[[#This Row],[Column20]]), IF(O286&lt;&gt;0,deployment_raw[[#This Row],[Column20]]/IF(OR($E$2="Deployment",deployment_raw[[#This Row],[Column5]]=0),1,deployment_raw[[#This Row],[Column5]])/1048576/O286,0),"")</f>
        <v/>
      </c>
      <c r="O286" s="74" t="str">
        <f>IF(ISNUMBER(deployment_raw[[#This Row],[Column7]]), (deployment_raw[[#This Row],[Column7]] * IF($E$2="Deployment",deployment_raw[[#This Row],[Column5]],1))/1048576,"")</f>
        <v/>
      </c>
      <c r="P286" s="81" t="str">
        <f>IF(ISNUMBER(deployment_raw[[#This Row],[Column20]]), IF(Q286&lt;&gt;0,deployment_raw[[#This Row],[Column20]]/IF(OR($E$2="Deployment",deployment_raw[[#This Row],[Column5]]=0),1,deployment_raw[[#This Row],[Column5]])/1048576/Q286,0),"")</f>
        <v/>
      </c>
      <c r="Q286" s="76" t="str">
        <f>IF(ISNUMBER(deployment_raw[[#This Row],[Column9]]), (deployment_raw[[#This Row],[Column9]] * IF($E$2="Deployment",deployment_raw[[#This Row],[Column5]],1))/1048576,"")</f>
        <v/>
      </c>
      <c r="R286" s="57" t="str">
        <f>IF(ISNUMBER(deployment_raw[[#This Row],[Column10]]), (deployment_raw[[#This Row],[Column10]] * IF($E$2="Deployment",deployment_raw[[#This Row],[Column5]],1)),"")</f>
        <v/>
      </c>
      <c r="S286" s="48" t="str">
        <f>IF(ISNUMBER(deployment_raw[[#This Row],[Column11]]), (deployment_raw[[#This Row],[Column11]] * IF($E$2="Deployment",deployment_raw[[#This Row],[Column5]],1))/1048576,"")</f>
        <v/>
      </c>
      <c r="T286" s="59" t="str">
        <f>IF(ISNUMBER(deployment_raw[[#This Row],[Column8]]),IF(OR(deployment_raw[[#This Row],[Column5]] &lt;&gt; 0,$E$2 &lt;&gt; "Deployment"), MAX(V286, ($T$2 * IF($E$2="Deployment",deployment_raw[[#This Row],[Column5]],1))), 0),"")</f>
        <v/>
      </c>
      <c r="U286" s="50" t="str">
        <f>IF(ISNUMBER(deployment_raw[[#This Row],[Column9]]),IF(OR(deployment_raw[[#This Row],[Column5]] &lt;&gt; 0,$E$2&lt;&gt;"Deployment"), MAX(W286, ($U$2 * IF($E$2="Deployment",deployment_raw[[#This Row],[Column5]],1))), 0),"")</f>
        <v/>
      </c>
      <c r="V286" s="15" t="str">
        <f>IF(ISNUMBER(deployment_raw[[#This Row],[Column12]]), (deployment_raw[[#This Row],[Column12]] * IF($E$2="Deployment",deployment_raw[[#This Row],[Column5]],1)*(1+$V$2)),"")</f>
        <v/>
      </c>
      <c r="W286" s="14" t="str">
        <f>IF(ISNUMBER(deployment_raw[[#This Row],[Column13]]), (deployment_raw[[#This Row],[Column13]] * IF($E$2="Deployment",deployment_raw[[#This Row],[Column5]],1)*(1+$W$2))/1048576,"")</f>
        <v/>
      </c>
    </row>
    <row r="287" spans="1:23" ht="15.75" customHeight="1" x14ac:dyDescent="0.25">
      <c r="A287" s="5" t="str">
        <f>IF(ISNONTEXT(deployment_raw[[#This Row],[Column1]]), "", deployment_raw[[#This Row],[Column1]])</f>
        <v/>
      </c>
      <c r="B287" s="6" t="str">
        <f>IF(ISNONTEXT(deployment_raw[[#This Row],[Column2]]), "", deployment_raw[[#This Row],[Column2]])</f>
        <v/>
      </c>
      <c r="C287" s="6" t="str">
        <f>IF(ISNONTEXT(deployment_raw[[#This Row],[Column3]]), "", deployment_raw[[#This Row],[Column3]])</f>
        <v/>
      </c>
      <c r="D287" s="6" t="str">
        <f>IF(ISNONTEXT(deployment_raw[[#This Row],[Column4]]), "", deployment_raw[[#This Row],[Column4]])</f>
        <v/>
      </c>
      <c r="E287" s="7" t="str">
        <f>IF(ISNUMBER(deployment_raw[[#This Row],[Column5]]), deployment_raw[[#This Row],[Column5]],"")</f>
        <v/>
      </c>
      <c r="F287" s="32" t="str">
        <f>IF(ISNUMBER(deployment_raw[[#This Row],[Column17]]), deployment_raw[[#This Row],[Column17]]/IF(OR($E$2="Deployment",deployment_raw[[#This Row],[Column5]]=0),1,deployment_raw[[#This Row],[Column5]]),"")</f>
        <v/>
      </c>
      <c r="G287" s="42" t="str">
        <f>IF(ISNUMBER(deployment_raw[[#This Row],[Column14]]), deployment_raw[[#This Row],[Column14]]/IF(OR($E$2="Deployment",deployment_raw[[#This Row],[Column5]]=0),1,deployment_raw[[#This Row],[Column5]]),"")</f>
        <v/>
      </c>
      <c r="H287" s="79" t="str">
        <f>IF(ISNUMBER(deployment_raw[[#This Row],[Column19]]), IF(I287&lt;&gt;0,(deployment_raw[[#This Row],[Column19]]/IF(OR($E$2="Deployment",deployment_raw[[#This Row],[Column5]]=0),1,deployment_raw[[#This Row],[Column5]]))/I287,0),"")</f>
        <v/>
      </c>
      <c r="I287" s="69" t="str">
        <f>IF(ISNUMBER(deployment_raw[[#This Row],[Column6]]), (deployment_raw[[#This Row],[Column6]] * IF($E$2="Deployment",deployment_raw[[#This Row],[Column5]],1)),"")</f>
        <v/>
      </c>
      <c r="J287" s="79" t="str">
        <f>IF(ISNUMBER(deployment_raw[[#This Row],[Column19]]), IF(K287&lt;&gt;0,(deployment_raw[[#This Row],[Column19]]/IF(OR($E$2="Deployment",deployment_raw[[#This Row],[Column5]]=0),1,deployment_raw[[#This Row],[Column5]]))/K287,0),"")</f>
        <v/>
      </c>
      <c r="K287" s="72" t="str">
        <f>IF(ISNUMBER(deployment_raw[[#This Row],[Column8]]), (deployment_raw[[#This Row],[Column8]]  * IF($E$2="Deployment",deployment_raw[[#This Row],[Column5]],1)),"")</f>
        <v/>
      </c>
      <c r="L28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8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87" s="81" t="str">
        <f>IF(ISNUMBER(deployment_raw[[#This Row],[Column20]]), IF(O287&lt;&gt;0,deployment_raw[[#This Row],[Column20]]/IF(OR($E$2="Deployment",deployment_raw[[#This Row],[Column5]]=0),1,deployment_raw[[#This Row],[Column5]])/1048576/O287,0),"")</f>
        <v/>
      </c>
      <c r="O287" s="74" t="str">
        <f>IF(ISNUMBER(deployment_raw[[#This Row],[Column7]]), (deployment_raw[[#This Row],[Column7]] * IF($E$2="Deployment",deployment_raw[[#This Row],[Column5]],1))/1048576,"")</f>
        <v/>
      </c>
      <c r="P287" s="81" t="str">
        <f>IF(ISNUMBER(deployment_raw[[#This Row],[Column20]]), IF(Q287&lt;&gt;0,deployment_raw[[#This Row],[Column20]]/IF(OR($E$2="Deployment",deployment_raw[[#This Row],[Column5]]=0),1,deployment_raw[[#This Row],[Column5]])/1048576/Q287,0),"")</f>
        <v/>
      </c>
      <c r="Q287" s="76" t="str">
        <f>IF(ISNUMBER(deployment_raw[[#This Row],[Column9]]), (deployment_raw[[#This Row],[Column9]] * IF($E$2="Deployment",deployment_raw[[#This Row],[Column5]],1))/1048576,"")</f>
        <v/>
      </c>
      <c r="R287" s="57" t="str">
        <f>IF(ISNUMBER(deployment_raw[[#This Row],[Column10]]), (deployment_raw[[#This Row],[Column10]] * IF($E$2="Deployment",deployment_raw[[#This Row],[Column5]],1)),"")</f>
        <v/>
      </c>
      <c r="S287" s="48" t="str">
        <f>IF(ISNUMBER(deployment_raw[[#This Row],[Column11]]), (deployment_raw[[#This Row],[Column11]] * IF($E$2="Deployment",deployment_raw[[#This Row],[Column5]],1))/1048576,"")</f>
        <v/>
      </c>
      <c r="T287" s="59" t="str">
        <f>IF(ISNUMBER(deployment_raw[[#This Row],[Column8]]),IF(OR(deployment_raw[[#This Row],[Column5]] &lt;&gt; 0,$E$2 &lt;&gt; "Deployment"), MAX(V287, ($T$2 * IF($E$2="Deployment",deployment_raw[[#This Row],[Column5]],1))), 0),"")</f>
        <v/>
      </c>
      <c r="U287" s="50" t="str">
        <f>IF(ISNUMBER(deployment_raw[[#This Row],[Column9]]),IF(OR(deployment_raw[[#This Row],[Column5]] &lt;&gt; 0,$E$2&lt;&gt;"Deployment"), MAX(W287, ($U$2 * IF($E$2="Deployment",deployment_raw[[#This Row],[Column5]],1))), 0),"")</f>
        <v/>
      </c>
      <c r="V287" s="15" t="str">
        <f>IF(ISNUMBER(deployment_raw[[#This Row],[Column12]]), (deployment_raw[[#This Row],[Column12]] * IF($E$2="Deployment",deployment_raw[[#This Row],[Column5]],1)*(1+$V$2)),"")</f>
        <v/>
      </c>
      <c r="W287" s="14" t="str">
        <f>IF(ISNUMBER(deployment_raw[[#This Row],[Column13]]), (deployment_raw[[#This Row],[Column13]] * IF($E$2="Deployment",deployment_raw[[#This Row],[Column5]],1)*(1+$W$2))/1048576,"")</f>
        <v/>
      </c>
    </row>
    <row r="288" spans="1:23" ht="15.75" customHeight="1" x14ac:dyDescent="0.25">
      <c r="A288" s="5" t="str">
        <f>IF(ISNONTEXT(deployment_raw[[#This Row],[Column1]]), "", deployment_raw[[#This Row],[Column1]])</f>
        <v/>
      </c>
      <c r="B288" s="6" t="str">
        <f>IF(ISNONTEXT(deployment_raw[[#This Row],[Column2]]), "", deployment_raw[[#This Row],[Column2]])</f>
        <v/>
      </c>
      <c r="C288" s="6" t="str">
        <f>IF(ISNONTEXT(deployment_raw[[#This Row],[Column3]]), "", deployment_raw[[#This Row],[Column3]])</f>
        <v/>
      </c>
      <c r="D288" s="6" t="str">
        <f>IF(ISNONTEXT(deployment_raw[[#This Row],[Column4]]), "", deployment_raw[[#This Row],[Column4]])</f>
        <v/>
      </c>
      <c r="E288" s="7" t="str">
        <f>IF(ISNUMBER(deployment_raw[[#This Row],[Column5]]), deployment_raw[[#This Row],[Column5]],"")</f>
        <v/>
      </c>
      <c r="F288" s="32" t="str">
        <f>IF(ISNUMBER(deployment_raw[[#This Row],[Column17]]), deployment_raw[[#This Row],[Column17]]/IF(OR($E$2="Deployment",deployment_raw[[#This Row],[Column5]]=0),1,deployment_raw[[#This Row],[Column5]]),"")</f>
        <v/>
      </c>
      <c r="G288" s="42" t="str">
        <f>IF(ISNUMBER(deployment_raw[[#This Row],[Column14]]), deployment_raw[[#This Row],[Column14]]/IF(OR($E$2="Deployment",deployment_raw[[#This Row],[Column5]]=0),1,deployment_raw[[#This Row],[Column5]]),"")</f>
        <v/>
      </c>
      <c r="H288" s="79" t="str">
        <f>IF(ISNUMBER(deployment_raw[[#This Row],[Column19]]), IF(I288&lt;&gt;0,(deployment_raw[[#This Row],[Column19]]/IF(OR($E$2="Deployment",deployment_raw[[#This Row],[Column5]]=0),1,deployment_raw[[#This Row],[Column5]]))/I288,0),"")</f>
        <v/>
      </c>
      <c r="I288" s="69" t="str">
        <f>IF(ISNUMBER(deployment_raw[[#This Row],[Column6]]), (deployment_raw[[#This Row],[Column6]] * IF($E$2="Deployment",deployment_raw[[#This Row],[Column5]],1)),"")</f>
        <v/>
      </c>
      <c r="J288" s="79" t="str">
        <f>IF(ISNUMBER(deployment_raw[[#This Row],[Column19]]), IF(K288&lt;&gt;0,(deployment_raw[[#This Row],[Column19]]/IF(OR($E$2="Deployment",deployment_raw[[#This Row],[Column5]]=0),1,deployment_raw[[#This Row],[Column5]]))/K288,0),"")</f>
        <v/>
      </c>
      <c r="K288" s="72" t="str">
        <f>IF(ISNUMBER(deployment_raw[[#This Row],[Column8]]), (deployment_raw[[#This Row],[Column8]]  * IF($E$2="Deployment",deployment_raw[[#This Row],[Column5]],1)),"")</f>
        <v/>
      </c>
      <c r="L28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8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88" s="81" t="str">
        <f>IF(ISNUMBER(deployment_raw[[#This Row],[Column20]]), IF(O288&lt;&gt;0,deployment_raw[[#This Row],[Column20]]/IF(OR($E$2="Deployment",deployment_raw[[#This Row],[Column5]]=0),1,deployment_raw[[#This Row],[Column5]])/1048576/O288,0),"")</f>
        <v/>
      </c>
      <c r="O288" s="74" t="str">
        <f>IF(ISNUMBER(deployment_raw[[#This Row],[Column7]]), (deployment_raw[[#This Row],[Column7]] * IF($E$2="Deployment",deployment_raw[[#This Row],[Column5]],1))/1048576,"")</f>
        <v/>
      </c>
      <c r="P288" s="81" t="str">
        <f>IF(ISNUMBER(deployment_raw[[#This Row],[Column20]]), IF(Q288&lt;&gt;0,deployment_raw[[#This Row],[Column20]]/IF(OR($E$2="Deployment",deployment_raw[[#This Row],[Column5]]=0),1,deployment_raw[[#This Row],[Column5]])/1048576/Q288,0),"")</f>
        <v/>
      </c>
      <c r="Q288" s="76" t="str">
        <f>IF(ISNUMBER(deployment_raw[[#This Row],[Column9]]), (deployment_raw[[#This Row],[Column9]] * IF($E$2="Deployment",deployment_raw[[#This Row],[Column5]],1))/1048576,"")</f>
        <v/>
      </c>
      <c r="R288" s="57" t="str">
        <f>IF(ISNUMBER(deployment_raw[[#This Row],[Column10]]), (deployment_raw[[#This Row],[Column10]] * IF($E$2="Deployment",deployment_raw[[#This Row],[Column5]],1)),"")</f>
        <v/>
      </c>
      <c r="S288" s="48" t="str">
        <f>IF(ISNUMBER(deployment_raw[[#This Row],[Column11]]), (deployment_raw[[#This Row],[Column11]] * IF($E$2="Deployment",deployment_raw[[#This Row],[Column5]],1))/1048576,"")</f>
        <v/>
      </c>
      <c r="T288" s="59" t="str">
        <f>IF(ISNUMBER(deployment_raw[[#This Row],[Column8]]),IF(OR(deployment_raw[[#This Row],[Column5]] &lt;&gt; 0,$E$2 &lt;&gt; "Deployment"), MAX(V288, ($T$2 * IF($E$2="Deployment",deployment_raw[[#This Row],[Column5]],1))), 0),"")</f>
        <v/>
      </c>
      <c r="U288" s="50" t="str">
        <f>IF(ISNUMBER(deployment_raw[[#This Row],[Column9]]),IF(OR(deployment_raw[[#This Row],[Column5]] &lt;&gt; 0,$E$2&lt;&gt;"Deployment"), MAX(W288, ($U$2 * IF($E$2="Deployment",deployment_raw[[#This Row],[Column5]],1))), 0),"")</f>
        <v/>
      </c>
      <c r="V288" s="15" t="str">
        <f>IF(ISNUMBER(deployment_raw[[#This Row],[Column12]]), (deployment_raw[[#This Row],[Column12]] * IF($E$2="Deployment",deployment_raw[[#This Row],[Column5]],1)*(1+$V$2)),"")</f>
        <v/>
      </c>
      <c r="W288" s="14" t="str">
        <f>IF(ISNUMBER(deployment_raw[[#This Row],[Column13]]), (deployment_raw[[#This Row],[Column13]] * IF($E$2="Deployment",deployment_raw[[#This Row],[Column5]],1)*(1+$W$2))/1048576,"")</f>
        <v/>
      </c>
    </row>
    <row r="289" spans="1:23" ht="15.75" customHeight="1" x14ac:dyDescent="0.25">
      <c r="A289" s="5" t="str">
        <f>IF(ISNONTEXT(deployment_raw[[#This Row],[Column1]]), "", deployment_raw[[#This Row],[Column1]])</f>
        <v/>
      </c>
      <c r="B289" s="6" t="str">
        <f>IF(ISNONTEXT(deployment_raw[[#This Row],[Column2]]), "", deployment_raw[[#This Row],[Column2]])</f>
        <v/>
      </c>
      <c r="C289" s="6" t="str">
        <f>IF(ISNONTEXT(deployment_raw[[#This Row],[Column3]]), "", deployment_raw[[#This Row],[Column3]])</f>
        <v/>
      </c>
      <c r="D289" s="6" t="str">
        <f>IF(ISNONTEXT(deployment_raw[[#This Row],[Column4]]), "", deployment_raw[[#This Row],[Column4]])</f>
        <v/>
      </c>
      <c r="E289" s="7" t="str">
        <f>IF(ISNUMBER(deployment_raw[[#This Row],[Column5]]), deployment_raw[[#This Row],[Column5]],"")</f>
        <v/>
      </c>
      <c r="F289" s="32" t="str">
        <f>IF(ISNUMBER(deployment_raw[[#This Row],[Column17]]), deployment_raw[[#This Row],[Column17]]/IF(OR($E$2="Deployment",deployment_raw[[#This Row],[Column5]]=0),1,deployment_raw[[#This Row],[Column5]]),"")</f>
        <v/>
      </c>
      <c r="G289" s="42" t="str">
        <f>IF(ISNUMBER(deployment_raw[[#This Row],[Column14]]), deployment_raw[[#This Row],[Column14]]/IF(OR($E$2="Deployment",deployment_raw[[#This Row],[Column5]]=0),1,deployment_raw[[#This Row],[Column5]]),"")</f>
        <v/>
      </c>
      <c r="H289" s="79" t="str">
        <f>IF(ISNUMBER(deployment_raw[[#This Row],[Column19]]), IF(I289&lt;&gt;0,(deployment_raw[[#This Row],[Column19]]/IF(OR($E$2="Deployment",deployment_raw[[#This Row],[Column5]]=0),1,deployment_raw[[#This Row],[Column5]]))/I289,0),"")</f>
        <v/>
      </c>
      <c r="I289" s="69" t="str">
        <f>IF(ISNUMBER(deployment_raw[[#This Row],[Column6]]), (deployment_raw[[#This Row],[Column6]] * IF($E$2="Deployment",deployment_raw[[#This Row],[Column5]],1)),"")</f>
        <v/>
      </c>
      <c r="J289" s="79" t="str">
        <f>IF(ISNUMBER(deployment_raw[[#This Row],[Column19]]), IF(K289&lt;&gt;0,(deployment_raw[[#This Row],[Column19]]/IF(OR($E$2="Deployment",deployment_raw[[#This Row],[Column5]]=0),1,deployment_raw[[#This Row],[Column5]]))/K289,0),"")</f>
        <v/>
      </c>
      <c r="K289" s="72" t="str">
        <f>IF(ISNUMBER(deployment_raw[[#This Row],[Column8]]), (deployment_raw[[#This Row],[Column8]]  * IF($E$2="Deployment",deployment_raw[[#This Row],[Column5]],1)),"")</f>
        <v/>
      </c>
      <c r="L28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8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89" s="81" t="str">
        <f>IF(ISNUMBER(deployment_raw[[#This Row],[Column20]]), IF(O289&lt;&gt;0,deployment_raw[[#This Row],[Column20]]/IF(OR($E$2="Deployment",deployment_raw[[#This Row],[Column5]]=0),1,deployment_raw[[#This Row],[Column5]])/1048576/O289,0),"")</f>
        <v/>
      </c>
      <c r="O289" s="74" t="str">
        <f>IF(ISNUMBER(deployment_raw[[#This Row],[Column7]]), (deployment_raw[[#This Row],[Column7]] * IF($E$2="Deployment",deployment_raw[[#This Row],[Column5]],1))/1048576,"")</f>
        <v/>
      </c>
      <c r="P289" s="81" t="str">
        <f>IF(ISNUMBER(deployment_raw[[#This Row],[Column20]]), IF(Q289&lt;&gt;0,deployment_raw[[#This Row],[Column20]]/IF(OR($E$2="Deployment",deployment_raw[[#This Row],[Column5]]=0),1,deployment_raw[[#This Row],[Column5]])/1048576/Q289,0),"")</f>
        <v/>
      </c>
      <c r="Q289" s="76" t="str">
        <f>IF(ISNUMBER(deployment_raw[[#This Row],[Column9]]), (deployment_raw[[#This Row],[Column9]] * IF($E$2="Deployment",deployment_raw[[#This Row],[Column5]],1))/1048576,"")</f>
        <v/>
      </c>
      <c r="R289" s="57" t="str">
        <f>IF(ISNUMBER(deployment_raw[[#This Row],[Column10]]), (deployment_raw[[#This Row],[Column10]] * IF($E$2="Deployment",deployment_raw[[#This Row],[Column5]],1)),"")</f>
        <v/>
      </c>
      <c r="S289" s="48" t="str">
        <f>IF(ISNUMBER(deployment_raw[[#This Row],[Column11]]), (deployment_raw[[#This Row],[Column11]] * IF($E$2="Deployment",deployment_raw[[#This Row],[Column5]],1))/1048576,"")</f>
        <v/>
      </c>
      <c r="T289" s="59" t="str">
        <f>IF(ISNUMBER(deployment_raw[[#This Row],[Column8]]),IF(OR(deployment_raw[[#This Row],[Column5]] &lt;&gt; 0,$E$2 &lt;&gt; "Deployment"), MAX(V289, ($T$2 * IF($E$2="Deployment",deployment_raw[[#This Row],[Column5]],1))), 0),"")</f>
        <v/>
      </c>
      <c r="U289" s="50" t="str">
        <f>IF(ISNUMBER(deployment_raw[[#This Row],[Column9]]),IF(OR(deployment_raw[[#This Row],[Column5]] &lt;&gt; 0,$E$2&lt;&gt;"Deployment"), MAX(W289, ($U$2 * IF($E$2="Deployment",deployment_raw[[#This Row],[Column5]],1))), 0),"")</f>
        <v/>
      </c>
      <c r="V289" s="15" t="str">
        <f>IF(ISNUMBER(deployment_raw[[#This Row],[Column12]]), (deployment_raw[[#This Row],[Column12]] * IF($E$2="Deployment",deployment_raw[[#This Row],[Column5]],1)*(1+$V$2)),"")</f>
        <v/>
      </c>
      <c r="W289" s="14" t="str">
        <f>IF(ISNUMBER(deployment_raw[[#This Row],[Column13]]), (deployment_raw[[#This Row],[Column13]] * IF($E$2="Deployment",deployment_raw[[#This Row],[Column5]],1)*(1+$W$2))/1048576,"")</f>
        <v/>
      </c>
    </row>
    <row r="290" spans="1:23" ht="15.75" customHeight="1" x14ac:dyDescent="0.25">
      <c r="A290" s="5" t="str">
        <f>IF(ISNONTEXT(deployment_raw[[#This Row],[Column1]]), "", deployment_raw[[#This Row],[Column1]])</f>
        <v/>
      </c>
      <c r="B290" s="6" t="str">
        <f>IF(ISNONTEXT(deployment_raw[[#This Row],[Column2]]), "", deployment_raw[[#This Row],[Column2]])</f>
        <v/>
      </c>
      <c r="C290" s="6" t="str">
        <f>IF(ISNONTEXT(deployment_raw[[#This Row],[Column3]]), "", deployment_raw[[#This Row],[Column3]])</f>
        <v/>
      </c>
      <c r="D290" s="6" t="str">
        <f>IF(ISNONTEXT(deployment_raw[[#This Row],[Column4]]), "", deployment_raw[[#This Row],[Column4]])</f>
        <v/>
      </c>
      <c r="E290" s="7" t="str">
        <f>IF(ISNUMBER(deployment_raw[[#This Row],[Column5]]), deployment_raw[[#This Row],[Column5]],"")</f>
        <v/>
      </c>
      <c r="F290" s="32" t="str">
        <f>IF(ISNUMBER(deployment_raw[[#This Row],[Column17]]), deployment_raw[[#This Row],[Column17]]/IF(OR($E$2="Deployment",deployment_raw[[#This Row],[Column5]]=0),1,deployment_raw[[#This Row],[Column5]]),"")</f>
        <v/>
      </c>
      <c r="G290" s="42" t="str">
        <f>IF(ISNUMBER(deployment_raw[[#This Row],[Column14]]), deployment_raw[[#This Row],[Column14]]/IF(OR($E$2="Deployment",deployment_raw[[#This Row],[Column5]]=0),1,deployment_raw[[#This Row],[Column5]]),"")</f>
        <v/>
      </c>
      <c r="H290" s="79" t="str">
        <f>IF(ISNUMBER(deployment_raw[[#This Row],[Column19]]), IF(I290&lt;&gt;0,(deployment_raw[[#This Row],[Column19]]/IF(OR($E$2="Deployment",deployment_raw[[#This Row],[Column5]]=0),1,deployment_raw[[#This Row],[Column5]]))/I290,0),"")</f>
        <v/>
      </c>
      <c r="I290" s="69" t="str">
        <f>IF(ISNUMBER(deployment_raw[[#This Row],[Column6]]), (deployment_raw[[#This Row],[Column6]] * IF($E$2="Deployment",deployment_raw[[#This Row],[Column5]],1)),"")</f>
        <v/>
      </c>
      <c r="J290" s="79" t="str">
        <f>IF(ISNUMBER(deployment_raw[[#This Row],[Column19]]), IF(K290&lt;&gt;0,(deployment_raw[[#This Row],[Column19]]/IF(OR($E$2="Deployment",deployment_raw[[#This Row],[Column5]]=0),1,deployment_raw[[#This Row],[Column5]]))/K290,0),"")</f>
        <v/>
      </c>
      <c r="K290" s="72" t="str">
        <f>IF(ISNUMBER(deployment_raw[[#This Row],[Column8]]), (deployment_raw[[#This Row],[Column8]]  * IF($E$2="Deployment",deployment_raw[[#This Row],[Column5]],1)),"")</f>
        <v/>
      </c>
      <c r="L29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9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90" s="81" t="str">
        <f>IF(ISNUMBER(deployment_raw[[#This Row],[Column20]]), IF(O290&lt;&gt;0,deployment_raw[[#This Row],[Column20]]/IF(OR($E$2="Deployment",deployment_raw[[#This Row],[Column5]]=0),1,deployment_raw[[#This Row],[Column5]])/1048576/O290,0),"")</f>
        <v/>
      </c>
      <c r="O290" s="74" t="str">
        <f>IF(ISNUMBER(deployment_raw[[#This Row],[Column7]]), (deployment_raw[[#This Row],[Column7]] * IF($E$2="Deployment",deployment_raw[[#This Row],[Column5]],1))/1048576,"")</f>
        <v/>
      </c>
      <c r="P290" s="81" t="str">
        <f>IF(ISNUMBER(deployment_raw[[#This Row],[Column20]]), IF(Q290&lt;&gt;0,deployment_raw[[#This Row],[Column20]]/IF(OR($E$2="Deployment",deployment_raw[[#This Row],[Column5]]=0),1,deployment_raw[[#This Row],[Column5]])/1048576/Q290,0),"")</f>
        <v/>
      </c>
      <c r="Q290" s="76" t="str">
        <f>IF(ISNUMBER(deployment_raw[[#This Row],[Column9]]), (deployment_raw[[#This Row],[Column9]] * IF($E$2="Deployment",deployment_raw[[#This Row],[Column5]],1))/1048576,"")</f>
        <v/>
      </c>
      <c r="R290" s="57" t="str">
        <f>IF(ISNUMBER(deployment_raw[[#This Row],[Column10]]), (deployment_raw[[#This Row],[Column10]] * IF($E$2="Deployment",deployment_raw[[#This Row],[Column5]],1)),"")</f>
        <v/>
      </c>
      <c r="S290" s="48" t="str">
        <f>IF(ISNUMBER(deployment_raw[[#This Row],[Column11]]), (deployment_raw[[#This Row],[Column11]] * IF($E$2="Deployment",deployment_raw[[#This Row],[Column5]],1))/1048576,"")</f>
        <v/>
      </c>
      <c r="T290" s="59" t="str">
        <f>IF(ISNUMBER(deployment_raw[[#This Row],[Column8]]),IF(OR(deployment_raw[[#This Row],[Column5]] &lt;&gt; 0,$E$2 &lt;&gt; "Deployment"), MAX(V290, ($T$2 * IF($E$2="Deployment",deployment_raw[[#This Row],[Column5]],1))), 0),"")</f>
        <v/>
      </c>
      <c r="U290" s="50" t="str">
        <f>IF(ISNUMBER(deployment_raw[[#This Row],[Column9]]),IF(OR(deployment_raw[[#This Row],[Column5]] &lt;&gt; 0,$E$2&lt;&gt;"Deployment"), MAX(W290, ($U$2 * IF($E$2="Deployment",deployment_raw[[#This Row],[Column5]],1))), 0),"")</f>
        <v/>
      </c>
      <c r="V290" s="15" t="str">
        <f>IF(ISNUMBER(deployment_raw[[#This Row],[Column12]]), (deployment_raw[[#This Row],[Column12]] * IF($E$2="Deployment",deployment_raw[[#This Row],[Column5]],1)*(1+$V$2)),"")</f>
        <v/>
      </c>
      <c r="W290" s="14" t="str">
        <f>IF(ISNUMBER(deployment_raw[[#This Row],[Column13]]), (deployment_raw[[#This Row],[Column13]] * IF($E$2="Deployment",deployment_raw[[#This Row],[Column5]],1)*(1+$W$2))/1048576,"")</f>
        <v/>
      </c>
    </row>
    <row r="291" spans="1:23" ht="15.75" customHeight="1" x14ac:dyDescent="0.25">
      <c r="A291" s="5" t="str">
        <f>IF(ISNONTEXT(deployment_raw[[#This Row],[Column1]]), "", deployment_raw[[#This Row],[Column1]])</f>
        <v/>
      </c>
      <c r="B291" s="6" t="str">
        <f>IF(ISNONTEXT(deployment_raw[[#This Row],[Column2]]), "", deployment_raw[[#This Row],[Column2]])</f>
        <v/>
      </c>
      <c r="C291" s="6" t="str">
        <f>IF(ISNONTEXT(deployment_raw[[#This Row],[Column3]]), "", deployment_raw[[#This Row],[Column3]])</f>
        <v/>
      </c>
      <c r="D291" s="6" t="str">
        <f>IF(ISNONTEXT(deployment_raw[[#This Row],[Column4]]), "", deployment_raw[[#This Row],[Column4]])</f>
        <v/>
      </c>
      <c r="E291" s="7" t="str">
        <f>IF(ISNUMBER(deployment_raw[[#This Row],[Column5]]), deployment_raw[[#This Row],[Column5]],"")</f>
        <v/>
      </c>
      <c r="F291" s="32" t="str">
        <f>IF(ISNUMBER(deployment_raw[[#This Row],[Column17]]), deployment_raw[[#This Row],[Column17]]/IF(OR($E$2="Deployment",deployment_raw[[#This Row],[Column5]]=0),1,deployment_raw[[#This Row],[Column5]]),"")</f>
        <v/>
      </c>
      <c r="G291" s="42" t="str">
        <f>IF(ISNUMBER(deployment_raw[[#This Row],[Column14]]), deployment_raw[[#This Row],[Column14]]/IF(OR($E$2="Deployment",deployment_raw[[#This Row],[Column5]]=0),1,deployment_raw[[#This Row],[Column5]]),"")</f>
        <v/>
      </c>
      <c r="H291" s="79" t="str">
        <f>IF(ISNUMBER(deployment_raw[[#This Row],[Column19]]), IF(I291&lt;&gt;0,(deployment_raw[[#This Row],[Column19]]/IF(OR($E$2="Deployment",deployment_raw[[#This Row],[Column5]]=0),1,deployment_raw[[#This Row],[Column5]]))/I291,0),"")</f>
        <v/>
      </c>
      <c r="I291" s="69" t="str">
        <f>IF(ISNUMBER(deployment_raw[[#This Row],[Column6]]), (deployment_raw[[#This Row],[Column6]] * IF($E$2="Deployment",deployment_raw[[#This Row],[Column5]],1)),"")</f>
        <v/>
      </c>
      <c r="J291" s="79" t="str">
        <f>IF(ISNUMBER(deployment_raw[[#This Row],[Column19]]), IF(K291&lt;&gt;0,(deployment_raw[[#This Row],[Column19]]/IF(OR($E$2="Deployment",deployment_raw[[#This Row],[Column5]]=0),1,deployment_raw[[#This Row],[Column5]]))/K291,0),"")</f>
        <v/>
      </c>
      <c r="K291" s="72" t="str">
        <f>IF(ISNUMBER(deployment_raw[[#This Row],[Column8]]), (deployment_raw[[#This Row],[Column8]]  * IF($E$2="Deployment",deployment_raw[[#This Row],[Column5]],1)),"")</f>
        <v/>
      </c>
      <c r="L29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9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91" s="81" t="str">
        <f>IF(ISNUMBER(deployment_raw[[#This Row],[Column20]]), IF(O291&lt;&gt;0,deployment_raw[[#This Row],[Column20]]/IF(OR($E$2="Deployment",deployment_raw[[#This Row],[Column5]]=0),1,deployment_raw[[#This Row],[Column5]])/1048576/O291,0),"")</f>
        <v/>
      </c>
      <c r="O291" s="74" t="str">
        <f>IF(ISNUMBER(deployment_raw[[#This Row],[Column7]]), (deployment_raw[[#This Row],[Column7]] * IF($E$2="Deployment",deployment_raw[[#This Row],[Column5]],1))/1048576,"")</f>
        <v/>
      </c>
      <c r="P291" s="81" t="str">
        <f>IF(ISNUMBER(deployment_raw[[#This Row],[Column20]]), IF(Q291&lt;&gt;0,deployment_raw[[#This Row],[Column20]]/IF(OR($E$2="Deployment",deployment_raw[[#This Row],[Column5]]=0),1,deployment_raw[[#This Row],[Column5]])/1048576/Q291,0),"")</f>
        <v/>
      </c>
      <c r="Q291" s="76" t="str">
        <f>IF(ISNUMBER(deployment_raw[[#This Row],[Column9]]), (deployment_raw[[#This Row],[Column9]] * IF($E$2="Deployment",deployment_raw[[#This Row],[Column5]],1))/1048576,"")</f>
        <v/>
      </c>
      <c r="R291" s="57" t="str">
        <f>IF(ISNUMBER(deployment_raw[[#This Row],[Column10]]), (deployment_raw[[#This Row],[Column10]] * IF($E$2="Deployment",deployment_raw[[#This Row],[Column5]],1)),"")</f>
        <v/>
      </c>
      <c r="S291" s="48" t="str">
        <f>IF(ISNUMBER(deployment_raw[[#This Row],[Column11]]), (deployment_raw[[#This Row],[Column11]] * IF($E$2="Deployment",deployment_raw[[#This Row],[Column5]],1))/1048576,"")</f>
        <v/>
      </c>
      <c r="T291" s="59" t="str">
        <f>IF(ISNUMBER(deployment_raw[[#This Row],[Column8]]),IF(OR(deployment_raw[[#This Row],[Column5]] &lt;&gt; 0,$E$2 &lt;&gt; "Deployment"), MAX(V291, ($T$2 * IF($E$2="Deployment",deployment_raw[[#This Row],[Column5]],1))), 0),"")</f>
        <v/>
      </c>
      <c r="U291" s="50" t="str">
        <f>IF(ISNUMBER(deployment_raw[[#This Row],[Column9]]),IF(OR(deployment_raw[[#This Row],[Column5]] &lt;&gt; 0,$E$2&lt;&gt;"Deployment"), MAX(W291, ($U$2 * IF($E$2="Deployment",deployment_raw[[#This Row],[Column5]],1))), 0),"")</f>
        <v/>
      </c>
      <c r="V291" s="15" t="str">
        <f>IF(ISNUMBER(deployment_raw[[#This Row],[Column12]]), (deployment_raw[[#This Row],[Column12]] * IF($E$2="Deployment",deployment_raw[[#This Row],[Column5]],1)*(1+$V$2)),"")</f>
        <v/>
      </c>
      <c r="W291" s="14" t="str">
        <f>IF(ISNUMBER(deployment_raw[[#This Row],[Column13]]), (deployment_raw[[#This Row],[Column13]] * IF($E$2="Deployment",deployment_raw[[#This Row],[Column5]],1)*(1+$W$2))/1048576,"")</f>
        <v/>
      </c>
    </row>
    <row r="292" spans="1:23" ht="15.75" customHeight="1" x14ac:dyDescent="0.25">
      <c r="A292" s="5" t="str">
        <f>IF(ISNONTEXT(deployment_raw[[#This Row],[Column1]]), "", deployment_raw[[#This Row],[Column1]])</f>
        <v/>
      </c>
      <c r="B292" s="6" t="str">
        <f>IF(ISNONTEXT(deployment_raw[[#This Row],[Column2]]), "", deployment_raw[[#This Row],[Column2]])</f>
        <v/>
      </c>
      <c r="C292" s="6" t="str">
        <f>IF(ISNONTEXT(deployment_raw[[#This Row],[Column3]]), "", deployment_raw[[#This Row],[Column3]])</f>
        <v/>
      </c>
      <c r="D292" s="6" t="str">
        <f>IF(ISNONTEXT(deployment_raw[[#This Row],[Column4]]), "", deployment_raw[[#This Row],[Column4]])</f>
        <v/>
      </c>
      <c r="E292" s="7" t="str">
        <f>IF(ISNUMBER(deployment_raw[[#This Row],[Column5]]), deployment_raw[[#This Row],[Column5]],"")</f>
        <v/>
      </c>
      <c r="F292" s="32" t="str">
        <f>IF(ISNUMBER(deployment_raw[[#This Row],[Column17]]), deployment_raw[[#This Row],[Column17]]/IF(OR($E$2="Deployment",deployment_raw[[#This Row],[Column5]]=0),1,deployment_raw[[#This Row],[Column5]]),"")</f>
        <v/>
      </c>
      <c r="G292" s="42" t="str">
        <f>IF(ISNUMBER(deployment_raw[[#This Row],[Column14]]), deployment_raw[[#This Row],[Column14]]/IF(OR($E$2="Deployment",deployment_raw[[#This Row],[Column5]]=0),1,deployment_raw[[#This Row],[Column5]]),"")</f>
        <v/>
      </c>
      <c r="H292" s="79" t="str">
        <f>IF(ISNUMBER(deployment_raw[[#This Row],[Column19]]), IF(I292&lt;&gt;0,(deployment_raw[[#This Row],[Column19]]/IF(OR($E$2="Deployment",deployment_raw[[#This Row],[Column5]]=0),1,deployment_raw[[#This Row],[Column5]]))/I292,0),"")</f>
        <v/>
      </c>
      <c r="I292" s="69" t="str">
        <f>IF(ISNUMBER(deployment_raw[[#This Row],[Column6]]), (deployment_raw[[#This Row],[Column6]] * IF($E$2="Deployment",deployment_raw[[#This Row],[Column5]],1)),"")</f>
        <v/>
      </c>
      <c r="J292" s="79" t="str">
        <f>IF(ISNUMBER(deployment_raw[[#This Row],[Column19]]), IF(K292&lt;&gt;0,(deployment_raw[[#This Row],[Column19]]/IF(OR($E$2="Deployment",deployment_raw[[#This Row],[Column5]]=0),1,deployment_raw[[#This Row],[Column5]]))/K292,0),"")</f>
        <v/>
      </c>
      <c r="K292" s="72" t="str">
        <f>IF(ISNUMBER(deployment_raw[[#This Row],[Column8]]), (deployment_raw[[#This Row],[Column8]]  * IF($E$2="Deployment",deployment_raw[[#This Row],[Column5]],1)),"")</f>
        <v/>
      </c>
      <c r="L29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9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92" s="81" t="str">
        <f>IF(ISNUMBER(deployment_raw[[#This Row],[Column20]]), IF(O292&lt;&gt;0,deployment_raw[[#This Row],[Column20]]/IF(OR($E$2="Deployment",deployment_raw[[#This Row],[Column5]]=0),1,deployment_raw[[#This Row],[Column5]])/1048576/O292,0),"")</f>
        <v/>
      </c>
      <c r="O292" s="74" t="str">
        <f>IF(ISNUMBER(deployment_raw[[#This Row],[Column7]]), (deployment_raw[[#This Row],[Column7]] * IF($E$2="Deployment",deployment_raw[[#This Row],[Column5]],1))/1048576,"")</f>
        <v/>
      </c>
      <c r="P292" s="81" t="str">
        <f>IF(ISNUMBER(deployment_raw[[#This Row],[Column20]]), IF(Q292&lt;&gt;0,deployment_raw[[#This Row],[Column20]]/IF(OR($E$2="Deployment",deployment_raw[[#This Row],[Column5]]=0),1,deployment_raw[[#This Row],[Column5]])/1048576/Q292,0),"")</f>
        <v/>
      </c>
      <c r="Q292" s="76" t="str">
        <f>IF(ISNUMBER(deployment_raw[[#This Row],[Column9]]), (deployment_raw[[#This Row],[Column9]] * IF($E$2="Deployment",deployment_raw[[#This Row],[Column5]],1))/1048576,"")</f>
        <v/>
      </c>
      <c r="R292" s="57" t="str">
        <f>IF(ISNUMBER(deployment_raw[[#This Row],[Column10]]), (deployment_raw[[#This Row],[Column10]] * IF($E$2="Deployment",deployment_raw[[#This Row],[Column5]],1)),"")</f>
        <v/>
      </c>
      <c r="S292" s="48" t="str">
        <f>IF(ISNUMBER(deployment_raw[[#This Row],[Column11]]), (deployment_raw[[#This Row],[Column11]] * IF($E$2="Deployment",deployment_raw[[#This Row],[Column5]],1))/1048576,"")</f>
        <v/>
      </c>
      <c r="T292" s="59" t="str">
        <f>IF(ISNUMBER(deployment_raw[[#This Row],[Column8]]),IF(OR(deployment_raw[[#This Row],[Column5]] &lt;&gt; 0,$E$2 &lt;&gt; "Deployment"), MAX(V292, ($T$2 * IF($E$2="Deployment",deployment_raw[[#This Row],[Column5]],1))), 0),"")</f>
        <v/>
      </c>
      <c r="U292" s="50" t="str">
        <f>IF(ISNUMBER(deployment_raw[[#This Row],[Column9]]),IF(OR(deployment_raw[[#This Row],[Column5]] &lt;&gt; 0,$E$2&lt;&gt;"Deployment"), MAX(W292, ($U$2 * IF($E$2="Deployment",deployment_raw[[#This Row],[Column5]],1))), 0),"")</f>
        <v/>
      </c>
      <c r="V292" s="15" t="str">
        <f>IF(ISNUMBER(deployment_raw[[#This Row],[Column12]]), (deployment_raw[[#This Row],[Column12]] * IF($E$2="Deployment",deployment_raw[[#This Row],[Column5]],1)*(1+$V$2)),"")</f>
        <v/>
      </c>
      <c r="W292" s="14" t="str">
        <f>IF(ISNUMBER(deployment_raw[[#This Row],[Column13]]), (deployment_raw[[#This Row],[Column13]] * IF($E$2="Deployment",deployment_raw[[#This Row],[Column5]],1)*(1+$W$2))/1048576,"")</f>
        <v/>
      </c>
    </row>
    <row r="293" spans="1:23" ht="15.75" customHeight="1" x14ac:dyDescent="0.25">
      <c r="A293" s="5" t="str">
        <f>IF(ISNONTEXT(deployment_raw[[#This Row],[Column1]]), "", deployment_raw[[#This Row],[Column1]])</f>
        <v/>
      </c>
      <c r="B293" s="6" t="str">
        <f>IF(ISNONTEXT(deployment_raw[[#This Row],[Column2]]), "", deployment_raw[[#This Row],[Column2]])</f>
        <v/>
      </c>
      <c r="C293" s="6" t="str">
        <f>IF(ISNONTEXT(deployment_raw[[#This Row],[Column3]]), "", deployment_raw[[#This Row],[Column3]])</f>
        <v/>
      </c>
      <c r="D293" s="6" t="str">
        <f>IF(ISNONTEXT(deployment_raw[[#This Row],[Column4]]), "", deployment_raw[[#This Row],[Column4]])</f>
        <v/>
      </c>
      <c r="E293" s="7" t="str">
        <f>IF(ISNUMBER(deployment_raw[[#This Row],[Column5]]), deployment_raw[[#This Row],[Column5]],"")</f>
        <v/>
      </c>
      <c r="F293" s="32" t="str">
        <f>IF(ISNUMBER(deployment_raw[[#This Row],[Column17]]), deployment_raw[[#This Row],[Column17]]/IF(OR($E$2="Deployment",deployment_raw[[#This Row],[Column5]]=0),1,deployment_raw[[#This Row],[Column5]]),"")</f>
        <v/>
      </c>
      <c r="G293" s="42" t="str">
        <f>IF(ISNUMBER(deployment_raw[[#This Row],[Column14]]), deployment_raw[[#This Row],[Column14]]/IF(OR($E$2="Deployment",deployment_raw[[#This Row],[Column5]]=0),1,deployment_raw[[#This Row],[Column5]]),"")</f>
        <v/>
      </c>
      <c r="H293" s="79" t="str">
        <f>IF(ISNUMBER(deployment_raw[[#This Row],[Column19]]), IF(I293&lt;&gt;0,(deployment_raw[[#This Row],[Column19]]/IF(OR($E$2="Deployment",deployment_raw[[#This Row],[Column5]]=0),1,deployment_raw[[#This Row],[Column5]]))/I293,0),"")</f>
        <v/>
      </c>
      <c r="I293" s="69" t="str">
        <f>IF(ISNUMBER(deployment_raw[[#This Row],[Column6]]), (deployment_raw[[#This Row],[Column6]] * IF($E$2="Deployment",deployment_raw[[#This Row],[Column5]],1)),"")</f>
        <v/>
      </c>
      <c r="J293" s="79" t="str">
        <f>IF(ISNUMBER(deployment_raw[[#This Row],[Column19]]), IF(K293&lt;&gt;0,(deployment_raw[[#This Row],[Column19]]/IF(OR($E$2="Deployment",deployment_raw[[#This Row],[Column5]]=0),1,deployment_raw[[#This Row],[Column5]]))/K293,0),"")</f>
        <v/>
      </c>
      <c r="K293" s="72" t="str">
        <f>IF(ISNUMBER(deployment_raw[[#This Row],[Column8]]), (deployment_raw[[#This Row],[Column8]]  * IF($E$2="Deployment",deployment_raw[[#This Row],[Column5]],1)),"")</f>
        <v/>
      </c>
      <c r="L29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9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93" s="81" t="str">
        <f>IF(ISNUMBER(deployment_raw[[#This Row],[Column20]]), IF(O293&lt;&gt;0,deployment_raw[[#This Row],[Column20]]/IF(OR($E$2="Deployment",deployment_raw[[#This Row],[Column5]]=0),1,deployment_raw[[#This Row],[Column5]])/1048576/O293,0),"")</f>
        <v/>
      </c>
      <c r="O293" s="74" t="str">
        <f>IF(ISNUMBER(deployment_raw[[#This Row],[Column7]]), (deployment_raw[[#This Row],[Column7]] * IF($E$2="Deployment",deployment_raw[[#This Row],[Column5]],1))/1048576,"")</f>
        <v/>
      </c>
      <c r="P293" s="81" t="str">
        <f>IF(ISNUMBER(deployment_raw[[#This Row],[Column20]]), IF(Q293&lt;&gt;0,deployment_raw[[#This Row],[Column20]]/IF(OR($E$2="Deployment",deployment_raw[[#This Row],[Column5]]=0),1,deployment_raw[[#This Row],[Column5]])/1048576/Q293,0),"")</f>
        <v/>
      </c>
      <c r="Q293" s="76" t="str">
        <f>IF(ISNUMBER(deployment_raw[[#This Row],[Column9]]), (deployment_raw[[#This Row],[Column9]] * IF($E$2="Deployment",deployment_raw[[#This Row],[Column5]],1))/1048576,"")</f>
        <v/>
      </c>
      <c r="R293" s="57" t="str">
        <f>IF(ISNUMBER(deployment_raw[[#This Row],[Column10]]), (deployment_raw[[#This Row],[Column10]] * IF($E$2="Deployment",deployment_raw[[#This Row],[Column5]],1)),"")</f>
        <v/>
      </c>
      <c r="S293" s="48" t="str">
        <f>IF(ISNUMBER(deployment_raw[[#This Row],[Column11]]), (deployment_raw[[#This Row],[Column11]] * IF($E$2="Deployment",deployment_raw[[#This Row],[Column5]],1))/1048576,"")</f>
        <v/>
      </c>
      <c r="T293" s="59" t="str">
        <f>IF(ISNUMBER(deployment_raw[[#This Row],[Column8]]),IF(OR(deployment_raw[[#This Row],[Column5]] &lt;&gt; 0,$E$2 &lt;&gt; "Deployment"), MAX(V293, ($T$2 * IF($E$2="Deployment",deployment_raw[[#This Row],[Column5]],1))), 0),"")</f>
        <v/>
      </c>
      <c r="U293" s="50" t="str">
        <f>IF(ISNUMBER(deployment_raw[[#This Row],[Column9]]),IF(OR(deployment_raw[[#This Row],[Column5]] &lt;&gt; 0,$E$2&lt;&gt;"Deployment"), MAX(W293, ($U$2 * IF($E$2="Deployment",deployment_raw[[#This Row],[Column5]],1))), 0),"")</f>
        <v/>
      </c>
      <c r="V293" s="15" t="str">
        <f>IF(ISNUMBER(deployment_raw[[#This Row],[Column12]]), (deployment_raw[[#This Row],[Column12]] * IF($E$2="Deployment",deployment_raw[[#This Row],[Column5]],1)*(1+$V$2)),"")</f>
        <v/>
      </c>
      <c r="W293" s="14" t="str">
        <f>IF(ISNUMBER(deployment_raw[[#This Row],[Column13]]), (deployment_raw[[#This Row],[Column13]] * IF($E$2="Deployment",deployment_raw[[#This Row],[Column5]],1)*(1+$W$2))/1048576,"")</f>
        <v/>
      </c>
    </row>
    <row r="294" spans="1:23" ht="15.75" customHeight="1" x14ac:dyDescent="0.25">
      <c r="A294" s="5" t="str">
        <f>IF(ISNONTEXT(deployment_raw[[#This Row],[Column1]]), "", deployment_raw[[#This Row],[Column1]])</f>
        <v/>
      </c>
      <c r="B294" s="6" t="str">
        <f>IF(ISNONTEXT(deployment_raw[[#This Row],[Column2]]), "", deployment_raw[[#This Row],[Column2]])</f>
        <v/>
      </c>
      <c r="C294" s="6" t="str">
        <f>IF(ISNONTEXT(deployment_raw[[#This Row],[Column3]]), "", deployment_raw[[#This Row],[Column3]])</f>
        <v/>
      </c>
      <c r="D294" s="6" t="str">
        <f>IF(ISNONTEXT(deployment_raw[[#This Row],[Column4]]), "", deployment_raw[[#This Row],[Column4]])</f>
        <v/>
      </c>
      <c r="E294" s="7" t="str">
        <f>IF(ISNUMBER(deployment_raw[[#This Row],[Column5]]), deployment_raw[[#This Row],[Column5]],"")</f>
        <v/>
      </c>
      <c r="F294" s="32" t="str">
        <f>IF(ISNUMBER(deployment_raw[[#This Row],[Column17]]), deployment_raw[[#This Row],[Column17]]/IF(OR($E$2="Deployment",deployment_raw[[#This Row],[Column5]]=0),1,deployment_raw[[#This Row],[Column5]]),"")</f>
        <v/>
      </c>
      <c r="G294" s="42" t="str">
        <f>IF(ISNUMBER(deployment_raw[[#This Row],[Column14]]), deployment_raw[[#This Row],[Column14]]/IF(OR($E$2="Deployment",deployment_raw[[#This Row],[Column5]]=0),1,deployment_raw[[#This Row],[Column5]]),"")</f>
        <v/>
      </c>
      <c r="H294" s="79" t="str">
        <f>IF(ISNUMBER(deployment_raw[[#This Row],[Column19]]), IF(I294&lt;&gt;0,(deployment_raw[[#This Row],[Column19]]/IF(OR($E$2="Deployment",deployment_raw[[#This Row],[Column5]]=0),1,deployment_raw[[#This Row],[Column5]]))/I294,0),"")</f>
        <v/>
      </c>
      <c r="I294" s="69" t="str">
        <f>IF(ISNUMBER(deployment_raw[[#This Row],[Column6]]), (deployment_raw[[#This Row],[Column6]] * IF($E$2="Deployment",deployment_raw[[#This Row],[Column5]],1)),"")</f>
        <v/>
      </c>
      <c r="J294" s="79" t="str">
        <f>IF(ISNUMBER(deployment_raw[[#This Row],[Column19]]), IF(K294&lt;&gt;0,(deployment_raw[[#This Row],[Column19]]/IF(OR($E$2="Deployment",deployment_raw[[#This Row],[Column5]]=0),1,deployment_raw[[#This Row],[Column5]]))/K294,0),"")</f>
        <v/>
      </c>
      <c r="K294" s="72" t="str">
        <f>IF(ISNUMBER(deployment_raw[[#This Row],[Column8]]), (deployment_raw[[#This Row],[Column8]]  * IF($E$2="Deployment",deployment_raw[[#This Row],[Column5]],1)),"")</f>
        <v/>
      </c>
      <c r="L29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9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94" s="81" t="str">
        <f>IF(ISNUMBER(deployment_raw[[#This Row],[Column20]]), IF(O294&lt;&gt;0,deployment_raw[[#This Row],[Column20]]/IF(OR($E$2="Deployment",deployment_raw[[#This Row],[Column5]]=0),1,deployment_raw[[#This Row],[Column5]])/1048576/O294,0),"")</f>
        <v/>
      </c>
      <c r="O294" s="74" t="str">
        <f>IF(ISNUMBER(deployment_raw[[#This Row],[Column7]]), (deployment_raw[[#This Row],[Column7]] * IF($E$2="Deployment",deployment_raw[[#This Row],[Column5]],1))/1048576,"")</f>
        <v/>
      </c>
      <c r="P294" s="81" t="str">
        <f>IF(ISNUMBER(deployment_raw[[#This Row],[Column20]]), IF(Q294&lt;&gt;0,deployment_raw[[#This Row],[Column20]]/IF(OR($E$2="Deployment",deployment_raw[[#This Row],[Column5]]=0),1,deployment_raw[[#This Row],[Column5]])/1048576/Q294,0),"")</f>
        <v/>
      </c>
      <c r="Q294" s="76" t="str">
        <f>IF(ISNUMBER(deployment_raw[[#This Row],[Column9]]), (deployment_raw[[#This Row],[Column9]] * IF($E$2="Deployment",deployment_raw[[#This Row],[Column5]],1))/1048576,"")</f>
        <v/>
      </c>
      <c r="R294" s="57" t="str">
        <f>IF(ISNUMBER(deployment_raw[[#This Row],[Column10]]), (deployment_raw[[#This Row],[Column10]] * IF($E$2="Deployment",deployment_raw[[#This Row],[Column5]],1)),"")</f>
        <v/>
      </c>
      <c r="S294" s="48" t="str">
        <f>IF(ISNUMBER(deployment_raw[[#This Row],[Column11]]), (deployment_raw[[#This Row],[Column11]] * IF($E$2="Deployment",deployment_raw[[#This Row],[Column5]],1))/1048576,"")</f>
        <v/>
      </c>
      <c r="T294" s="59" t="str">
        <f>IF(ISNUMBER(deployment_raw[[#This Row],[Column8]]),IF(OR(deployment_raw[[#This Row],[Column5]] &lt;&gt; 0,$E$2 &lt;&gt; "Deployment"), MAX(V294, ($T$2 * IF($E$2="Deployment",deployment_raw[[#This Row],[Column5]],1))), 0),"")</f>
        <v/>
      </c>
      <c r="U294" s="50" t="str">
        <f>IF(ISNUMBER(deployment_raw[[#This Row],[Column9]]),IF(OR(deployment_raw[[#This Row],[Column5]] &lt;&gt; 0,$E$2&lt;&gt;"Deployment"), MAX(W294, ($U$2 * IF($E$2="Deployment",deployment_raw[[#This Row],[Column5]],1))), 0),"")</f>
        <v/>
      </c>
      <c r="V294" s="15" t="str">
        <f>IF(ISNUMBER(deployment_raw[[#This Row],[Column12]]), (deployment_raw[[#This Row],[Column12]] * IF($E$2="Deployment",deployment_raw[[#This Row],[Column5]],1)*(1+$V$2)),"")</f>
        <v/>
      </c>
      <c r="W294" s="14" t="str">
        <f>IF(ISNUMBER(deployment_raw[[#This Row],[Column13]]), (deployment_raw[[#This Row],[Column13]] * IF($E$2="Deployment",deployment_raw[[#This Row],[Column5]],1)*(1+$W$2))/1048576,"")</f>
        <v/>
      </c>
    </row>
    <row r="295" spans="1:23" ht="15.75" customHeight="1" x14ac:dyDescent="0.25">
      <c r="A295" s="5" t="str">
        <f>IF(ISNONTEXT(deployment_raw[[#This Row],[Column1]]), "", deployment_raw[[#This Row],[Column1]])</f>
        <v/>
      </c>
      <c r="B295" s="6" t="str">
        <f>IF(ISNONTEXT(deployment_raw[[#This Row],[Column2]]), "", deployment_raw[[#This Row],[Column2]])</f>
        <v/>
      </c>
      <c r="C295" s="6" t="str">
        <f>IF(ISNONTEXT(deployment_raw[[#This Row],[Column3]]), "", deployment_raw[[#This Row],[Column3]])</f>
        <v/>
      </c>
      <c r="D295" s="6" t="str">
        <f>IF(ISNONTEXT(deployment_raw[[#This Row],[Column4]]), "", deployment_raw[[#This Row],[Column4]])</f>
        <v/>
      </c>
      <c r="E295" s="7" t="str">
        <f>IF(ISNUMBER(deployment_raw[[#This Row],[Column5]]), deployment_raw[[#This Row],[Column5]],"")</f>
        <v/>
      </c>
      <c r="F295" s="32" t="str">
        <f>IF(ISNUMBER(deployment_raw[[#This Row],[Column17]]), deployment_raw[[#This Row],[Column17]]/IF(OR($E$2="Deployment",deployment_raw[[#This Row],[Column5]]=0),1,deployment_raw[[#This Row],[Column5]]),"")</f>
        <v/>
      </c>
      <c r="G295" s="42" t="str">
        <f>IF(ISNUMBER(deployment_raw[[#This Row],[Column14]]), deployment_raw[[#This Row],[Column14]]/IF(OR($E$2="Deployment",deployment_raw[[#This Row],[Column5]]=0),1,deployment_raw[[#This Row],[Column5]]),"")</f>
        <v/>
      </c>
      <c r="H295" s="79" t="str">
        <f>IF(ISNUMBER(deployment_raw[[#This Row],[Column19]]), IF(I295&lt;&gt;0,(deployment_raw[[#This Row],[Column19]]/IF(OR($E$2="Deployment",deployment_raw[[#This Row],[Column5]]=0),1,deployment_raw[[#This Row],[Column5]]))/I295,0),"")</f>
        <v/>
      </c>
      <c r="I295" s="69" t="str">
        <f>IF(ISNUMBER(deployment_raw[[#This Row],[Column6]]), (deployment_raw[[#This Row],[Column6]] * IF($E$2="Deployment",deployment_raw[[#This Row],[Column5]],1)),"")</f>
        <v/>
      </c>
      <c r="J295" s="79" t="str">
        <f>IF(ISNUMBER(deployment_raw[[#This Row],[Column19]]), IF(K295&lt;&gt;0,(deployment_raw[[#This Row],[Column19]]/IF(OR($E$2="Deployment",deployment_raw[[#This Row],[Column5]]=0),1,deployment_raw[[#This Row],[Column5]]))/K295,0),"")</f>
        <v/>
      </c>
      <c r="K295" s="72" t="str">
        <f>IF(ISNUMBER(deployment_raw[[#This Row],[Column8]]), (deployment_raw[[#This Row],[Column8]]  * IF($E$2="Deployment",deployment_raw[[#This Row],[Column5]],1)),"")</f>
        <v/>
      </c>
      <c r="L29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9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95" s="81" t="str">
        <f>IF(ISNUMBER(deployment_raw[[#This Row],[Column20]]), IF(O295&lt;&gt;0,deployment_raw[[#This Row],[Column20]]/IF(OR($E$2="Deployment",deployment_raw[[#This Row],[Column5]]=0),1,deployment_raw[[#This Row],[Column5]])/1048576/O295,0),"")</f>
        <v/>
      </c>
      <c r="O295" s="74" t="str">
        <f>IF(ISNUMBER(deployment_raw[[#This Row],[Column7]]), (deployment_raw[[#This Row],[Column7]] * IF($E$2="Deployment",deployment_raw[[#This Row],[Column5]],1))/1048576,"")</f>
        <v/>
      </c>
      <c r="P295" s="81" t="str">
        <f>IF(ISNUMBER(deployment_raw[[#This Row],[Column20]]), IF(Q295&lt;&gt;0,deployment_raw[[#This Row],[Column20]]/IF(OR($E$2="Deployment",deployment_raw[[#This Row],[Column5]]=0),1,deployment_raw[[#This Row],[Column5]])/1048576/Q295,0),"")</f>
        <v/>
      </c>
      <c r="Q295" s="76" t="str">
        <f>IF(ISNUMBER(deployment_raw[[#This Row],[Column9]]), (deployment_raw[[#This Row],[Column9]] * IF($E$2="Deployment",deployment_raw[[#This Row],[Column5]],1))/1048576,"")</f>
        <v/>
      </c>
      <c r="R295" s="57" t="str">
        <f>IF(ISNUMBER(deployment_raw[[#This Row],[Column10]]), (deployment_raw[[#This Row],[Column10]] * IF($E$2="Deployment",deployment_raw[[#This Row],[Column5]],1)),"")</f>
        <v/>
      </c>
      <c r="S295" s="48" t="str">
        <f>IF(ISNUMBER(deployment_raw[[#This Row],[Column11]]), (deployment_raw[[#This Row],[Column11]] * IF($E$2="Deployment",deployment_raw[[#This Row],[Column5]],1))/1048576,"")</f>
        <v/>
      </c>
      <c r="T295" s="59" t="str">
        <f>IF(ISNUMBER(deployment_raw[[#This Row],[Column8]]),IF(OR(deployment_raw[[#This Row],[Column5]] &lt;&gt; 0,$E$2 &lt;&gt; "Deployment"), MAX(V295, ($T$2 * IF($E$2="Deployment",deployment_raw[[#This Row],[Column5]],1))), 0),"")</f>
        <v/>
      </c>
      <c r="U295" s="50" t="str">
        <f>IF(ISNUMBER(deployment_raw[[#This Row],[Column9]]),IF(OR(deployment_raw[[#This Row],[Column5]] &lt;&gt; 0,$E$2&lt;&gt;"Deployment"), MAX(W295, ($U$2 * IF($E$2="Deployment",deployment_raw[[#This Row],[Column5]],1))), 0),"")</f>
        <v/>
      </c>
      <c r="V295" s="15" t="str">
        <f>IF(ISNUMBER(deployment_raw[[#This Row],[Column12]]), (deployment_raw[[#This Row],[Column12]] * IF($E$2="Deployment",deployment_raw[[#This Row],[Column5]],1)*(1+$V$2)),"")</f>
        <v/>
      </c>
      <c r="W295" s="14" t="str">
        <f>IF(ISNUMBER(deployment_raw[[#This Row],[Column13]]), (deployment_raw[[#This Row],[Column13]] * IF($E$2="Deployment",deployment_raw[[#This Row],[Column5]],1)*(1+$W$2))/1048576,"")</f>
        <v/>
      </c>
    </row>
    <row r="296" spans="1:23" ht="15.75" customHeight="1" x14ac:dyDescent="0.25">
      <c r="A296" s="5" t="str">
        <f>IF(ISNONTEXT(deployment_raw[[#This Row],[Column1]]), "", deployment_raw[[#This Row],[Column1]])</f>
        <v/>
      </c>
      <c r="B296" s="6" t="str">
        <f>IF(ISNONTEXT(deployment_raw[[#This Row],[Column2]]), "", deployment_raw[[#This Row],[Column2]])</f>
        <v/>
      </c>
      <c r="C296" s="6" t="str">
        <f>IF(ISNONTEXT(deployment_raw[[#This Row],[Column3]]), "", deployment_raw[[#This Row],[Column3]])</f>
        <v/>
      </c>
      <c r="D296" s="6" t="str">
        <f>IF(ISNONTEXT(deployment_raw[[#This Row],[Column4]]), "", deployment_raw[[#This Row],[Column4]])</f>
        <v/>
      </c>
      <c r="E296" s="7" t="str">
        <f>IF(ISNUMBER(deployment_raw[[#This Row],[Column5]]), deployment_raw[[#This Row],[Column5]],"")</f>
        <v/>
      </c>
      <c r="F296" s="32" t="str">
        <f>IF(ISNUMBER(deployment_raw[[#This Row],[Column17]]), deployment_raw[[#This Row],[Column17]]/IF(OR($E$2="Deployment",deployment_raw[[#This Row],[Column5]]=0),1,deployment_raw[[#This Row],[Column5]]),"")</f>
        <v/>
      </c>
      <c r="G296" s="42" t="str">
        <f>IF(ISNUMBER(deployment_raw[[#This Row],[Column14]]), deployment_raw[[#This Row],[Column14]]/IF(OR($E$2="Deployment",deployment_raw[[#This Row],[Column5]]=0),1,deployment_raw[[#This Row],[Column5]]),"")</f>
        <v/>
      </c>
      <c r="H296" s="79" t="str">
        <f>IF(ISNUMBER(deployment_raw[[#This Row],[Column19]]), IF(I296&lt;&gt;0,(deployment_raw[[#This Row],[Column19]]/IF(OR($E$2="Deployment",deployment_raw[[#This Row],[Column5]]=0),1,deployment_raw[[#This Row],[Column5]]))/I296,0),"")</f>
        <v/>
      </c>
      <c r="I296" s="69" t="str">
        <f>IF(ISNUMBER(deployment_raw[[#This Row],[Column6]]), (deployment_raw[[#This Row],[Column6]] * IF($E$2="Deployment",deployment_raw[[#This Row],[Column5]],1)),"")</f>
        <v/>
      </c>
      <c r="J296" s="79" t="str">
        <f>IF(ISNUMBER(deployment_raw[[#This Row],[Column19]]), IF(K296&lt;&gt;0,(deployment_raw[[#This Row],[Column19]]/IF(OR($E$2="Deployment",deployment_raw[[#This Row],[Column5]]=0),1,deployment_raw[[#This Row],[Column5]]))/K296,0),"")</f>
        <v/>
      </c>
      <c r="K296" s="72" t="str">
        <f>IF(ISNUMBER(deployment_raw[[#This Row],[Column8]]), (deployment_raw[[#This Row],[Column8]]  * IF($E$2="Deployment",deployment_raw[[#This Row],[Column5]],1)),"")</f>
        <v/>
      </c>
      <c r="L29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9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96" s="81" t="str">
        <f>IF(ISNUMBER(deployment_raw[[#This Row],[Column20]]), IF(O296&lt;&gt;0,deployment_raw[[#This Row],[Column20]]/IF(OR($E$2="Deployment",deployment_raw[[#This Row],[Column5]]=0),1,deployment_raw[[#This Row],[Column5]])/1048576/O296,0),"")</f>
        <v/>
      </c>
      <c r="O296" s="74" t="str">
        <f>IF(ISNUMBER(deployment_raw[[#This Row],[Column7]]), (deployment_raw[[#This Row],[Column7]] * IF($E$2="Deployment",deployment_raw[[#This Row],[Column5]],1))/1048576,"")</f>
        <v/>
      </c>
      <c r="P296" s="81" t="str">
        <f>IF(ISNUMBER(deployment_raw[[#This Row],[Column20]]), IF(Q296&lt;&gt;0,deployment_raw[[#This Row],[Column20]]/IF(OR($E$2="Deployment",deployment_raw[[#This Row],[Column5]]=0),1,deployment_raw[[#This Row],[Column5]])/1048576/Q296,0),"")</f>
        <v/>
      </c>
      <c r="Q296" s="76" t="str">
        <f>IF(ISNUMBER(deployment_raw[[#This Row],[Column9]]), (deployment_raw[[#This Row],[Column9]] * IF($E$2="Deployment",deployment_raw[[#This Row],[Column5]],1))/1048576,"")</f>
        <v/>
      </c>
      <c r="R296" s="57" t="str">
        <f>IF(ISNUMBER(deployment_raw[[#This Row],[Column10]]), (deployment_raw[[#This Row],[Column10]] * IF($E$2="Deployment",deployment_raw[[#This Row],[Column5]],1)),"")</f>
        <v/>
      </c>
      <c r="S296" s="48" t="str">
        <f>IF(ISNUMBER(deployment_raw[[#This Row],[Column11]]), (deployment_raw[[#This Row],[Column11]] * IF($E$2="Deployment",deployment_raw[[#This Row],[Column5]],1))/1048576,"")</f>
        <v/>
      </c>
      <c r="T296" s="59" t="str">
        <f>IF(ISNUMBER(deployment_raw[[#This Row],[Column8]]),IF(OR(deployment_raw[[#This Row],[Column5]] &lt;&gt; 0,$E$2 &lt;&gt; "Deployment"), MAX(V296, ($T$2 * IF($E$2="Deployment",deployment_raw[[#This Row],[Column5]],1))), 0),"")</f>
        <v/>
      </c>
      <c r="U296" s="50" t="str">
        <f>IF(ISNUMBER(deployment_raw[[#This Row],[Column9]]),IF(OR(deployment_raw[[#This Row],[Column5]] &lt;&gt; 0,$E$2&lt;&gt;"Deployment"), MAX(W296, ($U$2 * IF($E$2="Deployment",deployment_raw[[#This Row],[Column5]],1))), 0),"")</f>
        <v/>
      </c>
      <c r="V296" s="15" t="str">
        <f>IF(ISNUMBER(deployment_raw[[#This Row],[Column12]]), (deployment_raw[[#This Row],[Column12]] * IF($E$2="Deployment",deployment_raw[[#This Row],[Column5]],1)*(1+$V$2)),"")</f>
        <v/>
      </c>
      <c r="W296" s="14" t="str">
        <f>IF(ISNUMBER(deployment_raw[[#This Row],[Column13]]), (deployment_raw[[#This Row],[Column13]] * IF($E$2="Deployment",deployment_raw[[#This Row],[Column5]],1)*(1+$W$2))/1048576,"")</f>
        <v/>
      </c>
    </row>
    <row r="297" spans="1:23" ht="15.75" customHeight="1" x14ac:dyDescent="0.25">
      <c r="A297" s="5" t="str">
        <f>IF(ISNONTEXT(deployment_raw[[#This Row],[Column1]]), "", deployment_raw[[#This Row],[Column1]])</f>
        <v/>
      </c>
      <c r="B297" s="6" t="str">
        <f>IF(ISNONTEXT(deployment_raw[[#This Row],[Column2]]), "", deployment_raw[[#This Row],[Column2]])</f>
        <v/>
      </c>
      <c r="C297" s="6" t="str">
        <f>IF(ISNONTEXT(deployment_raw[[#This Row],[Column3]]), "", deployment_raw[[#This Row],[Column3]])</f>
        <v/>
      </c>
      <c r="D297" s="6" t="str">
        <f>IF(ISNONTEXT(deployment_raw[[#This Row],[Column4]]), "", deployment_raw[[#This Row],[Column4]])</f>
        <v/>
      </c>
      <c r="E297" s="7" t="str">
        <f>IF(ISNUMBER(deployment_raw[[#This Row],[Column5]]), deployment_raw[[#This Row],[Column5]],"")</f>
        <v/>
      </c>
      <c r="F297" s="32" t="str">
        <f>IF(ISNUMBER(deployment_raw[[#This Row],[Column17]]), deployment_raw[[#This Row],[Column17]]/IF(OR($E$2="Deployment",deployment_raw[[#This Row],[Column5]]=0),1,deployment_raw[[#This Row],[Column5]]),"")</f>
        <v/>
      </c>
      <c r="G297" s="42" t="str">
        <f>IF(ISNUMBER(deployment_raw[[#This Row],[Column14]]), deployment_raw[[#This Row],[Column14]]/IF(OR($E$2="Deployment",deployment_raw[[#This Row],[Column5]]=0),1,deployment_raw[[#This Row],[Column5]]),"")</f>
        <v/>
      </c>
      <c r="H297" s="79" t="str">
        <f>IF(ISNUMBER(deployment_raw[[#This Row],[Column19]]), IF(I297&lt;&gt;0,(deployment_raw[[#This Row],[Column19]]/IF(OR($E$2="Deployment",deployment_raw[[#This Row],[Column5]]=0),1,deployment_raw[[#This Row],[Column5]]))/I297,0),"")</f>
        <v/>
      </c>
      <c r="I297" s="69" t="str">
        <f>IF(ISNUMBER(deployment_raw[[#This Row],[Column6]]), (deployment_raw[[#This Row],[Column6]] * IF($E$2="Deployment",deployment_raw[[#This Row],[Column5]],1)),"")</f>
        <v/>
      </c>
      <c r="J297" s="79" t="str">
        <f>IF(ISNUMBER(deployment_raw[[#This Row],[Column19]]), IF(K297&lt;&gt;0,(deployment_raw[[#This Row],[Column19]]/IF(OR($E$2="Deployment",deployment_raw[[#This Row],[Column5]]=0),1,deployment_raw[[#This Row],[Column5]]))/K297,0),"")</f>
        <v/>
      </c>
      <c r="K297" s="72" t="str">
        <f>IF(ISNUMBER(deployment_raw[[#This Row],[Column8]]), (deployment_raw[[#This Row],[Column8]]  * IF($E$2="Deployment",deployment_raw[[#This Row],[Column5]],1)),"")</f>
        <v/>
      </c>
      <c r="L29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9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97" s="81" t="str">
        <f>IF(ISNUMBER(deployment_raw[[#This Row],[Column20]]), IF(O297&lt;&gt;0,deployment_raw[[#This Row],[Column20]]/IF(OR($E$2="Deployment",deployment_raw[[#This Row],[Column5]]=0),1,deployment_raw[[#This Row],[Column5]])/1048576/O297,0),"")</f>
        <v/>
      </c>
      <c r="O297" s="74" t="str">
        <f>IF(ISNUMBER(deployment_raw[[#This Row],[Column7]]), (deployment_raw[[#This Row],[Column7]] * IF($E$2="Deployment",deployment_raw[[#This Row],[Column5]],1))/1048576,"")</f>
        <v/>
      </c>
      <c r="P297" s="81" t="str">
        <f>IF(ISNUMBER(deployment_raw[[#This Row],[Column20]]), IF(Q297&lt;&gt;0,deployment_raw[[#This Row],[Column20]]/IF(OR($E$2="Deployment",deployment_raw[[#This Row],[Column5]]=0),1,deployment_raw[[#This Row],[Column5]])/1048576/Q297,0),"")</f>
        <v/>
      </c>
      <c r="Q297" s="76" t="str">
        <f>IF(ISNUMBER(deployment_raw[[#This Row],[Column9]]), (deployment_raw[[#This Row],[Column9]] * IF($E$2="Deployment",deployment_raw[[#This Row],[Column5]],1))/1048576,"")</f>
        <v/>
      </c>
      <c r="R297" s="57" t="str">
        <f>IF(ISNUMBER(deployment_raw[[#This Row],[Column10]]), (deployment_raw[[#This Row],[Column10]] * IF($E$2="Deployment",deployment_raw[[#This Row],[Column5]],1)),"")</f>
        <v/>
      </c>
      <c r="S297" s="48" t="str">
        <f>IF(ISNUMBER(deployment_raw[[#This Row],[Column11]]), (deployment_raw[[#This Row],[Column11]] * IF($E$2="Deployment",deployment_raw[[#This Row],[Column5]],1))/1048576,"")</f>
        <v/>
      </c>
      <c r="T297" s="59" t="str">
        <f>IF(ISNUMBER(deployment_raw[[#This Row],[Column8]]),IF(OR(deployment_raw[[#This Row],[Column5]] &lt;&gt; 0,$E$2 &lt;&gt; "Deployment"), MAX(V297, ($T$2 * IF($E$2="Deployment",deployment_raw[[#This Row],[Column5]],1))), 0),"")</f>
        <v/>
      </c>
      <c r="U297" s="50" t="str">
        <f>IF(ISNUMBER(deployment_raw[[#This Row],[Column9]]),IF(OR(deployment_raw[[#This Row],[Column5]] &lt;&gt; 0,$E$2&lt;&gt;"Deployment"), MAX(W297, ($U$2 * IF($E$2="Deployment",deployment_raw[[#This Row],[Column5]],1))), 0),"")</f>
        <v/>
      </c>
      <c r="V297" s="15" t="str">
        <f>IF(ISNUMBER(deployment_raw[[#This Row],[Column12]]), (deployment_raw[[#This Row],[Column12]] * IF($E$2="Deployment",deployment_raw[[#This Row],[Column5]],1)*(1+$V$2)),"")</f>
        <v/>
      </c>
      <c r="W297" s="14" t="str">
        <f>IF(ISNUMBER(deployment_raw[[#This Row],[Column13]]), (deployment_raw[[#This Row],[Column13]] * IF($E$2="Deployment",deployment_raw[[#This Row],[Column5]],1)*(1+$W$2))/1048576,"")</f>
        <v/>
      </c>
    </row>
    <row r="298" spans="1:23" ht="15.75" customHeight="1" x14ac:dyDescent="0.25">
      <c r="A298" s="5" t="str">
        <f>IF(ISNONTEXT(deployment_raw[[#This Row],[Column1]]), "", deployment_raw[[#This Row],[Column1]])</f>
        <v/>
      </c>
      <c r="B298" s="6" t="str">
        <f>IF(ISNONTEXT(deployment_raw[[#This Row],[Column2]]), "", deployment_raw[[#This Row],[Column2]])</f>
        <v/>
      </c>
      <c r="C298" s="6" t="str">
        <f>IF(ISNONTEXT(deployment_raw[[#This Row],[Column3]]), "", deployment_raw[[#This Row],[Column3]])</f>
        <v/>
      </c>
      <c r="D298" s="6" t="str">
        <f>IF(ISNONTEXT(deployment_raw[[#This Row],[Column4]]), "", deployment_raw[[#This Row],[Column4]])</f>
        <v/>
      </c>
      <c r="E298" s="7" t="str">
        <f>IF(ISNUMBER(deployment_raw[[#This Row],[Column5]]), deployment_raw[[#This Row],[Column5]],"")</f>
        <v/>
      </c>
      <c r="F298" s="32" t="str">
        <f>IF(ISNUMBER(deployment_raw[[#This Row],[Column17]]), deployment_raw[[#This Row],[Column17]]/IF(OR($E$2="Deployment",deployment_raw[[#This Row],[Column5]]=0),1,deployment_raw[[#This Row],[Column5]]),"")</f>
        <v/>
      </c>
      <c r="G298" s="42" t="str">
        <f>IF(ISNUMBER(deployment_raw[[#This Row],[Column14]]), deployment_raw[[#This Row],[Column14]]/IF(OR($E$2="Deployment",deployment_raw[[#This Row],[Column5]]=0),1,deployment_raw[[#This Row],[Column5]]),"")</f>
        <v/>
      </c>
      <c r="H298" s="79" t="str">
        <f>IF(ISNUMBER(deployment_raw[[#This Row],[Column19]]), IF(I298&lt;&gt;0,(deployment_raw[[#This Row],[Column19]]/IF(OR($E$2="Deployment",deployment_raw[[#This Row],[Column5]]=0),1,deployment_raw[[#This Row],[Column5]]))/I298,0),"")</f>
        <v/>
      </c>
      <c r="I298" s="69" t="str">
        <f>IF(ISNUMBER(deployment_raw[[#This Row],[Column6]]), (deployment_raw[[#This Row],[Column6]] * IF($E$2="Deployment",deployment_raw[[#This Row],[Column5]],1)),"")</f>
        <v/>
      </c>
      <c r="J298" s="79" t="str">
        <f>IF(ISNUMBER(deployment_raw[[#This Row],[Column19]]), IF(K298&lt;&gt;0,(deployment_raw[[#This Row],[Column19]]/IF(OR($E$2="Deployment",deployment_raw[[#This Row],[Column5]]=0),1,deployment_raw[[#This Row],[Column5]]))/K298,0),"")</f>
        <v/>
      </c>
      <c r="K298" s="72" t="str">
        <f>IF(ISNUMBER(deployment_raw[[#This Row],[Column8]]), (deployment_raw[[#This Row],[Column8]]  * IF($E$2="Deployment",deployment_raw[[#This Row],[Column5]],1)),"")</f>
        <v/>
      </c>
      <c r="L29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9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98" s="81" t="str">
        <f>IF(ISNUMBER(deployment_raw[[#This Row],[Column20]]), IF(O298&lt;&gt;0,deployment_raw[[#This Row],[Column20]]/IF(OR($E$2="Deployment",deployment_raw[[#This Row],[Column5]]=0),1,deployment_raw[[#This Row],[Column5]])/1048576/O298,0),"")</f>
        <v/>
      </c>
      <c r="O298" s="74" t="str">
        <f>IF(ISNUMBER(deployment_raw[[#This Row],[Column7]]), (deployment_raw[[#This Row],[Column7]] * IF($E$2="Deployment",deployment_raw[[#This Row],[Column5]],1))/1048576,"")</f>
        <v/>
      </c>
      <c r="P298" s="81" t="str">
        <f>IF(ISNUMBER(deployment_raw[[#This Row],[Column20]]), IF(Q298&lt;&gt;0,deployment_raw[[#This Row],[Column20]]/IF(OR($E$2="Deployment",deployment_raw[[#This Row],[Column5]]=0),1,deployment_raw[[#This Row],[Column5]])/1048576/Q298,0),"")</f>
        <v/>
      </c>
      <c r="Q298" s="76" t="str">
        <f>IF(ISNUMBER(deployment_raw[[#This Row],[Column9]]), (deployment_raw[[#This Row],[Column9]] * IF($E$2="Deployment",deployment_raw[[#This Row],[Column5]],1))/1048576,"")</f>
        <v/>
      </c>
      <c r="R298" s="57" t="str">
        <f>IF(ISNUMBER(deployment_raw[[#This Row],[Column10]]), (deployment_raw[[#This Row],[Column10]] * IF($E$2="Deployment",deployment_raw[[#This Row],[Column5]],1)),"")</f>
        <v/>
      </c>
      <c r="S298" s="48" t="str">
        <f>IF(ISNUMBER(deployment_raw[[#This Row],[Column11]]), (deployment_raw[[#This Row],[Column11]] * IF($E$2="Deployment",deployment_raw[[#This Row],[Column5]],1))/1048576,"")</f>
        <v/>
      </c>
      <c r="T298" s="59" t="str">
        <f>IF(ISNUMBER(deployment_raw[[#This Row],[Column8]]),IF(OR(deployment_raw[[#This Row],[Column5]] &lt;&gt; 0,$E$2 &lt;&gt; "Deployment"), MAX(V298, ($T$2 * IF($E$2="Deployment",deployment_raw[[#This Row],[Column5]],1))), 0),"")</f>
        <v/>
      </c>
      <c r="U298" s="50" t="str">
        <f>IF(ISNUMBER(deployment_raw[[#This Row],[Column9]]),IF(OR(deployment_raw[[#This Row],[Column5]] &lt;&gt; 0,$E$2&lt;&gt;"Deployment"), MAX(W298, ($U$2 * IF($E$2="Deployment",deployment_raw[[#This Row],[Column5]],1))), 0),"")</f>
        <v/>
      </c>
      <c r="V298" s="15" t="str">
        <f>IF(ISNUMBER(deployment_raw[[#This Row],[Column12]]), (deployment_raw[[#This Row],[Column12]] * IF($E$2="Deployment",deployment_raw[[#This Row],[Column5]],1)*(1+$V$2)),"")</f>
        <v/>
      </c>
      <c r="W298" s="14" t="str">
        <f>IF(ISNUMBER(deployment_raw[[#This Row],[Column13]]), (deployment_raw[[#This Row],[Column13]] * IF($E$2="Deployment",deployment_raw[[#This Row],[Column5]],1)*(1+$W$2))/1048576,"")</f>
        <v/>
      </c>
    </row>
    <row r="299" spans="1:23" ht="15.75" customHeight="1" x14ac:dyDescent="0.25">
      <c r="A299" s="5" t="str">
        <f>IF(ISNONTEXT(deployment_raw[[#This Row],[Column1]]), "", deployment_raw[[#This Row],[Column1]])</f>
        <v/>
      </c>
      <c r="B299" s="6" t="str">
        <f>IF(ISNONTEXT(deployment_raw[[#This Row],[Column2]]), "", deployment_raw[[#This Row],[Column2]])</f>
        <v/>
      </c>
      <c r="C299" s="6" t="str">
        <f>IF(ISNONTEXT(deployment_raw[[#This Row],[Column3]]), "", deployment_raw[[#This Row],[Column3]])</f>
        <v/>
      </c>
      <c r="D299" s="6" t="str">
        <f>IF(ISNONTEXT(deployment_raw[[#This Row],[Column4]]), "", deployment_raw[[#This Row],[Column4]])</f>
        <v/>
      </c>
      <c r="E299" s="7" t="str">
        <f>IF(ISNUMBER(deployment_raw[[#This Row],[Column5]]), deployment_raw[[#This Row],[Column5]],"")</f>
        <v/>
      </c>
      <c r="F299" s="32" t="str">
        <f>IF(ISNUMBER(deployment_raw[[#This Row],[Column17]]), deployment_raw[[#This Row],[Column17]]/IF(OR($E$2="Deployment",deployment_raw[[#This Row],[Column5]]=0),1,deployment_raw[[#This Row],[Column5]]),"")</f>
        <v/>
      </c>
      <c r="G299" s="42" t="str">
        <f>IF(ISNUMBER(deployment_raw[[#This Row],[Column14]]), deployment_raw[[#This Row],[Column14]]/IF(OR($E$2="Deployment",deployment_raw[[#This Row],[Column5]]=0),1,deployment_raw[[#This Row],[Column5]]),"")</f>
        <v/>
      </c>
      <c r="H299" s="79" t="str">
        <f>IF(ISNUMBER(deployment_raw[[#This Row],[Column19]]), IF(I299&lt;&gt;0,(deployment_raw[[#This Row],[Column19]]/IF(OR($E$2="Deployment",deployment_raw[[#This Row],[Column5]]=0),1,deployment_raw[[#This Row],[Column5]]))/I299,0),"")</f>
        <v/>
      </c>
      <c r="I299" s="69" t="str">
        <f>IF(ISNUMBER(deployment_raw[[#This Row],[Column6]]), (deployment_raw[[#This Row],[Column6]] * IF($E$2="Deployment",deployment_raw[[#This Row],[Column5]],1)),"")</f>
        <v/>
      </c>
      <c r="J299" s="79" t="str">
        <f>IF(ISNUMBER(deployment_raw[[#This Row],[Column19]]), IF(K299&lt;&gt;0,(deployment_raw[[#This Row],[Column19]]/IF(OR($E$2="Deployment",deployment_raw[[#This Row],[Column5]]=0),1,deployment_raw[[#This Row],[Column5]]))/K299,0),"")</f>
        <v/>
      </c>
      <c r="K299" s="72" t="str">
        <f>IF(ISNUMBER(deployment_raw[[#This Row],[Column8]]), (deployment_raw[[#This Row],[Column8]]  * IF($E$2="Deployment",deployment_raw[[#This Row],[Column5]],1)),"")</f>
        <v/>
      </c>
      <c r="L29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9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99" s="81" t="str">
        <f>IF(ISNUMBER(deployment_raw[[#This Row],[Column20]]), IF(O299&lt;&gt;0,deployment_raw[[#This Row],[Column20]]/IF(OR($E$2="Deployment",deployment_raw[[#This Row],[Column5]]=0),1,deployment_raw[[#This Row],[Column5]])/1048576/O299,0),"")</f>
        <v/>
      </c>
      <c r="O299" s="74" t="str">
        <f>IF(ISNUMBER(deployment_raw[[#This Row],[Column7]]), (deployment_raw[[#This Row],[Column7]] * IF($E$2="Deployment",deployment_raw[[#This Row],[Column5]],1))/1048576,"")</f>
        <v/>
      </c>
      <c r="P299" s="81" t="str">
        <f>IF(ISNUMBER(deployment_raw[[#This Row],[Column20]]), IF(Q299&lt;&gt;0,deployment_raw[[#This Row],[Column20]]/IF(OR($E$2="Deployment",deployment_raw[[#This Row],[Column5]]=0),1,deployment_raw[[#This Row],[Column5]])/1048576/Q299,0),"")</f>
        <v/>
      </c>
      <c r="Q299" s="76" t="str">
        <f>IF(ISNUMBER(deployment_raw[[#This Row],[Column9]]), (deployment_raw[[#This Row],[Column9]] * IF($E$2="Deployment",deployment_raw[[#This Row],[Column5]],1))/1048576,"")</f>
        <v/>
      </c>
      <c r="R299" s="57" t="str">
        <f>IF(ISNUMBER(deployment_raw[[#This Row],[Column10]]), (deployment_raw[[#This Row],[Column10]] * IF($E$2="Deployment",deployment_raw[[#This Row],[Column5]],1)),"")</f>
        <v/>
      </c>
      <c r="S299" s="48" t="str">
        <f>IF(ISNUMBER(deployment_raw[[#This Row],[Column11]]), (deployment_raw[[#This Row],[Column11]] * IF($E$2="Deployment",deployment_raw[[#This Row],[Column5]],1))/1048576,"")</f>
        <v/>
      </c>
      <c r="T299" s="59" t="str">
        <f>IF(ISNUMBER(deployment_raw[[#This Row],[Column8]]),IF(OR(deployment_raw[[#This Row],[Column5]] &lt;&gt; 0,$E$2 &lt;&gt; "Deployment"), MAX(V299, ($T$2 * IF($E$2="Deployment",deployment_raw[[#This Row],[Column5]],1))), 0),"")</f>
        <v/>
      </c>
      <c r="U299" s="50" t="str">
        <f>IF(ISNUMBER(deployment_raw[[#This Row],[Column9]]),IF(OR(deployment_raw[[#This Row],[Column5]] &lt;&gt; 0,$E$2&lt;&gt;"Deployment"), MAX(W299, ($U$2 * IF($E$2="Deployment",deployment_raw[[#This Row],[Column5]],1))), 0),"")</f>
        <v/>
      </c>
      <c r="V299" s="15" t="str">
        <f>IF(ISNUMBER(deployment_raw[[#This Row],[Column12]]), (deployment_raw[[#This Row],[Column12]] * IF($E$2="Deployment",deployment_raw[[#This Row],[Column5]],1)*(1+$V$2)),"")</f>
        <v/>
      </c>
      <c r="W299" s="14" t="str">
        <f>IF(ISNUMBER(deployment_raw[[#This Row],[Column13]]), (deployment_raw[[#This Row],[Column13]] * IF($E$2="Deployment",deployment_raw[[#This Row],[Column5]],1)*(1+$W$2))/1048576,"")</f>
        <v/>
      </c>
    </row>
    <row r="300" spans="1:23" ht="15.75" customHeight="1" x14ac:dyDescent="0.25">
      <c r="A300" s="5" t="str">
        <f>IF(ISNONTEXT(deployment_raw[[#This Row],[Column1]]), "", deployment_raw[[#This Row],[Column1]])</f>
        <v/>
      </c>
      <c r="B300" s="6" t="str">
        <f>IF(ISNONTEXT(deployment_raw[[#This Row],[Column2]]), "", deployment_raw[[#This Row],[Column2]])</f>
        <v/>
      </c>
      <c r="C300" s="6" t="str">
        <f>IF(ISNONTEXT(deployment_raw[[#This Row],[Column3]]), "", deployment_raw[[#This Row],[Column3]])</f>
        <v/>
      </c>
      <c r="D300" s="6" t="str">
        <f>IF(ISNONTEXT(deployment_raw[[#This Row],[Column4]]), "", deployment_raw[[#This Row],[Column4]])</f>
        <v/>
      </c>
      <c r="E300" s="7" t="str">
        <f>IF(ISNUMBER(deployment_raw[[#This Row],[Column5]]), deployment_raw[[#This Row],[Column5]],"")</f>
        <v/>
      </c>
      <c r="F300" s="32" t="str">
        <f>IF(ISNUMBER(deployment_raw[[#This Row],[Column17]]), deployment_raw[[#This Row],[Column17]]/IF(OR($E$2="Deployment",deployment_raw[[#This Row],[Column5]]=0),1,deployment_raw[[#This Row],[Column5]]),"")</f>
        <v/>
      </c>
      <c r="G300" s="42" t="str">
        <f>IF(ISNUMBER(deployment_raw[[#This Row],[Column14]]), deployment_raw[[#This Row],[Column14]]/IF(OR($E$2="Deployment",deployment_raw[[#This Row],[Column5]]=0),1,deployment_raw[[#This Row],[Column5]]),"")</f>
        <v/>
      </c>
      <c r="H300" s="79" t="str">
        <f>IF(ISNUMBER(deployment_raw[[#This Row],[Column19]]), IF(I300&lt;&gt;0,(deployment_raw[[#This Row],[Column19]]/IF(OR($E$2="Deployment",deployment_raw[[#This Row],[Column5]]=0),1,deployment_raw[[#This Row],[Column5]]))/I300,0),"")</f>
        <v/>
      </c>
      <c r="I300" s="69" t="str">
        <f>IF(ISNUMBER(deployment_raw[[#This Row],[Column6]]), (deployment_raw[[#This Row],[Column6]] * IF($E$2="Deployment",deployment_raw[[#This Row],[Column5]],1)),"")</f>
        <v/>
      </c>
      <c r="J300" s="79" t="str">
        <f>IF(ISNUMBER(deployment_raw[[#This Row],[Column19]]), IF(K300&lt;&gt;0,(deployment_raw[[#This Row],[Column19]]/IF(OR($E$2="Deployment",deployment_raw[[#This Row],[Column5]]=0),1,deployment_raw[[#This Row],[Column5]]))/K300,0),"")</f>
        <v/>
      </c>
      <c r="K300" s="72" t="str">
        <f>IF(ISNUMBER(deployment_raw[[#This Row],[Column8]]), (deployment_raw[[#This Row],[Column8]]  * IF($E$2="Deployment",deployment_raw[[#This Row],[Column5]],1)),"")</f>
        <v/>
      </c>
      <c r="L30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0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00" s="81" t="str">
        <f>IF(ISNUMBER(deployment_raw[[#This Row],[Column20]]), IF(O300&lt;&gt;0,deployment_raw[[#This Row],[Column20]]/IF(OR($E$2="Deployment",deployment_raw[[#This Row],[Column5]]=0),1,deployment_raw[[#This Row],[Column5]])/1048576/O300,0),"")</f>
        <v/>
      </c>
      <c r="O300" s="74" t="str">
        <f>IF(ISNUMBER(deployment_raw[[#This Row],[Column7]]), (deployment_raw[[#This Row],[Column7]] * IF($E$2="Deployment",deployment_raw[[#This Row],[Column5]],1))/1048576,"")</f>
        <v/>
      </c>
      <c r="P300" s="81" t="str">
        <f>IF(ISNUMBER(deployment_raw[[#This Row],[Column20]]), IF(Q300&lt;&gt;0,deployment_raw[[#This Row],[Column20]]/IF(OR($E$2="Deployment",deployment_raw[[#This Row],[Column5]]=0),1,deployment_raw[[#This Row],[Column5]])/1048576/Q300,0),"")</f>
        <v/>
      </c>
      <c r="Q300" s="76" t="str">
        <f>IF(ISNUMBER(deployment_raw[[#This Row],[Column9]]), (deployment_raw[[#This Row],[Column9]] * IF($E$2="Deployment",deployment_raw[[#This Row],[Column5]],1))/1048576,"")</f>
        <v/>
      </c>
      <c r="R300" s="57" t="str">
        <f>IF(ISNUMBER(deployment_raw[[#This Row],[Column10]]), (deployment_raw[[#This Row],[Column10]] * IF($E$2="Deployment",deployment_raw[[#This Row],[Column5]],1)),"")</f>
        <v/>
      </c>
      <c r="S300" s="48" t="str">
        <f>IF(ISNUMBER(deployment_raw[[#This Row],[Column11]]), (deployment_raw[[#This Row],[Column11]] * IF($E$2="Deployment",deployment_raw[[#This Row],[Column5]],1))/1048576,"")</f>
        <v/>
      </c>
      <c r="T300" s="59" t="str">
        <f>IF(ISNUMBER(deployment_raw[[#This Row],[Column8]]),IF(OR(deployment_raw[[#This Row],[Column5]] &lt;&gt; 0,$E$2 &lt;&gt; "Deployment"), MAX(V300, ($T$2 * IF($E$2="Deployment",deployment_raw[[#This Row],[Column5]],1))), 0),"")</f>
        <v/>
      </c>
      <c r="U300" s="50" t="str">
        <f>IF(ISNUMBER(deployment_raw[[#This Row],[Column9]]),IF(OR(deployment_raw[[#This Row],[Column5]] &lt;&gt; 0,$E$2&lt;&gt;"Deployment"), MAX(W300, ($U$2 * IF($E$2="Deployment",deployment_raw[[#This Row],[Column5]],1))), 0),"")</f>
        <v/>
      </c>
      <c r="V300" s="15" t="str">
        <f>IF(ISNUMBER(deployment_raw[[#This Row],[Column12]]), (deployment_raw[[#This Row],[Column12]] * IF($E$2="Deployment",deployment_raw[[#This Row],[Column5]],1)*(1+$V$2)),"")</f>
        <v/>
      </c>
      <c r="W300" s="14" t="str">
        <f>IF(ISNUMBER(deployment_raw[[#This Row],[Column13]]), (deployment_raw[[#This Row],[Column13]] * IF($E$2="Deployment",deployment_raw[[#This Row],[Column5]],1)*(1+$W$2))/1048576,"")</f>
        <v/>
      </c>
    </row>
    <row r="301" spans="1:23" ht="15.75" customHeight="1" x14ac:dyDescent="0.25">
      <c r="A301" s="5" t="str">
        <f>IF(ISNONTEXT(deployment_raw[[#This Row],[Column1]]), "", deployment_raw[[#This Row],[Column1]])</f>
        <v/>
      </c>
      <c r="B301" s="6" t="str">
        <f>IF(ISNONTEXT(deployment_raw[[#This Row],[Column2]]), "", deployment_raw[[#This Row],[Column2]])</f>
        <v/>
      </c>
      <c r="C301" s="6" t="str">
        <f>IF(ISNONTEXT(deployment_raw[[#This Row],[Column3]]), "", deployment_raw[[#This Row],[Column3]])</f>
        <v/>
      </c>
      <c r="D301" s="6" t="str">
        <f>IF(ISNONTEXT(deployment_raw[[#This Row],[Column4]]), "", deployment_raw[[#This Row],[Column4]])</f>
        <v/>
      </c>
      <c r="E301" s="7" t="str">
        <f>IF(ISNUMBER(deployment_raw[[#This Row],[Column5]]), deployment_raw[[#This Row],[Column5]],"")</f>
        <v/>
      </c>
      <c r="F301" s="32" t="str">
        <f>IF(ISNUMBER(deployment_raw[[#This Row],[Column17]]), deployment_raw[[#This Row],[Column17]]/IF(OR($E$2="Deployment",deployment_raw[[#This Row],[Column5]]=0),1,deployment_raw[[#This Row],[Column5]]),"")</f>
        <v/>
      </c>
      <c r="G301" s="42" t="str">
        <f>IF(ISNUMBER(deployment_raw[[#This Row],[Column14]]), deployment_raw[[#This Row],[Column14]]/IF(OR($E$2="Deployment",deployment_raw[[#This Row],[Column5]]=0),1,deployment_raw[[#This Row],[Column5]]),"")</f>
        <v/>
      </c>
      <c r="H301" s="79" t="str">
        <f>IF(ISNUMBER(deployment_raw[[#This Row],[Column19]]), IF(I301&lt;&gt;0,(deployment_raw[[#This Row],[Column19]]/IF(OR($E$2="Deployment",deployment_raw[[#This Row],[Column5]]=0),1,deployment_raw[[#This Row],[Column5]]))/I301,0),"")</f>
        <v/>
      </c>
      <c r="I301" s="69" t="str">
        <f>IF(ISNUMBER(deployment_raw[[#This Row],[Column6]]), (deployment_raw[[#This Row],[Column6]] * IF($E$2="Deployment",deployment_raw[[#This Row],[Column5]],1)),"")</f>
        <v/>
      </c>
      <c r="J301" s="79" t="str">
        <f>IF(ISNUMBER(deployment_raw[[#This Row],[Column19]]), IF(K301&lt;&gt;0,(deployment_raw[[#This Row],[Column19]]/IF(OR($E$2="Deployment",deployment_raw[[#This Row],[Column5]]=0),1,deployment_raw[[#This Row],[Column5]]))/K301,0),"")</f>
        <v/>
      </c>
      <c r="K301" s="72" t="str">
        <f>IF(ISNUMBER(deployment_raw[[#This Row],[Column8]]), (deployment_raw[[#This Row],[Column8]]  * IF($E$2="Deployment",deployment_raw[[#This Row],[Column5]],1)),"")</f>
        <v/>
      </c>
      <c r="L30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0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01" s="81" t="str">
        <f>IF(ISNUMBER(deployment_raw[[#This Row],[Column20]]), IF(O301&lt;&gt;0,deployment_raw[[#This Row],[Column20]]/IF(OR($E$2="Deployment",deployment_raw[[#This Row],[Column5]]=0),1,deployment_raw[[#This Row],[Column5]])/1048576/O301,0),"")</f>
        <v/>
      </c>
      <c r="O301" s="74" t="str">
        <f>IF(ISNUMBER(deployment_raw[[#This Row],[Column7]]), (deployment_raw[[#This Row],[Column7]] * IF($E$2="Deployment",deployment_raw[[#This Row],[Column5]],1))/1048576,"")</f>
        <v/>
      </c>
      <c r="P301" s="81" t="str">
        <f>IF(ISNUMBER(deployment_raw[[#This Row],[Column20]]), IF(Q301&lt;&gt;0,deployment_raw[[#This Row],[Column20]]/IF(OR($E$2="Deployment",deployment_raw[[#This Row],[Column5]]=0),1,deployment_raw[[#This Row],[Column5]])/1048576/Q301,0),"")</f>
        <v/>
      </c>
      <c r="Q301" s="76" t="str">
        <f>IF(ISNUMBER(deployment_raw[[#This Row],[Column9]]), (deployment_raw[[#This Row],[Column9]] * IF($E$2="Deployment",deployment_raw[[#This Row],[Column5]],1))/1048576,"")</f>
        <v/>
      </c>
      <c r="R301" s="57" t="str">
        <f>IF(ISNUMBER(deployment_raw[[#This Row],[Column10]]), (deployment_raw[[#This Row],[Column10]] * IF($E$2="Deployment",deployment_raw[[#This Row],[Column5]],1)),"")</f>
        <v/>
      </c>
      <c r="S301" s="48" t="str">
        <f>IF(ISNUMBER(deployment_raw[[#This Row],[Column11]]), (deployment_raw[[#This Row],[Column11]] * IF($E$2="Deployment",deployment_raw[[#This Row],[Column5]],1))/1048576,"")</f>
        <v/>
      </c>
      <c r="T301" s="59" t="str">
        <f>IF(ISNUMBER(deployment_raw[[#This Row],[Column8]]),IF(OR(deployment_raw[[#This Row],[Column5]] &lt;&gt; 0,$E$2 &lt;&gt; "Deployment"), MAX(V301, ($T$2 * IF($E$2="Deployment",deployment_raw[[#This Row],[Column5]],1))), 0),"")</f>
        <v/>
      </c>
      <c r="U301" s="50" t="str">
        <f>IF(ISNUMBER(deployment_raw[[#This Row],[Column9]]),IF(OR(deployment_raw[[#This Row],[Column5]] &lt;&gt; 0,$E$2&lt;&gt;"Deployment"), MAX(W301, ($U$2 * IF($E$2="Deployment",deployment_raw[[#This Row],[Column5]],1))), 0),"")</f>
        <v/>
      </c>
      <c r="V301" s="15" t="str">
        <f>IF(ISNUMBER(deployment_raw[[#This Row],[Column12]]), (deployment_raw[[#This Row],[Column12]] * IF($E$2="Deployment",deployment_raw[[#This Row],[Column5]],1)*(1+$V$2)),"")</f>
        <v/>
      </c>
      <c r="W301" s="14" t="str">
        <f>IF(ISNUMBER(deployment_raw[[#This Row],[Column13]]), (deployment_raw[[#This Row],[Column13]] * IF($E$2="Deployment",deployment_raw[[#This Row],[Column5]],1)*(1+$W$2))/1048576,"")</f>
        <v/>
      </c>
    </row>
    <row r="302" spans="1:23" ht="15.75" customHeight="1" x14ac:dyDescent="0.25">
      <c r="A302" s="5" t="str">
        <f>IF(ISNONTEXT(deployment_raw[[#This Row],[Column1]]), "", deployment_raw[[#This Row],[Column1]])</f>
        <v/>
      </c>
      <c r="B302" s="6" t="str">
        <f>IF(ISNONTEXT(deployment_raw[[#This Row],[Column2]]), "", deployment_raw[[#This Row],[Column2]])</f>
        <v/>
      </c>
      <c r="C302" s="6" t="str">
        <f>IF(ISNONTEXT(deployment_raw[[#This Row],[Column3]]), "", deployment_raw[[#This Row],[Column3]])</f>
        <v/>
      </c>
      <c r="D302" s="6" t="str">
        <f>IF(ISNONTEXT(deployment_raw[[#This Row],[Column4]]), "", deployment_raw[[#This Row],[Column4]])</f>
        <v/>
      </c>
      <c r="E302" s="7" t="str">
        <f>IF(ISNUMBER(deployment_raw[[#This Row],[Column5]]), deployment_raw[[#This Row],[Column5]],"")</f>
        <v/>
      </c>
      <c r="F302" s="32" t="str">
        <f>IF(ISNUMBER(deployment_raw[[#This Row],[Column17]]), deployment_raw[[#This Row],[Column17]]/IF(OR($E$2="Deployment",deployment_raw[[#This Row],[Column5]]=0),1,deployment_raw[[#This Row],[Column5]]),"")</f>
        <v/>
      </c>
      <c r="G302" s="42" t="str">
        <f>IF(ISNUMBER(deployment_raw[[#This Row],[Column14]]), deployment_raw[[#This Row],[Column14]]/IF(OR($E$2="Deployment",deployment_raw[[#This Row],[Column5]]=0),1,deployment_raw[[#This Row],[Column5]]),"")</f>
        <v/>
      </c>
      <c r="H302" s="79" t="str">
        <f>IF(ISNUMBER(deployment_raw[[#This Row],[Column19]]), IF(I302&lt;&gt;0,(deployment_raw[[#This Row],[Column19]]/IF(OR($E$2="Deployment",deployment_raw[[#This Row],[Column5]]=0),1,deployment_raw[[#This Row],[Column5]]))/I302,0),"")</f>
        <v/>
      </c>
      <c r="I302" s="69" t="str">
        <f>IF(ISNUMBER(deployment_raw[[#This Row],[Column6]]), (deployment_raw[[#This Row],[Column6]] * IF($E$2="Deployment",deployment_raw[[#This Row],[Column5]],1)),"")</f>
        <v/>
      </c>
      <c r="J302" s="79" t="str">
        <f>IF(ISNUMBER(deployment_raw[[#This Row],[Column19]]), IF(K302&lt;&gt;0,(deployment_raw[[#This Row],[Column19]]/IF(OR($E$2="Deployment",deployment_raw[[#This Row],[Column5]]=0),1,deployment_raw[[#This Row],[Column5]]))/K302,0),"")</f>
        <v/>
      </c>
      <c r="K302" s="72" t="str">
        <f>IF(ISNUMBER(deployment_raw[[#This Row],[Column8]]), (deployment_raw[[#This Row],[Column8]]  * IF($E$2="Deployment",deployment_raw[[#This Row],[Column5]],1)),"")</f>
        <v/>
      </c>
      <c r="L30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0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02" s="81" t="str">
        <f>IF(ISNUMBER(deployment_raw[[#This Row],[Column20]]), IF(O302&lt;&gt;0,deployment_raw[[#This Row],[Column20]]/IF(OR($E$2="Deployment",deployment_raw[[#This Row],[Column5]]=0),1,deployment_raw[[#This Row],[Column5]])/1048576/O302,0),"")</f>
        <v/>
      </c>
      <c r="O302" s="74" t="str">
        <f>IF(ISNUMBER(deployment_raw[[#This Row],[Column7]]), (deployment_raw[[#This Row],[Column7]] * IF($E$2="Deployment",deployment_raw[[#This Row],[Column5]],1))/1048576,"")</f>
        <v/>
      </c>
      <c r="P302" s="81" t="str">
        <f>IF(ISNUMBER(deployment_raw[[#This Row],[Column20]]), IF(Q302&lt;&gt;0,deployment_raw[[#This Row],[Column20]]/IF(OR($E$2="Deployment",deployment_raw[[#This Row],[Column5]]=0),1,deployment_raw[[#This Row],[Column5]])/1048576/Q302,0),"")</f>
        <v/>
      </c>
      <c r="Q302" s="76" t="str">
        <f>IF(ISNUMBER(deployment_raw[[#This Row],[Column9]]), (deployment_raw[[#This Row],[Column9]] * IF($E$2="Deployment",deployment_raw[[#This Row],[Column5]],1))/1048576,"")</f>
        <v/>
      </c>
      <c r="R302" s="57" t="str">
        <f>IF(ISNUMBER(deployment_raw[[#This Row],[Column10]]), (deployment_raw[[#This Row],[Column10]] * IF($E$2="Deployment",deployment_raw[[#This Row],[Column5]],1)),"")</f>
        <v/>
      </c>
      <c r="S302" s="48" t="str">
        <f>IF(ISNUMBER(deployment_raw[[#This Row],[Column11]]), (deployment_raw[[#This Row],[Column11]] * IF($E$2="Deployment",deployment_raw[[#This Row],[Column5]],1))/1048576,"")</f>
        <v/>
      </c>
      <c r="T302" s="59" t="str">
        <f>IF(ISNUMBER(deployment_raw[[#This Row],[Column8]]),IF(OR(deployment_raw[[#This Row],[Column5]] &lt;&gt; 0,$E$2 &lt;&gt; "Deployment"), MAX(V302, ($T$2 * IF($E$2="Deployment",deployment_raw[[#This Row],[Column5]],1))), 0),"")</f>
        <v/>
      </c>
      <c r="U302" s="50" t="str">
        <f>IF(ISNUMBER(deployment_raw[[#This Row],[Column9]]),IF(OR(deployment_raw[[#This Row],[Column5]] &lt;&gt; 0,$E$2&lt;&gt;"Deployment"), MAX(W302, ($U$2 * IF($E$2="Deployment",deployment_raw[[#This Row],[Column5]],1))), 0),"")</f>
        <v/>
      </c>
      <c r="V302" s="15" t="str">
        <f>IF(ISNUMBER(deployment_raw[[#This Row],[Column12]]), (deployment_raw[[#This Row],[Column12]] * IF($E$2="Deployment",deployment_raw[[#This Row],[Column5]],1)*(1+$V$2)),"")</f>
        <v/>
      </c>
      <c r="W302" s="14" t="str">
        <f>IF(ISNUMBER(deployment_raw[[#This Row],[Column13]]), (deployment_raw[[#This Row],[Column13]] * IF($E$2="Deployment",deployment_raw[[#This Row],[Column5]],1)*(1+$W$2))/1048576,"")</f>
        <v/>
      </c>
    </row>
    <row r="303" spans="1:23" ht="15.75" customHeight="1" x14ac:dyDescent="0.25">
      <c r="A303" s="5" t="str">
        <f>IF(ISNONTEXT(deployment_raw[[#This Row],[Column1]]), "", deployment_raw[[#This Row],[Column1]])</f>
        <v/>
      </c>
      <c r="B303" s="6" t="str">
        <f>IF(ISNONTEXT(deployment_raw[[#This Row],[Column2]]), "", deployment_raw[[#This Row],[Column2]])</f>
        <v/>
      </c>
      <c r="C303" s="6" t="str">
        <f>IF(ISNONTEXT(deployment_raw[[#This Row],[Column3]]), "", deployment_raw[[#This Row],[Column3]])</f>
        <v/>
      </c>
      <c r="D303" s="6" t="str">
        <f>IF(ISNONTEXT(deployment_raw[[#This Row],[Column4]]), "", deployment_raw[[#This Row],[Column4]])</f>
        <v/>
      </c>
      <c r="E303" s="7" t="str">
        <f>IF(ISNUMBER(deployment_raw[[#This Row],[Column5]]), deployment_raw[[#This Row],[Column5]],"")</f>
        <v/>
      </c>
      <c r="F303" s="32" t="str">
        <f>IF(ISNUMBER(deployment_raw[[#This Row],[Column17]]), deployment_raw[[#This Row],[Column17]]/IF(OR($E$2="Deployment",deployment_raw[[#This Row],[Column5]]=0),1,deployment_raw[[#This Row],[Column5]]),"")</f>
        <v/>
      </c>
      <c r="G303" s="42" t="str">
        <f>IF(ISNUMBER(deployment_raw[[#This Row],[Column14]]), deployment_raw[[#This Row],[Column14]]/IF(OR($E$2="Deployment",deployment_raw[[#This Row],[Column5]]=0),1,deployment_raw[[#This Row],[Column5]]),"")</f>
        <v/>
      </c>
      <c r="H303" s="79" t="str">
        <f>IF(ISNUMBER(deployment_raw[[#This Row],[Column19]]), IF(I303&lt;&gt;0,(deployment_raw[[#This Row],[Column19]]/IF(OR($E$2="Deployment",deployment_raw[[#This Row],[Column5]]=0),1,deployment_raw[[#This Row],[Column5]]))/I303,0),"")</f>
        <v/>
      </c>
      <c r="I303" s="69" t="str">
        <f>IF(ISNUMBER(deployment_raw[[#This Row],[Column6]]), (deployment_raw[[#This Row],[Column6]] * IF($E$2="Deployment",deployment_raw[[#This Row],[Column5]],1)),"")</f>
        <v/>
      </c>
      <c r="J303" s="79" t="str">
        <f>IF(ISNUMBER(deployment_raw[[#This Row],[Column19]]), IF(K303&lt;&gt;0,(deployment_raw[[#This Row],[Column19]]/IF(OR($E$2="Deployment",deployment_raw[[#This Row],[Column5]]=0),1,deployment_raw[[#This Row],[Column5]]))/K303,0),"")</f>
        <v/>
      </c>
      <c r="K303" s="72" t="str">
        <f>IF(ISNUMBER(deployment_raw[[#This Row],[Column8]]), (deployment_raw[[#This Row],[Column8]]  * IF($E$2="Deployment",deployment_raw[[#This Row],[Column5]],1)),"")</f>
        <v/>
      </c>
      <c r="L30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0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03" s="81" t="str">
        <f>IF(ISNUMBER(deployment_raw[[#This Row],[Column20]]), IF(O303&lt;&gt;0,deployment_raw[[#This Row],[Column20]]/IF(OR($E$2="Deployment",deployment_raw[[#This Row],[Column5]]=0),1,deployment_raw[[#This Row],[Column5]])/1048576/O303,0),"")</f>
        <v/>
      </c>
      <c r="O303" s="74" t="str">
        <f>IF(ISNUMBER(deployment_raw[[#This Row],[Column7]]), (deployment_raw[[#This Row],[Column7]] * IF($E$2="Deployment",deployment_raw[[#This Row],[Column5]],1))/1048576,"")</f>
        <v/>
      </c>
      <c r="P303" s="81" t="str">
        <f>IF(ISNUMBER(deployment_raw[[#This Row],[Column20]]), IF(Q303&lt;&gt;0,deployment_raw[[#This Row],[Column20]]/IF(OR($E$2="Deployment",deployment_raw[[#This Row],[Column5]]=0),1,deployment_raw[[#This Row],[Column5]])/1048576/Q303,0),"")</f>
        <v/>
      </c>
      <c r="Q303" s="76" t="str">
        <f>IF(ISNUMBER(deployment_raw[[#This Row],[Column9]]), (deployment_raw[[#This Row],[Column9]] * IF($E$2="Deployment",deployment_raw[[#This Row],[Column5]],1))/1048576,"")</f>
        <v/>
      </c>
      <c r="R303" s="57" t="str">
        <f>IF(ISNUMBER(deployment_raw[[#This Row],[Column10]]), (deployment_raw[[#This Row],[Column10]] * IF($E$2="Deployment",deployment_raw[[#This Row],[Column5]],1)),"")</f>
        <v/>
      </c>
      <c r="S303" s="48" t="str">
        <f>IF(ISNUMBER(deployment_raw[[#This Row],[Column11]]), (deployment_raw[[#This Row],[Column11]] * IF($E$2="Deployment",deployment_raw[[#This Row],[Column5]],1))/1048576,"")</f>
        <v/>
      </c>
      <c r="T303" s="59" t="str">
        <f>IF(ISNUMBER(deployment_raw[[#This Row],[Column8]]),IF(OR(deployment_raw[[#This Row],[Column5]] &lt;&gt; 0,$E$2 &lt;&gt; "Deployment"), MAX(V303, ($T$2 * IF($E$2="Deployment",deployment_raw[[#This Row],[Column5]],1))), 0),"")</f>
        <v/>
      </c>
      <c r="U303" s="50" t="str">
        <f>IF(ISNUMBER(deployment_raw[[#This Row],[Column9]]),IF(OR(deployment_raw[[#This Row],[Column5]] &lt;&gt; 0,$E$2&lt;&gt;"Deployment"), MAX(W303, ($U$2 * IF($E$2="Deployment",deployment_raw[[#This Row],[Column5]],1))), 0),"")</f>
        <v/>
      </c>
      <c r="V303" s="15" t="str">
        <f>IF(ISNUMBER(deployment_raw[[#This Row],[Column12]]), (deployment_raw[[#This Row],[Column12]] * IF($E$2="Deployment",deployment_raw[[#This Row],[Column5]],1)*(1+$V$2)),"")</f>
        <v/>
      </c>
      <c r="W303" s="14" t="str">
        <f>IF(ISNUMBER(deployment_raw[[#This Row],[Column13]]), (deployment_raw[[#This Row],[Column13]] * IF($E$2="Deployment",deployment_raw[[#This Row],[Column5]],1)*(1+$W$2))/1048576,"")</f>
        <v/>
      </c>
    </row>
    <row r="304" spans="1:23" ht="15.75" customHeight="1" x14ac:dyDescent="0.25">
      <c r="A304" s="5" t="str">
        <f>IF(ISNONTEXT(deployment_raw[[#This Row],[Column1]]), "", deployment_raw[[#This Row],[Column1]])</f>
        <v/>
      </c>
      <c r="B304" s="6" t="str">
        <f>IF(ISNONTEXT(deployment_raw[[#This Row],[Column2]]), "", deployment_raw[[#This Row],[Column2]])</f>
        <v/>
      </c>
      <c r="C304" s="6" t="str">
        <f>IF(ISNONTEXT(deployment_raw[[#This Row],[Column3]]), "", deployment_raw[[#This Row],[Column3]])</f>
        <v/>
      </c>
      <c r="D304" s="6" t="str">
        <f>IF(ISNONTEXT(deployment_raw[[#This Row],[Column4]]), "", deployment_raw[[#This Row],[Column4]])</f>
        <v/>
      </c>
      <c r="E304" s="7" t="str">
        <f>IF(ISNUMBER(deployment_raw[[#This Row],[Column5]]), deployment_raw[[#This Row],[Column5]],"")</f>
        <v/>
      </c>
      <c r="F304" s="32" t="str">
        <f>IF(ISNUMBER(deployment_raw[[#This Row],[Column17]]), deployment_raw[[#This Row],[Column17]]/IF(OR($E$2="Deployment",deployment_raw[[#This Row],[Column5]]=0),1,deployment_raw[[#This Row],[Column5]]),"")</f>
        <v/>
      </c>
      <c r="G304" s="42" t="str">
        <f>IF(ISNUMBER(deployment_raw[[#This Row],[Column14]]), deployment_raw[[#This Row],[Column14]]/IF(OR($E$2="Deployment",deployment_raw[[#This Row],[Column5]]=0),1,deployment_raw[[#This Row],[Column5]]),"")</f>
        <v/>
      </c>
      <c r="H304" s="79" t="str">
        <f>IF(ISNUMBER(deployment_raw[[#This Row],[Column19]]), IF(I304&lt;&gt;0,(deployment_raw[[#This Row],[Column19]]/IF(OR($E$2="Deployment",deployment_raw[[#This Row],[Column5]]=0),1,deployment_raw[[#This Row],[Column5]]))/I304,0),"")</f>
        <v/>
      </c>
      <c r="I304" s="69" t="str">
        <f>IF(ISNUMBER(deployment_raw[[#This Row],[Column6]]), (deployment_raw[[#This Row],[Column6]] * IF($E$2="Deployment",deployment_raw[[#This Row],[Column5]],1)),"")</f>
        <v/>
      </c>
      <c r="J304" s="79" t="str">
        <f>IF(ISNUMBER(deployment_raw[[#This Row],[Column19]]), IF(K304&lt;&gt;0,(deployment_raw[[#This Row],[Column19]]/IF(OR($E$2="Deployment",deployment_raw[[#This Row],[Column5]]=0),1,deployment_raw[[#This Row],[Column5]]))/K304,0),"")</f>
        <v/>
      </c>
      <c r="K304" s="72" t="str">
        <f>IF(ISNUMBER(deployment_raw[[#This Row],[Column8]]), (deployment_raw[[#This Row],[Column8]]  * IF($E$2="Deployment",deployment_raw[[#This Row],[Column5]],1)),"")</f>
        <v/>
      </c>
      <c r="L30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0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04" s="81" t="str">
        <f>IF(ISNUMBER(deployment_raw[[#This Row],[Column20]]), IF(O304&lt;&gt;0,deployment_raw[[#This Row],[Column20]]/IF(OR($E$2="Deployment",deployment_raw[[#This Row],[Column5]]=0),1,deployment_raw[[#This Row],[Column5]])/1048576/O304,0),"")</f>
        <v/>
      </c>
      <c r="O304" s="74" t="str">
        <f>IF(ISNUMBER(deployment_raw[[#This Row],[Column7]]), (deployment_raw[[#This Row],[Column7]] * IF($E$2="Deployment",deployment_raw[[#This Row],[Column5]],1))/1048576,"")</f>
        <v/>
      </c>
      <c r="P304" s="81" t="str">
        <f>IF(ISNUMBER(deployment_raw[[#This Row],[Column20]]), IF(Q304&lt;&gt;0,deployment_raw[[#This Row],[Column20]]/IF(OR($E$2="Deployment",deployment_raw[[#This Row],[Column5]]=0),1,deployment_raw[[#This Row],[Column5]])/1048576/Q304,0),"")</f>
        <v/>
      </c>
      <c r="Q304" s="76" t="str">
        <f>IF(ISNUMBER(deployment_raw[[#This Row],[Column9]]), (deployment_raw[[#This Row],[Column9]] * IF($E$2="Deployment",deployment_raw[[#This Row],[Column5]],1))/1048576,"")</f>
        <v/>
      </c>
      <c r="R304" s="57" t="str">
        <f>IF(ISNUMBER(deployment_raw[[#This Row],[Column10]]), (deployment_raw[[#This Row],[Column10]] * IF($E$2="Deployment",deployment_raw[[#This Row],[Column5]],1)),"")</f>
        <v/>
      </c>
      <c r="S304" s="48" t="str">
        <f>IF(ISNUMBER(deployment_raw[[#This Row],[Column11]]), (deployment_raw[[#This Row],[Column11]] * IF($E$2="Deployment",deployment_raw[[#This Row],[Column5]],1))/1048576,"")</f>
        <v/>
      </c>
      <c r="T304" s="59" t="str">
        <f>IF(ISNUMBER(deployment_raw[[#This Row],[Column8]]),IF(OR(deployment_raw[[#This Row],[Column5]] &lt;&gt; 0,$E$2 &lt;&gt; "Deployment"), MAX(V304, ($T$2 * IF($E$2="Deployment",deployment_raw[[#This Row],[Column5]],1))), 0),"")</f>
        <v/>
      </c>
      <c r="U304" s="50" t="str">
        <f>IF(ISNUMBER(deployment_raw[[#This Row],[Column9]]),IF(OR(deployment_raw[[#This Row],[Column5]] &lt;&gt; 0,$E$2&lt;&gt;"Deployment"), MAX(W304, ($U$2 * IF($E$2="Deployment",deployment_raw[[#This Row],[Column5]],1))), 0),"")</f>
        <v/>
      </c>
      <c r="V304" s="15" t="str">
        <f>IF(ISNUMBER(deployment_raw[[#This Row],[Column12]]), (deployment_raw[[#This Row],[Column12]] * IF($E$2="Deployment",deployment_raw[[#This Row],[Column5]],1)*(1+$V$2)),"")</f>
        <v/>
      </c>
      <c r="W304" s="14" t="str">
        <f>IF(ISNUMBER(deployment_raw[[#This Row],[Column13]]), (deployment_raw[[#This Row],[Column13]] * IF($E$2="Deployment",deployment_raw[[#This Row],[Column5]],1)*(1+$W$2))/1048576,"")</f>
        <v/>
      </c>
    </row>
    <row r="305" spans="1:23" ht="15.75" customHeight="1" x14ac:dyDescent="0.25">
      <c r="A305" s="5" t="str">
        <f>IF(ISNONTEXT(deployment_raw[[#This Row],[Column1]]), "", deployment_raw[[#This Row],[Column1]])</f>
        <v/>
      </c>
      <c r="B305" s="6" t="str">
        <f>IF(ISNONTEXT(deployment_raw[[#This Row],[Column2]]), "", deployment_raw[[#This Row],[Column2]])</f>
        <v/>
      </c>
      <c r="C305" s="6" t="str">
        <f>IF(ISNONTEXT(deployment_raw[[#This Row],[Column3]]), "", deployment_raw[[#This Row],[Column3]])</f>
        <v/>
      </c>
      <c r="D305" s="6" t="str">
        <f>IF(ISNONTEXT(deployment_raw[[#This Row],[Column4]]), "", deployment_raw[[#This Row],[Column4]])</f>
        <v/>
      </c>
      <c r="E305" s="7" t="str">
        <f>IF(ISNUMBER(deployment_raw[[#This Row],[Column5]]), deployment_raw[[#This Row],[Column5]],"")</f>
        <v/>
      </c>
      <c r="F305" s="32" t="str">
        <f>IF(ISNUMBER(deployment_raw[[#This Row],[Column17]]), deployment_raw[[#This Row],[Column17]]/IF(OR($E$2="Deployment",deployment_raw[[#This Row],[Column5]]=0),1,deployment_raw[[#This Row],[Column5]]),"")</f>
        <v/>
      </c>
      <c r="G305" s="42" t="str">
        <f>IF(ISNUMBER(deployment_raw[[#This Row],[Column14]]), deployment_raw[[#This Row],[Column14]]/IF(OR($E$2="Deployment",deployment_raw[[#This Row],[Column5]]=0),1,deployment_raw[[#This Row],[Column5]]),"")</f>
        <v/>
      </c>
      <c r="H305" s="79" t="str">
        <f>IF(ISNUMBER(deployment_raw[[#This Row],[Column19]]), IF(I305&lt;&gt;0,(deployment_raw[[#This Row],[Column19]]/IF(OR($E$2="Deployment",deployment_raw[[#This Row],[Column5]]=0),1,deployment_raw[[#This Row],[Column5]]))/I305,0),"")</f>
        <v/>
      </c>
      <c r="I305" s="69" t="str">
        <f>IF(ISNUMBER(deployment_raw[[#This Row],[Column6]]), (deployment_raw[[#This Row],[Column6]] * IF($E$2="Deployment",deployment_raw[[#This Row],[Column5]],1)),"")</f>
        <v/>
      </c>
      <c r="J305" s="79" t="str">
        <f>IF(ISNUMBER(deployment_raw[[#This Row],[Column19]]), IF(K305&lt;&gt;0,(deployment_raw[[#This Row],[Column19]]/IF(OR($E$2="Deployment",deployment_raw[[#This Row],[Column5]]=0),1,deployment_raw[[#This Row],[Column5]]))/K305,0),"")</f>
        <v/>
      </c>
      <c r="K305" s="72" t="str">
        <f>IF(ISNUMBER(deployment_raw[[#This Row],[Column8]]), (deployment_raw[[#This Row],[Column8]]  * IF($E$2="Deployment",deployment_raw[[#This Row],[Column5]],1)),"")</f>
        <v/>
      </c>
      <c r="L30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0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05" s="81" t="str">
        <f>IF(ISNUMBER(deployment_raw[[#This Row],[Column20]]), IF(O305&lt;&gt;0,deployment_raw[[#This Row],[Column20]]/IF(OR($E$2="Deployment",deployment_raw[[#This Row],[Column5]]=0),1,deployment_raw[[#This Row],[Column5]])/1048576/O305,0),"")</f>
        <v/>
      </c>
      <c r="O305" s="74" t="str">
        <f>IF(ISNUMBER(deployment_raw[[#This Row],[Column7]]), (deployment_raw[[#This Row],[Column7]] * IF($E$2="Deployment",deployment_raw[[#This Row],[Column5]],1))/1048576,"")</f>
        <v/>
      </c>
      <c r="P305" s="81" t="str">
        <f>IF(ISNUMBER(deployment_raw[[#This Row],[Column20]]), IF(Q305&lt;&gt;0,deployment_raw[[#This Row],[Column20]]/IF(OR($E$2="Deployment",deployment_raw[[#This Row],[Column5]]=0),1,deployment_raw[[#This Row],[Column5]])/1048576/Q305,0),"")</f>
        <v/>
      </c>
      <c r="Q305" s="76" t="str">
        <f>IF(ISNUMBER(deployment_raw[[#This Row],[Column9]]), (deployment_raw[[#This Row],[Column9]] * IF($E$2="Deployment",deployment_raw[[#This Row],[Column5]],1))/1048576,"")</f>
        <v/>
      </c>
      <c r="R305" s="57" t="str">
        <f>IF(ISNUMBER(deployment_raw[[#This Row],[Column10]]), (deployment_raw[[#This Row],[Column10]] * IF($E$2="Deployment",deployment_raw[[#This Row],[Column5]],1)),"")</f>
        <v/>
      </c>
      <c r="S305" s="48" t="str">
        <f>IF(ISNUMBER(deployment_raw[[#This Row],[Column11]]), (deployment_raw[[#This Row],[Column11]] * IF($E$2="Deployment",deployment_raw[[#This Row],[Column5]],1))/1048576,"")</f>
        <v/>
      </c>
      <c r="T305" s="59" t="str">
        <f>IF(ISNUMBER(deployment_raw[[#This Row],[Column8]]),IF(OR(deployment_raw[[#This Row],[Column5]] &lt;&gt; 0,$E$2 &lt;&gt; "Deployment"), MAX(V305, ($T$2 * IF($E$2="Deployment",deployment_raw[[#This Row],[Column5]],1))), 0),"")</f>
        <v/>
      </c>
      <c r="U305" s="50" t="str">
        <f>IF(ISNUMBER(deployment_raw[[#This Row],[Column9]]),IF(OR(deployment_raw[[#This Row],[Column5]] &lt;&gt; 0,$E$2&lt;&gt;"Deployment"), MAX(W305, ($U$2 * IF($E$2="Deployment",deployment_raw[[#This Row],[Column5]],1))), 0),"")</f>
        <v/>
      </c>
      <c r="V305" s="15" t="str">
        <f>IF(ISNUMBER(deployment_raw[[#This Row],[Column12]]), (deployment_raw[[#This Row],[Column12]] * IF($E$2="Deployment",deployment_raw[[#This Row],[Column5]],1)*(1+$V$2)),"")</f>
        <v/>
      </c>
      <c r="W305" s="14" t="str">
        <f>IF(ISNUMBER(deployment_raw[[#This Row],[Column13]]), (deployment_raw[[#This Row],[Column13]] * IF($E$2="Deployment",deployment_raw[[#This Row],[Column5]],1)*(1+$W$2))/1048576,"")</f>
        <v/>
      </c>
    </row>
    <row r="306" spans="1:23" ht="15.75" customHeight="1" x14ac:dyDescent="0.25">
      <c r="A306" s="5" t="str">
        <f>IF(ISNONTEXT(deployment_raw[[#This Row],[Column1]]), "", deployment_raw[[#This Row],[Column1]])</f>
        <v/>
      </c>
      <c r="B306" s="6" t="str">
        <f>IF(ISNONTEXT(deployment_raw[[#This Row],[Column2]]), "", deployment_raw[[#This Row],[Column2]])</f>
        <v/>
      </c>
      <c r="C306" s="6" t="str">
        <f>IF(ISNONTEXT(deployment_raw[[#This Row],[Column3]]), "", deployment_raw[[#This Row],[Column3]])</f>
        <v/>
      </c>
      <c r="D306" s="6" t="str">
        <f>IF(ISNONTEXT(deployment_raw[[#This Row],[Column4]]), "", deployment_raw[[#This Row],[Column4]])</f>
        <v/>
      </c>
      <c r="E306" s="7" t="str">
        <f>IF(ISNUMBER(deployment_raw[[#This Row],[Column5]]), deployment_raw[[#This Row],[Column5]],"")</f>
        <v/>
      </c>
      <c r="F306" s="32" t="str">
        <f>IF(ISNUMBER(deployment_raw[[#This Row],[Column17]]), deployment_raw[[#This Row],[Column17]]/IF(OR($E$2="Deployment",deployment_raw[[#This Row],[Column5]]=0),1,deployment_raw[[#This Row],[Column5]]),"")</f>
        <v/>
      </c>
      <c r="G306" s="42" t="str">
        <f>IF(ISNUMBER(deployment_raw[[#This Row],[Column14]]), deployment_raw[[#This Row],[Column14]]/IF(OR($E$2="Deployment",deployment_raw[[#This Row],[Column5]]=0),1,deployment_raw[[#This Row],[Column5]]),"")</f>
        <v/>
      </c>
      <c r="H306" s="79" t="str">
        <f>IF(ISNUMBER(deployment_raw[[#This Row],[Column19]]), IF(I306&lt;&gt;0,(deployment_raw[[#This Row],[Column19]]/IF(OR($E$2="Deployment",deployment_raw[[#This Row],[Column5]]=0),1,deployment_raw[[#This Row],[Column5]]))/I306,0),"")</f>
        <v/>
      </c>
      <c r="I306" s="69" t="str">
        <f>IF(ISNUMBER(deployment_raw[[#This Row],[Column6]]), (deployment_raw[[#This Row],[Column6]] * IF($E$2="Deployment",deployment_raw[[#This Row],[Column5]],1)),"")</f>
        <v/>
      </c>
      <c r="J306" s="79" t="str">
        <f>IF(ISNUMBER(deployment_raw[[#This Row],[Column19]]), IF(K306&lt;&gt;0,(deployment_raw[[#This Row],[Column19]]/IF(OR($E$2="Deployment",deployment_raw[[#This Row],[Column5]]=0),1,deployment_raw[[#This Row],[Column5]]))/K306,0),"")</f>
        <v/>
      </c>
      <c r="K306" s="72" t="str">
        <f>IF(ISNUMBER(deployment_raw[[#This Row],[Column8]]), (deployment_raw[[#This Row],[Column8]]  * IF($E$2="Deployment",deployment_raw[[#This Row],[Column5]],1)),"")</f>
        <v/>
      </c>
      <c r="L30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0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06" s="81" t="str">
        <f>IF(ISNUMBER(deployment_raw[[#This Row],[Column20]]), IF(O306&lt;&gt;0,deployment_raw[[#This Row],[Column20]]/IF(OR($E$2="Deployment",deployment_raw[[#This Row],[Column5]]=0),1,deployment_raw[[#This Row],[Column5]])/1048576/O306,0),"")</f>
        <v/>
      </c>
      <c r="O306" s="74" t="str">
        <f>IF(ISNUMBER(deployment_raw[[#This Row],[Column7]]), (deployment_raw[[#This Row],[Column7]] * IF($E$2="Deployment",deployment_raw[[#This Row],[Column5]],1))/1048576,"")</f>
        <v/>
      </c>
      <c r="P306" s="81" t="str">
        <f>IF(ISNUMBER(deployment_raw[[#This Row],[Column20]]), IF(Q306&lt;&gt;0,deployment_raw[[#This Row],[Column20]]/IF(OR($E$2="Deployment",deployment_raw[[#This Row],[Column5]]=0),1,deployment_raw[[#This Row],[Column5]])/1048576/Q306,0),"")</f>
        <v/>
      </c>
      <c r="Q306" s="76" t="str">
        <f>IF(ISNUMBER(deployment_raw[[#This Row],[Column9]]), (deployment_raw[[#This Row],[Column9]] * IF($E$2="Deployment",deployment_raw[[#This Row],[Column5]],1))/1048576,"")</f>
        <v/>
      </c>
      <c r="R306" s="57" t="str">
        <f>IF(ISNUMBER(deployment_raw[[#This Row],[Column10]]), (deployment_raw[[#This Row],[Column10]] * IF($E$2="Deployment",deployment_raw[[#This Row],[Column5]],1)),"")</f>
        <v/>
      </c>
      <c r="S306" s="48" t="str">
        <f>IF(ISNUMBER(deployment_raw[[#This Row],[Column11]]), (deployment_raw[[#This Row],[Column11]] * IF($E$2="Deployment",deployment_raw[[#This Row],[Column5]],1))/1048576,"")</f>
        <v/>
      </c>
      <c r="T306" s="59" t="str">
        <f>IF(ISNUMBER(deployment_raw[[#This Row],[Column8]]),IF(OR(deployment_raw[[#This Row],[Column5]] &lt;&gt; 0,$E$2 &lt;&gt; "Deployment"), MAX(V306, ($T$2 * IF($E$2="Deployment",deployment_raw[[#This Row],[Column5]],1))), 0),"")</f>
        <v/>
      </c>
      <c r="U306" s="50" t="str">
        <f>IF(ISNUMBER(deployment_raw[[#This Row],[Column9]]),IF(OR(deployment_raw[[#This Row],[Column5]] &lt;&gt; 0,$E$2&lt;&gt;"Deployment"), MAX(W306, ($U$2 * IF($E$2="Deployment",deployment_raw[[#This Row],[Column5]],1))), 0),"")</f>
        <v/>
      </c>
      <c r="V306" s="15" t="str">
        <f>IF(ISNUMBER(deployment_raw[[#This Row],[Column12]]), (deployment_raw[[#This Row],[Column12]] * IF($E$2="Deployment",deployment_raw[[#This Row],[Column5]],1)*(1+$V$2)),"")</f>
        <v/>
      </c>
      <c r="W306" s="14" t="str">
        <f>IF(ISNUMBER(deployment_raw[[#This Row],[Column13]]), (deployment_raw[[#This Row],[Column13]] * IF($E$2="Deployment",deployment_raw[[#This Row],[Column5]],1)*(1+$W$2))/1048576,"")</f>
        <v/>
      </c>
    </row>
    <row r="307" spans="1:23" ht="15.75" customHeight="1" x14ac:dyDescent="0.25">
      <c r="A307" s="5" t="str">
        <f>IF(ISNONTEXT(deployment_raw[[#This Row],[Column1]]), "", deployment_raw[[#This Row],[Column1]])</f>
        <v/>
      </c>
      <c r="B307" s="6" t="str">
        <f>IF(ISNONTEXT(deployment_raw[[#This Row],[Column2]]), "", deployment_raw[[#This Row],[Column2]])</f>
        <v/>
      </c>
      <c r="C307" s="6" t="str">
        <f>IF(ISNONTEXT(deployment_raw[[#This Row],[Column3]]), "", deployment_raw[[#This Row],[Column3]])</f>
        <v/>
      </c>
      <c r="D307" s="6" t="str">
        <f>IF(ISNONTEXT(deployment_raw[[#This Row],[Column4]]), "", deployment_raw[[#This Row],[Column4]])</f>
        <v/>
      </c>
      <c r="E307" s="7" t="str">
        <f>IF(ISNUMBER(deployment_raw[[#This Row],[Column5]]), deployment_raw[[#This Row],[Column5]],"")</f>
        <v/>
      </c>
      <c r="F307" s="32" t="str">
        <f>IF(ISNUMBER(deployment_raw[[#This Row],[Column17]]), deployment_raw[[#This Row],[Column17]]/IF(OR($E$2="Deployment",deployment_raw[[#This Row],[Column5]]=0),1,deployment_raw[[#This Row],[Column5]]),"")</f>
        <v/>
      </c>
      <c r="G307" s="42" t="str">
        <f>IF(ISNUMBER(deployment_raw[[#This Row],[Column14]]), deployment_raw[[#This Row],[Column14]]/IF(OR($E$2="Deployment",deployment_raw[[#This Row],[Column5]]=0),1,deployment_raw[[#This Row],[Column5]]),"")</f>
        <v/>
      </c>
      <c r="H307" s="79" t="str">
        <f>IF(ISNUMBER(deployment_raw[[#This Row],[Column19]]), IF(I307&lt;&gt;0,(deployment_raw[[#This Row],[Column19]]/IF(OR($E$2="Deployment",deployment_raw[[#This Row],[Column5]]=0),1,deployment_raw[[#This Row],[Column5]]))/I307,0),"")</f>
        <v/>
      </c>
      <c r="I307" s="69" t="str">
        <f>IF(ISNUMBER(deployment_raw[[#This Row],[Column6]]), (deployment_raw[[#This Row],[Column6]] * IF($E$2="Deployment",deployment_raw[[#This Row],[Column5]],1)),"")</f>
        <v/>
      </c>
      <c r="J307" s="79" t="str">
        <f>IF(ISNUMBER(deployment_raw[[#This Row],[Column19]]), IF(K307&lt;&gt;0,(deployment_raw[[#This Row],[Column19]]/IF(OR($E$2="Deployment",deployment_raw[[#This Row],[Column5]]=0),1,deployment_raw[[#This Row],[Column5]]))/K307,0),"")</f>
        <v/>
      </c>
      <c r="K307" s="72" t="str">
        <f>IF(ISNUMBER(deployment_raw[[#This Row],[Column8]]), (deployment_raw[[#This Row],[Column8]]  * IF($E$2="Deployment",deployment_raw[[#This Row],[Column5]],1)),"")</f>
        <v/>
      </c>
      <c r="L30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0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07" s="81" t="str">
        <f>IF(ISNUMBER(deployment_raw[[#This Row],[Column20]]), IF(O307&lt;&gt;0,deployment_raw[[#This Row],[Column20]]/IF(OR($E$2="Deployment",deployment_raw[[#This Row],[Column5]]=0),1,deployment_raw[[#This Row],[Column5]])/1048576/O307,0),"")</f>
        <v/>
      </c>
      <c r="O307" s="74" t="str">
        <f>IF(ISNUMBER(deployment_raw[[#This Row],[Column7]]), (deployment_raw[[#This Row],[Column7]] * IF($E$2="Deployment",deployment_raw[[#This Row],[Column5]],1))/1048576,"")</f>
        <v/>
      </c>
      <c r="P307" s="81" t="str">
        <f>IF(ISNUMBER(deployment_raw[[#This Row],[Column20]]), IF(Q307&lt;&gt;0,deployment_raw[[#This Row],[Column20]]/IF(OR($E$2="Deployment",deployment_raw[[#This Row],[Column5]]=0),1,deployment_raw[[#This Row],[Column5]])/1048576/Q307,0),"")</f>
        <v/>
      </c>
      <c r="Q307" s="76" t="str">
        <f>IF(ISNUMBER(deployment_raw[[#This Row],[Column9]]), (deployment_raw[[#This Row],[Column9]] * IF($E$2="Deployment",deployment_raw[[#This Row],[Column5]],1))/1048576,"")</f>
        <v/>
      </c>
      <c r="R307" s="57" t="str">
        <f>IF(ISNUMBER(deployment_raw[[#This Row],[Column10]]), (deployment_raw[[#This Row],[Column10]] * IF($E$2="Deployment",deployment_raw[[#This Row],[Column5]],1)),"")</f>
        <v/>
      </c>
      <c r="S307" s="48" t="str">
        <f>IF(ISNUMBER(deployment_raw[[#This Row],[Column11]]), (deployment_raw[[#This Row],[Column11]] * IF($E$2="Deployment",deployment_raw[[#This Row],[Column5]],1))/1048576,"")</f>
        <v/>
      </c>
      <c r="T307" s="59" t="str">
        <f>IF(ISNUMBER(deployment_raw[[#This Row],[Column8]]),IF(OR(deployment_raw[[#This Row],[Column5]] &lt;&gt; 0,$E$2 &lt;&gt; "Deployment"), MAX(V307, ($T$2 * IF($E$2="Deployment",deployment_raw[[#This Row],[Column5]],1))), 0),"")</f>
        <v/>
      </c>
      <c r="U307" s="50" t="str">
        <f>IF(ISNUMBER(deployment_raw[[#This Row],[Column9]]),IF(OR(deployment_raw[[#This Row],[Column5]] &lt;&gt; 0,$E$2&lt;&gt;"Deployment"), MAX(W307, ($U$2 * IF($E$2="Deployment",deployment_raw[[#This Row],[Column5]],1))), 0),"")</f>
        <v/>
      </c>
      <c r="V307" s="15" t="str">
        <f>IF(ISNUMBER(deployment_raw[[#This Row],[Column12]]), (deployment_raw[[#This Row],[Column12]] * IF($E$2="Deployment",deployment_raw[[#This Row],[Column5]],1)*(1+$V$2)),"")</f>
        <v/>
      </c>
      <c r="W307" s="14" t="str">
        <f>IF(ISNUMBER(deployment_raw[[#This Row],[Column13]]), (deployment_raw[[#This Row],[Column13]] * IF($E$2="Deployment",deployment_raw[[#This Row],[Column5]],1)*(1+$W$2))/1048576,"")</f>
        <v/>
      </c>
    </row>
    <row r="308" spans="1:23" ht="15.75" customHeight="1" x14ac:dyDescent="0.25">
      <c r="A308" s="5" t="str">
        <f>IF(ISNONTEXT(deployment_raw[[#This Row],[Column1]]), "", deployment_raw[[#This Row],[Column1]])</f>
        <v/>
      </c>
      <c r="B308" s="6" t="str">
        <f>IF(ISNONTEXT(deployment_raw[[#This Row],[Column2]]), "", deployment_raw[[#This Row],[Column2]])</f>
        <v/>
      </c>
      <c r="C308" s="6" t="str">
        <f>IF(ISNONTEXT(deployment_raw[[#This Row],[Column3]]), "", deployment_raw[[#This Row],[Column3]])</f>
        <v/>
      </c>
      <c r="D308" s="6" t="str">
        <f>IF(ISNONTEXT(deployment_raw[[#This Row],[Column4]]), "", deployment_raw[[#This Row],[Column4]])</f>
        <v/>
      </c>
      <c r="E308" s="7" t="str">
        <f>IF(ISNUMBER(deployment_raw[[#This Row],[Column5]]), deployment_raw[[#This Row],[Column5]],"")</f>
        <v/>
      </c>
      <c r="F308" s="32" t="str">
        <f>IF(ISNUMBER(deployment_raw[[#This Row],[Column17]]), deployment_raw[[#This Row],[Column17]]/IF(OR($E$2="Deployment",deployment_raw[[#This Row],[Column5]]=0),1,deployment_raw[[#This Row],[Column5]]),"")</f>
        <v/>
      </c>
      <c r="G308" s="42" t="str">
        <f>IF(ISNUMBER(deployment_raw[[#This Row],[Column14]]), deployment_raw[[#This Row],[Column14]]/IF(OR($E$2="Deployment",deployment_raw[[#This Row],[Column5]]=0),1,deployment_raw[[#This Row],[Column5]]),"")</f>
        <v/>
      </c>
      <c r="H308" s="79" t="str">
        <f>IF(ISNUMBER(deployment_raw[[#This Row],[Column19]]), IF(I308&lt;&gt;0,(deployment_raw[[#This Row],[Column19]]/IF(OR($E$2="Deployment",deployment_raw[[#This Row],[Column5]]=0),1,deployment_raw[[#This Row],[Column5]]))/I308,0),"")</f>
        <v/>
      </c>
      <c r="I308" s="69" t="str">
        <f>IF(ISNUMBER(deployment_raw[[#This Row],[Column6]]), (deployment_raw[[#This Row],[Column6]] * IF($E$2="Deployment",deployment_raw[[#This Row],[Column5]],1)),"")</f>
        <v/>
      </c>
      <c r="J308" s="79" t="str">
        <f>IF(ISNUMBER(deployment_raw[[#This Row],[Column19]]), IF(K308&lt;&gt;0,(deployment_raw[[#This Row],[Column19]]/IF(OR($E$2="Deployment",deployment_raw[[#This Row],[Column5]]=0),1,deployment_raw[[#This Row],[Column5]]))/K308,0),"")</f>
        <v/>
      </c>
      <c r="K308" s="72" t="str">
        <f>IF(ISNUMBER(deployment_raw[[#This Row],[Column8]]), (deployment_raw[[#This Row],[Column8]]  * IF($E$2="Deployment",deployment_raw[[#This Row],[Column5]],1)),"")</f>
        <v/>
      </c>
      <c r="L30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0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08" s="81" t="str">
        <f>IF(ISNUMBER(deployment_raw[[#This Row],[Column20]]), IF(O308&lt;&gt;0,deployment_raw[[#This Row],[Column20]]/IF(OR($E$2="Deployment",deployment_raw[[#This Row],[Column5]]=0),1,deployment_raw[[#This Row],[Column5]])/1048576/O308,0),"")</f>
        <v/>
      </c>
      <c r="O308" s="74" t="str">
        <f>IF(ISNUMBER(deployment_raw[[#This Row],[Column7]]), (deployment_raw[[#This Row],[Column7]] * IF($E$2="Deployment",deployment_raw[[#This Row],[Column5]],1))/1048576,"")</f>
        <v/>
      </c>
      <c r="P308" s="81" t="str">
        <f>IF(ISNUMBER(deployment_raw[[#This Row],[Column20]]), IF(Q308&lt;&gt;0,deployment_raw[[#This Row],[Column20]]/IF(OR($E$2="Deployment",deployment_raw[[#This Row],[Column5]]=0),1,deployment_raw[[#This Row],[Column5]])/1048576/Q308,0),"")</f>
        <v/>
      </c>
      <c r="Q308" s="76" t="str">
        <f>IF(ISNUMBER(deployment_raw[[#This Row],[Column9]]), (deployment_raw[[#This Row],[Column9]] * IF($E$2="Deployment",deployment_raw[[#This Row],[Column5]],1))/1048576,"")</f>
        <v/>
      </c>
      <c r="R308" s="57" t="str">
        <f>IF(ISNUMBER(deployment_raw[[#This Row],[Column10]]), (deployment_raw[[#This Row],[Column10]] * IF($E$2="Deployment",deployment_raw[[#This Row],[Column5]],1)),"")</f>
        <v/>
      </c>
      <c r="S308" s="48" t="str">
        <f>IF(ISNUMBER(deployment_raw[[#This Row],[Column11]]), (deployment_raw[[#This Row],[Column11]] * IF($E$2="Deployment",deployment_raw[[#This Row],[Column5]],1))/1048576,"")</f>
        <v/>
      </c>
      <c r="T308" s="59" t="str">
        <f>IF(ISNUMBER(deployment_raw[[#This Row],[Column8]]),IF(OR(deployment_raw[[#This Row],[Column5]] &lt;&gt; 0,$E$2 &lt;&gt; "Deployment"), MAX(V308, ($T$2 * IF($E$2="Deployment",deployment_raw[[#This Row],[Column5]],1))), 0),"")</f>
        <v/>
      </c>
      <c r="U308" s="50" t="str">
        <f>IF(ISNUMBER(deployment_raw[[#This Row],[Column9]]),IF(OR(deployment_raw[[#This Row],[Column5]] &lt;&gt; 0,$E$2&lt;&gt;"Deployment"), MAX(W308, ($U$2 * IF($E$2="Deployment",deployment_raw[[#This Row],[Column5]],1))), 0),"")</f>
        <v/>
      </c>
      <c r="V308" s="15" t="str">
        <f>IF(ISNUMBER(deployment_raw[[#This Row],[Column12]]), (deployment_raw[[#This Row],[Column12]] * IF($E$2="Deployment",deployment_raw[[#This Row],[Column5]],1)*(1+$V$2)),"")</f>
        <v/>
      </c>
      <c r="W308" s="14" t="str">
        <f>IF(ISNUMBER(deployment_raw[[#This Row],[Column13]]), (deployment_raw[[#This Row],[Column13]] * IF($E$2="Deployment",deployment_raw[[#This Row],[Column5]],1)*(1+$W$2))/1048576,"")</f>
        <v/>
      </c>
    </row>
    <row r="309" spans="1:23" ht="15.75" customHeight="1" x14ac:dyDescent="0.25">
      <c r="A309" s="5" t="str">
        <f>IF(ISNONTEXT(deployment_raw[[#This Row],[Column1]]), "", deployment_raw[[#This Row],[Column1]])</f>
        <v/>
      </c>
      <c r="B309" s="6" t="str">
        <f>IF(ISNONTEXT(deployment_raw[[#This Row],[Column2]]), "", deployment_raw[[#This Row],[Column2]])</f>
        <v/>
      </c>
      <c r="C309" s="6" t="str">
        <f>IF(ISNONTEXT(deployment_raw[[#This Row],[Column3]]), "", deployment_raw[[#This Row],[Column3]])</f>
        <v/>
      </c>
      <c r="D309" s="6" t="str">
        <f>IF(ISNONTEXT(deployment_raw[[#This Row],[Column4]]), "", deployment_raw[[#This Row],[Column4]])</f>
        <v/>
      </c>
      <c r="E309" s="7" t="str">
        <f>IF(ISNUMBER(deployment_raw[[#This Row],[Column5]]), deployment_raw[[#This Row],[Column5]],"")</f>
        <v/>
      </c>
      <c r="F309" s="32" t="str">
        <f>IF(ISNUMBER(deployment_raw[[#This Row],[Column17]]), deployment_raw[[#This Row],[Column17]]/IF(OR($E$2="Deployment",deployment_raw[[#This Row],[Column5]]=0),1,deployment_raw[[#This Row],[Column5]]),"")</f>
        <v/>
      </c>
      <c r="G309" s="42" t="str">
        <f>IF(ISNUMBER(deployment_raw[[#This Row],[Column14]]), deployment_raw[[#This Row],[Column14]]/IF(OR($E$2="Deployment",deployment_raw[[#This Row],[Column5]]=0),1,deployment_raw[[#This Row],[Column5]]),"")</f>
        <v/>
      </c>
      <c r="H309" s="79" t="str">
        <f>IF(ISNUMBER(deployment_raw[[#This Row],[Column19]]), IF(I309&lt;&gt;0,(deployment_raw[[#This Row],[Column19]]/IF(OR($E$2="Deployment",deployment_raw[[#This Row],[Column5]]=0),1,deployment_raw[[#This Row],[Column5]]))/I309,0),"")</f>
        <v/>
      </c>
      <c r="I309" s="69" t="str">
        <f>IF(ISNUMBER(deployment_raw[[#This Row],[Column6]]), (deployment_raw[[#This Row],[Column6]] * IF($E$2="Deployment",deployment_raw[[#This Row],[Column5]],1)),"")</f>
        <v/>
      </c>
      <c r="J309" s="79" t="str">
        <f>IF(ISNUMBER(deployment_raw[[#This Row],[Column19]]), IF(K309&lt;&gt;0,(deployment_raw[[#This Row],[Column19]]/IF(OR($E$2="Deployment",deployment_raw[[#This Row],[Column5]]=0),1,deployment_raw[[#This Row],[Column5]]))/K309,0),"")</f>
        <v/>
      </c>
      <c r="K309" s="72" t="str">
        <f>IF(ISNUMBER(deployment_raw[[#This Row],[Column8]]), (deployment_raw[[#This Row],[Column8]]  * IF($E$2="Deployment",deployment_raw[[#This Row],[Column5]],1)),"")</f>
        <v/>
      </c>
      <c r="L30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0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09" s="81" t="str">
        <f>IF(ISNUMBER(deployment_raw[[#This Row],[Column20]]), IF(O309&lt;&gt;0,deployment_raw[[#This Row],[Column20]]/IF(OR($E$2="Deployment",deployment_raw[[#This Row],[Column5]]=0),1,deployment_raw[[#This Row],[Column5]])/1048576/O309,0),"")</f>
        <v/>
      </c>
      <c r="O309" s="74" t="str">
        <f>IF(ISNUMBER(deployment_raw[[#This Row],[Column7]]), (deployment_raw[[#This Row],[Column7]] * IF($E$2="Deployment",deployment_raw[[#This Row],[Column5]],1))/1048576,"")</f>
        <v/>
      </c>
      <c r="P309" s="81" t="str">
        <f>IF(ISNUMBER(deployment_raw[[#This Row],[Column20]]), IF(Q309&lt;&gt;0,deployment_raw[[#This Row],[Column20]]/IF(OR($E$2="Deployment",deployment_raw[[#This Row],[Column5]]=0),1,deployment_raw[[#This Row],[Column5]])/1048576/Q309,0),"")</f>
        <v/>
      </c>
      <c r="Q309" s="76" t="str">
        <f>IF(ISNUMBER(deployment_raw[[#This Row],[Column9]]), (deployment_raw[[#This Row],[Column9]] * IF($E$2="Deployment",deployment_raw[[#This Row],[Column5]],1))/1048576,"")</f>
        <v/>
      </c>
      <c r="R309" s="57" t="str">
        <f>IF(ISNUMBER(deployment_raw[[#This Row],[Column10]]), (deployment_raw[[#This Row],[Column10]] * IF($E$2="Deployment",deployment_raw[[#This Row],[Column5]],1)),"")</f>
        <v/>
      </c>
      <c r="S309" s="48" t="str">
        <f>IF(ISNUMBER(deployment_raw[[#This Row],[Column11]]), (deployment_raw[[#This Row],[Column11]] * IF($E$2="Deployment",deployment_raw[[#This Row],[Column5]],1))/1048576,"")</f>
        <v/>
      </c>
      <c r="T309" s="59" t="str">
        <f>IF(ISNUMBER(deployment_raw[[#This Row],[Column8]]),IF(OR(deployment_raw[[#This Row],[Column5]] &lt;&gt; 0,$E$2 &lt;&gt; "Deployment"), MAX(V309, ($T$2 * IF($E$2="Deployment",deployment_raw[[#This Row],[Column5]],1))), 0),"")</f>
        <v/>
      </c>
      <c r="U309" s="50" t="str">
        <f>IF(ISNUMBER(deployment_raw[[#This Row],[Column9]]),IF(OR(deployment_raw[[#This Row],[Column5]] &lt;&gt; 0,$E$2&lt;&gt;"Deployment"), MAX(W309, ($U$2 * IF($E$2="Deployment",deployment_raw[[#This Row],[Column5]],1))), 0),"")</f>
        <v/>
      </c>
      <c r="V309" s="15" t="str">
        <f>IF(ISNUMBER(deployment_raw[[#This Row],[Column12]]), (deployment_raw[[#This Row],[Column12]] * IF($E$2="Deployment",deployment_raw[[#This Row],[Column5]],1)*(1+$V$2)),"")</f>
        <v/>
      </c>
      <c r="W309" s="14" t="str">
        <f>IF(ISNUMBER(deployment_raw[[#This Row],[Column13]]), (deployment_raw[[#This Row],[Column13]] * IF($E$2="Deployment",deployment_raw[[#This Row],[Column5]],1)*(1+$W$2))/1048576,"")</f>
        <v/>
      </c>
    </row>
    <row r="310" spans="1:23" ht="15.75" customHeight="1" x14ac:dyDescent="0.25">
      <c r="A310" s="5" t="str">
        <f>IF(ISNONTEXT(deployment_raw[[#This Row],[Column1]]), "", deployment_raw[[#This Row],[Column1]])</f>
        <v/>
      </c>
      <c r="B310" s="6" t="str">
        <f>IF(ISNONTEXT(deployment_raw[[#This Row],[Column2]]), "", deployment_raw[[#This Row],[Column2]])</f>
        <v/>
      </c>
      <c r="C310" s="6" t="str">
        <f>IF(ISNONTEXT(deployment_raw[[#This Row],[Column3]]), "", deployment_raw[[#This Row],[Column3]])</f>
        <v/>
      </c>
      <c r="D310" s="6" t="str">
        <f>IF(ISNONTEXT(deployment_raw[[#This Row],[Column4]]), "", deployment_raw[[#This Row],[Column4]])</f>
        <v/>
      </c>
      <c r="E310" s="7" t="str">
        <f>IF(ISNUMBER(deployment_raw[[#This Row],[Column5]]), deployment_raw[[#This Row],[Column5]],"")</f>
        <v/>
      </c>
      <c r="F310" s="32" t="str">
        <f>IF(ISNUMBER(deployment_raw[[#This Row],[Column17]]), deployment_raw[[#This Row],[Column17]]/IF(OR($E$2="Deployment",deployment_raw[[#This Row],[Column5]]=0),1,deployment_raw[[#This Row],[Column5]]),"")</f>
        <v/>
      </c>
      <c r="G310" s="42" t="str">
        <f>IF(ISNUMBER(deployment_raw[[#This Row],[Column14]]), deployment_raw[[#This Row],[Column14]]/IF(OR($E$2="Deployment",deployment_raw[[#This Row],[Column5]]=0),1,deployment_raw[[#This Row],[Column5]]),"")</f>
        <v/>
      </c>
      <c r="H310" s="79" t="str">
        <f>IF(ISNUMBER(deployment_raw[[#This Row],[Column19]]), IF(I310&lt;&gt;0,(deployment_raw[[#This Row],[Column19]]/IF(OR($E$2="Deployment",deployment_raw[[#This Row],[Column5]]=0),1,deployment_raw[[#This Row],[Column5]]))/I310,0),"")</f>
        <v/>
      </c>
      <c r="I310" s="69" t="str">
        <f>IF(ISNUMBER(deployment_raw[[#This Row],[Column6]]), (deployment_raw[[#This Row],[Column6]] * IF($E$2="Deployment",deployment_raw[[#This Row],[Column5]],1)),"")</f>
        <v/>
      </c>
      <c r="J310" s="79" t="str">
        <f>IF(ISNUMBER(deployment_raw[[#This Row],[Column19]]), IF(K310&lt;&gt;0,(deployment_raw[[#This Row],[Column19]]/IF(OR($E$2="Deployment",deployment_raw[[#This Row],[Column5]]=0),1,deployment_raw[[#This Row],[Column5]]))/K310,0),"")</f>
        <v/>
      </c>
      <c r="K310" s="72" t="str">
        <f>IF(ISNUMBER(deployment_raw[[#This Row],[Column8]]), (deployment_raw[[#This Row],[Column8]]  * IF($E$2="Deployment",deployment_raw[[#This Row],[Column5]],1)),"")</f>
        <v/>
      </c>
      <c r="L31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1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10" s="81" t="str">
        <f>IF(ISNUMBER(deployment_raw[[#This Row],[Column20]]), IF(O310&lt;&gt;0,deployment_raw[[#This Row],[Column20]]/IF(OR($E$2="Deployment",deployment_raw[[#This Row],[Column5]]=0),1,deployment_raw[[#This Row],[Column5]])/1048576/O310,0),"")</f>
        <v/>
      </c>
      <c r="O310" s="74" t="str">
        <f>IF(ISNUMBER(deployment_raw[[#This Row],[Column7]]), (deployment_raw[[#This Row],[Column7]] * IF($E$2="Deployment",deployment_raw[[#This Row],[Column5]],1))/1048576,"")</f>
        <v/>
      </c>
      <c r="P310" s="81" t="str">
        <f>IF(ISNUMBER(deployment_raw[[#This Row],[Column20]]), IF(Q310&lt;&gt;0,deployment_raw[[#This Row],[Column20]]/IF(OR($E$2="Deployment",deployment_raw[[#This Row],[Column5]]=0),1,deployment_raw[[#This Row],[Column5]])/1048576/Q310,0),"")</f>
        <v/>
      </c>
      <c r="Q310" s="76" t="str">
        <f>IF(ISNUMBER(deployment_raw[[#This Row],[Column9]]), (deployment_raw[[#This Row],[Column9]] * IF($E$2="Deployment",deployment_raw[[#This Row],[Column5]],1))/1048576,"")</f>
        <v/>
      </c>
      <c r="R310" s="57" t="str">
        <f>IF(ISNUMBER(deployment_raw[[#This Row],[Column10]]), (deployment_raw[[#This Row],[Column10]] * IF($E$2="Deployment",deployment_raw[[#This Row],[Column5]],1)),"")</f>
        <v/>
      </c>
      <c r="S310" s="48" t="str">
        <f>IF(ISNUMBER(deployment_raw[[#This Row],[Column11]]), (deployment_raw[[#This Row],[Column11]] * IF($E$2="Deployment",deployment_raw[[#This Row],[Column5]],1))/1048576,"")</f>
        <v/>
      </c>
      <c r="T310" s="59" t="str">
        <f>IF(ISNUMBER(deployment_raw[[#This Row],[Column8]]),IF(OR(deployment_raw[[#This Row],[Column5]] &lt;&gt; 0,$E$2 &lt;&gt; "Deployment"), MAX(V310, ($T$2 * IF($E$2="Deployment",deployment_raw[[#This Row],[Column5]],1))), 0),"")</f>
        <v/>
      </c>
      <c r="U310" s="50" t="str">
        <f>IF(ISNUMBER(deployment_raw[[#This Row],[Column9]]),IF(OR(deployment_raw[[#This Row],[Column5]] &lt;&gt; 0,$E$2&lt;&gt;"Deployment"), MAX(W310, ($U$2 * IF($E$2="Deployment",deployment_raw[[#This Row],[Column5]],1))), 0),"")</f>
        <v/>
      </c>
      <c r="V310" s="15" t="str">
        <f>IF(ISNUMBER(deployment_raw[[#This Row],[Column12]]), (deployment_raw[[#This Row],[Column12]] * IF($E$2="Deployment",deployment_raw[[#This Row],[Column5]],1)*(1+$V$2)),"")</f>
        <v/>
      </c>
      <c r="W310" s="14" t="str">
        <f>IF(ISNUMBER(deployment_raw[[#This Row],[Column13]]), (deployment_raw[[#This Row],[Column13]] * IF($E$2="Deployment",deployment_raw[[#This Row],[Column5]],1)*(1+$W$2))/1048576,"")</f>
        <v/>
      </c>
    </row>
    <row r="311" spans="1:23" ht="15.75" customHeight="1" x14ac:dyDescent="0.25">
      <c r="A311" s="5" t="str">
        <f>IF(ISNONTEXT(deployment_raw[[#This Row],[Column1]]), "", deployment_raw[[#This Row],[Column1]])</f>
        <v/>
      </c>
      <c r="B311" s="6" t="str">
        <f>IF(ISNONTEXT(deployment_raw[[#This Row],[Column2]]), "", deployment_raw[[#This Row],[Column2]])</f>
        <v/>
      </c>
      <c r="C311" s="6" t="str">
        <f>IF(ISNONTEXT(deployment_raw[[#This Row],[Column3]]), "", deployment_raw[[#This Row],[Column3]])</f>
        <v/>
      </c>
      <c r="D311" s="6" t="str">
        <f>IF(ISNONTEXT(deployment_raw[[#This Row],[Column4]]), "", deployment_raw[[#This Row],[Column4]])</f>
        <v/>
      </c>
      <c r="E311" s="7" t="str">
        <f>IF(ISNUMBER(deployment_raw[[#This Row],[Column5]]), deployment_raw[[#This Row],[Column5]],"")</f>
        <v/>
      </c>
      <c r="F311" s="32" t="str">
        <f>IF(ISNUMBER(deployment_raw[[#This Row],[Column17]]), deployment_raw[[#This Row],[Column17]]/IF(OR($E$2="Deployment",deployment_raw[[#This Row],[Column5]]=0),1,deployment_raw[[#This Row],[Column5]]),"")</f>
        <v/>
      </c>
      <c r="G311" s="42" t="str">
        <f>IF(ISNUMBER(deployment_raw[[#This Row],[Column14]]), deployment_raw[[#This Row],[Column14]]/IF(OR($E$2="Deployment",deployment_raw[[#This Row],[Column5]]=0),1,deployment_raw[[#This Row],[Column5]]),"")</f>
        <v/>
      </c>
      <c r="H311" s="79" t="str">
        <f>IF(ISNUMBER(deployment_raw[[#This Row],[Column19]]), IF(I311&lt;&gt;0,(deployment_raw[[#This Row],[Column19]]/IF(OR($E$2="Deployment",deployment_raw[[#This Row],[Column5]]=0),1,deployment_raw[[#This Row],[Column5]]))/I311,0),"")</f>
        <v/>
      </c>
      <c r="I311" s="69" t="str">
        <f>IF(ISNUMBER(deployment_raw[[#This Row],[Column6]]), (deployment_raw[[#This Row],[Column6]] * IF($E$2="Deployment",deployment_raw[[#This Row],[Column5]],1)),"")</f>
        <v/>
      </c>
      <c r="J311" s="79" t="str">
        <f>IF(ISNUMBER(deployment_raw[[#This Row],[Column19]]), IF(K311&lt;&gt;0,(deployment_raw[[#This Row],[Column19]]/IF(OR($E$2="Deployment",deployment_raw[[#This Row],[Column5]]=0),1,deployment_raw[[#This Row],[Column5]]))/K311,0),"")</f>
        <v/>
      </c>
      <c r="K311" s="72" t="str">
        <f>IF(ISNUMBER(deployment_raw[[#This Row],[Column8]]), (deployment_raw[[#This Row],[Column8]]  * IF($E$2="Deployment",deployment_raw[[#This Row],[Column5]],1)),"")</f>
        <v/>
      </c>
      <c r="L31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1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11" s="81" t="str">
        <f>IF(ISNUMBER(deployment_raw[[#This Row],[Column20]]), IF(O311&lt;&gt;0,deployment_raw[[#This Row],[Column20]]/IF(OR($E$2="Deployment",deployment_raw[[#This Row],[Column5]]=0),1,deployment_raw[[#This Row],[Column5]])/1048576/O311,0),"")</f>
        <v/>
      </c>
      <c r="O311" s="74" t="str">
        <f>IF(ISNUMBER(deployment_raw[[#This Row],[Column7]]), (deployment_raw[[#This Row],[Column7]] * IF($E$2="Deployment",deployment_raw[[#This Row],[Column5]],1))/1048576,"")</f>
        <v/>
      </c>
      <c r="P311" s="81" t="str">
        <f>IF(ISNUMBER(deployment_raw[[#This Row],[Column20]]), IF(Q311&lt;&gt;0,deployment_raw[[#This Row],[Column20]]/IF(OR($E$2="Deployment",deployment_raw[[#This Row],[Column5]]=0),1,deployment_raw[[#This Row],[Column5]])/1048576/Q311,0),"")</f>
        <v/>
      </c>
      <c r="Q311" s="76" t="str">
        <f>IF(ISNUMBER(deployment_raw[[#This Row],[Column9]]), (deployment_raw[[#This Row],[Column9]] * IF($E$2="Deployment",deployment_raw[[#This Row],[Column5]],1))/1048576,"")</f>
        <v/>
      </c>
      <c r="R311" s="57" t="str">
        <f>IF(ISNUMBER(deployment_raw[[#This Row],[Column10]]), (deployment_raw[[#This Row],[Column10]] * IF($E$2="Deployment",deployment_raw[[#This Row],[Column5]],1)),"")</f>
        <v/>
      </c>
      <c r="S311" s="48" t="str">
        <f>IF(ISNUMBER(deployment_raw[[#This Row],[Column11]]), (deployment_raw[[#This Row],[Column11]] * IF($E$2="Deployment",deployment_raw[[#This Row],[Column5]],1))/1048576,"")</f>
        <v/>
      </c>
      <c r="T311" s="59" t="str">
        <f>IF(ISNUMBER(deployment_raw[[#This Row],[Column8]]),IF(OR(deployment_raw[[#This Row],[Column5]] &lt;&gt; 0,$E$2 &lt;&gt; "Deployment"), MAX(V311, ($T$2 * IF($E$2="Deployment",deployment_raw[[#This Row],[Column5]],1))), 0),"")</f>
        <v/>
      </c>
      <c r="U311" s="50" t="str">
        <f>IF(ISNUMBER(deployment_raw[[#This Row],[Column9]]),IF(OR(deployment_raw[[#This Row],[Column5]] &lt;&gt; 0,$E$2&lt;&gt;"Deployment"), MAX(W311, ($U$2 * IF($E$2="Deployment",deployment_raw[[#This Row],[Column5]],1))), 0),"")</f>
        <v/>
      </c>
      <c r="V311" s="15" t="str">
        <f>IF(ISNUMBER(deployment_raw[[#This Row],[Column12]]), (deployment_raw[[#This Row],[Column12]] * IF($E$2="Deployment",deployment_raw[[#This Row],[Column5]],1)*(1+$V$2)),"")</f>
        <v/>
      </c>
      <c r="W311" s="14" t="str">
        <f>IF(ISNUMBER(deployment_raw[[#This Row],[Column13]]), (deployment_raw[[#This Row],[Column13]] * IF($E$2="Deployment",deployment_raw[[#This Row],[Column5]],1)*(1+$W$2))/1048576,"")</f>
        <v/>
      </c>
    </row>
    <row r="312" spans="1:23" ht="15.75" customHeight="1" x14ac:dyDescent="0.25">
      <c r="A312" s="5" t="str">
        <f>IF(ISNONTEXT(deployment_raw[[#This Row],[Column1]]), "", deployment_raw[[#This Row],[Column1]])</f>
        <v/>
      </c>
      <c r="B312" s="6" t="str">
        <f>IF(ISNONTEXT(deployment_raw[[#This Row],[Column2]]), "", deployment_raw[[#This Row],[Column2]])</f>
        <v/>
      </c>
      <c r="C312" s="6" t="str">
        <f>IF(ISNONTEXT(deployment_raw[[#This Row],[Column3]]), "", deployment_raw[[#This Row],[Column3]])</f>
        <v/>
      </c>
      <c r="D312" s="6" t="str">
        <f>IF(ISNONTEXT(deployment_raw[[#This Row],[Column4]]), "", deployment_raw[[#This Row],[Column4]])</f>
        <v/>
      </c>
      <c r="E312" s="7" t="str">
        <f>IF(ISNUMBER(deployment_raw[[#This Row],[Column5]]), deployment_raw[[#This Row],[Column5]],"")</f>
        <v/>
      </c>
      <c r="F312" s="32" t="str">
        <f>IF(ISNUMBER(deployment_raw[[#This Row],[Column17]]), deployment_raw[[#This Row],[Column17]]/IF(OR($E$2="Deployment",deployment_raw[[#This Row],[Column5]]=0),1,deployment_raw[[#This Row],[Column5]]),"")</f>
        <v/>
      </c>
      <c r="G312" s="42" t="str">
        <f>IF(ISNUMBER(deployment_raw[[#This Row],[Column14]]), deployment_raw[[#This Row],[Column14]]/IF(OR($E$2="Deployment",deployment_raw[[#This Row],[Column5]]=0),1,deployment_raw[[#This Row],[Column5]]),"")</f>
        <v/>
      </c>
      <c r="H312" s="79" t="str">
        <f>IF(ISNUMBER(deployment_raw[[#This Row],[Column19]]), IF(I312&lt;&gt;0,(deployment_raw[[#This Row],[Column19]]/IF(OR($E$2="Deployment",deployment_raw[[#This Row],[Column5]]=0),1,deployment_raw[[#This Row],[Column5]]))/I312,0),"")</f>
        <v/>
      </c>
      <c r="I312" s="69" t="str">
        <f>IF(ISNUMBER(deployment_raw[[#This Row],[Column6]]), (deployment_raw[[#This Row],[Column6]] * IF($E$2="Deployment",deployment_raw[[#This Row],[Column5]],1)),"")</f>
        <v/>
      </c>
      <c r="J312" s="79" t="str">
        <f>IF(ISNUMBER(deployment_raw[[#This Row],[Column19]]), IF(K312&lt;&gt;0,(deployment_raw[[#This Row],[Column19]]/IF(OR($E$2="Deployment",deployment_raw[[#This Row],[Column5]]=0),1,deployment_raw[[#This Row],[Column5]]))/K312,0),"")</f>
        <v/>
      </c>
      <c r="K312" s="72" t="str">
        <f>IF(ISNUMBER(deployment_raw[[#This Row],[Column8]]), (deployment_raw[[#This Row],[Column8]]  * IF($E$2="Deployment",deployment_raw[[#This Row],[Column5]],1)),"")</f>
        <v/>
      </c>
      <c r="L31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1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12" s="81" t="str">
        <f>IF(ISNUMBER(deployment_raw[[#This Row],[Column20]]), IF(O312&lt;&gt;0,deployment_raw[[#This Row],[Column20]]/IF(OR($E$2="Deployment",deployment_raw[[#This Row],[Column5]]=0),1,deployment_raw[[#This Row],[Column5]])/1048576/O312,0),"")</f>
        <v/>
      </c>
      <c r="O312" s="74" t="str">
        <f>IF(ISNUMBER(deployment_raw[[#This Row],[Column7]]), (deployment_raw[[#This Row],[Column7]] * IF($E$2="Deployment",deployment_raw[[#This Row],[Column5]],1))/1048576,"")</f>
        <v/>
      </c>
      <c r="P312" s="81" t="str">
        <f>IF(ISNUMBER(deployment_raw[[#This Row],[Column20]]), IF(Q312&lt;&gt;0,deployment_raw[[#This Row],[Column20]]/IF(OR($E$2="Deployment",deployment_raw[[#This Row],[Column5]]=0),1,deployment_raw[[#This Row],[Column5]])/1048576/Q312,0),"")</f>
        <v/>
      </c>
      <c r="Q312" s="76" t="str">
        <f>IF(ISNUMBER(deployment_raw[[#This Row],[Column9]]), (deployment_raw[[#This Row],[Column9]] * IF($E$2="Deployment",deployment_raw[[#This Row],[Column5]],1))/1048576,"")</f>
        <v/>
      </c>
      <c r="R312" s="57" t="str">
        <f>IF(ISNUMBER(deployment_raw[[#This Row],[Column10]]), (deployment_raw[[#This Row],[Column10]] * IF($E$2="Deployment",deployment_raw[[#This Row],[Column5]],1)),"")</f>
        <v/>
      </c>
      <c r="S312" s="48" t="str">
        <f>IF(ISNUMBER(deployment_raw[[#This Row],[Column11]]), (deployment_raw[[#This Row],[Column11]] * IF($E$2="Deployment",deployment_raw[[#This Row],[Column5]],1))/1048576,"")</f>
        <v/>
      </c>
      <c r="T312" s="59" t="str">
        <f>IF(ISNUMBER(deployment_raw[[#This Row],[Column8]]),IF(OR(deployment_raw[[#This Row],[Column5]] &lt;&gt; 0,$E$2 &lt;&gt; "Deployment"), MAX(V312, ($T$2 * IF($E$2="Deployment",deployment_raw[[#This Row],[Column5]],1))), 0),"")</f>
        <v/>
      </c>
      <c r="U312" s="50" t="str">
        <f>IF(ISNUMBER(deployment_raw[[#This Row],[Column9]]),IF(OR(deployment_raw[[#This Row],[Column5]] &lt;&gt; 0,$E$2&lt;&gt;"Deployment"), MAX(W312, ($U$2 * IF($E$2="Deployment",deployment_raw[[#This Row],[Column5]],1))), 0),"")</f>
        <v/>
      </c>
      <c r="V312" s="15" t="str">
        <f>IF(ISNUMBER(deployment_raw[[#This Row],[Column12]]), (deployment_raw[[#This Row],[Column12]] * IF($E$2="Deployment",deployment_raw[[#This Row],[Column5]],1)*(1+$V$2)),"")</f>
        <v/>
      </c>
      <c r="W312" s="14" t="str">
        <f>IF(ISNUMBER(deployment_raw[[#This Row],[Column13]]), (deployment_raw[[#This Row],[Column13]] * IF($E$2="Deployment",deployment_raw[[#This Row],[Column5]],1)*(1+$W$2))/1048576,"")</f>
        <v/>
      </c>
    </row>
    <row r="313" spans="1:23" ht="15.75" customHeight="1" x14ac:dyDescent="0.25">
      <c r="A313" s="5" t="str">
        <f>IF(ISNONTEXT(deployment_raw[[#This Row],[Column1]]), "", deployment_raw[[#This Row],[Column1]])</f>
        <v/>
      </c>
      <c r="B313" s="6" t="str">
        <f>IF(ISNONTEXT(deployment_raw[[#This Row],[Column2]]), "", deployment_raw[[#This Row],[Column2]])</f>
        <v/>
      </c>
      <c r="C313" s="6" t="str">
        <f>IF(ISNONTEXT(deployment_raw[[#This Row],[Column3]]), "", deployment_raw[[#This Row],[Column3]])</f>
        <v/>
      </c>
      <c r="D313" s="6" t="str">
        <f>IF(ISNONTEXT(deployment_raw[[#This Row],[Column4]]), "", deployment_raw[[#This Row],[Column4]])</f>
        <v/>
      </c>
      <c r="E313" s="7" t="str">
        <f>IF(ISNUMBER(deployment_raw[[#This Row],[Column5]]), deployment_raw[[#This Row],[Column5]],"")</f>
        <v/>
      </c>
      <c r="F313" s="32" t="str">
        <f>IF(ISNUMBER(deployment_raw[[#This Row],[Column17]]), deployment_raw[[#This Row],[Column17]]/IF(OR($E$2="Deployment",deployment_raw[[#This Row],[Column5]]=0),1,deployment_raw[[#This Row],[Column5]]),"")</f>
        <v/>
      </c>
      <c r="G313" s="42" t="str">
        <f>IF(ISNUMBER(deployment_raw[[#This Row],[Column14]]), deployment_raw[[#This Row],[Column14]]/IF(OR($E$2="Deployment",deployment_raw[[#This Row],[Column5]]=0),1,deployment_raw[[#This Row],[Column5]]),"")</f>
        <v/>
      </c>
      <c r="H313" s="79" t="str">
        <f>IF(ISNUMBER(deployment_raw[[#This Row],[Column19]]), IF(I313&lt;&gt;0,(deployment_raw[[#This Row],[Column19]]/IF(OR($E$2="Deployment",deployment_raw[[#This Row],[Column5]]=0),1,deployment_raw[[#This Row],[Column5]]))/I313,0),"")</f>
        <v/>
      </c>
      <c r="I313" s="69" t="str">
        <f>IF(ISNUMBER(deployment_raw[[#This Row],[Column6]]), (deployment_raw[[#This Row],[Column6]] * IF($E$2="Deployment",deployment_raw[[#This Row],[Column5]],1)),"")</f>
        <v/>
      </c>
      <c r="J313" s="79" t="str">
        <f>IF(ISNUMBER(deployment_raw[[#This Row],[Column19]]), IF(K313&lt;&gt;0,(deployment_raw[[#This Row],[Column19]]/IF(OR($E$2="Deployment",deployment_raw[[#This Row],[Column5]]=0),1,deployment_raw[[#This Row],[Column5]]))/K313,0),"")</f>
        <v/>
      </c>
      <c r="K313" s="72" t="str">
        <f>IF(ISNUMBER(deployment_raw[[#This Row],[Column8]]), (deployment_raw[[#This Row],[Column8]]  * IF($E$2="Deployment",deployment_raw[[#This Row],[Column5]],1)),"")</f>
        <v/>
      </c>
      <c r="L31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1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13" s="81" t="str">
        <f>IF(ISNUMBER(deployment_raw[[#This Row],[Column20]]), IF(O313&lt;&gt;0,deployment_raw[[#This Row],[Column20]]/IF(OR($E$2="Deployment",deployment_raw[[#This Row],[Column5]]=0),1,deployment_raw[[#This Row],[Column5]])/1048576/O313,0),"")</f>
        <v/>
      </c>
      <c r="O313" s="74" t="str">
        <f>IF(ISNUMBER(deployment_raw[[#This Row],[Column7]]), (deployment_raw[[#This Row],[Column7]] * IF($E$2="Deployment",deployment_raw[[#This Row],[Column5]],1))/1048576,"")</f>
        <v/>
      </c>
      <c r="P313" s="81" t="str">
        <f>IF(ISNUMBER(deployment_raw[[#This Row],[Column20]]), IF(Q313&lt;&gt;0,deployment_raw[[#This Row],[Column20]]/IF(OR($E$2="Deployment",deployment_raw[[#This Row],[Column5]]=0),1,deployment_raw[[#This Row],[Column5]])/1048576/Q313,0),"")</f>
        <v/>
      </c>
      <c r="Q313" s="76" t="str">
        <f>IF(ISNUMBER(deployment_raw[[#This Row],[Column9]]), (deployment_raw[[#This Row],[Column9]] * IF($E$2="Deployment",deployment_raw[[#This Row],[Column5]],1))/1048576,"")</f>
        <v/>
      </c>
      <c r="R313" s="57" t="str">
        <f>IF(ISNUMBER(deployment_raw[[#This Row],[Column10]]), (deployment_raw[[#This Row],[Column10]] * IF($E$2="Deployment",deployment_raw[[#This Row],[Column5]],1)),"")</f>
        <v/>
      </c>
      <c r="S313" s="48" t="str">
        <f>IF(ISNUMBER(deployment_raw[[#This Row],[Column11]]), (deployment_raw[[#This Row],[Column11]] * IF($E$2="Deployment",deployment_raw[[#This Row],[Column5]],1))/1048576,"")</f>
        <v/>
      </c>
      <c r="T313" s="59" t="str">
        <f>IF(ISNUMBER(deployment_raw[[#This Row],[Column8]]),IF(OR(deployment_raw[[#This Row],[Column5]] &lt;&gt; 0,$E$2 &lt;&gt; "Deployment"), MAX(V313, ($T$2 * IF($E$2="Deployment",deployment_raw[[#This Row],[Column5]],1))), 0),"")</f>
        <v/>
      </c>
      <c r="U313" s="50" t="str">
        <f>IF(ISNUMBER(deployment_raw[[#This Row],[Column9]]),IF(OR(deployment_raw[[#This Row],[Column5]] &lt;&gt; 0,$E$2&lt;&gt;"Deployment"), MAX(W313, ($U$2 * IF($E$2="Deployment",deployment_raw[[#This Row],[Column5]],1))), 0),"")</f>
        <v/>
      </c>
      <c r="V313" s="15" t="str">
        <f>IF(ISNUMBER(deployment_raw[[#This Row],[Column12]]), (deployment_raw[[#This Row],[Column12]] * IF($E$2="Deployment",deployment_raw[[#This Row],[Column5]],1)*(1+$V$2)),"")</f>
        <v/>
      </c>
      <c r="W313" s="14" t="str">
        <f>IF(ISNUMBER(deployment_raw[[#This Row],[Column13]]), (deployment_raw[[#This Row],[Column13]] * IF($E$2="Deployment",deployment_raw[[#This Row],[Column5]],1)*(1+$W$2))/1048576,"")</f>
        <v/>
      </c>
    </row>
    <row r="314" spans="1:23" ht="15.75" customHeight="1" x14ac:dyDescent="0.25">
      <c r="A314" s="5" t="str">
        <f>IF(ISNONTEXT(deployment_raw[[#This Row],[Column1]]), "", deployment_raw[[#This Row],[Column1]])</f>
        <v/>
      </c>
      <c r="B314" s="6" t="str">
        <f>IF(ISNONTEXT(deployment_raw[[#This Row],[Column2]]), "", deployment_raw[[#This Row],[Column2]])</f>
        <v/>
      </c>
      <c r="C314" s="6" t="str">
        <f>IF(ISNONTEXT(deployment_raw[[#This Row],[Column3]]), "", deployment_raw[[#This Row],[Column3]])</f>
        <v/>
      </c>
      <c r="D314" s="6" t="str">
        <f>IF(ISNONTEXT(deployment_raw[[#This Row],[Column4]]), "", deployment_raw[[#This Row],[Column4]])</f>
        <v/>
      </c>
      <c r="E314" s="7" t="str">
        <f>IF(ISNUMBER(deployment_raw[[#This Row],[Column5]]), deployment_raw[[#This Row],[Column5]],"")</f>
        <v/>
      </c>
      <c r="F314" s="32" t="str">
        <f>IF(ISNUMBER(deployment_raw[[#This Row],[Column17]]), deployment_raw[[#This Row],[Column17]]/IF(OR($E$2="Deployment",deployment_raw[[#This Row],[Column5]]=0),1,deployment_raw[[#This Row],[Column5]]),"")</f>
        <v/>
      </c>
      <c r="G314" s="42" t="str">
        <f>IF(ISNUMBER(deployment_raw[[#This Row],[Column14]]), deployment_raw[[#This Row],[Column14]]/IF(OR($E$2="Deployment",deployment_raw[[#This Row],[Column5]]=0),1,deployment_raw[[#This Row],[Column5]]),"")</f>
        <v/>
      </c>
      <c r="H314" s="79" t="str">
        <f>IF(ISNUMBER(deployment_raw[[#This Row],[Column19]]), IF(I314&lt;&gt;0,(deployment_raw[[#This Row],[Column19]]/IF(OR($E$2="Deployment",deployment_raw[[#This Row],[Column5]]=0),1,deployment_raw[[#This Row],[Column5]]))/I314,0),"")</f>
        <v/>
      </c>
      <c r="I314" s="69" t="str">
        <f>IF(ISNUMBER(deployment_raw[[#This Row],[Column6]]), (deployment_raw[[#This Row],[Column6]] * IF($E$2="Deployment",deployment_raw[[#This Row],[Column5]],1)),"")</f>
        <v/>
      </c>
      <c r="J314" s="79" t="str">
        <f>IF(ISNUMBER(deployment_raw[[#This Row],[Column19]]), IF(K314&lt;&gt;0,(deployment_raw[[#This Row],[Column19]]/IF(OR($E$2="Deployment",deployment_raw[[#This Row],[Column5]]=0),1,deployment_raw[[#This Row],[Column5]]))/K314,0),"")</f>
        <v/>
      </c>
      <c r="K314" s="72" t="str">
        <f>IF(ISNUMBER(deployment_raw[[#This Row],[Column8]]), (deployment_raw[[#This Row],[Column8]]  * IF($E$2="Deployment",deployment_raw[[#This Row],[Column5]],1)),"")</f>
        <v/>
      </c>
      <c r="L31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1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14" s="81" t="str">
        <f>IF(ISNUMBER(deployment_raw[[#This Row],[Column20]]), IF(O314&lt;&gt;0,deployment_raw[[#This Row],[Column20]]/IF(OR($E$2="Deployment",deployment_raw[[#This Row],[Column5]]=0),1,deployment_raw[[#This Row],[Column5]])/1048576/O314,0),"")</f>
        <v/>
      </c>
      <c r="O314" s="74" t="str">
        <f>IF(ISNUMBER(deployment_raw[[#This Row],[Column7]]), (deployment_raw[[#This Row],[Column7]] * IF($E$2="Deployment",deployment_raw[[#This Row],[Column5]],1))/1048576,"")</f>
        <v/>
      </c>
      <c r="P314" s="81" t="str">
        <f>IF(ISNUMBER(deployment_raw[[#This Row],[Column20]]), IF(Q314&lt;&gt;0,deployment_raw[[#This Row],[Column20]]/IF(OR($E$2="Deployment",deployment_raw[[#This Row],[Column5]]=0),1,deployment_raw[[#This Row],[Column5]])/1048576/Q314,0),"")</f>
        <v/>
      </c>
      <c r="Q314" s="76" t="str">
        <f>IF(ISNUMBER(deployment_raw[[#This Row],[Column9]]), (deployment_raw[[#This Row],[Column9]] * IF($E$2="Deployment",deployment_raw[[#This Row],[Column5]],1))/1048576,"")</f>
        <v/>
      </c>
      <c r="R314" s="57" t="str">
        <f>IF(ISNUMBER(deployment_raw[[#This Row],[Column10]]), (deployment_raw[[#This Row],[Column10]] * IF($E$2="Deployment",deployment_raw[[#This Row],[Column5]],1)),"")</f>
        <v/>
      </c>
      <c r="S314" s="48" t="str">
        <f>IF(ISNUMBER(deployment_raw[[#This Row],[Column11]]), (deployment_raw[[#This Row],[Column11]] * IF($E$2="Deployment",deployment_raw[[#This Row],[Column5]],1))/1048576,"")</f>
        <v/>
      </c>
      <c r="T314" s="59" t="str">
        <f>IF(ISNUMBER(deployment_raw[[#This Row],[Column8]]),IF(OR(deployment_raw[[#This Row],[Column5]] &lt;&gt; 0,$E$2 &lt;&gt; "Deployment"), MAX(V314, ($T$2 * IF($E$2="Deployment",deployment_raw[[#This Row],[Column5]],1))), 0),"")</f>
        <v/>
      </c>
      <c r="U314" s="50" t="str">
        <f>IF(ISNUMBER(deployment_raw[[#This Row],[Column9]]),IF(OR(deployment_raw[[#This Row],[Column5]] &lt;&gt; 0,$E$2&lt;&gt;"Deployment"), MAX(W314, ($U$2 * IF($E$2="Deployment",deployment_raw[[#This Row],[Column5]],1))), 0),"")</f>
        <v/>
      </c>
      <c r="V314" s="15" t="str">
        <f>IF(ISNUMBER(deployment_raw[[#This Row],[Column12]]), (deployment_raw[[#This Row],[Column12]] * IF($E$2="Deployment",deployment_raw[[#This Row],[Column5]],1)*(1+$V$2)),"")</f>
        <v/>
      </c>
      <c r="W314" s="14" t="str">
        <f>IF(ISNUMBER(deployment_raw[[#This Row],[Column13]]), (deployment_raw[[#This Row],[Column13]] * IF($E$2="Deployment",deployment_raw[[#This Row],[Column5]],1)*(1+$W$2))/1048576,"")</f>
        <v/>
      </c>
    </row>
    <row r="315" spans="1:23" ht="15.75" customHeight="1" x14ac:dyDescent="0.25">
      <c r="A315" s="5" t="str">
        <f>IF(ISNONTEXT(deployment_raw[[#This Row],[Column1]]), "", deployment_raw[[#This Row],[Column1]])</f>
        <v/>
      </c>
      <c r="B315" s="6" t="str">
        <f>IF(ISNONTEXT(deployment_raw[[#This Row],[Column2]]), "", deployment_raw[[#This Row],[Column2]])</f>
        <v/>
      </c>
      <c r="C315" s="6" t="str">
        <f>IF(ISNONTEXT(deployment_raw[[#This Row],[Column3]]), "", deployment_raw[[#This Row],[Column3]])</f>
        <v/>
      </c>
      <c r="D315" s="6" t="str">
        <f>IF(ISNONTEXT(deployment_raw[[#This Row],[Column4]]), "", deployment_raw[[#This Row],[Column4]])</f>
        <v/>
      </c>
      <c r="E315" s="7" t="str">
        <f>IF(ISNUMBER(deployment_raw[[#This Row],[Column5]]), deployment_raw[[#This Row],[Column5]],"")</f>
        <v/>
      </c>
      <c r="F315" s="32" t="str">
        <f>IF(ISNUMBER(deployment_raw[[#This Row],[Column17]]), deployment_raw[[#This Row],[Column17]]/IF(OR($E$2="Deployment",deployment_raw[[#This Row],[Column5]]=0),1,deployment_raw[[#This Row],[Column5]]),"")</f>
        <v/>
      </c>
      <c r="G315" s="42" t="str">
        <f>IF(ISNUMBER(deployment_raw[[#This Row],[Column14]]), deployment_raw[[#This Row],[Column14]]/IF(OR($E$2="Deployment",deployment_raw[[#This Row],[Column5]]=0),1,deployment_raw[[#This Row],[Column5]]),"")</f>
        <v/>
      </c>
      <c r="H315" s="79" t="str">
        <f>IF(ISNUMBER(deployment_raw[[#This Row],[Column19]]), IF(I315&lt;&gt;0,(deployment_raw[[#This Row],[Column19]]/IF(OR($E$2="Deployment",deployment_raw[[#This Row],[Column5]]=0),1,deployment_raw[[#This Row],[Column5]]))/I315,0),"")</f>
        <v/>
      </c>
      <c r="I315" s="69" t="str">
        <f>IF(ISNUMBER(deployment_raw[[#This Row],[Column6]]), (deployment_raw[[#This Row],[Column6]] * IF($E$2="Deployment",deployment_raw[[#This Row],[Column5]],1)),"")</f>
        <v/>
      </c>
      <c r="J315" s="79" t="str">
        <f>IF(ISNUMBER(deployment_raw[[#This Row],[Column19]]), IF(K315&lt;&gt;0,(deployment_raw[[#This Row],[Column19]]/IF(OR($E$2="Deployment",deployment_raw[[#This Row],[Column5]]=0),1,deployment_raw[[#This Row],[Column5]]))/K315,0),"")</f>
        <v/>
      </c>
      <c r="K315" s="72" t="str">
        <f>IF(ISNUMBER(deployment_raw[[#This Row],[Column8]]), (deployment_raw[[#This Row],[Column8]]  * IF($E$2="Deployment",deployment_raw[[#This Row],[Column5]],1)),"")</f>
        <v/>
      </c>
      <c r="L31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1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15" s="81" t="str">
        <f>IF(ISNUMBER(deployment_raw[[#This Row],[Column20]]), IF(O315&lt;&gt;0,deployment_raw[[#This Row],[Column20]]/IF(OR($E$2="Deployment",deployment_raw[[#This Row],[Column5]]=0),1,deployment_raw[[#This Row],[Column5]])/1048576/O315,0),"")</f>
        <v/>
      </c>
      <c r="O315" s="74" t="str">
        <f>IF(ISNUMBER(deployment_raw[[#This Row],[Column7]]), (deployment_raw[[#This Row],[Column7]] * IF($E$2="Deployment",deployment_raw[[#This Row],[Column5]],1))/1048576,"")</f>
        <v/>
      </c>
      <c r="P315" s="81" t="str">
        <f>IF(ISNUMBER(deployment_raw[[#This Row],[Column20]]), IF(Q315&lt;&gt;0,deployment_raw[[#This Row],[Column20]]/IF(OR($E$2="Deployment",deployment_raw[[#This Row],[Column5]]=0),1,deployment_raw[[#This Row],[Column5]])/1048576/Q315,0),"")</f>
        <v/>
      </c>
      <c r="Q315" s="76" t="str">
        <f>IF(ISNUMBER(deployment_raw[[#This Row],[Column9]]), (deployment_raw[[#This Row],[Column9]] * IF($E$2="Deployment",deployment_raw[[#This Row],[Column5]],1))/1048576,"")</f>
        <v/>
      </c>
      <c r="R315" s="57" t="str">
        <f>IF(ISNUMBER(deployment_raw[[#This Row],[Column10]]), (deployment_raw[[#This Row],[Column10]] * IF($E$2="Deployment",deployment_raw[[#This Row],[Column5]],1)),"")</f>
        <v/>
      </c>
      <c r="S315" s="48" t="str">
        <f>IF(ISNUMBER(deployment_raw[[#This Row],[Column11]]), (deployment_raw[[#This Row],[Column11]] * IF($E$2="Deployment",deployment_raw[[#This Row],[Column5]],1))/1048576,"")</f>
        <v/>
      </c>
      <c r="T315" s="59" t="str">
        <f>IF(ISNUMBER(deployment_raw[[#This Row],[Column8]]),IF(OR(deployment_raw[[#This Row],[Column5]] &lt;&gt; 0,$E$2 &lt;&gt; "Deployment"), MAX(V315, ($T$2 * IF($E$2="Deployment",deployment_raw[[#This Row],[Column5]],1))), 0),"")</f>
        <v/>
      </c>
      <c r="U315" s="50" t="str">
        <f>IF(ISNUMBER(deployment_raw[[#This Row],[Column9]]),IF(OR(deployment_raw[[#This Row],[Column5]] &lt;&gt; 0,$E$2&lt;&gt;"Deployment"), MAX(W315, ($U$2 * IF($E$2="Deployment",deployment_raw[[#This Row],[Column5]],1))), 0),"")</f>
        <v/>
      </c>
      <c r="V315" s="15" t="str">
        <f>IF(ISNUMBER(deployment_raw[[#This Row],[Column12]]), (deployment_raw[[#This Row],[Column12]] * IF($E$2="Deployment",deployment_raw[[#This Row],[Column5]],1)*(1+$V$2)),"")</f>
        <v/>
      </c>
      <c r="W315" s="14" t="str">
        <f>IF(ISNUMBER(deployment_raw[[#This Row],[Column13]]), (deployment_raw[[#This Row],[Column13]] * IF($E$2="Deployment",deployment_raw[[#This Row],[Column5]],1)*(1+$W$2))/1048576,"")</f>
        <v/>
      </c>
    </row>
    <row r="316" spans="1:23" ht="15.75" customHeight="1" x14ac:dyDescent="0.25">
      <c r="A316" s="5" t="str">
        <f>IF(ISNONTEXT(deployment_raw[[#This Row],[Column1]]), "", deployment_raw[[#This Row],[Column1]])</f>
        <v/>
      </c>
      <c r="B316" s="6" t="str">
        <f>IF(ISNONTEXT(deployment_raw[[#This Row],[Column2]]), "", deployment_raw[[#This Row],[Column2]])</f>
        <v/>
      </c>
      <c r="C316" s="6" t="str">
        <f>IF(ISNONTEXT(deployment_raw[[#This Row],[Column3]]), "", deployment_raw[[#This Row],[Column3]])</f>
        <v/>
      </c>
      <c r="D316" s="6" t="str">
        <f>IF(ISNONTEXT(deployment_raw[[#This Row],[Column4]]), "", deployment_raw[[#This Row],[Column4]])</f>
        <v/>
      </c>
      <c r="E316" s="7" t="str">
        <f>IF(ISNUMBER(deployment_raw[[#This Row],[Column5]]), deployment_raw[[#This Row],[Column5]],"")</f>
        <v/>
      </c>
      <c r="F316" s="32" t="str">
        <f>IF(ISNUMBER(deployment_raw[[#This Row],[Column17]]), deployment_raw[[#This Row],[Column17]]/IF(OR($E$2="Deployment",deployment_raw[[#This Row],[Column5]]=0),1,deployment_raw[[#This Row],[Column5]]),"")</f>
        <v/>
      </c>
      <c r="G316" s="42" t="str">
        <f>IF(ISNUMBER(deployment_raw[[#This Row],[Column14]]), deployment_raw[[#This Row],[Column14]]/IF(OR($E$2="Deployment",deployment_raw[[#This Row],[Column5]]=0),1,deployment_raw[[#This Row],[Column5]]),"")</f>
        <v/>
      </c>
      <c r="H316" s="79" t="str">
        <f>IF(ISNUMBER(deployment_raw[[#This Row],[Column19]]), IF(I316&lt;&gt;0,(deployment_raw[[#This Row],[Column19]]/IF(OR($E$2="Deployment",deployment_raw[[#This Row],[Column5]]=0),1,deployment_raw[[#This Row],[Column5]]))/I316,0),"")</f>
        <v/>
      </c>
      <c r="I316" s="69" t="str">
        <f>IF(ISNUMBER(deployment_raw[[#This Row],[Column6]]), (deployment_raw[[#This Row],[Column6]] * IF($E$2="Deployment",deployment_raw[[#This Row],[Column5]],1)),"")</f>
        <v/>
      </c>
      <c r="J316" s="79" t="str">
        <f>IF(ISNUMBER(deployment_raw[[#This Row],[Column19]]), IF(K316&lt;&gt;0,(deployment_raw[[#This Row],[Column19]]/IF(OR($E$2="Deployment",deployment_raw[[#This Row],[Column5]]=0),1,deployment_raw[[#This Row],[Column5]]))/K316,0),"")</f>
        <v/>
      </c>
      <c r="K316" s="72" t="str">
        <f>IF(ISNUMBER(deployment_raw[[#This Row],[Column8]]), (deployment_raw[[#This Row],[Column8]]  * IF($E$2="Deployment",deployment_raw[[#This Row],[Column5]],1)),"")</f>
        <v/>
      </c>
      <c r="L31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1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16" s="81" t="str">
        <f>IF(ISNUMBER(deployment_raw[[#This Row],[Column20]]), IF(O316&lt;&gt;0,deployment_raw[[#This Row],[Column20]]/IF(OR($E$2="Deployment",deployment_raw[[#This Row],[Column5]]=0),1,deployment_raw[[#This Row],[Column5]])/1048576/O316,0),"")</f>
        <v/>
      </c>
      <c r="O316" s="74" t="str">
        <f>IF(ISNUMBER(deployment_raw[[#This Row],[Column7]]), (deployment_raw[[#This Row],[Column7]] * IF($E$2="Deployment",deployment_raw[[#This Row],[Column5]],1))/1048576,"")</f>
        <v/>
      </c>
      <c r="P316" s="81" t="str">
        <f>IF(ISNUMBER(deployment_raw[[#This Row],[Column20]]), IF(Q316&lt;&gt;0,deployment_raw[[#This Row],[Column20]]/IF(OR($E$2="Deployment",deployment_raw[[#This Row],[Column5]]=0),1,deployment_raw[[#This Row],[Column5]])/1048576/Q316,0),"")</f>
        <v/>
      </c>
      <c r="Q316" s="76" t="str">
        <f>IF(ISNUMBER(deployment_raw[[#This Row],[Column9]]), (deployment_raw[[#This Row],[Column9]] * IF($E$2="Deployment",deployment_raw[[#This Row],[Column5]],1))/1048576,"")</f>
        <v/>
      </c>
      <c r="R316" s="57" t="str">
        <f>IF(ISNUMBER(deployment_raw[[#This Row],[Column10]]), (deployment_raw[[#This Row],[Column10]] * IF($E$2="Deployment",deployment_raw[[#This Row],[Column5]],1)),"")</f>
        <v/>
      </c>
      <c r="S316" s="48" t="str">
        <f>IF(ISNUMBER(deployment_raw[[#This Row],[Column11]]), (deployment_raw[[#This Row],[Column11]] * IF($E$2="Deployment",deployment_raw[[#This Row],[Column5]],1))/1048576,"")</f>
        <v/>
      </c>
      <c r="T316" s="59" t="str">
        <f>IF(ISNUMBER(deployment_raw[[#This Row],[Column8]]),IF(OR(deployment_raw[[#This Row],[Column5]] &lt;&gt; 0,$E$2 &lt;&gt; "Deployment"), MAX(V316, ($T$2 * IF($E$2="Deployment",deployment_raw[[#This Row],[Column5]],1))), 0),"")</f>
        <v/>
      </c>
      <c r="U316" s="50" t="str">
        <f>IF(ISNUMBER(deployment_raw[[#This Row],[Column9]]),IF(OR(deployment_raw[[#This Row],[Column5]] &lt;&gt; 0,$E$2&lt;&gt;"Deployment"), MAX(W316, ($U$2 * IF($E$2="Deployment",deployment_raw[[#This Row],[Column5]],1))), 0),"")</f>
        <v/>
      </c>
      <c r="V316" s="15" t="str">
        <f>IF(ISNUMBER(deployment_raw[[#This Row],[Column12]]), (deployment_raw[[#This Row],[Column12]] * IF($E$2="Deployment",deployment_raw[[#This Row],[Column5]],1)*(1+$V$2)),"")</f>
        <v/>
      </c>
      <c r="W316" s="14" t="str">
        <f>IF(ISNUMBER(deployment_raw[[#This Row],[Column13]]), (deployment_raw[[#This Row],[Column13]] * IF($E$2="Deployment",deployment_raw[[#This Row],[Column5]],1)*(1+$W$2))/1048576,"")</f>
        <v/>
      </c>
    </row>
    <row r="317" spans="1:23" ht="15.75" customHeight="1" x14ac:dyDescent="0.25">
      <c r="A317" s="5" t="str">
        <f>IF(ISNONTEXT(deployment_raw[[#This Row],[Column1]]), "", deployment_raw[[#This Row],[Column1]])</f>
        <v/>
      </c>
      <c r="B317" s="6" t="str">
        <f>IF(ISNONTEXT(deployment_raw[[#This Row],[Column2]]), "", deployment_raw[[#This Row],[Column2]])</f>
        <v/>
      </c>
      <c r="C317" s="6" t="str">
        <f>IF(ISNONTEXT(deployment_raw[[#This Row],[Column3]]), "", deployment_raw[[#This Row],[Column3]])</f>
        <v/>
      </c>
      <c r="D317" s="6" t="str">
        <f>IF(ISNONTEXT(deployment_raw[[#This Row],[Column4]]), "", deployment_raw[[#This Row],[Column4]])</f>
        <v/>
      </c>
      <c r="E317" s="7" t="str">
        <f>IF(ISNUMBER(deployment_raw[[#This Row],[Column5]]), deployment_raw[[#This Row],[Column5]],"")</f>
        <v/>
      </c>
      <c r="F317" s="32" t="str">
        <f>IF(ISNUMBER(deployment_raw[[#This Row],[Column17]]), deployment_raw[[#This Row],[Column17]]/IF(OR($E$2="Deployment",deployment_raw[[#This Row],[Column5]]=0),1,deployment_raw[[#This Row],[Column5]]),"")</f>
        <v/>
      </c>
      <c r="G317" s="42" t="str">
        <f>IF(ISNUMBER(deployment_raw[[#This Row],[Column14]]), deployment_raw[[#This Row],[Column14]]/IF(OR($E$2="Deployment",deployment_raw[[#This Row],[Column5]]=0),1,deployment_raw[[#This Row],[Column5]]),"")</f>
        <v/>
      </c>
      <c r="H317" s="79" t="str">
        <f>IF(ISNUMBER(deployment_raw[[#This Row],[Column19]]), IF(I317&lt;&gt;0,(deployment_raw[[#This Row],[Column19]]/IF(OR($E$2="Deployment",deployment_raw[[#This Row],[Column5]]=0),1,deployment_raw[[#This Row],[Column5]]))/I317,0),"")</f>
        <v/>
      </c>
      <c r="I317" s="69" t="str">
        <f>IF(ISNUMBER(deployment_raw[[#This Row],[Column6]]), (deployment_raw[[#This Row],[Column6]] * IF($E$2="Deployment",deployment_raw[[#This Row],[Column5]],1)),"")</f>
        <v/>
      </c>
      <c r="J317" s="79" t="str">
        <f>IF(ISNUMBER(deployment_raw[[#This Row],[Column19]]), IF(K317&lt;&gt;0,(deployment_raw[[#This Row],[Column19]]/IF(OR($E$2="Deployment",deployment_raw[[#This Row],[Column5]]=0),1,deployment_raw[[#This Row],[Column5]]))/K317,0),"")</f>
        <v/>
      </c>
      <c r="K317" s="72" t="str">
        <f>IF(ISNUMBER(deployment_raw[[#This Row],[Column8]]), (deployment_raw[[#This Row],[Column8]]  * IF($E$2="Deployment",deployment_raw[[#This Row],[Column5]],1)),"")</f>
        <v/>
      </c>
      <c r="L31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1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17" s="81" t="str">
        <f>IF(ISNUMBER(deployment_raw[[#This Row],[Column20]]), IF(O317&lt;&gt;0,deployment_raw[[#This Row],[Column20]]/IF(OR($E$2="Deployment",deployment_raw[[#This Row],[Column5]]=0),1,deployment_raw[[#This Row],[Column5]])/1048576/O317,0),"")</f>
        <v/>
      </c>
      <c r="O317" s="74" t="str">
        <f>IF(ISNUMBER(deployment_raw[[#This Row],[Column7]]), (deployment_raw[[#This Row],[Column7]] * IF($E$2="Deployment",deployment_raw[[#This Row],[Column5]],1))/1048576,"")</f>
        <v/>
      </c>
      <c r="P317" s="81" t="str">
        <f>IF(ISNUMBER(deployment_raw[[#This Row],[Column20]]), IF(Q317&lt;&gt;0,deployment_raw[[#This Row],[Column20]]/IF(OR($E$2="Deployment",deployment_raw[[#This Row],[Column5]]=0),1,deployment_raw[[#This Row],[Column5]])/1048576/Q317,0),"")</f>
        <v/>
      </c>
      <c r="Q317" s="76" t="str">
        <f>IF(ISNUMBER(deployment_raw[[#This Row],[Column9]]), (deployment_raw[[#This Row],[Column9]] * IF($E$2="Deployment",deployment_raw[[#This Row],[Column5]],1))/1048576,"")</f>
        <v/>
      </c>
      <c r="R317" s="57" t="str">
        <f>IF(ISNUMBER(deployment_raw[[#This Row],[Column10]]), (deployment_raw[[#This Row],[Column10]] * IF($E$2="Deployment",deployment_raw[[#This Row],[Column5]],1)),"")</f>
        <v/>
      </c>
      <c r="S317" s="48" t="str">
        <f>IF(ISNUMBER(deployment_raw[[#This Row],[Column11]]), (deployment_raw[[#This Row],[Column11]] * IF($E$2="Deployment",deployment_raw[[#This Row],[Column5]],1))/1048576,"")</f>
        <v/>
      </c>
      <c r="T317" s="59" t="str">
        <f>IF(ISNUMBER(deployment_raw[[#This Row],[Column8]]),IF(OR(deployment_raw[[#This Row],[Column5]] &lt;&gt; 0,$E$2 &lt;&gt; "Deployment"), MAX(V317, ($T$2 * IF($E$2="Deployment",deployment_raw[[#This Row],[Column5]],1))), 0),"")</f>
        <v/>
      </c>
      <c r="U317" s="50" t="str">
        <f>IF(ISNUMBER(deployment_raw[[#This Row],[Column9]]),IF(OR(deployment_raw[[#This Row],[Column5]] &lt;&gt; 0,$E$2&lt;&gt;"Deployment"), MAX(W317, ($U$2 * IF($E$2="Deployment",deployment_raw[[#This Row],[Column5]],1))), 0),"")</f>
        <v/>
      </c>
      <c r="V317" s="15" t="str">
        <f>IF(ISNUMBER(deployment_raw[[#This Row],[Column12]]), (deployment_raw[[#This Row],[Column12]] * IF($E$2="Deployment",deployment_raw[[#This Row],[Column5]],1)*(1+$V$2)),"")</f>
        <v/>
      </c>
      <c r="W317" s="14" t="str">
        <f>IF(ISNUMBER(deployment_raw[[#This Row],[Column13]]), (deployment_raw[[#This Row],[Column13]] * IF($E$2="Deployment",deployment_raw[[#This Row],[Column5]],1)*(1+$W$2))/1048576,"")</f>
        <v/>
      </c>
    </row>
    <row r="318" spans="1:23" ht="15.75" customHeight="1" x14ac:dyDescent="0.25">
      <c r="A318" s="5" t="str">
        <f>IF(ISNONTEXT(deployment_raw[[#This Row],[Column1]]), "", deployment_raw[[#This Row],[Column1]])</f>
        <v/>
      </c>
      <c r="B318" s="6" t="str">
        <f>IF(ISNONTEXT(deployment_raw[[#This Row],[Column2]]), "", deployment_raw[[#This Row],[Column2]])</f>
        <v/>
      </c>
      <c r="C318" s="6" t="str">
        <f>IF(ISNONTEXT(deployment_raw[[#This Row],[Column3]]), "", deployment_raw[[#This Row],[Column3]])</f>
        <v/>
      </c>
      <c r="D318" s="6" t="str">
        <f>IF(ISNONTEXT(deployment_raw[[#This Row],[Column4]]), "", deployment_raw[[#This Row],[Column4]])</f>
        <v/>
      </c>
      <c r="E318" s="7" t="str">
        <f>IF(ISNUMBER(deployment_raw[[#This Row],[Column5]]), deployment_raw[[#This Row],[Column5]],"")</f>
        <v/>
      </c>
      <c r="F318" s="32" t="str">
        <f>IF(ISNUMBER(deployment_raw[[#This Row],[Column17]]), deployment_raw[[#This Row],[Column17]]/IF(OR($E$2="Deployment",deployment_raw[[#This Row],[Column5]]=0),1,deployment_raw[[#This Row],[Column5]]),"")</f>
        <v/>
      </c>
      <c r="G318" s="42" t="str">
        <f>IF(ISNUMBER(deployment_raw[[#This Row],[Column14]]), deployment_raw[[#This Row],[Column14]]/IF(OR($E$2="Deployment",deployment_raw[[#This Row],[Column5]]=0),1,deployment_raw[[#This Row],[Column5]]),"")</f>
        <v/>
      </c>
      <c r="H318" s="79" t="str">
        <f>IF(ISNUMBER(deployment_raw[[#This Row],[Column19]]), IF(I318&lt;&gt;0,(deployment_raw[[#This Row],[Column19]]/IF(OR($E$2="Deployment",deployment_raw[[#This Row],[Column5]]=0),1,deployment_raw[[#This Row],[Column5]]))/I318,0),"")</f>
        <v/>
      </c>
      <c r="I318" s="69" t="str">
        <f>IF(ISNUMBER(deployment_raw[[#This Row],[Column6]]), (deployment_raw[[#This Row],[Column6]] * IF($E$2="Deployment",deployment_raw[[#This Row],[Column5]],1)),"")</f>
        <v/>
      </c>
      <c r="J318" s="79" t="str">
        <f>IF(ISNUMBER(deployment_raw[[#This Row],[Column19]]), IF(K318&lt;&gt;0,(deployment_raw[[#This Row],[Column19]]/IF(OR($E$2="Deployment",deployment_raw[[#This Row],[Column5]]=0),1,deployment_raw[[#This Row],[Column5]]))/K318,0),"")</f>
        <v/>
      </c>
      <c r="K318" s="72" t="str">
        <f>IF(ISNUMBER(deployment_raw[[#This Row],[Column8]]), (deployment_raw[[#This Row],[Column8]]  * IF($E$2="Deployment",deployment_raw[[#This Row],[Column5]],1)),"")</f>
        <v/>
      </c>
      <c r="L31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1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18" s="81" t="str">
        <f>IF(ISNUMBER(deployment_raw[[#This Row],[Column20]]), IF(O318&lt;&gt;0,deployment_raw[[#This Row],[Column20]]/IF(OR($E$2="Deployment",deployment_raw[[#This Row],[Column5]]=0),1,deployment_raw[[#This Row],[Column5]])/1048576/O318,0),"")</f>
        <v/>
      </c>
      <c r="O318" s="74" t="str">
        <f>IF(ISNUMBER(deployment_raw[[#This Row],[Column7]]), (deployment_raw[[#This Row],[Column7]] * IF($E$2="Deployment",deployment_raw[[#This Row],[Column5]],1))/1048576,"")</f>
        <v/>
      </c>
      <c r="P318" s="81" t="str">
        <f>IF(ISNUMBER(deployment_raw[[#This Row],[Column20]]), IF(Q318&lt;&gt;0,deployment_raw[[#This Row],[Column20]]/IF(OR($E$2="Deployment",deployment_raw[[#This Row],[Column5]]=0),1,deployment_raw[[#This Row],[Column5]])/1048576/Q318,0),"")</f>
        <v/>
      </c>
      <c r="Q318" s="76" t="str">
        <f>IF(ISNUMBER(deployment_raw[[#This Row],[Column9]]), (deployment_raw[[#This Row],[Column9]] * IF($E$2="Deployment",deployment_raw[[#This Row],[Column5]],1))/1048576,"")</f>
        <v/>
      </c>
      <c r="R318" s="57" t="str">
        <f>IF(ISNUMBER(deployment_raw[[#This Row],[Column10]]), (deployment_raw[[#This Row],[Column10]] * IF($E$2="Deployment",deployment_raw[[#This Row],[Column5]],1)),"")</f>
        <v/>
      </c>
      <c r="S318" s="48" t="str">
        <f>IF(ISNUMBER(deployment_raw[[#This Row],[Column11]]), (deployment_raw[[#This Row],[Column11]] * IF($E$2="Deployment",deployment_raw[[#This Row],[Column5]],1))/1048576,"")</f>
        <v/>
      </c>
      <c r="T318" s="59" t="str">
        <f>IF(ISNUMBER(deployment_raw[[#This Row],[Column8]]),IF(OR(deployment_raw[[#This Row],[Column5]] &lt;&gt; 0,$E$2 &lt;&gt; "Deployment"), MAX(V318, ($T$2 * IF($E$2="Deployment",deployment_raw[[#This Row],[Column5]],1))), 0),"")</f>
        <v/>
      </c>
      <c r="U318" s="50" t="str">
        <f>IF(ISNUMBER(deployment_raw[[#This Row],[Column9]]),IF(OR(deployment_raw[[#This Row],[Column5]] &lt;&gt; 0,$E$2&lt;&gt;"Deployment"), MAX(W318, ($U$2 * IF($E$2="Deployment",deployment_raw[[#This Row],[Column5]],1))), 0),"")</f>
        <v/>
      </c>
      <c r="V318" s="15" t="str">
        <f>IF(ISNUMBER(deployment_raw[[#This Row],[Column12]]), (deployment_raw[[#This Row],[Column12]] * IF($E$2="Deployment",deployment_raw[[#This Row],[Column5]],1)*(1+$V$2)),"")</f>
        <v/>
      </c>
      <c r="W318" s="14" t="str">
        <f>IF(ISNUMBER(deployment_raw[[#This Row],[Column13]]), (deployment_raw[[#This Row],[Column13]] * IF($E$2="Deployment",deployment_raw[[#This Row],[Column5]],1)*(1+$W$2))/1048576,"")</f>
        <v/>
      </c>
    </row>
    <row r="319" spans="1:23" ht="15.75" customHeight="1" x14ac:dyDescent="0.25">
      <c r="A319" s="5" t="str">
        <f>IF(ISNONTEXT(deployment_raw[[#This Row],[Column1]]), "", deployment_raw[[#This Row],[Column1]])</f>
        <v/>
      </c>
      <c r="B319" s="6" t="str">
        <f>IF(ISNONTEXT(deployment_raw[[#This Row],[Column2]]), "", deployment_raw[[#This Row],[Column2]])</f>
        <v/>
      </c>
      <c r="C319" s="6" t="str">
        <f>IF(ISNONTEXT(deployment_raw[[#This Row],[Column3]]), "", deployment_raw[[#This Row],[Column3]])</f>
        <v/>
      </c>
      <c r="D319" s="6" t="str">
        <f>IF(ISNONTEXT(deployment_raw[[#This Row],[Column4]]), "", deployment_raw[[#This Row],[Column4]])</f>
        <v/>
      </c>
      <c r="E319" s="7" t="str">
        <f>IF(ISNUMBER(deployment_raw[[#This Row],[Column5]]), deployment_raw[[#This Row],[Column5]],"")</f>
        <v/>
      </c>
      <c r="F319" s="32" t="str">
        <f>IF(ISNUMBER(deployment_raw[[#This Row],[Column17]]), deployment_raw[[#This Row],[Column17]]/IF(OR($E$2="Deployment",deployment_raw[[#This Row],[Column5]]=0),1,deployment_raw[[#This Row],[Column5]]),"")</f>
        <v/>
      </c>
      <c r="G319" s="42" t="str">
        <f>IF(ISNUMBER(deployment_raw[[#This Row],[Column14]]), deployment_raw[[#This Row],[Column14]]/IF(OR($E$2="Deployment",deployment_raw[[#This Row],[Column5]]=0),1,deployment_raw[[#This Row],[Column5]]),"")</f>
        <v/>
      </c>
      <c r="H319" s="79" t="str">
        <f>IF(ISNUMBER(deployment_raw[[#This Row],[Column19]]), IF(I319&lt;&gt;0,(deployment_raw[[#This Row],[Column19]]/IF(OR($E$2="Deployment",deployment_raw[[#This Row],[Column5]]=0),1,deployment_raw[[#This Row],[Column5]]))/I319,0),"")</f>
        <v/>
      </c>
      <c r="I319" s="69" t="str">
        <f>IF(ISNUMBER(deployment_raw[[#This Row],[Column6]]), (deployment_raw[[#This Row],[Column6]] * IF($E$2="Deployment",deployment_raw[[#This Row],[Column5]],1)),"")</f>
        <v/>
      </c>
      <c r="J319" s="79" t="str">
        <f>IF(ISNUMBER(deployment_raw[[#This Row],[Column19]]), IF(K319&lt;&gt;0,(deployment_raw[[#This Row],[Column19]]/IF(OR($E$2="Deployment",deployment_raw[[#This Row],[Column5]]=0),1,deployment_raw[[#This Row],[Column5]]))/K319,0),"")</f>
        <v/>
      </c>
      <c r="K319" s="72" t="str">
        <f>IF(ISNUMBER(deployment_raw[[#This Row],[Column8]]), (deployment_raw[[#This Row],[Column8]]  * IF($E$2="Deployment",deployment_raw[[#This Row],[Column5]],1)),"")</f>
        <v/>
      </c>
      <c r="L31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1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19" s="81" t="str">
        <f>IF(ISNUMBER(deployment_raw[[#This Row],[Column20]]), IF(O319&lt;&gt;0,deployment_raw[[#This Row],[Column20]]/IF(OR($E$2="Deployment",deployment_raw[[#This Row],[Column5]]=0),1,deployment_raw[[#This Row],[Column5]])/1048576/O319,0),"")</f>
        <v/>
      </c>
      <c r="O319" s="74" t="str">
        <f>IF(ISNUMBER(deployment_raw[[#This Row],[Column7]]), (deployment_raw[[#This Row],[Column7]] * IF($E$2="Deployment",deployment_raw[[#This Row],[Column5]],1))/1048576,"")</f>
        <v/>
      </c>
      <c r="P319" s="81" t="str">
        <f>IF(ISNUMBER(deployment_raw[[#This Row],[Column20]]), IF(Q319&lt;&gt;0,deployment_raw[[#This Row],[Column20]]/IF(OR($E$2="Deployment",deployment_raw[[#This Row],[Column5]]=0),1,deployment_raw[[#This Row],[Column5]])/1048576/Q319,0),"")</f>
        <v/>
      </c>
      <c r="Q319" s="76" t="str">
        <f>IF(ISNUMBER(deployment_raw[[#This Row],[Column9]]), (deployment_raw[[#This Row],[Column9]] * IF($E$2="Deployment",deployment_raw[[#This Row],[Column5]],1))/1048576,"")</f>
        <v/>
      </c>
      <c r="R319" s="57" t="str">
        <f>IF(ISNUMBER(deployment_raw[[#This Row],[Column10]]), (deployment_raw[[#This Row],[Column10]] * IF($E$2="Deployment",deployment_raw[[#This Row],[Column5]],1)),"")</f>
        <v/>
      </c>
      <c r="S319" s="48" t="str">
        <f>IF(ISNUMBER(deployment_raw[[#This Row],[Column11]]), (deployment_raw[[#This Row],[Column11]] * IF($E$2="Deployment",deployment_raw[[#This Row],[Column5]],1))/1048576,"")</f>
        <v/>
      </c>
      <c r="T319" s="59" t="str">
        <f>IF(ISNUMBER(deployment_raw[[#This Row],[Column8]]),IF(OR(deployment_raw[[#This Row],[Column5]] &lt;&gt; 0,$E$2 &lt;&gt; "Deployment"), MAX(V319, ($T$2 * IF($E$2="Deployment",deployment_raw[[#This Row],[Column5]],1))), 0),"")</f>
        <v/>
      </c>
      <c r="U319" s="50" t="str">
        <f>IF(ISNUMBER(deployment_raw[[#This Row],[Column9]]),IF(OR(deployment_raw[[#This Row],[Column5]] &lt;&gt; 0,$E$2&lt;&gt;"Deployment"), MAX(W319, ($U$2 * IF($E$2="Deployment",deployment_raw[[#This Row],[Column5]],1))), 0),"")</f>
        <v/>
      </c>
      <c r="V319" s="15" t="str">
        <f>IF(ISNUMBER(deployment_raw[[#This Row],[Column12]]), (deployment_raw[[#This Row],[Column12]] * IF($E$2="Deployment",deployment_raw[[#This Row],[Column5]],1)*(1+$V$2)),"")</f>
        <v/>
      </c>
      <c r="W319" s="14" t="str">
        <f>IF(ISNUMBER(deployment_raw[[#This Row],[Column13]]), (deployment_raw[[#This Row],[Column13]] * IF($E$2="Deployment",deployment_raw[[#This Row],[Column5]],1)*(1+$W$2))/1048576,"")</f>
        <v/>
      </c>
    </row>
    <row r="320" spans="1:23" ht="15.75" customHeight="1" x14ac:dyDescent="0.25">
      <c r="A320" s="5" t="str">
        <f>IF(ISNONTEXT(deployment_raw[[#This Row],[Column1]]), "", deployment_raw[[#This Row],[Column1]])</f>
        <v/>
      </c>
      <c r="B320" s="6" t="str">
        <f>IF(ISNONTEXT(deployment_raw[[#This Row],[Column2]]), "", deployment_raw[[#This Row],[Column2]])</f>
        <v/>
      </c>
      <c r="C320" s="6" t="str">
        <f>IF(ISNONTEXT(deployment_raw[[#This Row],[Column3]]), "", deployment_raw[[#This Row],[Column3]])</f>
        <v/>
      </c>
      <c r="D320" s="6" t="str">
        <f>IF(ISNONTEXT(deployment_raw[[#This Row],[Column4]]), "", deployment_raw[[#This Row],[Column4]])</f>
        <v/>
      </c>
      <c r="E320" s="7" t="str">
        <f>IF(ISNUMBER(deployment_raw[[#This Row],[Column5]]), deployment_raw[[#This Row],[Column5]],"")</f>
        <v/>
      </c>
      <c r="F320" s="32" t="str">
        <f>IF(ISNUMBER(deployment_raw[[#This Row],[Column17]]), deployment_raw[[#This Row],[Column17]]/IF(OR($E$2="Deployment",deployment_raw[[#This Row],[Column5]]=0),1,deployment_raw[[#This Row],[Column5]]),"")</f>
        <v/>
      </c>
      <c r="G320" s="42" t="str">
        <f>IF(ISNUMBER(deployment_raw[[#This Row],[Column14]]), deployment_raw[[#This Row],[Column14]]/IF(OR($E$2="Deployment",deployment_raw[[#This Row],[Column5]]=0),1,deployment_raw[[#This Row],[Column5]]),"")</f>
        <v/>
      </c>
      <c r="H320" s="79" t="str">
        <f>IF(ISNUMBER(deployment_raw[[#This Row],[Column19]]), IF(I320&lt;&gt;0,(deployment_raw[[#This Row],[Column19]]/IF(OR($E$2="Deployment",deployment_raw[[#This Row],[Column5]]=0),1,deployment_raw[[#This Row],[Column5]]))/I320,0),"")</f>
        <v/>
      </c>
      <c r="I320" s="69" t="str">
        <f>IF(ISNUMBER(deployment_raw[[#This Row],[Column6]]), (deployment_raw[[#This Row],[Column6]] * IF($E$2="Deployment",deployment_raw[[#This Row],[Column5]],1)),"")</f>
        <v/>
      </c>
      <c r="J320" s="79" t="str">
        <f>IF(ISNUMBER(deployment_raw[[#This Row],[Column19]]), IF(K320&lt;&gt;0,(deployment_raw[[#This Row],[Column19]]/IF(OR($E$2="Deployment",deployment_raw[[#This Row],[Column5]]=0),1,deployment_raw[[#This Row],[Column5]]))/K320,0),"")</f>
        <v/>
      </c>
      <c r="K320" s="72" t="str">
        <f>IF(ISNUMBER(deployment_raw[[#This Row],[Column8]]), (deployment_raw[[#This Row],[Column8]]  * IF($E$2="Deployment",deployment_raw[[#This Row],[Column5]],1)),"")</f>
        <v/>
      </c>
      <c r="L32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2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20" s="81" t="str">
        <f>IF(ISNUMBER(deployment_raw[[#This Row],[Column20]]), IF(O320&lt;&gt;0,deployment_raw[[#This Row],[Column20]]/IF(OR($E$2="Deployment",deployment_raw[[#This Row],[Column5]]=0),1,deployment_raw[[#This Row],[Column5]])/1048576/O320,0),"")</f>
        <v/>
      </c>
      <c r="O320" s="74" t="str">
        <f>IF(ISNUMBER(deployment_raw[[#This Row],[Column7]]), (deployment_raw[[#This Row],[Column7]] * IF($E$2="Deployment",deployment_raw[[#This Row],[Column5]],1))/1048576,"")</f>
        <v/>
      </c>
      <c r="P320" s="81" t="str">
        <f>IF(ISNUMBER(deployment_raw[[#This Row],[Column20]]), IF(Q320&lt;&gt;0,deployment_raw[[#This Row],[Column20]]/IF(OR($E$2="Deployment",deployment_raw[[#This Row],[Column5]]=0),1,deployment_raw[[#This Row],[Column5]])/1048576/Q320,0),"")</f>
        <v/>
      </c>
      <c r="Q320" s="76" t="str">
        <f>IF(ISNUMBER(deployment_raw[[#This Row],[Column9]]), (deployment_raw[[#This Row],[Column9]] * IF($E$2="Deployment",deployment_raw[[#This Row],[Column5]],1))/1048576,"")</f>
        <v/>
      </c>
      <c r="R320" s="57" t="str">
        <f>IF(ISNUMBER(deployment_raw[[#This Row],[Column10]]), (deployment_raw[[#This Row],[Column10]] * IF($E$2="Deployment",deployment_raw[[#This Row],[Column5]],1)),"")</f>
        <v/>
      </c>
      <c r="S320" s="48" t="str">
        <f>IF(ISNUMBER(deployment_raw[[#This Row],[Column11]]), (deployment_raw[[#This Row],[Column11]] * IF($E$2="Deployment",deployment_raw[[#This Row],[Column5]],1))/1048576,"")</f>
        <v/>
      </c>
      <c r="T320" s="59" t="str">
        <f>IF(ISNUMBER(deployment_raw[[#This Row],[Column8]]),IF(OR(deployment_raw[[#This Row],[Column5]] &lt;&gt; 0,$E$2 &lt;&gt; "Deployment"), MAX(V320, ($T$2 * IF($E$2="Deployment",deployment_raw[[#This Row],[Column5]],1))), 0),"")</f>
        <v/>
      </c>
      <c r="U320" s="50" t="str">
        <f>IF(ISNUMBER(deployment_raw[[#This Row],[Column9]]),IF(OR(deployment_raw[[#This Row],[Column5]] &lt;&gt; 0,$E$2&lt;&gt;"Deployment"), MAX(W320, ($U$2 * IF($E$2="Deployment",deployment_raw[[#This Row],[Column5]],1))), 0),"")</f>
        <v/>
      </c>
      <c r="V320" s="15" t="str">
        <f>IF(ISNUMBER(deployment_raw[[#This Row],[Column12]]), (deployment_raw[[#This Row],[Column12]] * IF($E$2="Deployment",deployment_raw[[#This Row],[Column5]],1)*(1+$V$2)),"")</f>
        <v/>
      </c>
      <c r="W320" s="14" t="str">
        <f>IF(ISNUMBER(deployment_raw[[#This Row],[Column13]]), (deployment_raw[[#This Row],[Column13]] * IF($E$2="Deployment",deployment_raw[[#This Row],[Column5]],1)*(1+$W$2))/1048576,"")</f>
        <v/>
      </c>
    </row>
    <row r="321" spans="1:23" ht="15.75" customHeight="1" x14ac:dyDescent="0.25">
      <c r="A321" s="5" t="str">
        <f>IF(ISNONTEXT(deployment_raw[[#This Row],[Column1]]), "", deployment_raw[[#This Row],[Column1]])</f>
        <v/>
      </c>
      <c r="B321" s="6" t="str">
        <f>IF(ISNONTEXT(deployment_raw[[#This Row],[Column2]]), "", deployment_raw[[#This Row],[Column2]])</f>
        <v/>
      </c>
      <c r="C321" s="6" t="str">
        <f>IF(ISNONTEXT(deployment_raw[[#This Row],[Column3]]), "", deployment_raw[[#This Row],[Column3]])</f>
        <v/>
      </c>
      <c r="D321" s="6" t="str">
        <f>IF(ISNONTEXT(deployment_raw[[#This Row],[Column4]]), "", deployment_raw[[#This Row],[Column4]])</f>
        <v/>
      </c>
      <c r="E321" s="7" t="str">
        <f>IF(ISNUMBER(deployment_raw[[#This Row],[Column5]]), deployment_raw[[#This Row],[Column5]],"")</f>
        <v/>
      </c>
      <c r="F321" s="32" t="str">
        <f>IF(ISNUMBER(deployment_raw[[#This Row],[Column17]]), deployment_raw[[#This Row],[Column17]]/IF(OR($E$2="Deployment",deployment_raw[[#This Row],[Column5]]=0),1,deployment_raw[[#This Row],[Column5]]),"")</f>
        <v/>
      </c>
      <c r="G321" s="42" t="str">
        <f>IF(ISNUMBER(deployment_raw[[#This Row],[Column14]]), deployment_raw[[#This Row],[Column14]]/IF(OR($E$2="Deployment",deployment_raw[[#This Row],[Column5]]=0),1,deployment_raw[[#This Row],[Column5]]),"")</f>
        <v/>
      </c>
      <c r="H321" s="79" t="str">
        <f>IF(ISNUMBER(deployment_raw[[#This Row],[Column19]]), IF(I321&lt;&gt;0,(deployment_raw[[#This Row],[Column19]]/IF(OR($E$2="Deployment",deployment_raw[[#This Row],[Column5]]=0),1,deployment_raw[[#This Row],[Column5]]))/I321,0),"")</f>
        <v/>
      </c>
      <c r="I321" s="69" t="str">
        <f>IF(ISNUMBER(deployment_raw[[#This Row],[Column6]]), (deployment_raw[[#This Row],[Column6]] * IF($E$2="Deployment",deployment_raw[[#This Row],[Column5]],1)),"")</f>
        <v/>
      </c>
      <c r="J321" s="79" t="str">
        <f>IF(ISNUMBER(deployment_raw[[#This Row],[Column19]]), IF(K321&lt;&gt;0,(deployment_raw[[#This Row],[Column19]]/IF(OR($E$2="Deployment",deployment_raw[[#This Row],[Column5]]=0),1,deployment_raw[[#This Row],[Column5]]))/K321,0),"")</f>
        <v/>
      </c>
      <c r="K321" s="72" t="str">
        <f>IF(ISNUMBER(deployment_raw[[#This Row],[Column8]]), (deployment_raw[[#This Row],[Column8]]  * IF($E$2="Deployment",deployment_raw[[#This Row],[Column5]],1)),"")</f>
        <v/>
      </c>
      <c r="L32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2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21" s="81" t="str">
        <f>IF(ISNUMBER(deployment_raw[[#This Row],[Column20]]), IF(O321&lt;&gt;0,deployment_raw[[#This Row],[Column20]]/IF(OR($E$2="Deployment",deployment_raw[[#This Row],[Column5]]=0),1,deployment_raw[[#This Row],[Column5]])/1048576/O321,0),"")</f>
        <v/>
      </c>
      <c r="O321" s="74" t="str">
        <f>IF(ISNUMBER(deployment_raw[[#This Row],[Column7]]), (deployment_raw[[#This Row],[Column7]] * IF($E$2="Deployment",deployment_raw[[#This Row],[Column5]],1))/1048576,"")</f>
        <v/>
      </c>
      <c r="P321" s="81" t="str">
        <f>IF(ISNUMBER(deployment_raw[[#This Row],[Column20]]), IF(Q321&lt;&gt;0,deployment_raw[[#This Row],[Column20]]/IF(OR($E$2="Deployment",deployment_raw[[#This Row],[Column5]]=0),1,deployment_raw[[#This Row],[Column5]])/1048576/Q321,0),"")</f>
        <v/>
      </c>
      <c r="Q321" s="76" t="str">
        <f>IF(ISNUMBER(deployment_raw[[#This Row],[Column9]]), (deployment_raw[[#This Row],[Column9]] * IF($E$2="Deployment",deployment_raw[[#This Row],[Column5]],1))/1048576,"")</f>
        <v/>
      </c>
      <c r="R321" s="57" t="str">
        <f>IF(ISNUMBER(deployment_raw[[#This Row],[Column10]]), (deployment_raw[[#This Row],[Column10]] * IF($E$2="Deployment",deployment_raw[[#This Row],[Column5]],1)),"")</f>
        <v/>
      </c>
      <c r="S321" s="48" t="str">
        <f>IF(ISNUMBER(deployment_raw[[#This Row],[Column11]]), (deployment_raw[[#This Row],[Column11]] * IF($E$2="Deployment",deployment_raw[[#This Row],[Column5]],1))/1048576,"")</f>
        <v/>
      </c>
      <c r="T321" s="59" t="str">
        <f>IF(ISNUMBER(deployment_raw[[#This Row],[Column8]]),IF(OR(deployment_raw[[#This Row],[Column5]] &lt;&gt; 0,$E$2 &lt;&gt; "Deployment"), MAX(V321, ($T$2 * IF($E$2="Deployment",deployment_raw[[#This Row],[Column5]],1))), 0),"")</f>
        <v/>
      </c>
      <c r="U321" s="50" t="str">
        <f>IF(ISNUMBER(deployment_raw[[#This Row],[Column9]]),IF(OR(deployment_raw[[#This Row],[Column5]] &lt;&gt; 0,$E$2&lt;&gt;"Deployment"), MAX(W321, ($U$2 * IF($E$2="Deployment",deployment_raw[[#This Row],[Column5]],1))), 0),"")</f>
        <v/>
      </c>
      <c r="V321" s="15" t="str">
        <f>IF(ISNUMBER(deployment_raw[[#This Row],[Column12]]), (deployment_raw[[#This Row],[Column12]] * IF($E$2="Deployment",deployment_raw[[#This Row],[Column5]],1)*(1+$V$2)),"")</f>
        <v/>
      </c>
      <c r="W321" s="14" t="str">
        <f>IF(ISNUMBER(deployment_raw[[#This Row],[Column13]]), (deployment_raw[[#This Row],[Column13]] * IF($E$2="Deployment",deployment_raw[[#This Row],[Column5]],1)*(1+$W$2))/1048576,"")</f>
        <v/>
      </c>
    </row>
    <row r="322" spans="1:23" ht="15.75" customHeight="1" x14ac:dyDescent="0.25">
      <c r="A322" s="5" t="str">
        <f>IF(ISNONTEXT(deployment_raw[[#This Row],[Column1]]), "", deployment_raw[[#This Row],[Column1]])</f>
        <v/>
      </c>
      <c r="B322" s="6" t="str">
        <f>IF(ISNONTEXT(deployment_raw[[#This Row],[Column2]]), "", deployment_raw[[#This Row],[Column2]])</f>
        <v/>
      </c>
      <c r="C322" s="6" t="str">
        <f>IF(ISNONTEXT(deployment_raw[[#This Row],[Column3]]), "", deployment_raw[[#This Row],[Column3]])</f>
        <v/>
      </c>
      <c r="D322" s="6" t="str">
        <f>IF(ISNONTEXT(deployment_raw[[#This Row],[Column4]]), "", deployment_raw[[#This Row],[Column4]])</f>
        <v/>
      </c>
      <c r="E322" s="7" t="str">
        <f>IF(ISNUMBER(deployment_raw[[#This Row],[Column5]]), deployment_raw[[#This Row],[Column5]],"")</f>
        <v/>
      </c>
      <c r="F322" s="32" t="str">
        <f>IF(ISNUMBER(deployment_raw[[#This Row],[Column17]]), deployment_raw[[#This Row],[Column17]]/IF(OR($E$2="Deployment",deployment_raw[[#This Row],[Column5]]=0),1,deployment_raw[[#This Row],[Column5]]),"")</f>
        <v/>
      </c>
      <c r="G322" s="42" t="str">
        <f>IF(ISNUMBER(deployment_raw[[#This Row],[Column14]]), deployment_raw[[#This Row],[Column14]]/IF(OR($E$2="Deployment",deployment_raw[[#This Row],[Column5]]=0),1,deployment_raw[[#This Row],[Column5]]),"")</f>
        <v/>
      </c>
      <c r="H322" s="79" t="str">
        <f>IF(ISNUMBER(deployment_raw[[#This Row],[Column19]]), IF(I322&lt;&gt;0,(deployment_raw[[#This Row],[Column19]]/IF(OR($E$2="Deployment",deployment_raw[[#This Row],[Column5]]=0),1,deployment_raw[[#This Row],[Column5]]))/I322,0),"")</f>
        <v/>
      </c>
      <c r="I322" s="69" t="str">
        <f>IF(ISNUMBER(deployment_raw[[#This Row],[Column6]]), (deployment_raw[[#This Row],[Column6]] * IF($E$2="Deployment",deployment_raw[[#This Row],[Column5]],1)),"")</f>
        <v/>
      </c>
      <c r="J322" s="79" t="str">
        <f>IF(ISNUMBER(deployment_raw[[#This Row],[Column19]]), IF(K322&lt;&gt;0,(deployment_raw[[#This Row],[Column19]]/IF(OR($E$2="Deployment",deployment_raw[[#This Row],[Column5]]=0),1,deployment_raw[[#This Row],[Column5]]))/K322,0),"")</f>
        <v/>
      </c>
      <c r="K322" s="72" t="str">
        <f>IF(ISNUMBER(deployment_raw[[#This Row],[Column8]]), (deployment_raw[[#This Row],[Column8]]  * IF($E$2="Deployment",deployment_raw[[#This Row],[Column5]],1)),"")</f>
        <v/>
      </c>
      <c r="L32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2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22" s="81" t="str">
        <f>IF(ISNUMBER(deployment_raw[[#This Row],[Column20]]), IF(O322&lt;&gt;0,deployment_raw[[#This Row],[Column20]]/IF(OR($E$2="Deployment",deployment_raw[[#This Row],[Column5]]=0),1,deployment_raw[[#This Row],[Column5]])/1048576/O322,0),"")</f>
        <v/>
      </c>
      <c r="O322" s="74" t="str">
        <f>IF(ISNUMBER(deployment_raw[[#This Row],[Column7]]), (deployment_raw[[#This Row],[Column7]] * IF($E$2="Deployment",deployment_raw[[#This Row],[Column5]],1))/1048576,"")</f>
        <v/>
      </c>
      <c r="P322" s="81" t="str">
        <f>IF(ISNUMBER(deployment_raw[[#This Row],[Column20]]), IF(Q322&lt;&gt;0,deployment_raw[[#This Row],[Column20]]/IF(OR($E$2="Deployment",deployment_raw[[#This Row],[Column5]]=0),1,deployment_raw[[#This Row],[Column5]])/1048576/Q322,0),"")</f>
        <v/>
      </c>
      <c r="Q322" s="76" t="str">
        <f>IF(ISNUMBER(deployment_raw[[#This Row],[Column9]]), (deployment_raw[[#This Row],[Column9]] * IF($E$2="Deployment",deployment_raw[[#This Row],[Column5]],1))/1048576,"")</f>
        <v/>
      </c>
      <c r="R322" s="57" t="str">
        <f>IF(ISNUMBER(deployment_raw[[#This Row],[Column10]]), (deployment_raw[[#This Row],[Column10]] * IF($E$2="Deployment",deployment_raw[[#This Row],[Column5]],1)),"")</f>
        <v/>
      </c>
      <c r="S322" s="48" t="str">
        <f>IF(ISNUMBER(deployment_raw[[#This Row],[Column11]]), (deployment_raw[[#This Row],[Column11]] * IF($E$2="Deployment",deployment_raw[[#This Row],[Column5]],1))/1048576,"")</f>
        <v/>
      </c>
      <c r="T322" s="59" t="str">
        <f>IF(ISNUMBER(deployment_raw[[#This Row],[Column8]]),IF(OR(deployment_raw[[#This Row],[Column5]] &lt;&gt; 0,$E$2 &lt;&gt; "Deployment"), MAX(V322, ($T$2 * IF($E$2="Deployment",deployment_raw[[#This Row],[Column5]],1))), 0),"")</f>
        <v/>
      </c>
      <c r="U322" s="50" t="str">
        <f>IF(ISNUMBER(deployment_raw[[#This Row],[Column9]]),IF(OR(deployment_raw[[#This Row],[Column5]] &lt;&gt; 0,$E$2&lt;&gt;"Deployment"), MAX(W322, ($U$2 * IF($E$2="Deployment",deployment_raw[[#This Row],[Column5]],1))), 0),"")</f>
        <v/>
      </c>
      <c r="V322" s="15" t="str">
        <f>IF(ISNUMBER(deployment_raw[[#This Row],[Column12]]), (deployment_raw[[#This Row],[Column12]] * IF($E$2="Deployment",deployment_raw[[#This Row],[Column5]],1)*(1+$V$2)),"")</f>
        <v/>
      </c>
      <c r="W322" s="14" t="str">
        <f>IF(ISNUMBER(deployment_raw[[#This Row],[Column13]]), (deployment_raw[[#This Row],[Column13]] * IF($E$2="Deployment",deployment_raw[[#This Row],[Column5]],1)*(1+$W$2))/1048576,"")</f>
        <v/>
      </c>
    </row>
    <row r="323" spans="1:23" ht="15.75" customHeight="1" x14ac:dyDescent="0.25">
      <c r="A323" s="5" t="str">
        <f>IF(ISNONTEXT(deployment_raw[[#This Row],[Column1]]), "", deployment_raw[[#This Row],[Column1]])</f>
        <v/>
      </c>
      <c r="B323" s="6" t="str">
        <f>IF(ISNONTEXT(deployment_raw[[#This Row],[Column2]]), "", deployment_raw[[#This Row],[Column2]])</f>
        <v/>
      </c>
      <c r="C323" s="6" t="str">
        <f>IF(ISNONTEXT(deployment_raw[[#This Row],[Column3]]), "", deployment_raw[[#This Row],[Column3]])</f>
        <v/>
      </c>
      <c r="D323" s="6" t="str">
        <f>IF(ISNONTEXT(deployment_raw[[#This Row],[Column4]]), "", deployment_raw[[#This Row],[Column4]])</f>
        <v/>
      </c>
      <c r="E323" s="7" t="str">
        <f>IF(ISNUMBER(deployment_raw[[#This Row],[Column5]]), deployment_raw[[#This Row],[Column5]],"")</f>
        <v/>
      </c>
      <c r="F323" s="32" t="str">
        <f>IF(ISNUMBER(deployment_raw[[#This Row],[Column17]]), deployment_raw[[#This Row],[Column17]]/IF(OR($E$2="Deployment",deployment_raw[[#This Row],[Column5]]=0),1,deployment_raw[[#This Row],[Column5]]),"")</f>
        <v/>
      </c>
      <c r="G323" s="42" t="str">
        <f>IF(ISNUMBER(deployment_raw[[#This Row],[Column14]]), deployment_raw[[#This Row],[Column14]]/IF(OR($E$2="Deployment",deployment_raw[[#This Row],[Column5]]=0),1,deployment_raw[[#This Row],[Column5]]),"")</f>
        <v/>
      </c>
      <c r="H323" s="79" t="str">
        <f>IF(ISNUMBER(deployment_raw[[#This Row],[Column19]]), IF(I323&lt;&gt;0,(deployment_raw[[#This Row],[Column19]]/IF(OR($E$2="Deployment",deployment_raw[[#This Row],[Column5]]=0),1,deployment_raw[[#This Row],[Column5]]))/I323,0),"")</f>
        <v/>
      </c>
      <c r="I323" s="69" t="str">
        <f>IF(ISNUMBER(deployment_raw[[#This Row],[Column6]]), (deployment_raw[[#This Row],[Column6]] * IF($E$2="Deployment",deployment_raw[[#This Row],[Column5]],1)),"")</f>
        <v/>
      </c>
      <c r="J323" s="79" t="str">
        <f>IF(ISNUMBER(deployment_raw[[#This Row],[Column19]]), IF(K323&lt;&gt;0,(deployment_raw[[#This Row],[Column19]]/IF(OR($E$2="Deployment",deployment_raw[[#This Row],[Column5]]=0),1,deployment_raw[[#This Row],[Column5]]))/K323,0),"")</f>
        <v/>
      </c>
      <c r="K323" s="72" t="str">
        <f>IF(ISNUMBER(deployment_raw[[#This Row],[Column8]]), (deployment_raw[[#This Row],[Column8]]  * IF($E$2="Deployment",deployment_raw[[#This Row],[Column5]],1)),"")</f>
        <v/>
      </c>
      <c r="L32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2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23" s="81" t="str">
        <f>IF(ISNUMBER(deployment_raw[[#This Row],[Column20]]), IF(O323&lt;&gt;0,deployment_raw[[#This Row],[Column20]]/IF(OR($E$2="Deployment",deployment_raw[[#This Row],[Column5]]=0),1,deployment_raw[[#This Row],[Column5]])/1048576/O323,0),"")</f>
        <v/>
      </c>
      <c r="O323" s="74" t="str">
        <f>IF(ISNUMBER(deployment_raw[[#This Row],[Column7]]), (deployment_raw[[#This Row],[Column7]] * IF($E$2="Deployment",deployment_raw[[#This Row],[Column5]],1))/1048576,"")</f>
        <v/>
      </c>
      <c r="P323" s="81" t="str">
        <f>IF(ISNUMBER(deployment_raw[[#This Row],[Column20]]), IF(Q323&lt;&gt;0,deployment_raw[[#This Row],[Column20]]/IF(OR($E$2="Deployment",deployment_raw[[#This Row],[Column5]]=0),1,deployment_raw[[#This Row],[Column5]])/1048576/Q323,0),"")</f>
        <v/>
      </c>
      <c r="Q323" s="76" t="str">
        <f>IF(ISNUMBER(deployment_raw[[#This Row],[Column9]]), (deployment_raw[[#This Row],[Column9]] * IF($E$2="Deployment",deployment_raw[[#This Row],[Column5]],1))/1048576,"")</f>
        <v/>
      </c>
      <c r="R323" s="57" t="str">
        <f>IF(ISNUMBER(deployment_raw[[#This Row],[Column10]]), (deployment_raw[[#This Row],[Column10]] * IF($E$2="Deployment",deployment_raw[[#This Row],[Column5]],1)),"")</f>
        <v/>
      </c>
      <c r="S323" s="48" t="str">
        <f>IF(ISNUMBER(deployment_raw[[#This Row],[Column11]]), (deployment_raw[[#This Row],[Column11]] * IF($E$2="Deployment",deployment_raw[[#This Row],[Column5]],1))/1048576,"")</f>
        <v/>
      </c>
      <c r="T323" s="59" t="str">
        <f>IF(ISNUMBER(deployment_raw[[#This Row],[Column8]]),IF(OR(deployment_raw[[#This Row],[Column5]] &lt;&gt; 0,$E$2 &lt;&gt; "Deployment"), MAX(V323, ($T$2 * IF($E$2="Deployment",deployment_raw[[#This Row],[Column5]],1))), 0),"")</f>
        <v/>
      </c>
      <c r="U323" s="50" t="str">
        <f>IF(ISNUMBER(deployment_raw[[#This Row],[Column9]]),IF(OR(deployment_raw[[#This Row],[Column5]] &lt;&gt; 0,$E$2&lt;&gt;"Deployment"), MAX(W323, ($U$2 * IF($E$2="Deployment",deployment_raw[[#This Row],[Column5]],1))), 0),"")</f>
        <v/>
      </c>
      <c r="V323" s="15" t="str">
        <f>IF(ISNUMBER(deployment_raw[[#This Row],[Column12]]), (deployment_raw[[#This Row],[Column12]] * IF($E$2="Deployment",deployment_raw[[#This Row],[Column5]],1)*(1+$V$2)),"")</f>
        <v/>
      </c>
      <c r="W323" s="14" t="str">
        <f>IF(ISNUMBER(deployment_raw[[#This Row],[Column13]]), (deployment_raw[[#This Row],[Column13]] * IF($E$2="Deployment",deployment_raw[[#This Row],[Column5]],1)*(1+$W$2))/1048576,"")</f>
        <v/>
      </c>
    </row>
    <row r="324" spans="1:23" ht="15.75" customHeight="1" x14ac:dyDescent="0.25">
      <c r="A324" s="5" t="str">
        <f>IF(ISNONTEXT(deployment_raw[[#This Row],[Column1]]), "", deployment_raw[[#This Row],[Column1]])</f>
        <v/>
      </c>
      <c r="B324" s="6" t="str">
        <f>IF(ISNONTEXT(deployment_raw[[#This Row],[Column2]]), "", deployment_raw[[#This Row],[Column2]])</f>
        <v/>
      </c>
      <c r="C324" s="6" t="str">
        <f>IF(ISNONTEXT(deployment_raw[[#This Row],[Column3]]), "", deployment_raw[[#This Row],[Column3]])</f>
        <v/>
      </c>
      <c r="D324" s="6" t="str">
        <f>IF(ISNONTEXT(deployment_raw[[#This Row],[Column4]]), "", deployment_raw[[#This Row],[Column4]])</f>
        <v/>
      </c>
      <c r="E324" s="7" t="str">
        <f>IF(ISNUMBER(deployment_raw[[#This Row],[Column5]]), deployment_raw[[#This Row],[Column5]],"")</f>
        <v/>
      </c>
      <c r="F324" s="32" t="str">
        <f>IF(ISNUMBER(deployment_raw[[#This Row],[Column17]]), deployment_raw[[#This Row],[Column17]]/IF(OR($E$2="Deployment",deployment_raw[[#This Row],[Column5]]=0),1,deployment_raw[[#This Row],[Column5]]),"")</f>
        <v/>
      </c>
      <c r="G324" s="42" t="str">
        <f>IF(ISNUMBER(deployment_raw[[#This Row],[Column14]]), deployment_raw[[#This Row],[Column14]]/IF(OR($E$2="Deployment",deployment_raw[[#This Row],[Column5]]=0),1,deployment_raw[[#This Row],[Column5]]),"")</f>
        <v/>
      </c>
      <c r="H324" s="79" t="str">
        <f>IF(ISNUMBER(deployment_raw[[#This Row],[Column19]]), IF(I324&lt;&gt;0,(deployment_raw[[#This Row],[Column19]]/IF(OR($E$2="Deployment",deployment_raw[[#This Row],[Column5]]=0),1,deployment_raw[[#This Row],[Column5]]))/I324,0),"")</f>
        <v/>
      </c>
      <c r="I324" s="69" t="str">
        <f>IF(ISNUMBER(deployment_raw[[#This Row],[Column6]]), (deployment_raw[[#This Row],[Column6]] * IF($E$2="Deployment",deployment_raw[[#This Row],[Column5]],1)),"")</f>
        <v/>
      </c>
      <c r="J324" s="79" t="str">
        <f>IF(ISNUMBER(deployment_raw[[#This Row],[Column19]]), IF(K324&lt;&gt;0,(deployment_raw[[#This Row],[Column19]]/IF(OR($E$2="Deployment",deployment_raw[[#This Row],[Column5]]=0),1,deployment_raw[[#This Row],[Column5]]))/K324,0),"")</f>
        <v/>
      </c>
      <c r="K324" s="72" t="str">
        <f>IF(ISNUMBER(deployment_raw[[#This Row],[Column8]]), (deployment_raw[[#This Row],[Column8]]  * IF($E$2="Deployment",deployment_raw[[#This Row],[Column5]],1)),"")</f>
        <v/>
      </c>
      <c r="L32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2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24" s="81" t="str">
        <f>IF(ISNUMBER(deployment_raw[[#This Row],[Column20]]), IF(O324&lt;&gt;0,deployment_raw[[#This Row],[Column20]]/IF(OR($E$2="Deployment",deployment_raw[[#This Row],[Column5]]=0),1,deployment_raw[[#This Row],[Column5]])/1048576/O324,0),"")</f>
        <v/>
      </c>
      <c r="O324" s="74" t="str">
        <f>IF(ISNUMBER(deployment_raw[[#This Row],[Column7]]), (deployment_raw[[#This Row],[Column7]] * IF($E$2="Deployment",deployment_raw[[#This Row],[Column5]],1))/1048576,"")</f>
        <v/>
      </c>
      <c r="P324" s="81" t="str">
        <f>IF(ISNUMBER(deployment_raw[[#This Row],[Column20]]), IF(Q324&lt;&gt;0,deployment_raw[[#This Row],[Column20]]/IF(OR($E$2="Deployment",deployment_raw[[#This Row],[Column5]]=0),1,deployment_raw[[#This Row],[Column5]])/1048576/Q324,0),"")</f>
        <v/>
      </c>
      <c r="Q324" s="76" t="str">
        <f>IF(ISNUMBER(deployment_raw[[#This Row],[Column9]]), (deployment_raw[[#This Row],[Column9]] * IF($E$2="Deployment",deployment_raw[[#This Row],[Column5]],1))/1048576,"")</f>
        <v/>
      </c>
      <c r="R324" s="57" t="str">
        <f>IF(ISNUMBER(deployment_raw[[#This Row],[Column10]]), (deployment_raw[[#This Row],[Column10]] * IF($E$2="Deployment",deployment_raw[[#This Row],[Column5]],1)),"")</f>
        <v/>
      </c>
      <c r="S324" s="48" t="str">
        <f>IF(ISNUMBER(deployment_raw[[#This Row],[Column11]]), (deployment_raw[[#This Row],[Column11]] * IF($E$2="Deployment",deployment_raw[[#This Row],[Column5]],1))/1048576,"")</f>
        <v/>
      </c>
      <c r="T324" s="59" t="str">
        <f>IF(ISNUMBER(deployment_raw[[#This Row],[Column8]]),IF(OR(deployment_raw[[#This Row],[Column5]] &lt;&gt; 0,$E$2 &lt;&gt; "Deployment"), MAX(V324, ($T$2 * IF($E$2="Deployment",deployment_raw[[#This Row],[Column5]],1))), 0),"")</f>
        <v/>
      </c>
      <c r="U324" s="50" t="str">
        <f>IF(ISNUMBER(deployment_raw[[#This Row],[Column9]]),IF(OR(deployment_raw[[#This Row],[Column5]] &lt;&gt; 0,$E$2&lt;&gt;"Deployment"), MAX(W324, ($U$2 * IF($E$2="Deployment",deployment_raw[[#This Row],[Column5]],1))), 0),"")</f>
        <v/>
      </c>
      <c r="V324" s="15" t="str">
        <f>IF(ISNUMBER(deployment_raw[[#This Row],[Column12]]), (deployment_raw[[#This Row],[Column12]] * IF($E$2="Deployment",deployment_raw[[#This Row],[Column5]],1)*(1+$V$2)),"")</f>
        <v/>
      </c>
      <c r="W324" s="14" t="str">
        <f>IF(ISNUMBER(deployment_raw[[#This Row],[Column13]]), (deployment_raw[[#This Row],[Column13]] * IF($E$2="Deployment",deployment_raw[[#This Row],[Column5]],1)*(1+$W$2))/1048576,"")</f>
        <v/>
      </c>
    </row>
    <row r="325" spans="1:23" ht="15.75" customHeight="1" x14ac:dyDescent="0.25">
      <c r="A325" s="5" t="str">
        <f>IF(ISNONTEXT(deployment_raw[[#This Row],[Column1]]), "", deployment_raw[[#This Row],[Column1]])</f>
        <v/>
      </c>
      <c r="B325" s="6" t="str">
        <f>IF(ISNONTEXT(deployment_raw[[#This Row],[Column2]]), "", deployment_raw[[#This Row],[Column2]])</f>
        <v/>
      </c>
      <c r="C325" s="6" t="str">
        <f>IF(ISNONTEXT(deployment_raw[[#This Row],[Column3]]), "", deployment_raw[[#This Row],[Column3]])</f>
        <v/>
      </c>
      <c r="D325" s="6" t="str">
        <f>IF(ISNONTEXT(deployment_raw[[#This Row],[Column4]]), "", deployment_raw[[#This Row],[Column4]])</f>
        <v/>
      </c>
      <c r="E325" s="7" t="str">
        <f>IF(ISNUMBER(deployment_raw[[#This Row],[Column5]]), deployment_raw[[#This Row],[Column5]],"")</f>
        <v/>
      </c>
      <c r="F325" s="32" t="str">
        <f>IF(ISNUMBER(deployment_raw[[#This Row],[Column17]]), deployment_raw[[#This Row],[Column17]]/IF(OR($E$2="Deployment",deployment_raw[[#This Row],[Column5]]=0),1,deployment_raw[[#This Row],[Column5]]),"")</f>
        <v/>
      </c>
      <c r="G325" s="42" t="str">
        <f>IF(ISNUMBER(deployment_raw[[#This Row],[Column14]]), deployment_raw[[#This Row],[Column14]]/IF(OR($E$2="Deployment",deployment_raw[[#This Row],[Column5]]=0),1,deployment_raw[[#This Row],[Column5]]),"")</f>
        <v/>
      </c>
      <c r="H325" s="79" t="str">
        <f>IF(ISNUMBER(deployment_raw[[#This Row],[Column19]]), IF(I325&lt;&gt;0,(deployment_raw[[#This Row],[Column19]]/IF(OR($E$2="Deployment",deployment_raw[[#This Row],[Column5]]=0),1,deployment_raw[[#This Row],[Column5]]))/I325,0),"")</f>
        <v/>
      </c>
      <c r="I325" s="69" t="str">
        <f>IF(ISNUMBER(deployment_raw[[#This Row],[Column6]]), (deployment_raw[[#This Row],[Column6]] * IF($E$2="Deployment",deployment_raw[[#This Row],[Column5]],1)),"")</f>
        <v/>
      </c>
      <c r="J325" s="79" t="str">
        <f>IF(ISNUMBER(deployment_raw[[#This Row],[Column19]]), IF(K325&lt;&gt;0,(deployment_raw[[#This Row],[Column19]]/IF(OR($E$2="Deployment",deployment_raw[[#This Row],[Column5]]=0),1,deployment_raw[[#This Row],[Column5]]))/K325,0),"")</f>
        <v/>
      </c>
      <c r="K325" s="72" t="str">
        <f>IF(ISNUMBER(deployment_raw[[#This Row],[Column8]]), (deployment_raw[[#This Row],[Column8]]  * IF($E$2="Deployment",deployment_raw[[#This Row],[Column5]],1)),"")</f>
        <v/>
      </c>
      <c r="L32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2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25" s="81" t="str">
        <f>IF(ISNUMBER(deployment_raw[[#This Row],[Column20]]), IF(O325&lt;&gt;0,deployment_raw[[#This Row],[Column20]]/IF(OR($E$2="Deployment",deployment_raw[[#This Row],[Column5]]=0),1,deployment_raw[[#This Row],[Column5]])/1048576/O325,0),"")</f>
        <v/>
      </c>
      <c r="O325" s="74" t="str">
        <f>IF(ISNUMBER(deployment_raw[[#This Row],[Column7]]), (deployment_raw[[#This Row],[Column7]] * IF($E$2="Deployment",deployment_raw[[#This Row],[Column5]],1))/1048576,"")</f>
        <v/>
      </c>
      <c r="P325" s="81" t="str">
        <f>IF(ISNUMBER(deployment_raw[[#This Row],[Column20]]), IF(Q325&lt;&gt;0,deployment_raw[[#This Row],[Column20]]/IF(OR($E$2="Deployment",deployment_raw[[#This Row],[Column5]]=0),1,deployment_raw[[#This Row],[Column5]])/1048576/Q325,0),"")</f>
        <v/>
      </c>
      <c r="Q325" s="76" t="str">
        <f>IF(ISNUMBER(deployment_raw[[#This Row],[Column9]]), (deployment_raw[[#This Row],[Column9]] * IF($E$2="Deployment",deployment_raw[[#This Row],[Column5]],1))/1048576,"")</f>
        <v/>
      </c>
      <c r="R325" s="57" t="str">
        <f>IF(ISNUMBER(deployment_raw[[#This Row],[Column10]]), (deployment_raw[[#This Row],[Column10]] * IF($E$2="Deployment",deployment_raw[[#This Row],[Column5]],1)),"")</f>
        <v/>
      </c>
      <c r="S325" s="48" t="str">
        <f>IF(ISNUMBER(deployment_raw[[#This Row],[Column11]]), (deployment_raw[[#This Row],[Column11]] * IF($E$2="Deployment",deployment_raw[[#This Row],[Column5]],1))/1048576,"")</f>
        <v/>
      </c>
      <c r="T325" s="59" t="str">
        <f>IF(ISNUMBER(deployment_raw[[#This Row],[Column8]]),IF(OR(deployment_raw[[#This Row],[Column5]] &lt;&gt; 0,$E$2 &lt;&gt; "Deployment"), MAX(V325, ($T$2 * IF($E$2="Deployment",deployment_raw[[#This Row],[Column5]],1))), 0),"")</f>
        <v/>
      </c>
      <c r="U325" s="50" t="str">
        <f>IF(ISNUMBER(deployment_raw[[#This Row],[Column9]]),IF(OR(deployment_raw[[#This Row],[Column5]] &lt;&gt; 0,$E$2&lt;&gt;"Deployment"), MAX(W325, ($U$2 * IF($E$2="Deployment",deployment_raw[[#This Row],[Column5]],1))), 0),"")</f>
        <v/>
      </c>
      <c r="V325" s="15" t="str">
        <f>IF(ISNUMBER(deployment_raw[[#This Row],[Column12]]), (deployment_raw[[#This Row],[Column12]] * IF($E$2="Deployment",deployment_raw[[#This Row],[Column5]],1)*(1+$V$2)),"")</f>
        <v/>
      </c>
      <c r="W325" s="14" t="str">
        <f>IF(ISNUMBER(deployment_raw[[#This Row],[Column13]]), (deployment_raw[[#This Row],[Column13]] * IF($E$2="Deployment",deployment_raw[[#This Row],[Column5]],1)*(1+$W$2))/1048576,"")</f>
        <v/>
      </c>
    </row>
    <row r="326" spans="1:23" ht="15.75" customHeight="1" x14ac:dyDescent="0.25">
      <c r="A326" s="5" t="str">
        <f>IF(ISNONTEXT(deployment_raw[[#This Row],[Column1]]), "", deployment_raw[[#This Row],[Column1]])</f>
        <v/>
      </c>
      <c r="B326" s="6" t="str">
        <f>IF(ISNONTEXT(deployment_raw[[#This Row],[Column2]]), "", deployment_raw[[#This Row],[Column2]])</f>
        <v/>
      </c>
      <c r="C326" s="6" t="str">
        <f>IF(ISNONTEXT(deployment_raw[[#This Row],[Column3]]), "", deployment_raw[[#This Row],[Column3]])</f>
        <v/>
      </c>
      <c r="D326" s="6" t="str">
        <f>IF(ISNONTEXT(deployment_raw[[#This Row],[Column4]]), "", deployment_raw[[#This Row],[Column4]])</f>
        <v/>
      </c>
      <c r="E326" s="7" t="str">
        <f>IF(ISNUMBER(deployment_raw[[#This Row],[Column5]]), deployment_raw[[#This Row],[Column5]],"")</f>
        <v/>
      </c>
      <c r="F326" s="32" t="str">
        <f>IF(ISNUMBER(deployment_raw[[#This Row],[Column17]]), deployment_raw[[#This Row],[Column17]]/IF(OR($E$2="Deployment",deployment_raw[[#This Row],[Column5]]=0),1,deployment_raw[[#This Row],[Column5]]),"")</f>
        <v/>
      </c>
      <c r="G326" s="42" t="str">
        <f>IF(ISNUMBER(deployment_raw[[#This Row],[Column14]]), deployment_raw[[#This Row],[Column14]]/IF(OR($E$2="Deployment",deployment_raw[[#This Row],[Column5]]=0),1,deployment_raw[[#This Row],[Column5]]),"")</f>
        <v/>
      </c>
      <c r="H326" s="79" t="str">
        <f>IF(ISNUMBER(deployment_raw[[#This Row],[Column19]]), IF(I326&lt;&gt;0,(deployment_raw[[#This Row],[Column19]]/IF(OR($E$2="Deployment",deployment_raw[[#This Row],[Column5]]=0),1,deployment_raw[[#This Row],[Column5]]))/I326,0),"")</f>
        <v/>
      </c>
      <c r="I326" s="69" t="str">
        <f>IF(ISNUMBER(deployment_raw[[#This Row],[Column6]]), (deployment_raw[[#This Row],[Column6]] * IF($E$2="Deployment",deployment_raw[[#This Row],[Column5]],1)),"")</f>
        <v/>
      </c>
      <c r="J326" s="79" t="str">
        <f>IF(ISNUMBER(deployment_raw[[#This Row],[Column19]]), IF(K326&lt;&gt;0,(deployment_raw[[#This Row],[Column19]]/IF(OR($E$2="Deployment",deployment_raw[[#This Row],[Column5]]=0),1,deployment_raw[[#This Row],[Column5]]))/K326,0),"")</f>
        <v/>
      </c>
      <c r="K326" s="72" t="str">
        <f>IF(ISNUMBER(deployment_raw[[#This Row],[Column8]]), (deployment_raw[[#This Row],[Column8]]  * IF($E$2="Deployment",deployment_raw[[#This Row],[Column5]],1)),"")</f>
        <v/>
      </c>
      <c r="L32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2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26" s="81" t="str">
        <f>IF(ISNUMBER(deployment_raw[[#This Row],[Column20]]), IF(O326&lt;&gt;0,deployment_raw[[#This Row],[Column20]]/IF(OR($E$2="Deployment",deployment_raw[[#This Row],[Column5]]=0),1,deployment_raw[[#This Row],[Column5]])/1048576/O326,0),"")</f>
        <v/>
      </c>
      <c r="O326" s="74" t="str">
        <f>IF(ISNUMBER(deployment_raw[[#This Row],[Column7]]), (deployment_raw[[#This Row],[Column7]] * IF($E$2="Deployment",deployment_raw[[#This Row],[Column5]],1))/1048576,"")</f>
        <v/>
      </c>
      <c r="P326" s="81" t="str">
        <f>IF(ISNUMBER(deployment_raw[[#This Row],[Column20]]), IF(Q326&lt;&gt;0,deployment_raw[[#This Row],[Column20]]/IF(OR($E$2="Deployment",deployment_raw[[#This Row],[Column5]]=0),1,deployment_raw[[#This Row],[Column5]])/1048576/Q326,0),"")</f>
        <v/>
      </c>
      <c r="Q326" s="76" t="str">
        <f>IF(ISNUMBER(deployment_raw[[#This Row],[Column9]]), (deployment_raw[[#This Row],[Column9]] * IF($E$2="Deployment",deployment_raw[[#This Row],[Column5]],1))/1048576,"")</f>
        <v/>
      </c>
      <c r="R326" s="57" t="str">
        <f>IF(ISNUMBER(deployment_raw[[#This Row],[Column10]]), (deployment_raw[[#This Row],[Column10]] * IF($E$2="Deployment",deployment_raw[[#This Row],[Column5]],1)),"")</f>
        <v/>
      </c>
      <c r="S326" s="48" t="str">
        <f>IF(ISNUMBER(deployment_raw[[#This Row],[Column11]]), (deployment_raw[[#This Row],[Column11]] * IF($E$2="Deployment",deployment_raw[[#This Row],[Column5]],1))/1048576,"")</f>
        <v/>
      </c>
      <c r="T326" s="59" t="str">
        <f>IF(ISNUMBER(deployment_raw[[#This Row],[Column8]]),IF(OR(deployment_raw[[#This Row],[Column5]] &lt;&gt; 0,$E$2 &lt;&gt; "Deployment"), MAX(V326, ($T$2 * IF($E$2="Deployment",deployment_raw[[#This Row],[Column5]],1))), 0),"")</f>
        <v/>
      </c>
      <c r="U326" s="50" t="str">
        <f>IF(ISNUMBER(deployment_raw[[#This Row],[Column9]]),IF(OR(deployment_raw[[#This Row],[Column5]] &lt;&gt; 0,$E$2&lt;&gt;"Deployment"), MAX(W326, ($U$2 * IF($E$2="Deployment",deployment_raw[[#This Row],[Column5]],1))), 0),"")</f>
        <v/>
      </c>
      <c r="V326" s="15" t="str">
        <f>IF(ISNUMBER(deployment_raw[[#This Row],[Column12]]), (deployment_raw[[#This Row],[Column12]] * IF($E$2="Deployment",deployment_raw[[#This Row],[Column5]],1)*(1+$V$2)),"")</f>
        <v/>
      </c>
      <c r="W326" s="14" t="str">
        <f>IF(ISNUMBER(deployment_raw[[#This Row],[Column13]]), (deployment_raw[[#This Row],[Column13]] * IF($E$2="Deployment",deployment_raw[[#This Row],[Column5]],1)*(1+$W$2))/1048576,"")</f>
        <v/>
      </c>
    </row>
    <row r="327" spans="1:23" ht="15.75" customHeight="1" x14ac:dyDescent="0.25">
      <c r="A327" s="5" t="str">
        <f>IF(ISNONTEXT(deployment_raw[[#This Row],[Column1]]), "", deployment_raw[[#This Row],[Column1]])</f>
        <v/>
      </c>
      <c r="B327" s="6" t="str">
        <f>IF(ISNONTEXT(deployment_raw[[#This Row],[Column2]]), "", deployment_raw[[#This Row],[Column2]])</f>
        <v/>
      </c>
      <c r="C327" s="6" t="str">
        <f>IF(ISNONTEXT(deployment_raw[[#This Row],[Column3]]), "", deployment_raw[[#This Row],[Column3]])</f>
        <v/>
      </c>
      <c r="D327" s="6" t="str">
        <f>IF(ISNONTEXT(deployment_raw[[#This Row],[Column4]]), "", deployment_raw[[#This Row],[Column4]])</f>
        <v/>
      </c>
      <c r="E327" s="7" t="str">
        <f>IF(ISNUMBER(deployment_raw[[#This Row],[Column5]]), deployment_raw[[#This Row],[Column5]],"")</f>
        <v/>
      </c>
      <c r="F327" s="32" t="str">
        <f>IF(ISNUMBER(deployment_raw[[#This Row],[Column17]]), deployment_raw[[#This Row],[Column17]]/IF(OR($E$2="Deployment",deployment_raw[[#This Row],[Column5]]=0),1,deployment_raw[[#This Row],[Column5]]),"")</f>
        <v/>
      </c>
      <c r="G327" s="42" t="str">
        <f>IF(ISNUMBER(deployment_raw[[#This Row],[Column14]]), deployment_raw[[#This Row],[Column14]]/IF(OR($E$2="Deployment",deployment_raw[[#This Row],[Column5]]=0),1,deployment_raw[[#This Row],[Column5]]),"")</f>
        <v/>
      </c>
      <c r="H327" s="79" t="str">
        <f>IF(ISNUMBER(deployment_raw[[#This Row],[Column19]]), IF(I327&lt;&gt;0,(deployment_raw[[#This Row],[Column19]]/IF(OR($E$2="Deployment",deployment_raw[[#This Row],[Column5]]=0),1,deployment_raw[[#This Row],[Column5]]))/I327,0),"")</f>
        <v/>
      </c>
      <c r="I327" s="69" t="str">
        <f>IF(ISNUMBER(deployment_raw[[#This Row],[Column6]]), (deployment_raw[[#This Row],[Column6]] * IF($E$2="Deployment",deployment_raw[[#This Row],[Column5]],1)),"")</f>
        <v/>
      </c>
      <c r="J327" s="79" t="str">
        <f>IF(ISNUMBER(deployment_raw[[#This Row],[Column19]]), IF(K327&lt;&gt;0,(deployment_raw[[#This Row],[Column19]]/IF(OR($E$2="Deployment",deployment_raw[[#This Row],[Column5]]=0),1,deployment_raw[[#This Row],[Column5]]))/K327,0),"")</f>
        <v/>
      </c>
      <c r="K327" s="72" t="str">
        <f>IF(ISNUMBER(deployment_raw[[#This Row],[Column8]]), (deployment_raw[[#This Row],[Column8]]  * IF($E$2="Deployment",deployment_raw[[#This Row],[Column5]],1)),"")</f>
        <v/>
      </c>
      <c r="L32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2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27" s="81" t="str">
        <f>IF(ISNUMBER(deployment_raw[[#This Row],[Column20]]), IF(O327&lt;&gt;0,deployment_raw[[#This Row],[Column20]]/IF(OR($E$2="Deployment",deployment_raw[[#This Row],[Column5]]=0),1,deployment_raw[[#This Row],[Column5]])/1048576/O327,0),"")</f>
        <v/>
      </c>
      <c r="O327" s="74" t="str">
        <f>IF(ISNUMBER(deployment_raw[[#This Row],[Column7]]), (deployment_raw[[#This Row],[Column7]] * IF($E$2="Deployment",deployment_raw[[#This Row],[Column5]],1))/1048576,"")</f>
        <v/>
      </c>
      <c r="P327" s="81" t="str">
        <f>IF(ISNUMBER(deployment_raw[[#This Row],[Column20]]), IF(Q327&lt;&gt;0,deployment_raw[[#This Row],[Column20]]/IF(OR($E$2="Deployment",deployment_raw[[#This Row],[Column5]]=0),1,deployment_raw[[#This Row],[Column5]])/1048576/Q327,0),"")</f>
        <v/>
      </c>
      <c r="Q327" s="76" t="str">
        <f>IF(ISNUMBER(deployment_raw[[#This Row],[Column9]]), (deployment_raw[[#This Row],[Column9]] * IF($E$2="Deployment",deployment_raw[[#This Row],[Column5]],1))/1048576,"")</f>
        <v/>
      </c>
      <c r="R327" s="57" t="str">
        <f>IF(ISNUMBER(deployment_raw[[#This Row],[Column10]]), (deployment_raw[[#This Row],[Column10]] * IF($E$2="Deployment",deployment_raw[[#This Row],[Column5]],1)),"")</f>
        <v/>
      </c>
      <c r="S327" s="48" t="str">
        <f>IF(ISNUMBER(deployment_raw[[#This Row],[Column11]]), (deployment_raw[[#This Row],[Column11]] * IF($E$2="Deployment",deployment_raw[[#This Row],[Column5]],1))/1048576,"")</f>
        <v/>
      </c>
      <c r="T327" s="59" t="str">
        <f>IF(ISNUMBER(deployment_raw[[#This Row],[Column8]]),IF(OR(deployment_raw[[#This Row],[Column5]] &lt;&gt; 0,$E$2 &lt;&gt; "Deployment"), MAX(V327, ($T$2 * IF($E$2="Deployment",deployment_raw[[#This Row],[Column5]],1))), 0),"")</f>
        <v/>
      </c>
      <c r="U327" s="50" t="str">
        <f>IF(ISNUMBER(deployment_raw[[#This Row],[Column9]]),IF(OR(deployment_raw[[#This Row],[Column5]] &lt;&gt; 0,$E$2&lt;&gt;"Deployment"), MAX(W327, ($U$2 * IF($E$2="Deployment",deployment_raw[[#This Row],[Column5]],1))), 0),"")</f>
        <v/>
      </c>
      <c r="V327" s="15" t="str">
        <f>IF(ISNUMBER(deployment_raw[[#This Row],[Column12]]), (deployment_raw[[#This Row],[Column12]] * IF($E$2="Deployment",deployment_raw[[#This Row],[Column5]],1)*(1+$V$2)),"")</f>
        <v/>
      </c>
      <c r="W327" s="14" t="str">
        <f>IF(ISNUMBER(deployment_raw[[#This Row],[Column13]]), (deployment_raw[[#This Row],[Column13]] * IF($E$2="Deployment",deployment_raw[[#This Row],[Column5]],1)*(1+$W$2))/1048576,"")</f>
        <v/>
      </c>
    </row>
    <row r="328" spans="1:23" ht="15.75" customHeight="1" x14ac:dyDescent="0.25">
      <c r="A328" s="5" t="str">
        <f>IF(ISNONTEXT(deployment_raw[[#This Row],[Column1]]), "", deployment_raw[[#This Row],[Column1]])</f>
        <v/>
      </c>
      <c r="B328" s="6" t="str">
        <f>IF(ISNONTEXT(deployment_raw[[#This Row],[Column2]]), "", deployment_raw[[#This Row],[Column2]])</f>
        <v/>
      </c>
      <c r="C328" s="6" t="str">
        <f>IF(ISNONTEXT(deployment_raw[[#This Row],[Column3]]), "", deployment_raw[[#This Row],[Column3]])</f>
        <v/>
      </c>
      <c r="D328" s="6" t="str">
        <f>IF(ISNONTEXT(deployment_raw[[#This Row],[Column4]]), "", deployment_raw[[#This Row],[Column4]])</f>
        <v/>
      </c>
      <c r="E328" s="7" t="str">
        <f>IF(ISNUMBER(deployment_raw[[#This Row],[Column5]]), deployment_raw[[#This Row],[Column5]],"")</f>
        <v/>
      </c>
      <c r="F328" s="32" t="str">
        <f>IF(ISNUMBER(deployment_raw[[#This Row],[Column17]]), deployment_raw[[#This Row],[Column17]]/IF(OR($E$2="Deployment",deployment_raw[[#This Row],[Column5]]=0),1,deployment_raw[[#This Row],[Column5]]),"")</f>
        <v/>
      </c>
      <c r="G328" s="42" t="str">
        <f>IF(ISNUMBER(deployment_raw[[#This Row],[Column14]]), deployment_raw[[#This Row],[Column14]]/IF(OR($E$2="Deployment",deployment_raw[[#This Row],[Column5]]=0),1,deployment_raw[[#This Row],[Column5]]),"")</f>
        <v/>
      </c>
      <c r="H328" s="79" t="str">
        <f>IF(ISNUMBER(deployment_raw[[#This Row],[Column19]]), IF(I328&lt;&gt;0,(deployment_raw[[#This Row],[Column19]]/IF(OR($E$2="Deployment",deployment_raw[[#This Row],[Column5]]=0),1,deployment_raw[[#This Row],[Column5]]))/I328,0),"")</f>
        <v/>
      </c>
      <c r="I328" s="69" t="str">
        <f>IF(ISNUMBER(deployment_raw[[#This Row],[Column6]]), (deployment_raw[[#This Row],[Column6]] * IF($E$2="Deployment",deployment_raw[[#This Row],[Column5]],1)),"")</f>
        <v/>
      </c>
      <c r="J328" s="79" t="str">
        <f>IF(ISNUMBER(deployment_raw[[#This Row],[Column19]]), IF(K328&lt;&gt;0,(deployment_raw[[#This Row],[Column19]]/IF(OR($E$2="Deployment",deployment_raw[[#This Row],[Column5]]=0),1,deployment_raw[[#This Row],[Column5]]))/K328,0),"")</f>
        <v/>
      </c>
      <c r="K328" s="72" t="str">
        <f>IF(ISNUMBER(deployment_raw[[#This Row],[Column8]]), (deployment_raw[[#This Row],[Column8]]  * IF($E$2="Deployment",deployment_raw[[#This Row],[Column5]],1)),"")</f>
        <v/>
      </c>
      <c r="L32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2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28" s="81" t="str">
        <f>IF(ISNUMBER(deployment_raw[[#This Row],[Column20]]), IF(O328&lt;&gt;0,deployment_raw[[#This Row],[Column20]]/IF(OR($E$2="Deployment",deployment_raw[[#This Row],[Column5]]=0),1,deployment_raw[[#This Row],[Column5]])/1048576/O328,0),"")</f>
        <v/>
      </c>
      <c r="O328" s="74" t="str">
        <f>IF(ISNUMBER(deployment_raw[[#This Row],[Column7]]), (deployment_raw[[#This Row],[Column7]] * IF($E$2="Deployment",deployment_raw[[#This Row],[Column5]],1))/1048576,"")</f>
        <v/>
      </c>
      <c r="P328" s="81" t="str">
        <f>IF(ISNUMBER(deployment_raw[[#This Row],[Column20]]), IF(Q328&lt;&gt;0,deployment_raw[[#This Row],[Column20]]/IF(OR($E$2="Deployment",deployment_raw[[#This Row],[Column5]]=0),1,deployment_raw[[#This Row],[Column5]])/1048576/Q328,0),"")</f>
        <v/>
      </c>
      <c r="Q328" s="76" t="str">
        <f>IF(ISNUMBER(deployment_raw[[#This Row],[Column9]]), (deployment_raw[[#This Row],[Column9]] * IF($E$2="Deployment",deployment_raw[[#This Row],[Column5]],1))/1048576,"")</f>
        <v/>
      </c>
      <c r="R328" s="57" t="str">
        <f>IF(ISNUMBER(deployment_raw[[#This Row],[Column10]]), (deployment_raw[[#This Row],[Column10]] * IF($E$2="Deployment",deployment_raw[[#This Row],[Column5]],1)),"")</f>
        <v/>
      </c>
      <c r="S328" s="48" t="str">
        <f>IF(ISNUMBER(deployment_raw[[#This Row],[Column11]]), (deployment_raw[[#This Row],[Column11]] * IF($E$2="Deployment",deployment_raw[[#This Row],[Column5]],1))/1048576,"")</f>
        <v/>
      </c>
      <c r="T328" s="59" t="str">
        <f>IF(ISNUMBER(deployment_raw[[#This Row],[Column8]]),IF(OR(deployment_raw[[#This Row],[Column5]] &lt;&gt; 0,$E$2 &lt;&gt; "Deployment"), MAX(V328, ($T$2 * IF($E$2="Deployment",deployment_raw[[#This Row],[Column5]],1))), 0),"")</f>
        <v/>
      </c>
      <c r="U328" s="50" t="str">
        <f>IF(ISNUMBER(deployment_raw[[#This Row],[Column9]]),IF(OR(deployment_raw[[#This Row],[Column5]] &lt;&gt; 0,$E$2&lt;&gt;"Deployment"), MAX(W328, ($U$2 * IF($E$2="Deployment",deployment_raw[[#This Row],[Column5]],1))), 0),"")</f>
        <v/>
      </c>
      <c r="V328" s="15" t="str">
        <f>IF(ISNUMBER(deployment_raw[[#This Row],[Column12]]), (deployment_raw[[#This Row],[Column12]] * IF($E$2="Deployment",deployment_raw[[#This Row],[Column5]],1)*(1+$V$2)),"")</f>
        <v/>
      </c>
      <c r="W328" s="14" t="str">
        <f>IF(ISNUMBER(deployment_raw[[#This Row],[Column13]]), (deployment_raw[[#This Row],[Column13]] * IF($E$2="Deployment",deployment_raw[[#This Row],[Column5]],1)*(1+$W$2))/1048576,"")</f>
        <v/>
      </c>
    </row>
    <row r="329" spans="1:23" ht="15.75" customHeight="1" x14ac:dyDescent="0.25">
      <c r="A329" s="5" t="str">
        <f>IF(ISNONTEXT(deployment_raw[[#This Row],[Column1]]), "", deployment_raw[[#This Row],[Column1]])</f>
        <v/>
      </c>
      <c r="B329" s="6" t="str">
        <f>IF(ISNONTEXT(deployment_raw[[#This Row],[Column2]]), "", deployment_raw[[#This Row],[Column2]])</f>
        <v/>
      </c>
      <c r="C329" s="6" t="str">
        <f>IF(ISNONTEXT(deployment_raw[[#This Row],[Column3]]), "", deployment_raw[[#This Row],[Column3]])</f>
        <v/>
      </c>
      <c r="D329" s="6" t="str">
        <f>IF(ISNONTEXT(deployment_raw[[#This Row],[Column4]]), "", deployment_raw[[#This Row],[Column4]])</f>
        <v/>
      </c>
      <c r="E329" s="7" t="str">
        <f>IF(ISNUMBER(deployment_raw[[#This Row],[Column5]]), deployment_raw[[#This Row],[Column5]],"")</f>
        <v/>
      </c>
      <c r="F329" s="32" t="str">
        <f>IF(ISNUMBER(deployment_raw[[#This Row],[Column17]]), deployment_raw[[#This Row],[Column17]]/IF(OR($E$2="Deployment",deployment_raw[[#This Row],[Column5]]=0),1,deployment_raw[[#This Row],[Column5]]),"")</f>
        <v/>
      </c>
      <c r="G329" s="42" t="str">
        <f>IF(ISNUMBER(deployment_raw[[#This Row],[Column14]]), deployment_raw[[#This Row],[Column14]]/IF(OR($E$2="Deployment",deployment_raw[[#This Row],[Column5]]=0),1,deployment_raw[[#This Row],[Column5]]),"")</f>
        <v/>
      </c>
      <c r="H329" s="79" t="str">
        <f>IF(ISNUMBER(deployment_raw[[#This Row],[Column19]]), IF(I329&lt;&gt;0,(deployment_raw[[#This Row],[Column19]]/IF(OR($E$2="Deployment",deployment_raw[[#This Row],[Column5]]=0),1,deployment_raw[[#This Row],[Column5]]))/I329,0),"")</f>
        <v/>
      </c>
      <c r="I329" s="69" t="str">
        <f>IF(ISNUMBER(deployment_raw[[#This Row],[Column6]]), (deployment_raw[[#This Row],[Column6]] * IF($E$2="Deployment",deployment_raw[[#This Row],[Column5]],1)),"")</f>
        <v/>
      </c>
      <c r="J329" s="79" t="str">
        <f>IF(ISNUMBER(deployment_raw[[#This Row],[Column19]]), IF(K329&lt;&gt;0,(deployment_raw[[#This Row],[Column19]]/IF(OR($E$2="Deployment",deployment_raw[[#This Row],[Column5]]=0),1,deployment_raw[[#This Row],[Column5]]))/K329,0),"")</f>
        <v/>
      </c>
      <c r="K329" s="72" t="str">
        <f>IF(ISNUMBER(deployment_raw[[#This Row],[Column8]]), (deployment_raw[[#This Row],[Column8]]  * IF($E$2="Deployment",deployment_raw[[#This Row],[Column5]],1)),"")</f>
        <v/>
      </c>
      <c r="L32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2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29" s="81" t="str">
        <f>IF(ISNUMBER(deployment_raw[[#This Row],[Column20]]), IF(O329&lt;&gt;0,deployment_raw[[#This Row],[Column20]]/IF(OR($E$2="Deployment",deployment_raw[[#This Row],[Column5]]=0),1,deployment_raw[[#This Row],[Column5]])/1048576/O329,0),"")</f>
        <v/>
      </c>
      <c r="O329" s="74" t="str">
        <f>IF(ISNUMBER(deployment_raw[[#This Row],[Column7]]), (deployment_raw[[#This Row],[Column7]] * IF($E$2="Deployment",deployment_raw[[#This Row],[Column5]],1))/1048576,"")</f>
        <v/>
      </c>
      <c r="P329" s="81" t="str">
        <f>IF(ISNUMBER(deployment_raw[[#This Row],[Column20]]), IF(Q329&lt;&gt;0,deployment_raw[[#This Row],[Column20]]/IF(OR($E$2="Deployment",deployment_raw[[#This Row],[Column5]]=0),1,deployment_raw[[#This Row],[Column5]])/1048576/Q329,0),"")</f>
        <v/>
      </c>
      <c r="Q329" s="76" t="str">
        <f>IF(ISNUMBER(deployment_raw[[#This Row],[Column9]]), (deployment_raw[[#This Row],[Column9]] * IF($E$2="Deployment",deployment_raw[[#This Row],[Column5]],1))/1048576,"")</f>
        <v/>
      </c>
      <c r="R329" s="57" t="str">
        <f>IF(ISNUMBER(deployment_raw[[#This Row],[Column10]]), (deployment_raw[[#This Row],[Column10]] * IF($E$2="Deployment",deployment_raw[[#This Row],[Column5]],1)),"")</f>
        <v/>
      </c>
      <c r="S329" s="48" t="str">
        <f>IF(ISNUMBER(deployment_raw[[#This Row],[Column11]]), (deployment_raw[[#This Row],[Column11]] * IF($E$2="Deployment",deployment_raw[[#This Row],[Column5]],1))/1048576,"")</f>
        <v/>
      </c>
      <c r="T329" s="59" t="str">
        <f>IF(ISNUMBER(deployment_raw[[#This Row],[Column8]]),IF(OR(deployment_raw[[#This Row],[Column5]] &lt;&gt; 0,$E$2 &lt;&gt; "Deployment"), MAX(V329, ($T$2 * IF($E$2="Deployment",deployment_raw[[#This Row],[Column5]],1))), 0),"")</f>
        <v/>
      </c>
      <c r="U329" s="50" t="str">
        <f>IF(ISNUMBER(deployment_raw[[#This Row],[Column9]]),IF(OR(deployment_raw[[#This Row],[Column5]] &lt;&gt; 0,$E$2&lt;&gt;"Deployment"), MAX(W329, ($U$2 * IF($E$2="Deployment",deployment_raw[[#This Row],[Column5]],1))), 0),"")</f>
        <v/>
      </c>
      <c r="V329" s="15" t="str">
        <f>IF(ISNUMBER(deployment_raw[[#This Row],[Column12]]), (deployment_raw[[#This Row],[Column12]] * IF($E$2="Deployment",deployment_raw[[#This Row],[Column5]],1)*(1+$V$2)),"")</f>
        <v/>
      </c>
      <c r="W329" s="14" t="str">
        <f>IF(ISNUMBER(deployment_raw[[#This Row],[Column13]]), (deployment_raw[[#This Row],[Column13]] * IF($E$2="Deployment",deployment_raw[[#This Row],[Column5]],1)*(1+$W$2))/1048576,"")</f>
        <v/>
      </c>
    </row>
    <row r="330" spans="1:23" ht="15.75" customHeight="1" x14ac:dyDescent="0.25">
      <c r="A330" s="5" t="str">
        <f>IF(ISNONTEXT(deployment_raw[[#This Row],[Column1]]), "", deployment_raw[[#This Row],[Column1]])</f>
        <v/>
      </c>
      <c r="B330" s="6" t="str">
        <f>IF(ISNONTEXT(deployment_raw[[#This Row],[Column2]]), "", deployment_raw[[#This Row],[Column2]])</f>
        <v/>
      </c>
      <c r="C330" s="6" t="str">
        <f>IF(ISNONTEXT(deployment_raw[[#This Row],[Column3]]), "", deployment_raw[[#This Row],[Column3]])</f>
        <v/>
      </c>
      <c r="D330" s="6" t="str">
        <f>IF(ISNONTEXT(deployment_raw[[#This Row],[Column4]]), "", deployment_raw[[#This Row],[Column4]])</f>
        <v/>
      </c>
      <c r="E330" s="7" t="str">
        <f>IF(ISNUMBER(deployment_raw[[#This Row],[Column5]]), deployment_raw[[#This Row],[Column5]],"")</f>
        <v/>
      </c>
      <c r="F330" s="32" t="str">
        <f>IF(ISNUMBER(deployment_raw[[#This Row],[Column17]]), deployment_raw[[#This Row],[Column17]]/IF(OR($E$2="Deployment",deployment_raw[[#This Row],[Column5]]=0),1,deployment_raw[[#This Row],[Column5]]),"")</f>
        <v/>
      </c>
      <c r="G330" s="42" t="str">
        <f>IF(ISNUMBER(deployment_raw[[#This Row],[Column14]]), deployment_raw[[#This Row],[Column14]]/IF(OR($E$2="Deployment",deployment_raw[[#This Row],[Column5]]=0),1,deployment_raw[[#This Row],[Column5]]),"")</f>
        <v/>
      </c>
      <c r="H330" s="79" t="str">
        <f>IF(ISNUMBER(deployment_raw[[#This Row],[Column19]]), IF(I330&lt;&gt;0,(deployment_raw[[#This Row],[Column19]]/IF(OR($E$2="Deployment",deployment_raw[[#This Row],[Column5]]=0),1,deployment_raw[[#This Row],[Column5]]))/I330,0),"")</f>
        <v/>
      </c>
      <c r="I330" s="69" t="str">
        <f>IF(ISNUMBER(deployment_raw[[#This Row],[Column6]]), (deployment_raw[[#This Row],[Column6]] * IF($E$2="Deployment",deployment_raw[[#This Row],[Column5]],1)),"")</f>
        <v/>
      </c>
      <c r="J330" s="79" t="str">
        <f>IF(ISNUMBER(deployment_raw[[#This Row],[Column19]]), IF(K330&lt;&gt;0,(deployment_raw[[#This Row],[Column19]]/IF(OR($E$2="Deployment",deployment_raw[[#This Row],[Column5]]=0),1,deployment_raw[[#This Row],[Column5]]))/K330,0),"")</f>
        <v/>
      </c>
      <c r="K330" s="72" t="str">
        <f>IF(ISNUMBER(deployment_raw[[#This Row],[Column8]]), (deployment_raw[[#This Row],[Column8]]  * IF($E$2="Deployment",deployment_raw[[#This Row],[Column5]],1)),"")</f>
        <v/>
      </c>
      <c r="L33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3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30" s="81" t="str">
        <f>IF(ISNUMBER(deployment_raw[[#This Row],[Column20]]), IF(O330&lt;&gt;0,deployment_raw[[#This Row],[Column20]]/IF(OR($E$2="Deployment",deployment_raw[[#This Row],[Column5]]=0),1,deployment_raw[[#This Row],[Column5]])/1048576/O330,0),"")</f>
        <v/>
      </c>
      <c r="O330" s="74" t="str">
        <f>IF(ISNUMBER(deployment_raw[[#This Row],[Column7]]), (deployment_raw[[#This Row],[Column7]] * IF($E$2="Deployment",deployment_raw[[#This Row],[Column5]],1))/1048576,"")</f>
        <v/>
      </c>
      <c r="P330" s="81" t="str">
        <f>IF(ISNUMBER(deployment_raw[[#This Row],[Column20]]), IF(Q330&lt;&gt;0,deployment_raw[[#This Row],[Column20]]/IF(OR($E$2="Deployment",deployment_raw[[#This Row],[Column5]]=0),1,deployment_raw[[#This Row],[Column5]])/1048576/Q330,0),"")</f>
        <v/>
      </c>
      <c r="Q330" s="76" t="str">
        <f>IF(ISNUMBER(deployment_raw[[#This Row],[Column9]]), (deployment_raw[[#This Row],[Column9]] * IF($E$2="Deployment",deployment_raw[[#This Row],[Column5]],1))/1048576,"")</f>
        <v/>
      </c>
      <c r="R330" s="57" t="str">
        <f>IF(ISNUMBER(deployment_raw[[#This Row],[Column10]]), (deployment_raw[[#This Row],[Column10]] * IF($E$2="Deployment",deployment_raw[[#This Row],[Column5]],1)),"")</f>
        <v/>
      </c>
      <c r="S330" s="48" t="str">
        <f>IF(ISNUMBER(deployment_raw[[#This Row],[Column11]]), (deployment_raw[[#This Row],[Column11]] * IF($E$2="Deployment",deployment_raw[[#This Row],[Column5]],1))/1048576,"")</f>
        <v/>
      </c>
      <c r="T330" s="59" t="str">
        <f>IF(ISNUMBER(deployment_raw[[#This Row],[Column8]]),IF(OR(deployment_raw[[#This Row],[Column5]] &lt;&gt; 0,$E$2 &lt;&gt; "Deployment"), MAX(V330, ($T$2 * IF($E$2="Deployment",deployment_raw[[#This Row],[Column5]],1))), 0),"")</f>
        <v/>
      </c>
      <c r="U330" s="50" t="str">
        <f>IF(ISNUMBER(deployment_raw[[#This Row],[Column9]]),IF(OR(deployment_raw[[#This Row],[Column5]] &lt;&gt; 0,$E$2&lt;&gt;"Deployment"), MAX(W330, ($U$2 * IF($E$2="Deployment",deployment_raw[[#This Row],[Column5]],1))), 0),"")</f>
        <v/>
      </c>
      <c r="V330" s="15" t="str">
        <f>IF(ISNUMBER(deployment_raw[[#This Row],[Column12]]), (deployment_raw[[#This Row],[Column12]] * IF($E$2="Deployment",deployment_raw[[#This Row],[Column5]],1)*(1+$V$2)),"")</f>
        <v/>
      </c>
      <c r="W330" s="14" t="str">
        <f>IF(ISNUMBER(deployment_raw[[#This Row],[Column13]]), (deployment_raw[[#This Row],[Column13]] * IF($E$2="Deployment",deployment_raw[[#This Row],[Column5]],1)*(1+$W$2))/1048576,"")</f>
        <v/>
      </c>
    </row>
    <row r="331" spans="1:23" ht="15.75" customHeight="1" x14ac:dyDescent="0.25">
      <c r="A331" s="5" t="str">
        <f>IF(ISNONTEXT(deployment_raw[[#This Row],[Column1]]), "", deployment_raw[[#This Row],[Column1]])</f>
        <v/>
      </c>
      <c r="B331" s="6" t="str">
        <f>IF(ISNONTEXT(deployment_raw[[#This Row],[Column2]]), "", deployment_raw[[#This Row],[Column2]])</f>
        <v/>
      </c>
      <c r="C331" s="6" t="str">
        <f>IF(ISNONTEXT(deployment_raw[[#This Row],[Column3]]), "", deployment_raw[[#This Row],[Column3]])</f>
        <v/>
      </c>
      <c r="D331" s="6" t="str">
        <f>IF(ISNONTEXT(deployment_raw[[#This Row],[Column4]]), "", deployment_raw[[#This Row],[Column4]])</f>
        <v/>
      </c>
      <c r="E331" s="7" t="str">
        <f>IF(ISNUMBER(deployment_raw[[#This Row],[Column5]]), deployment_raw[[#This Row],[Column5]],"")</f>
        <v/>
      </c>
      <c r="F331" s="32" t="str">
        <f>IF(ISNUMBER(deployment_raw[[#This Row],[Column17]]), deployment_raw[[#This Row],[Column17]]/IF(OR($E$2="Deployment",deployment_raw[[#This Row],[Column5]]=0),1,deployment_raw[[#This Row],[Column5]]),"")</f>
        <v/>
      </c>
      <c r="G331" s="42" t="str">
        <f>IF(ISNUMBER(deployment_raw[[#This Row],[Column14]]), deployment_raw[[#This Row],[Column14]]/IF(OR($E$2="Deployment",deployment_raw[[#This Row],[Column5]]=0),1,deployment_raw[[#This Row],[Column5]]),"")</f>
        <v/>
      </c>
      <c r="H331" s="79" t="str">
        <f>IF(ISNUMBER(deployment_raw[[#This Row],[Column19]]), IF(I331&lt;&gt;0,(deployment_raw[[#This Row],[Column19]]/IF(OR($E$2="Deployment",deployment_raw[[#This Row],[Column5]]=0),1,deployment_raw[[#This Row],[Column5]]))/I331,0),"")</f>
        <v/>
      </c>
      <c r="I331" s="69" t="str">
        <f>IF(ISNUMBER(deployment_raw[[#This Row],[Column6]]), (deployment_raw[[#This Row],[Column6]] * IF($E$2="Deployment",deployment_raw[[#This Row],[Column5]],1)),"")</f>
        <v/>
      </c>
      <c r="J331" s="79" t="str">
        <f>IF(ISNUMBER(deployment_raw[[#This Row],[Column19]]), IF(K331&lt;&gt;0,(deployment_raw[[#This Row],[Column19]]/IF(OR($E$2="Deployment",deployment_raw[[#This Row],[Column5]]=0),1,deployment_raw[[#This Row],[Column5]]))/K331,0),"")</f>
        <v/>
      </c>
      <c r="K331" s="72" t="str">
        <f>IF(ISNUMBER(deployment_raw[[#This Row],[Column8]]), (deployment_raw[[#This Row],[Column8]]  * IF($E$2="Deployment",deployment_raw[[#This Row],[Column5]],1)),"")</f>
        <v/>
      </c>
      <c r="L33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3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31" s="81" t="str">
        <f>IF(ISNUMBER(deployment_raw[[#This Row],[Column20]]), IF(O331&lt;&gt;0,deployment_raw[[#This Row],[Column20]]/IF(OR($E$2="Deployment",deployment_raw[[#This Row],[Column5]]=0),1,deployment_raw[[#This Row],[Column5]])/1048576/O331,0),"")</f>
        <v/>
      </c>
      <c r="O331" s="74" t="str">
        <f>IF(ISNUMBER(deployment_raw[[#This Row],[Column7]]), (deployment_raw[[#This Row],[Column7]] * IF($E$2="Deployment",deployment_raw[[#This Row],[Column5]],1))/1048576,"")</f>
        <v/>
      </c>
      <c r="P331" s="81" t="str">
        <f>IF(ISNUMBER(deployment_raw[[#This Row],[Column20]]), IF(Q331&lt;&gt;0,deployment_raw[[#This Row],[Column20]]/IF(OR($E$2="Deployment",deployment_raw[[#This Row],[Column5]]=0),1,deployment_raw[[#This Row],[Column5]])/1048576/Q331,0),"")</f>
        <v/>
      </c>
      <c r="Q331" s="76" t="str">
        <f>IF(ISNUMBER(deployment_raw[[#This Row],[Column9]]), (deployment_raw[[#This Row],[Column9]] * IF($E$2="Deployment",deployment_raw[[#This Row],[Column5]],1))/1048576,"")</f>
        <v/>
      </c>
      <c r="R331" s="57" t="str">
        <f>IF(ISNUMBER(deployment_raw[[#This Row],[Column10]]), (deployment_raw[[#This Row],[Column10]] * IF($E$2="Deployment",deployment_raw[[#This Row],[Column5]],1)),"")</f>
        <v/>
      </c>
      <c r="S331" s="48" t="str">
        <f>IF(ISNUMBER(deployment_raw[[#This Row],[Column11]]), (deployment_raw[[#This Row],[Column11]] * IF($E$2="Deployment",deployment_raw[[#This Row],[Column5]],1))/1048576,"")</f>
        <v/>
      </c>
      <c r="T331" s="59" t="str">
        <f>IF(ISNUMBER(deployment_raw[[#This Row],[Column8]]),IF(OR(deployment_raw[[#This Row],[Column5]] &lt;&gt; 0,$E$2 &lt;&gt; "Deployment"), MAX(V331, ($T$2 * IF($E$2="Deployment",deployment_raw[[#This Row],[Column5]],1))), 0),"")</f>
        <v/>
      </c>
      <c r="U331" s="50" t="str">
        <f>IF(ISNUMBER(deployment_raw[[#This Row],[Column9]]),IF(OR(deployment_raw[[#This Row],[Column5]] &lt;&gt; 0,$E$2&lt;&gt;"Deployment"), MAX(W331, ($U$2 * IF($E$2="Deployment",deployment_raw[[#This Row],[Column5]],1))), 0),"")</f>
        <v/>
      </c>
      <c r="V331" s="15" t="str">
        <f>IF(ISNUMBER(deployment_raw[[#This Row],[Column12]]), (deployment_raw[[#This Row],[Column12]] * IF($E$2="Deployment",deployment_raw[[#This Row],[Column5]],1)*(1+$V$2)),"")</f>
        <v/>
      </c>
      <c r="W331" s="14" t="str">
        <f>IF(ISNUMBER(deployment_raw[[#This Row],[Column13]]), (deployment_raw[[#This Row],[Column13]] * IF($E$2="Deployment",deployment_raw[[#This Row],[Column5]],1)*(1+$W$2))/1048576,"")</f>
        <v/>
      </c>
    </row>
    <row r="332" spans="1:23" ht="15.75" customHeight="1" x14ac:dyDescent="0.25">
      <c r="A332" s="5" t="str">
        <f>IF(ISNONTEXT(deployment_raw[[#This Row],[Column1]]), "", deployment_raw[[#This Row],[Column1]])</f>
        <v/>
      </c>
      <c r="B332" s="6" t="str">
        <f>IF(ISNONTEXT(deployment_raw[[#This Row],[Column2]]), "", deployment_raw[[#This Row],[Column2]])</f>
        <v/>
      </c>
      <c r="C332" s="6" t="str">
        <f>IF(ISNONTEXT(deployment_raw[[#This Row],[Column3]]), "", deployment_raw[[#This Row],[Column3]])</f>
        <v/>
      </c>
      <c r="D332" s="6" t="str">
        <f>IF(ISNONTEXT(deployment_raw[[#This Row],[Column4]]), "", deployment_raw[[#This Row],[Column4]])</f>
        <v/>
      </c>
      <c r="E332" s="7" t="str">
        <f>IF(ISNUMBER(deployment_raw[[#This Row],[Column5]]), deployment_raw[[#This Row],[Column5]],"")</f>
        <v/>
      </c>
      <c r="F332" s="32" t="str">
        <f>IF(ISNUMBER(deployment_raw[[#This Row],[Column17]]), deployment_raw[[#This Row],[Column17]]/IF(OR($E$2="Deployment",deployment_raw[[#This Row],[Column5]]=0),1,deployment_raw[[#This Row],[Column5]]),"")</f>
        <v/>
      </c>
      <c r="G332" s="42" t="str">
        <f>IF(ISNUMBER(deployment_raw[[#This Row],[Column14]]), deployment_raw[[#This Row],[Column14]]/IF(OR($E$2="Deployment",deployment_raw[[#This Row],[Column5]]=0),1,deployment_raw[[#This Row],[Column5]]),"")</f>
        <v/>
      </c>
      <c r="H332" s="79" t="str">
        <f>IF(ISNUMBER(deployment_raw[[#This Row],[Column19]]), IF(I332&lt;&gt;0,(deployment_raw[[#This Row],[Column19]]/IF(OR($E$2="Deployment",deployment_raw[[#This Row],[Column5]]=0),1,deployment_raw[[#This Row],[Column5]]))/I332,0),"")</f>
        <v/>
      </c>
      <c r="I332" s="69" t="str">
        <f>IF(ISNUMBER(deployment_raw[[#This Row],[Column6]]), (deployment_raw[[#This Row],[Column6]] * IF($E$2="Deployment",deployment_raw[[#This Row],[Column5]],1)),"")</f>
        <v/>
      </c>
      <c r="J332" s="79" t="str">
        <f>IF(ISNUMBER(deployment_raw[[#This Row],[Column19]]), IF(K332&lt;&gt;0,(deployment_raw[[#This Row],[Column19]]/IF(OR($E$2="Deployment",deployment_raw[[#This Row],[Column5]]=0),1,deployment_raw[[#This Row],[Column5]]))/K332,0),"")</f>
        <v/>
      </c>
      <c r="K332" s="72" t="str">
        <f>IF(ISNUMBER(deployment_raw[[#This Row],[Column8]]), (deployment_raw[[#This Row],[Column8]]  * IF($E$2="Deployment",deployment_raw[[#This Row],[Column5]],1)),"")</f>
        <v/>
      </c>
      <c r="L33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3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32" s="81" t="str">
        <f>IF(ISNUMBER(deployment_raw[[#This Row],[Column20]]), IF(O332&lt;&gt;0,deployment_raw[[#This Row],[Column20]]/IF(OR($E$2="Deployment",deployment_raw[[#This Row],[Column5]]=0),1,deployment_raw[[#This Row],[Column5]])/1048576/O332,0),"")</f>
        <v/>
      </c>
      <c r="O332" s="74" t="str">
        <f>IF(ISNUMBER(deployment_raw[[#This Row],[Column7]]), (deployment_raw[[#This Row],[Column7]] * IF($E$2="Deployment",deployment_raw[[#This Row],[Column5]],1))/1048576,"")</f>
        <v/>
      </c>
      <c r="P332" s="81" t="str">
        <f>IF(ISNUMBER(deployment_raw[[#This Row],[Column20]]), IF(Q332&lt;&gt;0,deployment_raw[[#This Row],[Column20]]/IF(OR($E$2="Deployment",deployment_raw[[#This Row],[Column5]]=0),1,deployment_raw[[#This Row],[Column5]])/1048576/Q332,0),"")</f>
        <v/>
      </c>
      <c r="Q332" s="76" t="str">
        <f>IF(ISNUMBER(deployment_raw[[#This Row],[Column9]]), (deployment_raw[[#This Row],[Column9]] * IF($E$2="Deployment",deployment_raw[[#This Row],[Column5]],1))/1048576,"")</f>
        <v/>
      </c>
      <c r="R332" s="57" t="str">
        <f>IF(ISNUMBER(deployment_raw[[#This Row],[Column10]]), (deployment_raw[[#This Row],[Column10]] * IF($E$2="Deployment",deployment_raw[[#This Row],[Column5]],1)),"")</f>
        <v/>
      </c>
      <c r="S332" s="48" t="str">
        <f>IF(ISNUMBER(deployment_raw[[#This Row],[Column11]]), (deployment_raw[[#This Row],[Column11]] * IF($E$2="Deployment",deployment_raw[[#This Row],[Column5]],1))/1048576,"")</f>
        <v/>
      </c>
      <c r="T332" s="59" t="str">
        <f>IF(ISNUMBER(deployment_raw[[#This Row],[Column8]]),IF(OR(deployment_raw[[#This Row],[Column5]] &lt;&gt; 0,$E$2 &lt;&gt; "Deployment"), MAX(V332, ($T$2 * IF($E$2="Deployment",deployment_raw[[#This Row],[Column5]],1))), 0),"")</f>
        <v/>
      </c>
      <c r="U332" s="50" t="str">
        <f>IF(ISNUMBER(deployment_raw[[#This Row],[Column9]]),IF(OR(deployment_raw[[#This Row],[Column5]] &lt;&gt; 0,$E$2&lt;&gt;"Deployment"), MAX(W332, ($U$2 * IF($E$2="Deployment",deployment_raw[[#This Row],[Column5]],1))), 0),"")</f>
        <v/>
      </c>
      <c r="V332" s="15" t="str">
        <f>IF(ISNUMBER(deployment_raw[[#This Row],[Column12]]), (deployment_raw[[#This Row],[Column12]] * IF($E$2="Deployment",deployment_raw[[#This Row],[Column5]],1)*(1+$V$2)),"")</f>
        <v/>
      </c>
      <c r="W332" s="14" t="str">
        <f>IF(ISNUMBER(deployment_raw[[#This Row],[Column13]]), (deployment_raw[[#This Row],[Column13]] * IF($E$2="Deployment",deployment_raw[[#This Row],[Column5]],1)*(1+$W$2))/1048576,"")</f>
        <v/>
      </c>
    </row>
    <row r="333" spans="1:23" ht="15.75" customHeight="1" x14ac:dyDescent="0.25">
      <c r="A333" s="5" t="str">
        <f>IF(ISNONTEXT(deployment_raw[[#This Row],[Column1]]), "", deployment_raw[[#This Row],[Column1]])</f>
        <v/>
      </c>
      <c r="B333" s="6" t="str">
        <f>IF(ISNONTEXT(deployment_raw[[#This Row],[Column2]]), "", deployment_raw[[#This Row],[Column2]])</f>
        <v/>
      </c>
      <c r="C333" s="6" t="str">
        <f>IF(ISNONTEXT(deployment_raw[[#This Row],[Column3]]), "", deployment_raw[[#This Row],[Column3]])</f>
        <v/>
      </c>
      <c r="D333" s="6" t="str">
        <f>IF(ISNONTEXT(deployment_raw[[#This Row],[Column4]]), "", deployment_raw[[#This Row],[Column4]])</f>
        <v/>
      </c>
      <c r="E333" s="7" t="str">
        <f>IF(ISNUMBER(deployment_raw[[#This Row],[Column5]]), deployment_raw[[#This Row],[Column5]],"")</f>
        <v/>
      </c>
      <c r="F333" s="32" t="str">
        <f>IF(ISNUMBER(deployment_raw[[#This Row],[Column17]]), deployment_raw[[#This Row],[Column17]]/IF(OR($E$2="Deployment",deployment_raw[[#This Row],[Column5]]=0),1,deployment_raw[[#This Row],[Column5]]),"")</f>
        <v/>
      </c>
      <c r="G333" s="42" t="str">
        <f>IF(ISNUMBER(deployment_raw[[#This Row],[Column14]]), deployment_raw[[#This Row],[Column14]]/IF(OR($E$2="Deployment",deployment_raw[[#This Row],[Column5]]=0),1,deployment_raw[[#This Row],[Column5]]),"")</f>
        <v/>
      </c>
      <c r="H333" s="79" t="str">
        <f>IF(ISNUMBER(deployment_raw[[#This Row],[Column19]]), IF(I333&lt;&gt;0,(deployment_raw[[#This Row],[Column19]]/IF(OR($E$2="Deployment",deployment_raw[[#This Row],[Column5]]=0),1,deployment_raw[[#This Row],[Column5]]))/I333,0),"")</f>
        <v/>
      </c>
      <c r="I333" s="69" t="str">
        <f>IF(ISNUMBER(deployment_raw[[#This Row],[Column6]]), (deployment_raw[[#This Row],[Column6]] * IF($E$2="Deployment",deployment_raw[[#This Row],[Column5]],1)),"")</f>
        <v/>
      </c>
      <c r="J333" s="79" t="str">
        <f>IF(ISNUMBER(deployment_raw[[#This Row],[Column19]]), IF(K333&lt;&gt;0,(deployment_raw[[#This Row],[Column19]]/IF(OR($E$2="Deployment",deployment_raw[[#This Row],[Column5]]=0),1,deployment_raw[[#This Row],[Column5]]))/K333,0),"")</f>
        <v/>
      </c>
      <c r="K333" s="72" t="str">
        <f>IF(ISNUMBER(deployment_raw[[#This Row],[Column8]]), (deployment_raw[[#This Row],[Column8]]  * IF($E$2="Deployment",deployment_raw[[#This Row],[Column5]],1)),"")</f>
        <v/>
      </c>
      <c r="L33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3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33" s="81" t="str">
        <f>IF(ISNUMBER(deployment_raw[[#This Row],[Column20]]), IF(O333&lt;&gt;0,deployment_raw[[#This Row],[Column20]]/IF(OR($E$2="Deployment",deployment_raw[[#This Row],[Column5]]=0),1,deployment_raw[[#This Row],[Column5]])/1048576/O333,0),"")</f>
        <v/>
      </c>
      <c r="O333" s="74" t="str">
        <f>IF(ISNUMBER(deployment_raw[[#This Row],[Column7]]), (deployment_raw[[#This Row],[Column7]] * IF($E$2="Deployment",deployment_raw[[#This Row],[Column5]],1))/1048576,"")</f>
        <v/>
      </c>
      <c r="P333" s="81" t="str">
        <f>IF(ISNUMBER(deployment_raw[[#This Row],[Column20]]), IF(Q333&lt;&gt;0,deployment_raw[[#This Row],[Column20]]/IF(OR($E$2="Deployment",deployment_raw[[#This Row],[Column5]]=0),1,deployment_raw[[#This Row],[Column5]])/1048576/Q333,0),"")</f>
        <v/>
      </c>
      <c r="Q333" s="76" t="str">
        <f>IF(ISNUMBER(deployment_raw[[#This Row],[Column9]]), (deployment_raw[[#This Row],[Column9]] * IF($E$2="Deployment",deployment_raw[[#This Row],[Column5]],1))/1048576,"")</f>
        <v/>
      </c>
      <c r="R333" s="57" t="str">
        <f>IF(ISNUMBER(deployment_raw[[#This Row],[Column10]]), (deployment_raw[[#This Row],[Column10]] * IF($E$2="Deployment",deployment_raw[[#This Row],[Column5]],1)),"")</f>
        <v/>
      </c>
      <c r="S333" s="48" t="str">
        <f>IF(ISNUMBER(deployment_raw[[#This Row],[Column11]]), (deployment_raw[[#This Row],[Column11]] * IF($E$2="Deployment",deployment_raw[[#This Row],[Column5]],1))/1048576,"")</f>
        <v/>
      </c>
      <c r="T333" s="59" t="str">
        <f>IF(ISNUMBER(deployment_raw[[#This Row],[Column8]]),IF(OR(deployment_raw[[#This Row],[Column5]] &lt;&gt; 0,$E$2 &lt;&gt; "Deployment"), MAX(V333, ($T$2 * IF($E$2="Deployment",deployment_raw[[#This Row],[Column5]],1))), 0),"")</f>
        <v/>
      </c>
      <c r="U333" s="50" t="str">
        <f>IF(ISNUMBER(deployment_raw[[#This Row],[Column9]]),IF(OR(deployment_raw[[#This Row],[Column5]] &lt;&gt; 0,$E$2&lt;&gt;"Deployment"), MAX(W333, ($U$2 * IF($E$2="Deployment",deployment_raw[[#This Row],[Column5]],1))), 0),"")</f>
        <v/>
      </c>
      <c r="V333" s="15" t="str">
        <f>IF(ISNUMBER(deployment_raw[[#This Row],[Column12]]), (deployment_raw[[#This Row],[Column12]] * IF($E$2="Deployment",deployment_raw[[#This Row],[Column5]],1)*(1+$V$2)),"")</f>
        <v/>
      </c>
      <c r="W333" s="14" t="str">
        <f>IF(ISNUMBER(deployment_raw[[#This Row],[Column13]]), (deployment_raw[[#This Row],[Column13]] * IF($E$2="Deployment",deployment_raw[[#This Row],[Column5]],1)*(1+$W$2))/1048576,"")</f>
        <v/>
      </c>
    </row>
    <row r="334" spans="1:23" ht="15.75" customHeight="1" x14ac:dyDescent="0.25">
      <c r="A334" s="5" t="str">
        <f>IF(ISNONTEXT(deployment_raw[[#This Row],[Column1]]), "", deployment_raw[[#This Row],[Column1]])</f>
        <v/>
      </c>
      <c r="B334" s="6" t="str">
        <f>IF(ISNONTEXT(deployment_raw[[#This Row],[Column2]]), "", deployment_raw[[#This Row],[Column2]])</f>
        <v/>
      </c>
      <c r="C334" s="6" t="str">
        <f>IF(ISNONTEXT(deployment_raw[[#This Row],[Column3]]), "", deployment_raw[[#This Row],[Column3]])</f>
        <v/>
      </c>
      <c r="D334" s="6" t="str">
        <f>IF(ISNONTEXT(deployment_raw[[#This Row],[Column4]]), "", deployment_raw[[#This Row],[Column4]])</f>
        <v/>
      </c>
      <c r="E334" s="7" t="str">
        <f>IF(ISNUMBER(deployment_raw[[#This Row],[Column5]]), deployment_raw[[#This Row],[Column5]],"")</f>
        <v/>
      </c>
      <c r="F334" s="32" t="str">
        <f>IF(ISNUMBER(deployment_raw[[#This Row],[Column17]]), deployment_raw[[#This Row],[Column17]]/IF(OR($E$2="Deployment",deployment_raw[[#This Row],[Column5]]=0),1,deployment_raw[[#This Row],[Column5]]),"")</f>
        <v/>
      </c>
      <c r="G334" s="42" t="str">
        <f>IF(ISNUMBER(deployment_raw[[#This Row],[Column14]]), deployment_raw[[#This Row],[Column14]]/IF(OR($E$2="Deployment",deployment_raw[[#This Row],[Column5]]=0),1,deployment_raw[[#This Row],[Column5]]),"")</f>
        <v/>
      </c>
      <c r="H334" s="79" t="str">
        <f>IF(ISNUMBER(deployment_raw[[#This Row],[Column19]]), IF(I334&lt;&gt;0,(deployment_raw[[#This Row],[Column19]]/IF(OR($E$2="Deployment",deployment_raw[[#This Row],[Column5]]=0),1,deployment_raw[[#This Row],[Column5]]))/I334,0),"")</f>
        <v/>
      </c>
      <c r="I334" s="69" t="str">
        <f>IF(ISNUMBER(deployment_raw[[#This Row],[Column6]]), (deployment_raw[[#This Row],[Column6]] * IF($E$2="Deployment",deployment_raw[[#This Row],[Column5]],1)),"")</f>
        <v/>
      </c>
      <c r="J334" s="79" t="str">
        <f>IF(ISNUMBER(deployment_raw[[#This Row],[Column19]]), IF(K334&lt;&gt;0,(deployment_raw[[#This Row],[Column19]]/IF(OR($E$2="Deployment",deployment_raw[[#This Row],[Column5]]=0),1,deployment_raw[[#This Row],[Column5]]))/K334,0),"")</f>
        <v/>
      </c>
      <c r="K334" s="72" t="str">
        <f>IF(ISNUMBER(deployment_raw[[#This Row],[Column8]]), (deployment_raw[[#This Row],[Column8]]  * IF($E$2="Deployment",deployment_raw[[#This Row],[Column5]],1)),"")</f>
        <v/>
      </c>
      <c r="L33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3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34" s="81" t="str">
        <f>IF(ISNUMBER(deployment_raw[[#This Row],[Column20]]), IF(O334&lt;&gt;0,deployment_raw[[#This Row],[Column20]]/IF(OR($E$2="Deployment",deployment_raw[[#This Row],[Column5]]=0),1,deployment_raw[[#This Row],[Column5]])/1048576/O334,0),"")</f>
        <v/>
      </c>
      <c r="O334" s="74" t="str">
        <f>IF(ISNUMBER(deployment_raw[[#This Row],[Column7]]), (deployment_raw[[#This Row],[Column7]] * IF($E$2="Deployment",deployment_raw[[#This Row],[Column5]],1))/1048576,"")</f>
        <v/>
      </c>
      <c r="P334" s="81" t="str">
        <f>IF(ISNUMBER(deployment_raw[[#This Row],[Column20]]), IF(Q334&lt;&gt;0,deployment_raw[[#This Row],[Column20]]/IF(OR($E$2="Deployment",deployment_raw[[#This Row],[Column5]]=0),1,deployment_raw[[#This Row],[Column5]])/1048576/Q334,0),"")</f>
        <v/>
      </c>
      <c r="Q334" s="76" t="str">
        <f>IF(ISNUMBER(deployment_raw[[#This Row],[Column9]]), (deployment_raw[[#This Row],[Column9]] * IF($E$2="Deployment",deployment_raw[[#This Row],[Column5]],1))/1048576,"")</f>
        <v/>
      </c>
      <c r="R334" s="57" t="str">
        <f>IF(ISNUMBER(deployment_raw[[#This Row],[Column10]]), (deployment_raw[[#This Row],[Column10]] * IF($E$2="Deployment",deployment_raw[[#This Row],[Column5]],1)),"")</f>
        <v/>
      </c>
      <c r="S334" s="48" t="str">
        <f>IF(ISNUMBER(deployment_raw[[#This Row],[Column11]]), (deployment_raw[[#This Row],[Column11]] * IF($E$2="Deployment",deployment_raw[[#This Row],[Column5]],1))/1048576,"")</f>
        <v/>
      </c>
      <c r="T334" s="59" t="str">
        <f>IF(ISNUMBER(deployment_raw[[#This Row],[Column8]]),IF(OR(deployment_raw[[#This Row],[Column5]] &lt;&gt; 0,$E$2 &lt;&gt; "Deployment"), MAX(V334, ($T$2 * IF($E$2="Deployment",deployment_raw[[#This Row],[Column5]],1))), 0),"")</f>
        <v/>
      </c>
      <c r="U334" s="50" t="str">
        <f>IF(ISNUMBER(deployment_raw[[#This Row],[Column9]]),IF(OR(deployment_raw[[#This Row],[Column5]] &lt;&gt; 0,$E$2&lt;&gt;"Deployment"), MAX(W334, ($U$2 * IF($E$2="Deployment",deployment_raw[[#This Row],[Column5]],1))), 0),"")</f>
        <v/>
      </c>
      <c r="V334" s="15" t="str">
        <f>IF(ISNUMBER(deployment_raw[[#This Row],[Column12]]), (deployment_raw[[#This Row],[Column12]] * IF($E$2="Deployment",deployment_raw[[#This Row],[Column5]],1)*(1+$V$2)),"")</f>
        <v/>
      </c>
      <c r="W334" s="14" t="str">
        <f>IF(ISNUMBER(deployment_raw[[#This Row],[Column13]]), (deployment_raw[[#This Row],[Column13]] * IF($E$2="Deployment",deployment_raw[[#This Row],[Column5]],1)*(1+$W$2))/1048576,"")</f>
        <v/>
      </c>
    </row>
    <row r="335" spans="1:23" ht="15.75" customHeight="1" x14ac:dyDescent="0.25">
      <c r="A335" s="5" t="str">
        <f>IF(ISNONTEXT(deployment_raw[[#This Row],[Column1]]), "", deployment_raw[[#This Row],[Column1]])</f>
        <v/>
      </c>
      <c r="B335" s="6" t="str">
        <f>IF(ISNONTEXT(deployment_raw[[#This Row],[Column2]]), "", deployment_raw[[#This Row],[Column2]])</f>
        <v/>
      </c>
      <c r="C335" s="6" t="str">
        <f>IF(ISNONTEXT(deployment_raw[[#This Row],[Column3]]), "", deployment_raw[[#This Row],[Column3]])</f>
        <v/>
      </c>
      <c r="D335" s="6" t="str">
        <f>IF(ISNONTEXT(deployment_raw[[#This Row],[Column4]]), "", deployment_raw[[#This Row],[Column4]])</f>
        <v/>
      </c>
      <c r="E335" s="7" t="str">
        <f>IF(ISNUMBER(deployment_raw[[#This Row],[Column5]]), deployment_raw[[#This Row],[Column5]],"")</f>
        <v/>
      </c>
      <c r="F335" s="32" t="str">
        <f>IF(ISNUMBER(deployment_raw[[#This Row],[Column17]]), deployment_raw[[#This Row],[Column17]]/IF(OR($E$2="Deployment",deployment_raw[[#This Row],[Column5]]=0),1,deployment_raw[[#This Row],[Column5]]),"")</f>
        <v/>
      </c>
      <c r="G335" s="42" t="str">
        <f>IF(ISNUMBER(deployment_raw[[#This Row],[Column14]]), deployment_raw[[#This Row],[Column14]]/IF(OR($E$2="Deployment",deployment_raw[[#This Row],[Column5]]=0),1,deployment_raw[[#This Row],[Column5]]),"")</f>
        <v/>
      </c>
      <c r="H335" s="79" t="str">
        <f>IF(ISNUMBER(deployment_raw[[#This Row],[Column19]]), IF(I335&lt;&gt;0,(deployment_raw[[#This Row],[Column19]]/IF(OR($E$2="Deployment",deployment_raw[[#This Row],[Column5]]=0),1,deployment_raw[[#This Row],[Column5]]))/I335,0),"")</f>
        <v/>
      </c>
      <c r="I335" s="69" t="str">
        <f>IF(ISNUMBER(deployment_raw[[#This Row],[Column6]]), (deployment_raw[[#This Row],[Column6]] * IF($E$2="Deployment",deployment_raw[[#This Row],[Column5]],1)),"")</f>
        <v/>
      </c>
      <c r="J335" s="79" t="str">
        <f>IF(ISNUMBER(deployment_raw[[#This Row],[Column19]]), IF(K335&lt;&gt;0,(deployment_raw[[#This Row],[Column19]]/IF(OR($E$2="Deployment",deployment_raw[[#This Row],[Column5]]=0),1,deployment_raw[[#This Row],[Column5]]))/K335,0),"")</f>
        <v/>
      </c>
      <c r="K335" s="72" t="str">
        <f>IF(ISNUMBER(deployment_raw[[#This Row],[Column8]]), (deployment_raw[[#This Row],[Column8]]  * IF($E$2="Deployment",deployment_raw[[#This Row],[Column5]],1)),"")</f>
        <v/>
      </c>
      <c r="L33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3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35" s="81" t="str">
        <f>IF(ISNUMBER(deployment_raw[[#This Row],[Column20]]), IF(O335&lt;&gt;0,deployment_raw[[#This Row],[Column20]]/IF(OR($E$2="Deployment",deployment_raw[[#This Row],[Column5]]=0),1,deployment_raw[[#This Row],[Column5]])/1048576/O335,0),"")</f>
        <v/>
      </c>
      <c r="O335" s="74" t="str">
        <f>IF(ISNUMBER(deployment_raw[[#This Row],[Column7]]), (deployment_raw[[#This Row],[Column7]] * IF($E$2="Deployment",deployment_raw[[#This Row],[Column5]],1))/1048576,"")</f>
        <v/>
      </c>
      <c r="P335" s="81" t="str">
        <f>IF(ISNUMBER(deployment_raw[[#This Row],[Column20]]), IF(Q335&lt;&gt;0,deployment_raw[[#This Row],[Column20]]/IF(OR($E$2="Deployment",deployment_raw[[#This Row],[Column5]]=0),1,deployment_raw[[#This Row],[Column5]])/1048576/Q335,0),"")</f>
        <v/>
      </c>
      <c r="Q335" s="76" t="str">
        <f>IF(ISNUMBER(deployment_raw[[#This Row],[Column9]]), (deployment_raw[[#This Row],[Column9]] * IF($E$2="Deployment",deployment_raw[[#This Row],[Column5]],1))/1048576,"")</f>
        <v/>
      </c>
      <c r="R335" s="57" t="str">
        <f>IF(ISNUMBER(deployment_raw[[#This Row],[Column10]]), (deployment_raw[[#This Row],[Column10]] * IF($E$2="Deployment",deployment_raw[[#This Row],[Column5]],1)),"")</f>
        <v/>
      </c>
      <c r="S335" s="48" t="str">
        <f>IF(ISNUMBER(deployment_raw[[#This Row],[Column11]]), (deployment_raw[[#This Row],[Column11]] * IF($E$2="Deployment",deployment_raw[[#This Row],[Column5]],1))/1048576,"")</f>
        <v/>
      </c>
      <c r="T335" s="59" t="str">
        <f>IF(ISNUMBER(deployment_raw[[#This Row],[Column8]]),IF(OR(deployment_raw[[#This Row],[Column5]] &lt;&gt; 0,$E$2 &lt;&gt; "Deployment"), MAX(V335, ($T$2 * IF($E$2="Deployment",deployment_raw[[#This Row],[Column5]],1))), 0),"")</f>
        <v/>
      </c>
      <c r="U335" s="50" t="str">
        <f>IF(ISNUMBER(deployment_raw[[#This Row],[Column9]]),IF(OR(deployment_raw[[#This Row],[Column5]] &lt;&gt; 0,$E$2&lt;&gt;"Deployment"), MAX(W335, ($U$2 * IF($E$2="Deployment",deployment_raw[[#This Row],[Column5]],1))), 0),"")</f>
        <v/>
      </c>
      <c r="V335" s="15" t="str">
        <f>IF(ISNUMBER(deployment_raw[[#This Row],[Column12]]), (deployment_raw[[#This Row],[Column12]] * IF($E$2="Deployment",deployment_raw[[#This Row],[Column5]],1)*(1+$V$2)),"")</f>
        <v/>
      </c>
      <c r="W335" s="14" t="str">
        <f>IF(ISNUMBER(deployment_raw[[#This Row],[Column13]]), (deployment_raw[[#This Row],[Column13]] * IF($E$2="Deployment",deployment_raw[[#This Row],[Column5]],1)*(1+$W$2))/1048576,"")</f>
        <v/>
      </c>
    </row>
    <row r="336" spans="1:23" ht="15.75" customHeight="1" x14ac:dyDescent="0.25">
      <c r="A336" s="5" t="str">
        <f>IF(ISNONTEXT(deployment_raw[[#This Row],[Column1]]), "", deployment_raw[[#This Row],[Column1]])</f>
        <v/>
      </c>
      <c r="B336" s="6" t="str">
        <f>IF(ISNONTEXT(deployment_raw[[#This Row],[Column2]]), "", deployment_raw[[#This Row],[Column2]])</f>
        <v/>
      </c>
      <c r="C336" s="6" t="str">
        <f>IF(ISNONTEXT(deployment_raw[[#This Row],[Column3]]), "", deployment_raw[[#This Row],[Column3]])</f>
        <v/>
      </c>
      <c r="D336" s="6" t="str">
        <f>IF(ISNONTEXT(deployment_raw[[#This Row],[Column4]]), "", deployment_raw[[#This Row],[Column4]])</f>
        <v/>
      </c>
      <c r="E336" s="7" t="str">
        <f>IF(ISNUMBER(deployment_raw[[#This Row],[Column5]]), deployment_raw[[#This Row],[Column5]],"")</f>
        <v/>
      </c>
      <c r="F336" s="32" t="str">
        <f>IF(ISNUMBER(deployment_raw[[#This Row],[Column17]]), deployment_raw[[#This Row],[Column17]]/IF(OR($E$2="Deployment",deployment_raw[[#This Row],[Column5]]=0),1,deployment_raw[[#This Row],[Column5]]),"")</f>
        <v/>
      </c>
      <c r="G336" s="42" t="str">
        <f>IF(ISNUMBER(deployment_raw[[#This Row],[Column14]]), deployment_raw[[#This Row],[Column14]]/IF(OR($E$2="Deployment",deployment_raw[[#This Row],[Column5]]=0),1,deployment_raw[[#This Row],[Column5]]),"")</f>
        <v/>
      </c>
      <c r="H336" s="79" t="str">
        <f>IF(ISNUMBER(deployment_raw[[#This Row],[Column19]]), IF(I336&lt;&gt;0,(deployment_raw[[#This Row],[Column19]]/IF(OR($E$2="Deployment",deployment_raw[[#This Row],[Column5]]=0),1,deployment_raw[[#This Row],[Column5]]))/I336,0),"")</f>
        <v/>
      </c>
      <c r="I336" s="69" t="str">
        <f>IF(ISNUMBER(deployment_raw[[#This Row],[Column6]]), (deployment_raw[[#This Row],[Column6]] * IF($E$2="Deployment",deployment_raw[[#This Row],[Column5]],1)),"")</f>
        <v/>
      </c>
      <c r="J336" s="79" t="str">
        <f>IF(ISNUMBER(deployment_raw[[#This Row],[Column19]]), IF(K336&lt;&gt;0,(deployment_raw[[#This Row],[Column19]]/IF(OR($E$2="Deployment",deployment_raw[[#This Row],[Column5]]=0),1,deployment_raw[[#This Row],[Column5]]))/K336,0),"")</f>
        <v/>
      </c>
      <c r="K336" s="72" t="str">
        <f>IF(ISNUMBER(deployment_raw[[#This Row],[Column8]]), (deployment_raw[[#This Row],[Column8]]  * IF($E$2="Deployment",deployment_raw[[#This Row],[Column5]],1)),"")</f>
        <v/>
      </c>
      <c r="L33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3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36" s="81" t="str">
        <f>IF(ISNUMBER(deployment_raw[[#This Row],[Column20]]), IF(O336&lt;&gt;0,deployment_raw[[#This Row],[Column20]]/IF(OR($E$2="Deployment",deployment_raw[[#This Row],[Column5]]=0),1,deployment_raw[[#This Row],[Column5]])/1048576/O336,0),"")</f>
        <v/>
      </c>
      <c r="O336" s="74" t="str">
        <f>IF(ISNUMBER(deployment_raw[[#This Row],[Column7]]), (deployment_raw[[#This Row],[Column7]] * IF($E$2="Deployment",deployment_raw[[#This Row],[Column5]],1))/1048576,"")</f>
        <v/>
      </c>
      <c r="P336" s="81" t="str">
        <f>IF(ISNUMBER(deployment_raw[[#This Row],[Column20]]), IF(Q336&lt;&gt;0,deployment_raw[[#This Row],[Column20]]/IF(OR($E$2="Deployment",deployment_raw[[#This Row],[Column5]]=0),1,deployment_raw[[#This Row],[Column5]])/1048576/Q336,0),"")</f>
        <v/>
      </c>
      <c r="Q336" s="76" t="str">
        <f>IF(ISNUMBER(deployment_raw[[#This Row],[Column9]]), (deployment_raw[[#This Row],[Column9]] * IF($E$2="Deployment",deployment_raw[[#This Row],[Column5]],1))/1048576,"")</f>
        <v/>
      </c>
      <c r="R336" s="57" t="str">
        <f>IF(ISNUMBER(deployment_raw[[#This Row],[Column10]]), (deployment_raw[[#This Row],[Column10]] * IF($E$2="Deployment",deployment_raw[[#This Row],[Column5]],1)),"")</f>
        <v/>
      </c>
      <c r="S336" s="48" t="str">
        <f>IF(ISNUMBER(deployment_raw[[#This Row],[Column11]]), (deployment_raw[[#This Row],[Column11]] * IF($E$2="Deployment",deployment_raw[[#This Row],[Column5]],1))/1048576,"")</f>
        <v/>
      </c>
      <c r="T336" s="59" t="str">
        <f>IF(ISNUMBER(deployment_raw[[#This Row],[Column8]]),IF(OR(deployment_raw[[#This Row],[Column5]] &lt;&gt; 0,$E$2 &lt;&gt; "Deployment"), MAX(V336, ($T$2 * IF($E$2="Deployment",deployment_raw[[#This Row],[Column5]],1))), 0),"")</f>
        <v/>
      </c>
      <c r="U336" s="50" t="str">
        <f>IF(ISNUMBER(deployment_raw[[#This Row],[Column9]]),IF(OR(deployment_raw[[#This Row],[Column5]] &lt;&gt; 0,$E$2&lt;&gt;"Deployment"), MAX(W336, ($U$2 * IF($E$2="Deployment",deployment_raw[[#This Row],[Column5]],1))), 0),"")</f>
        <v/>
      </c>
      <c r="V336" s="15" t="str">
        <f>IF(ISNUMBER(deployment_raw[[#This Row],[Column12]]), (deployment_raw[[#This Row],[Column12]] * IF($E$2="Deployment",deployment_raw[[#This Row],[Column5]],1)*(1+$V$2)),"")</f>
        <v/>
      </c>
      <c r="W336" s="14" t="str">
        <f>IF(ISNUMBER(deployment_raw[[#This Row],[Column13]]), (deployment_raw[[#This Row],[Column13]] * IF($E$2="Deployment",deployment_raw[[#This Row],[Column5]],1)*(1+$W$2))/1048576,"")</f>
        <v/>
      </c>
    </row>
    <row r="337" spans="1:23" ht="15.75" customHeight="1" x14ac:dyDescent="0.25">
      <c r="A337" s="5" t="str">
        <f>IF(ISNONTEXT(deployment_raw[[#This Row],[Column1]]), "", deployment_raw[[#This Row],[Column1]])</f>
        <v/>
      </c>
      <c r="B337" s="6" t="str">
        <f>IF(ISNONTEXT(deployment_raw[[#This Row],[Column2]]), "", deployment_raw[[#This Row],[Column2]])</f>
        <v/>
      </c>
      <c r="C337" s="6" t="str">
        <f>IF(ISNONTEXT(deployment_raw[[#This Row],[Column3]]), "", deployment_raw[[#This Row],[Column3]])</f>
        <v/>
      </c>
      <c r="D337" s="6" t="str">
        <f>IF(ISNONTEXT(deployment_raw[[#This Row],[Column4]]), "", deployment_raw[[#This Row],[Column4]])</f>
        <v/>
      </c>
      <c r="E337" s="7" t="str">
        <f>IF(ISNUMBER(deployment_raw[[#This Row],[Column5]]), deployment_raw[[#This Row],[Column5]],"")</f>
        <v/>
      </c>
      <c r="F337" s="32" t="str">
        <f>IF(ISNUMBER(deployment_raw[[#This Row],[Column17]]), deployment_raw[[#This Row],[Column17]]/IF(OR($E$2="Deployment",deployment_raw[[#This Row],[Column5]]=0),1,deployment_raw[[#This Row],[Column5]]),"")</f>
        <v/>
      </c>
      <c r="G337" s="42" t="str">
        <f>IF(ISNUMBER(deployment_raw[[#This Row],[Column14]]), deployment_raw[[#This Row],[Column14]]/IF(OR($E$2="Deployment",deployment_raw[[#This Row],[Column5]]=0),1,deployment_raw[[#This Row],[Column5]]),"")</f>
        <v/>
      </c>
      <c r="H337" s="79" t="str">
        <f>IF(ISNUMBER(deployment_raw[[#This Row],[Column19]]), IF(I337&lt;&gt;0,(deployment_raw[[#This Row],[Column19]]/IF(OR($E$2="Deployment",deployment_raw[[#This Row],[Column5]]=0),1,deployment_raw[[#This Row],[Column5]]))/I337,0),"")</f>
        <v/>
      </c>
      <c r="I337" s="69" t="str">
        <f>IF(ISNUMBER(deployment_raw[[#This Row],[Column6]]), (deployment_raw[[#This Row],[Column6]] * IF($E$2="Deployment",deployment_raw[[#This Row],[Column5]],1)),"")</f>
        <v/>
      </c>
      <c r="J337" s="79" t="str">
        <f>IF(ISNUMBER(deployment_raw[[#This Row],[Column19]]), IF(K337&lt;&gt;0,(deployment_raw[[#This Row],[Column19]]/IF(OR($E$2="Deployment",deployment_raw[[#This Row],[Column5]]=0),1,deployment_raw[[#This Row],[Column5]]))/K337,0),"")</f>
        <v/>
      </c>
      <c r="K337" s="72" t="str">
        <f>IF(ISNUMBER(deployment_raw[[#This Row],[Column8]]), (deployment_raw[[#This Row],[Column8]]  * IF($E$2="Deployment",deployment_raw[[#This Row],[Column5]],1)),"")</f>
        <v/>
      </c>
      <c r="L33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3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37" s="81" t="str">
        <f>IF(ISNUMBER(deployment_raw[[#This Row],[Column20]]), IF(O337&lt;&gt;0,deployment_raw[[#This Row],[Column20]]/IF(OR($E$2="Deployment",deployment_raw[[#This Row],[Column5]]=0),1,deployment_raw[[#This Row],[Column5]])/1048576/O337,0),"")</f>
        <v/>
      </c>
      <c r="O337" s="74" t="str">
        <f>IF(ISNUMBER(deployment_raw[[#This Row],[Column7]]), (deployment_raw[[#This Row],[Column7]] * IF($E$2="Deployment",deployment_raw[[#This Row],[Column5]],1))/1048576,"")</f>
        <v/>
      </c>
      <c r="P337" s="81" t="str">
        <f>IF(ISNUMBER(deployment_raw[[#This Row],[Column20]]), IF(Q337&lt;&gt;0,deployment_raw[[#This Row],[Column20]]/IF(OR($E$2="Deployment",deployment_raw[[#This Row],[Column5]]=0),1,deployment_raw[[#This Row],[Column5]])/1048576/Q337,0),"")</f>
        <v/>
      </c>
      <c r="Q337" s="76" t="str">
        <f>IF(ISNUMBER(deployment_raw[[#This Row],[Column9]]), (deployment_raw[[#This Row],[Column9]] * IF($E$2="Deployment",deployment_raw[[#This Row],[Column5]],1))/1048576,"")</f>
        <v/>
      </c>
      <c r="R337" s="57" t="str">
        <f>IF(ISNUMBER(deployment_raw[[#This Row],[Column10]]), (deployment_raw[[#This Row],[Column10]] * IF($E$2="Deployment",deployment_raw[[#This Row],[Column5]],1)),"")</f>
        <v/>
      </c>
      <c r="S337" s="48" t="str">
        <f>IF(ISNUMBER(deployment_raw[[#This Row],[Column11]]), (deployment_raw[[#This Row],[Column11]] * IF($E$2="Deployment",deployment_raw[[#This Row],[Column5]],1))/1048576,"")</f>
        <v/>
      </c>
      <c r="T337" s="59" t="str">
        <f>IF(ISNUMBER(deployment_raw[[#This Row],[Column8]]),IF(OR(deployment_raw[[#This Row],[Column5]] &lt;&gt; 0,$E$2 &lt;&gt; "Deployment"), MAX(V337, ($T$2 * IF($E$2="Deployment",deployment_raw[[#This Row],[Column5]],1))), 0),"")</f>
        <v/>
      </c>
      <c r="U337" s="50" t="str">
        <f>IF(ISNUMBER(deployment_raw[[#This Row],[Column9]]),IF(OR(deployment_raw[[#This Row],[Column5]] &lt;&gt; 0,$E$2&lt;&gt;"Deployment"), MAX(W337, ($U$2 * IF($E$2="Deployment",deployment_raw[[#This Row],[Column5]],1))), 0),"")</f>
        <v/>
      </c>
      <c r="V337" s="15" t="str">
        <f>IF(ISNUMBER(deployment_raw[[#This Row],[Column12]]), (deployment_raw[[#This Row],[Column12]] * IF($E$2="Deployment",deployment_raw[[#This Row],[Column5]],1)*(1+$V$2)),"")</f>
        <v/>
      </c>
      <c r="W337" s="14" t="str">
        <f>IF(ISNUMBER(deployment_raw[[#This Row],[Column13]]), (deployment_raw[[#This Row],[Column13]] * IF($E$2="Deployment",deployment_raw[[#This Row],[Column5]],1)*(1+$W$2))/1048576,"")</f>
        <v/>
      </c>
    </row>
    <row r="338" spans="1:23" ht="15.75" customHeight="1" x14ac:dyDescent="0.25">
      <c r="A338" s="5" t="str">
        <f>IF(ISNONTEXT(deployment_raw[[#This Row],[Column1]]), "", deployment_raw[[#This Row],[Column1]])</f>
        <v/>
      </c>
      <c r="B338" s="6" t="str">
        <f>IF(ISNONTEXT(deployment_raw[[#This Row],[Column2]]), "", deployment_raw[[#This Row],[Column2]])</f>
        <v/>
      </c>
      <c r="C338" s="6" t="str">
        <f>IF(ISNONTEXT(deployment_raw[[#This Row],[Column3]]), "", deployment_raw[[#This Row],[Column3]])</f>
        <v/>
      </c>
      <c r="D338" s="6" t="str">
        <f>IF(ISNONTEXT(deployment_raw[[#This Row],[Column4]]), "", deployment_raw[[#This Row],[Column4]])</f>
        <v/>
      </c>
      <c r="E338" s="7" t="str">
        <f>IF(ISNUMBER(deployment_raw[[#This Row],[Column5]]), deployment_raw[[#This Row],[Column5]],"")</f>
        <v/>
      </c>
      <c r="F338" s="32" t="str">
        <f>IF(ISNUMBER(deployment_raw[[#This Row],[Column17]]), deployment_raw[[#This Row],[Column17]]/IF(OR($E$2="Deployment",deployment_raw[[#This Row],[Column5]]=0),1,deployment_raw[[#This Row],[Column5]]),"")</f>
        <v/>
      </c>
      <c r="G338" s="42" t="str">
        <f>IF(ISNUMBER(deployment_raw[[#This Row],[Column14]]), deployment_raw[[#This Row],[Column14]]/IF(OR($E$2="Deployment",deployment_raw[[#This Row],[Column5]]=0),1,deployment_raw[[#This Row],[Column5]]),"")</f>
        <v/>
      </c>
      <c r="H338" s="79" t="str">
        <f>IF(ISNUMBER(deployment_raw[[#This Row],[Column19]]), IF(I338&lt;&gt;0,(deployment_raw[[#This Row],[Column19]]/IF(OR($E$2="Deployment",deployment_raw[[#This Row],[Column5]]=0),1,deployment_raw[[#This Row],[Column5]]))/I338,0),"")</f>
        <v/>
      </c>
      <c r="I338" s="69" t="str">
        <f>IF(ISNUMBER(deployment_raw[[#This Row],[Column6]]), (deployment_raw[[#This Row],[Column6]] * IF($E$2="Deployment",deployment_raw[[#This Row],[Column5]],1)),"")</f>
        <v/>
      </c>
      <c r="J338" s="79" t="str">
        <f>IF(ISNUMBER(deployment_raw[[#This Row],[Column19]]), IF(K338&lt;&gt;0,(deployment_raw[[#This Row],[Column19]]/IF(OR($E$2="Deployment",deployment_raw[[#This Row],[Column5]]=0),1,deployment_raw[[#This Row],[Column5]]))/K338,0),"")</f>
        <v/>
      </c>
      <c r="K338" s="72" t="str">
        <f>IF(ISNUMBER(deployment_raw[[#This Row],[Column8]]), (deployment_raw[[#This Row],[Column8]]  * IF($E$2="Deployment",deployment_raw[[#This Row],[Column5]],1)),"")</f>
        <v/>
      </c>
      <c r="L33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3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38" s="81" t="str">
        <f>IF(ISNUMBER(deployment_raw[[#This Row],[Column20]]), IF(O338&lt;&gt;0,deployment_raw[[#This Row],[Column20]]/IF(OR($E$2="Deployment",deployment_raw[[#This Row],[Column5]]=0),1,deployment_raw[[#This Row],[Column5]])/1048576/O338,0),"")</f>
        <v/>
      </c>
      <c r="O338" s="74" t="str">
        <f>IF(ISNUMBER(deployment_raw[[#This Row],[Column7]]), (deployment_raw[[#This Row],[Column7]] * IF($E$2="Deployment",deployment_raw[[#This Row],[Column5]],1))/1048576,"")</f>
        <v/>
      </c>
      <c r="P338" s="81" t="str">
        <f>IF(ISNUMBER(deployment_raw[[#This Row],[Column20]]), IF(Q338&lt;&gt;0,deployment_raw[[#This Row],[Column20]]/IF(OR($E$2="Deployment",deployment_raw[[#This Row],[Column5]]=0),1,deployment_raw[[#This Row],[Column5]])/1048576/Q338,0),"")</f>
        <v/>
      </c>
      <c r="Q338" s="76" t="str">
        <f>IF(ISNUMBER(deployment_raw[[#This Row],[Column9]]), (deployment_raw[[#This Row],[Column9]] * IF($E$2="Deployment",deployment_raw[[#This Row],[Column5]],1))/1048576,"")</f>
        <v/>
      </c>
      <c r="R338" s="57" t="str">
        <f>IF(ISNUMBER(deployment_raw[[#This Row],[Column10]]), (deployment_raw[[#This Row],[Column10]] * IF($E$2="Deployment",deployment_raw[[#This Row],[Column5]],1)),"")</f>
        <v/>
      </c>
      <c r="S338" s="48" t="str">
        <f>IF(ISNUMBER(deployment_raw[[#This Row],[Column11]]), (deployment_raw[[#This Row],[Column11]] * IF($E$2="Deployment",deployment_raw[[#This Row],[Column5]],1))/1048576,"")</f>
        <v/>
      </c>
      <c r="T338" s="59" t="str">
        <f>IF(ISNUMBER(deployment_raw[[#This Row],[Column8]]),IF(OR(deployment_raw[[#This Row],[Column5]] &lt;&gt; 0,$E$2 &lt;&gt; "Deployment"), MAX(V338, ($T$2 * IF($E$2="Deployment",deployment_raw[[#This Row],[Column5]],1))), 0),"")</f>
        <v/>
      </c>
      <c r="U338" s="50" t="str">
        <f>IF(ISNUMBER(deployment_raw[[#This Row],[Column9]]),IF(OR(deployment_raw[[#This Row],[Column5]] &lt;&gt; 0,$E$2&lt;&gt;"Deployment"), MAX(W338, ($U$2 * IF($E$2="Deployment",deployment_raw[[#This Row],[Column5]],1))), 0),"")</f>
        <v/>
      </c>
      <c r="V338" s="15" t="str">
        <f>IF(ISNUMBER(deployment_raw[[#This Row],[Column12]]), (deployment_raw[[#This Row],[Column12]] * IF($E$2="Deployment",deployment_raw[[#This Row],[Column5]],1)*(1+$V$2)),"")</f>
        <v/>
      </c>
      <c r="W338" s="14" t="str">
        <f>IF(ISNUMBER(deployment_raw[[#This Row],[Column13]]), (deployment_raw[[#This Row],[Column13]] * IF($E$2="Deployment",deployment_raw[[#This Row],[Column5]],1)*(1+$W$2))/1048576,"")</f>
        <v/>
      </c>
    </row>
    <row r="339" spans="1:23" ht="15.75" customHeight="1" x14ac:dyDescent="0.25">
      <c r="A339" s="5" t="str">
        <f>IF(ISNONTEXT(deployment_raw[[#This Row],[Column1]]), "", deployment_raw[[#This Row],[Column1]])</f>
        <v/>
      </c>
      <c r="B339" s="6" t="str">
        <f>IF(ISNONTEXT(deployment_raw[[#This Row],[Column2]]), "", deployment_raw[[#This Row],[Column2]])</f>
        <v/>
      </c>
      <c r="C339" s="6" t="str">
        <f>IF(ISNONTEXT(deployment_raw[[#This Row],[Column3]]), "", deployment_raw[[#This Row],[Column3]])</f>
        <v/>
      </c>
      <c r="D339" s="6" t="str">
        <f>IF(ISNONTEXT(deployment_raw[[#This Row],[Column4]]), "", deployment_raw[[#This Row],[Column4]])</f>
        <v/>
      </c>
      <c r="E339" s="7" t="str">
        <f>IF(ISNUMBER(deployment_raw[[#This Row],[Column5]]), deployment_raw[[#This Row],[Column5]],"")</f>
        <v/>
      </c>
      <c r="F339" s="32" t="str">
        <f>IF(ISNUMBER(deployment_raw[[#This Row],[Column17]]), deployment_raw[[#This Row],[Column17]]/IF(OR($E$2="Deployment",deployment_raw[[#This Row],[Column5]]=0),1,deployment_raw[[#This Row],[Column5]]),"")</f>
        <v/>
      </c>
      <c r="G339" s="42" t="str">
        <f>IF(ISNUMBER(deployment_raw[[#This Row],[Column14]]), deployment_raw[[#This Row],[Column14]]/IF(OR($E$2="Deployment",deployment_raw[[#This Row],[Column5]]=0),1,deployment_raw[[#This Row],[Column5]]),"")</f>
        <v/>
      </c>
      <c r="H339" s="79" t="str">
        <f>IF(ISNUMBER(deployment_raw[[#This Row],[Column19]]), IF(I339&lt;&gt;0,(deployment_raw[[#This Row],[Column19]]/IF(OR($E$2="Deployment",deployment_raw[[#This Row],[Column5]]=0),1,deployment_raw[[#This Row],[Column5]]))/I339,0),"")</f>
        <v/>
      </c>
      <c r="I339" s="69" t="str">
        <f>IF(ISNUMBER(deployment_raw[[#This Row],[Column6]]), (deployment_raw[[#This Row],[Column6]] * IF($E$2="Deployment",deployment_raw[[#This Row],[Column5]],1)),"")</f>
        <v/>
      </c>
      <c r="J339" s="79" t="str">
        <f>IF(ISNUMBER(deployment_raw[[#This Row],[Column19]]), IF(K339&lt;&gt;0,(deployment_raw[[#This Row],[Column19]]/IF(OR($E$2="Deployment",deployment_raw[[#This Row],[Column5]]=0),1,deployment_raw[[#This Row],[Column5]]))/K339,0),"")</f>
        <v/>
      </c>
      <c r="K339" s="72" t="str">
        <f>IF(ISNUMBER(deployment_raw[[#This Row],[Column8]]), (deployment_raw[[#This Row],[Column8]]  * IF($E$2="Deployment",deployment_raw[[#This Row],[Column5]],1)),"")</f>
        <v/>
      </c>
      <c r="L33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3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39" s="81" t="str">
        <f>IF(ISNUMBER(deployment_raw[[#This Row],[Column20]]), IF(O339&lt;&gt;0,deployment_raw[[#This Row],[Column20]]/IF(OR($E$2="Deployment",deployment_raw[[#This Row],[Column5]]=0),1,deployment_raw[[#This Row],[Column5]])/1048576/O339,0),"")</f>
        <v/>
      </c>
      <c r="O339" s="74" t="str">
        <f>IF(ISNUMBER(deployment_raw[[#This Row],[Column7]]), (deployment_raw[[#This Row],[Column7]] * IF($E$2="Deployment",deployment_raw[[#This Row],[Column5]],1))/1048576,"")</f>
        <v/>
      </c>
      <c r="P339" s="81" t="str">
        <f>IF(ISNUMBER(deployment_raw[[#This Row],[Column20]]), IF(Q339&lt;&gt;0,deployment_raw[[#This Row],[Column20]]/IF(OR($E$2="Deployment",deployment_raw[[#This Row],[Column5]]=0),1,deployment_raw[[#This Row],[Column5]])/1048576/Q339,0),"")</f>
        <v/>
      </c>
      <c r="Q339" s="76" t="str">
        <f>IF(ISNUMBER(deployment_raw[[#This Row],[Column9]]), (deployment_raw[[#This Row],[Column9]] * IF($E$2="Deployment",deployment_raw[[#This Row],[Column5]],1))/1048576,"")</f>
        <v/>
      </c>
      <c r="R339" s="57" t="str">
        <f>IF(ISNUMBER(deployment_raw[[#This Row],[Column10]]), (deployment_raw[[#This Row],[Column10]] * IF($E$2="Deployment",deployment_raw[[#This Row],[Column5]],1)),"")</f>
        <v/>
      </c>
      <c r="S339" s="48" t="str">
        <f>IF(ISNUMBER(deployment_raw[[#This Row],[Column11]]), (deployment_raw[[#This Row],[Column11]] * IF($E$2="Deployment",deployment_raw[[#This Row],[Column5]],1))/1048576,"")</f>
        <v/>
      </c>
      <c r="T339" s="59" t="str">
        <f>IF(ISNUMBER(deployment_raw[[#This Row],[Column8]]),IF(OR(deployment_raw[[#This Row],[Column5]] &lt;&gt; 0,$E$2 &lt;&gt; "Deployment"), MAX(V339, ($T$2 * IF($E$2="Deployment",deployment_raw[[#This Row],[Column5]],1))), 0),"")</f>
        <v/>
      </c>
      <c r="U339" s="50" t="str">
        <f>IF(ISNUMBER(deployment_raw[[#This Row],[Column9]]),IF(OR(deployment_raw[[#This Row],[Column5]] &lt;&gt; 0,$E$2&lt;&gt;"Deployment"), MAX(W339, ($U$2 * IF($E$2="Deployment",deployment_raw[[#This Row],[Column5]],1))), 0),"")</f>
        <v/>
      </c>
      <c r="V339" s="15" t="str">
        <f>IF(ISNUMBER(deployment_raw[[#This Row],[Column12]]), (deployment_raw[[#This Row],[Column12]] * IF($E$2="Deployment",deployment_raw[[#This Row],[Column5]],1)*(1+$V$2)),"")</f>
        <v/>
      </c>
      <c r="W339" s="14" t="str">
        <f>IF(ISNUMBER(deployment_raw[[#This Row],[Column13]]), (deployment_raw[[#This Row],[Column13]] * IF($E$2="Deployment",deployment_raw[[#This Row],[Column5]],1)*(1+$W$2))/1048576,"")</f>
        <v/>
      </c>
    </row>
    <row r="340" spans="1:23" ht="15.75" customHeight="1" x14ac:dyDescent="0.25">
      <c r="A340" s="5" t="str">
        <f>IF(ISNONTEXT(deployment_raw[[#This Row],[Column1]]), "", deployment_raw[[#This Row],[Column1]])</f>
        <v/>
      </c>
      <c r="B340" s="6" t="str">
        <f>IF(ISNONTEXT(deployment_raw[[#This Row],[Column2]]), "", deployment_raw[[#This Row],[Column2]])</f>
        <v/>
      </c>
      <c r="C340" s="6" t="str">
        <f>IF(ISNONTEXT(deployment_raw[[#This Row],[Column3]]), "", deployment_raw[[#This Row],[Column3]])</f>
        <v/>
      </c>
      <c r="D340" s="6" t="str">
        <f>IF(ISNONTEXT(deployment_raw[[#This Row],[Column4]]), "", deployment_raw[[#This Row],[Column4]])</f>
        <v/>
      </c>
      <c r="E340" s="7" t="str">
        <f>IF(ISNUMBER(deployment_raw[[#This Row],[Column5]]), deployment_raw[[#This Row],[Column5]],"")</f>
        <v/>
      </c>
      <c r="F340" s="32" t="str">
        <f>IF(ISNUMBER(deployment_raw[[#This Row],[Column17]]), deployment_raw[[#This Row],[Column17]]/IF(OR($E$2="Deployment",deployment_raw[[#This Row],[Column5]]=0),1,deployment_raw[[#This Row],[Column5]]),"")</f>
        <v/>
      </c>
      <c r="G340" s="42" t="str">
        <f>IF(ISNUMBER(deployment_raw[[#This Row],[Column14]]), deployment_raw[[#This Row],[Column14]]/IF(OR($E$2="Deployment",deployment_raw[[#This Row],[Column5]]=0),1,deployment_raw[[#This Row],[Column5]]),"")</f>
        <v/>
      </c>
      <c r="H340" s="79" t="str">
        <f>IF(ISNUMBER(deployment_raw[[#This Row],[Column19]]), IF(I340&lt;&gt;0,(deployment_raw[[#This Row],[Column19]]/IF(OR($E$2="Deployment",deployment_raw[[#This Row],[Column5]]=0),1,deployment_raw[[#This Row],[Column5]]))/I340,0),"")</f>
        <v/>
      </c>
      <c r="I340" s="69" t="str">
        <f>IF(ISNUMBER(deployment_raw[[#This Row],[Column6]]), (deployment_raw[[#This Row],[Column6]] * IF($E$2="Deployment",deployment_raw[[#This Row],[Column5]],1)),"")</f>
        <v/>
      </c>
      <c r="J340" s="79" t="str">
        <f>IF(ISNUMBER(deployment_raw[[#This Row],[Column19]]), IF(K340&lt;&gt;0,(deployment_raw[[#This Row],[Column19]]/IF(OR($E$2="Deployment",deployment_raw[[#This Row],[Column5]]=0),1,deployment_raw[[#This Row],[Column5]]))/K340,0),"")</f>
        <v/>
      </c>
      <c r="K340" s="72" t="str">
        <f>IF(ISNUMBER(deployment_raw[[#This Row],[Column8]]), (deployment_raw[[#This Row],[Column8]]  * IF($E$2="Deployment",deployment_raw[[#This Row],[Column5]],1)),"")</f>
        <v/>
      </c>
      <c r="L34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4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40" s="81" t="str">
        <f>IF(ISNUMBER(deployment_raw[[#This Row],[Column20]]), IF(O340&lt;&gt;0,deployment_raw[[#This Row],[Column20]]/IF(OR($E$2="Deployment",deployment_raw[[#This Row],[Column5]]=0),1,deployment_raw[[#This Row],[Column5]])/1048576/O340,0),"")</f>
        <v/>
      </c>
      <c r="O340" s="74" t="str">
        <f>IF(ISNUMBER(deployment_raw[[#This Row],[Column7]]), (deployment_raw[[#This Row],[Column7]] * IF($E$2="Deployment",deployment_raw[[#This Row],[Column5]],1))/1048576,"")</f>
        <v/>
      </c>
      <c r="P340" s="81" t="str">
        <f>IF(ISNUMBER(deployment_raw[[#This Row],[Column20]]), IF(Q340&lt;&gt;0,deployment_raw[[#This Row],[Column20]]/IF(OR($E$2="Deployment",deployment_raw[[#This Row],[Column5]]=0),1,deployment_raw[[#This Row],[Column5]])/1048576/Q340,0),"")</f>
        <v/>
      </c>
      <c r="Q340" s="76" t="str">
        <f>IF(ISNUMBER(deployment_raw[[#This Row],[Column9]]), (deployment_raw[[#This Row],[Column9]] * IF($E$2="Deployment",deployment_raw[[#This Row],[Column5]],1))/1048576,"")</f>
        <v/>
      </c>
      <c r="R340" s="57" t="str">
        <f>IF(ISNUMBER(deployment_raw[[#This Row],[Column10]]), (deployment_raw[[#This Row],[Column10]] * IF($E$2="Deployment",deployment_raw[[#This Row],[Column5]],1)),"")</f>
        <v/>
      </c>
      <c r="S340" s="48" t="str">
        <f>IF(ISNUMBER(deployment_raw[[#This Row],[Column11]]), (deployment_raw[[#This Row],[Column11]] * IF($E$2="Deployment",deployment_raw[[#This Row],[Column5]],1))/1048576,"")</f>
        <v/>
      </c>
      <c r="T340" s="59" t="str">
        <f>IF(ISNUMBER(deployment_raw[[#This Row],[Column8]]),IF(OR(deployment_raw[[#This Row],[Column5]] &lt;&gt; 0,$E$2 &lt;&gt; "Deployment"), MAX(V340, ($T$2 * IF($E$2="Deployment",deployment_raw[[#This Row],[Column5]],1))), 0),"")</f>
        <v/>
      </c>
      <c r="U340" s="50" t="str">
        <f>IF(ISNUMBER(deployment_raw[[#This Row],[Column9]]),IF(OR(deployment_raw[[#This Row],[Column5]] &lt;&gt; 0,$E$2&lt;&gt;"Deployment"), MAX(W340, ($U$2 * IF($E$2="Deployment",deployment_raw[[#This Row],[Column5]],1))), 0),"")</f>
        <v/>
      </c>
      <c r="V340" s="15" t="str">
        <f>IF(ISNUMBER(deployment_raw[[#This Row],[Column12]]), (deployment_raw[[#This Row],[Column12]] * IF($E$2="Deployment",deployment_raw[[#This Row],[Column5]],1)*(1+$V$2)),"")</f>
        <v/>
      </c>
      <c r="W340" s="14" t="str">
        <f>IF(ISNUMBER(deployment_raw[[#This Row],[Column13]]), (deployment_raw[[#This Row],[Column13]] * IF($E$2="Deployment",deployment_raw[[#This Row],[Column5]],1)*(1+$W$2))/1048576,"")</f>
        <v/>
      </c>
    </row>
    <row r="341" spans="1:23" ht="15.75" customHeight="1" x14ac:dyDescent="0.25">
      <c r="A341" s="5" t="str">
        <f>IF(ISNONTEXT(deployment_raw[[#This Row],[Column1]]), "", deployment_raw[[#This Row],[Column1]])</f>
        <v/>
      </c>
      <c r="B341" s="6" t="str">
        <f>IF(ISNONTEXT(deployment_raw[[#This Row],[Column2]]), "", deployment_raw[[#This Row],[Column2]])</f>
        <v/>
      </c>
      <c r="C341" s="6" t="str">
        <f>IF(ISNONTEXT(deployment_raw[[#This Row],[Column3]]), "", deployment_raw[[#This Row],[Column3]])</f>
        <v/>
      </c>
      <c r="D341" s="6" t="str">
        <f>IF(ISNONTEXT(deployment_raw[[#This Row],[Column4]]), "", deployment_raw[[#This Row],[Column4]])</f>
        <v/>
      </c>
      <c r="E341" s="7" t="str">
        <f>IF(ISNUMBER(deployment_raw[[#This Row],[Column5]]), deployment_raw[[#This Row],[Column5]],"")</f>
        <v/>
      </c>
      <c r="F341" s="32" t="str">
        <f>IF(ISNUMBER(deployment_raw[[#This Row],[Column17]]), deployment_raw[[#This Row],[Column17]]/IF(OR($E$2="Deployment",deployment_raw[[#This Row],[Column5]]=0),1,deployment_raw[[#This Row],[Column5]]),"")</f>
        <v/>
      </c>
      <c r="G341" s="42" t="str">
        <f>IF(ISNUMBER(deployment_raw[[#This Row],[Column14]]), deployment_raw[[#This Row],[Column14]]/IF(OR($E$2="Deployment",deployment_raw[[#This Row],[Column5]]=0),1,deployment_raw[[#This Row],[Column5]]),"")</f>
        <v/>
      </c>
      <c r="H341" s="79" t="str">
        <f>IF(ISNUMBER(deployment_raw[[#This Row],[Column19]]), IF(I341&lt;&gt;0,(deployment_raw[[#This Row],[Column19]]/IF(OR($E$2="Deployment",deployment_raw[[#This Row],[Column5]]=0),1,deployment_raw[[#This Row],[Column5]]))/I341,0),"")</f>
        <v/>
      </c>
      <c r="I341" s="69" t="str">
        <f>IF(ISNUMBER(deployment_raw[[#This Row],[Column6]]), (deployment_raw[[#This Row],[Column6]] * IF($E$2="Deployment",deployment_raw[[#This Row],[Column5]],1)),"")</f>
        <v/>
      </c>
      <c r="J341" s="79" t="str">
        <f>IF(ISNUMBER(deployment_raw[[#This Row],[Column19]]), IF(K341&lt;&gt;0,(deployment_raw[[#This Row],[Column19]]/IF(OR($E$2="Deployment",deployment_raw[[#This Row],[Column5]]=0),1,deployment_raw[[#This Row],[Column5]]))/K341,0),"")</f>
        <v/>
      </c>
      <c r="K341" s="72" t="str">
        <f>IF(ISNUMBER(deployment_raw[[#This Row],[Column8]]), (deployment_raw[[#This Row],[Column8]]  * IF($E$2="Deployment",deployment_raw[[#This Row],[Column5]],1)),"")</f>
        <v/>
      </c>
      <c r="L34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4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41" s="81" t="str">
        <f>IF(ISNUMBER(deployment_raw[[#This Row],[Column20]]), IF(O341&lt;&gt;0,deployment_raw[[#This Row],[Column20]]/IF(OR($E$2="Deployment",deployment_raw[[#This Row],[Column5]]=0),1,deployment_raw[[#This Row],[Column5]])/1048576/O341,0),"")</f>
        <v/>
      </c>
      <c r="O341" s="74" t="str">
        <f>IF(ISNUMBER(deployment_raw[[#This Row],[Column7]]), (deployment_raw[[#This Row],[Column7]] * IF($E$2="Deployment",deployment_raw[[#This Row],[Column5]],1))/1048576,"")</f>
        <v/>
      </c>
      <c r="P341" s="81" t="str">
        <f>IF(ISNUMBER(deployment_raw[[#This Row],[Column20]]), IF(Q341&lt;&gt;0,deployment_raw[[#This Row],[Column20]]/IF(OR($E$2="Deployment",deployment_raw[[#This Row],[Column5]]=0),1,deployment_raw[[#This Row],[Column5]])/1048576/Q341,0),"")</f>
        <v/>
      </c>
      <c r="Q341" s="76" t="str">
        <f>IF(ISNUMBER(deployment_raw[[#This Row],[Column9]]), (deployment_raw[[#This Row],[Column9]] * IF($E$2="Deployment",deployment_raw[[#This Row],[Column5]],1))/1048576,"")</f>
        <v/>
      </c>
      <c r="R341" s="57" t="str">
        <f>IF(ISNUMBER(deployment_raw[[#This Row],[Column10]]), (deployment_raw[[#This Row],[Column10]] * IF($E$2="Deployment",deployment_raw[[#This Row],[Column5]],1)),"")</f>
        <v/>
      </c>
      <c r="S341" s="48" t="str">
        <f>IF(ISNUMBER(deployment_raw[[#This Row],[Column11]]), (deployment_raw[[#This Row],[Column11]] * IF($E$2="Deployment",deployment_raw[[#This Row],[Column5]],1))/1048576,"")</f>
        <v/>
      </c>
      <c r="T341" s="59" t="str">
        <f>IF(ISNUMBER(deployment_raw[[#This Row],[Column8]]),IF(OR(deployment_raw[[#This Row],[Column5]] &lt;&gt; 0,$E$2 &lt;&gt; "Deployment"), MAX(V341, ($T$2 * IF($E$2="Deployment",deployment_raw[[#This Row],[Column5]],1))), 0),"")</f>
        <v/>
      </c>
      <c r="U341" s="50" t="str">
        <f>IF(ISNUMBER(deployment_raw[[#This Row],[Column9]]),IF(OR(deployment_raw[[#This Row],[Column5]] &lt;&gt; 0,$E$2&lt;&gt;"Deployment"), MAX(W341, ($U$2 * IF($E$2="Deployment",deployment_raw[[#This Row],[Column5]],1))), 0),"")</f>
        <v/>
      </c>
      <c r="V341" s="15" t="str">
        <f>IF(ISNUMBER(deployment_raw[[#This Row],[Column12]]), (deployment_raw[[#This Row],[Column12]] * IF($E$2="Deployment",deployment_raw[[#This Row],[Column5]],1)*(1+$V$2)),"")</f>
        <v/>
      </c>
      <c r="W341" s="14" t="str">
        <f>IF(ISNUMBER(deployment_raw[[#This Row],[Column13]]), (deployment_raw[[#This Row],[Column13]] * IF($E$2="Deployment",deployment_raw[[#This Row],[Column5]],1)*(1+$W$2))/1048576,"")</f>
        <v/>
      </c>
    </row>
    <row r="342" spans="1:23" ht="15.75" customHeight="1" x14ac:dyDescent="0.25">
      <c r="A342" s="5" t="str">
        <f>IF(ISNONTEXT(deployment_raw[[#This Row],[Column1]]), "", deployment_raw[[#This Row],[Column1]])</f>
        <v/>
      </c>
      <c r="B342" s="6" t="str">
        <f>IF(ISNONTEXT(deployment_raw[[#This Row],[Column2]]), "", deployment_raw[[#This Row],[Column2]])</f>
        <v/>
      </c>
      <c r="C342" s="6" t="str">
        <f>IF(ISNONTEXT(deployment_raw[[#This Row],[Column3]]), "", deployment_raw[[#This Row],[Column3]])</f>
        <v/>
      </c>
      <c r="D342" s="6" t="str">
        <f>IF(ISNONTEXT(deployment_raw[[#This Row],[Column4]]), "", deployment_raw[[#This Row],[Column4]])</f>
        <v/>
      </c>
      <c r="E342" s="7" t="str">
        <f>IF(ISNUMBER(deployment_raw[[#This Row],[Column5]]), deployment_raw[[#This Row],[Column5]],"")</f>
        <v/>
      </c>
      <c r="F342" s="32" t="str">
        <f>IF(ISNUMBER(deployment_raw[[#This Row],[Column17]]), deployment_raw[[#This Row],[Column17]]/IF(OR($E$2="Deployment",deployment_raw[[#This Row],[Column5]]=0),1,deployment_raw[[#This Row],[Column5]]),"")</f>
        <v/>
      </c>
      <c r="G342" s="42" t="str">
        <f>IF(ISNUMBER(deployment_raw[[#This Row],[Column14]]), deployment_raw[[#This Row],[Column14]]/IF(OR($E$2="Deployment",deployment_raw[[#This Row],[Column5]]=0),1,deployment_raw[[#This Row],[Column5]]),"")</f>
        <v/>
      </c>
      <c r="H342" s="79" t="str">
        <f>IF(ISNUMBER(deployment_raw[[#This Row],[Column19]]), IF(I342&lt;&gt;0,(deployment_raw[[#This Row],[Column19]]/IF(OR($E$2="Deployment",deployment_raw[[#This Row],[Column5]]=0),1,deployment_raw[[#This Row],[Column5]]))/I342,0),"")</f>
        <v/>
      </c>
      <c r="I342" s="69" t="str">
        <f>IF(ISNUMBER(deployment_raw[[#This Row],[Column6]]), (deployment_raw[[#This Row],[Column6]] * IF($E$2="Deployment",deployment_raw[[#This Row],[Column5]],1)),"")</f>
        <v/>
      </c>
      <c r="J342" s="79" t="str">
        <f>IF(ISNUMBER(deployment_raw[[#This Row],[Column19]]), IF(K342&lt;&gt;0,(deployment_raw[[#This Row],[Column19]]/IF(OR($E$2="Deployment",deployment_raw[[#This Row],[Column5]]=0),1,deployment_raw[[#This Row],[Column5]]))/K342,0),"")</f>
        <v/>
      </c>
      <c r="K342" s="72" t="str">
        <f>IF(ISNUMBER(deployment_raw[[#This Row],[Column8]]), (deployment_raw[[#This Row],[Column8]]  * IF($E$2="Deployment",deployment_raw[[#This Row],[Column5]],1)),"")</f>
        <v/>
      </c>
      <c r="L34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4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42" s="81" t="str">
        <f>IF(ISNUMBER(deployment_raw[[#This Row],[Column20]]), IF(O342&lt;&gt;0,deployment_raw[[#This Row],[Column20]]/IF(OR($E$2="Deployment",deployment_raw[[#This Row],[Column5]]=0),1,deployment_raw[[#This Row],[Column5]])/1048576/O342,0),"")</f>
        <v/>
      </c>
      <c r="O342" s="74" t="str">
        <f>IF(ISNUMBER(deployment_raw[[#This Row],[Column7]]), (deployment_raw[[#This Row],[Column7]] * IF($E$2="Deployment",deployment_raw[[#This Row],[Column5]],1))/1048576,"")</f>
        <v/>
      </c>
      <c r="P342" s="81" t="str">
        <f>IF(ISNUMBER(deployment_raw[[#This Row],[Column20]]), IF(Q342&lt;&gt;0,deployment_raw[[#This Row],[Column20]]/IF(OR($E$2="Deployment",deployment_raw[[#This Row],[Column5]]=0),1,deployment_raw[[#This Row],[Column5]])/1048576/Q342,0),"")</f>
        <v/>
      </c>
      <c r="Q342" s="76" t="str">
        <f>IF(ISNUMBER(deployment_raw[[#This Row],[Column9]]), (deployment_raw[[#This Row],[Column9]] * IF($E$2="Deployment",deployment_raw[[#This Row],[Column5]],1))/1048576,"")</f>
        <v/>
      </c>
      <c r="R342" s="57" t="str">
        <f>IF(ISNUMBER(deployment_raw[[#This Row],[Column10]]), (deployment_raw[[#This Row],[Column10]] * IF($E$2="Deployment",deployment_raw[[#This Row],[Column5]],1)),"")</f>
        <v/>
      </c>
      <c r="S342" s="48" t="str">
        <f>IF(ISNUMBER(deployment_raw[[#This Row],[Column11]]), (deployment_raw[[#This Row],[Column11]] * IF($E$2="Deployment",deployment_raw[[#This Row],[Column5]],1))/1048576,"")</f>
        <v/>
      </c>
      <c r="T342" s="59" t="str">
        <f>IF(ISNUMBER(deployment_raw[[#This Row],[Column8]]),IF(OR(deployment_raw[[#This Row],[Column5]] &lt;&gt; 0,$E$2 &lt;&gt; "Deployment"), MAX(V342, ($T$2 * IF($E$2="Deployment",deployment_raw[[#This Row],[Column5]],1))), 0),"")</f>
        <v/>
      </c>
      <c r="U342" s="50" t="str">
        <f>IF(ISNUMBER(deployment_raw[[#This Row],[Column9]]),IF(OR(deployment_raw[[#This Row],[Column5]] &lt;&gt; 0,$E$2&lt;&gt;"Deployment"), MAX(W342, ($U$2 * IF($E$2="Deployment",deployment_raw[[#This Row],[Column5]],1))), 0),"")</f>
        <v/>
      </c>
      <c r="V342" s="15" t="str">
        <f>IF(ISNUMBER(deployment_raw[[#This Row],[Column12]]), (deployment_raw[[#This Row],[Column12]] * IF($E$2="Deployment",deployment_raw[[#This Row],[Column5]],1)*(1+$V$2)),"")</f>
        <v/>
      </c>
      <c r="W342" s="14" t="str">
        <f>IF(ISNUMBER(deployment_raw[[#This Row],[Column13]]), (deployment_raw[[#This Row],[Column13]] * IF($E$2="Deployment",deployment_raw[[#This Row],[Column5]],1)*(1+$W$2))/1048576,"")</f>
        <v/>
      </c>
    </row>
    <row r="343" spans="1:23" ht="15.75" customHeight="1" x14ac:dyDescent="0.25">
      <c r="A343" s="5" t="str">
        <f>IF(ISNONTEXT(deployment_raw[[#This Row],[Column1]]), "", deployment_raw[[#This Row],[Column1]])</f>
        <v/>
      </c>
      <c r="B343" s="6" t="str">
        <f>IF(ISNONTEXT(deployment_raw[[#This Row],[Column2]]), "", deployment_raw[[#This Row],[Column2]])</f>
        <v/>
      </c>
      <c r="C343" s="6" t="str">
        <f>IF(ISNONTEXT(deployment_raw[[#This Row],[Column3]]), "", deployment_raw[[#This Row],[Column3]])</f>
        <v/>
      </c>
      <c r="D343" s="6" t="str">
        <f>IF(ISNONTEXT(deployment_raw[[#This Row],[Column4]]), "", deployment_raw[[#This Row],[Column4]])</f>
        <v/>
      </c>
      <c r="E343" s="7" t="str">
        <f>IF(ISNUMBER(deployment_raw[[#This Row],[Column5]]), deployment_raw[[#This Row],[Column5]],"")</f>
        <v/>
      </c>
      <c r="F343" s="32" t="str">
        <f>IF(ISNUMBER(deployment_raw[[#This Row],[Column17]]), deployment_raw[[#This Row],[Column17]]/IF(OR($E$2="Deployment",deployment_raw[[#This Row],[Column5]]=0),1,deployment_raw[[#This Row],[Column5]]),"")</f>
        <v/>
      </c>
      <c r="G343" s="42" t="str">
        <f>IF(ISNUMBER(deployment_raw[[#This Row],[Column14]]), deployment_raw[[#This Row],[Column14]]/IF(OR($E$2="Deployment",deployment_raw[[#This Row],[Column5]]=0),1,deployment_raw[[#This Row],[Column5]]),"")</f>
        <v/>
      </c>
      <c r="H343" s="79" t="str">
        <f>IF(ISNUMBER(deployment_raw[[#This Row],[Column19]]), IF(I343&lt;&gt;0,(deployment_raw[[#This Row],[Column19]]/IF(OR($E$2="Deployment",deployment_raw[[#This Row],[Column5]]=0),1,deployment_raw[[#This Row],[Column5]]))/I343,0),"")</f>
        <v/>
      </c>
      <c r="I343" s="69" t="str">
        <f>IF(ISNUMBER(deployment_raw[[#This Row],[Column6]]), (deployment_raw[[#This Row],[Column6]] * IF($E$2="Deployment",deployment_raw[[#This Row],[Column5]],1)),"")</f>
        <v/>
      </c>
      <c r="J343" s="79" t="str">
        <f>IF(ISNUMBER(deployment_raw[[#This Row],[Column19]]), IF(K343&lt;&gt;0,(deployment_raw[[#This Row],[Column19]]/IF(OR($E$2="Deployment",deployment_raw[[#This Row],[Column5]]=0),1,deployment_raw[[#This Row],[Column5]]))/K343,0),"")</f>
        <v/>
      </c>
      <c r="K343" s="72" t="str">
        <f>IF(ISNUMBER(deployment_raw[[#This Row],[Column8]]), (deployment_raw[[#This Row],[Column8]]  * IF($E$2="Deployment",deployment_raw[[#This Row],[Column5]],1)),"")</f>
        <v/>
      </c>
      <c r="L34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4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43" s="81" t="str">
        <f>IF(ISNUMBER(deployment_raw[[#This Row],[Column20]]), IF(O343&lt;&gt;0,deployment_raw[[#This Row],[Column20]]/IF(OR($E$2="Deployment",deployment_raw[[#This Row],[Column5]]=0),1,deployment_raw[[#This Row],[Column5]])/1048576/O343,0),"")</f>
        <v/>
      </c>
      <c r="O343" s="74" t="str">
        <f>IF(ISNUMBER(deployment_raw[[#This Row],[Column7]]), (deployment_raw[[#This Row],[Column7]] * IF($E$2="Deployment",deployment_raw[[#This Row],[Column5]],1))/1048576,"")</f>
        <v/>
      </c>
      <c r="P343" s="81" t="str">
        <f>IF(ISNUMBER(deployment_raw[[#This Row],[Column20]]), IF(Q343&lt;&gt;0,deployment_raw[[#This Row],[Column20]]/IF(OR($E$2="Deployment",deployment_raw[[#This Row],[Column5]]=0),1,deployment_raw[[#This Row],[Column5]])/1048576/Q343,0),"")</f>
        <v/>
      </c>
      <c r="Q343" s="76" t="str">
        <f>IF(ISNUMBER(deployment_raw[[#This Row],[Column9]]), (deployment_raw[[#This Row],[Column9]] * IF($E$2="Deployment",deployment_raw[[#This Row],[Column5]],1))/1048576,"")</f>
        <v/>
      </c>
      <c r="R343" s="57" t="str">
        <f>IF(ISNUMBER(deployment_raw[[#This Row],[Column10]]), (deployment_raw[[#This Row],[Column10]] * IF($E$2="Deployment",deployment_raw[[#This Row],[Column5]],1)),"")</f>
        <v/>
      </c>
      <c r="S343" s="48" t="str">
        <f>IF(ISNUMBER(deployment_raw[[#This Row],[Column11]]), (deployment_raw[[#This Row],[Column11]] * IF($E$2="Deployment",deployment_raw[[#This Row],[Column5]],1))/1048576,"")</f>
        <v/>
      </c>
      <c r="T343" s="59" t="str">
        <f>IF(ISNUMBER(deployment_raw[[#This Row],[Column8]]),IF(OR(deployment_raw[[#This Row],[Column5]] &lt;&gt; 0,$E$2 &lt;&gt; "Deployment"), MAX(V343, ($T$2 * IF($E$2="Deployment",deployment_raw[[#This Row],[Column5]],1))), 0),"")</f>
        <v/>
      </c>
      <c r="U343" s="50" t="str">
        <f>IF(ISNUMBER(deployment_raw[[#This Row],[Column9]]),IF(OR(deployment_raw[[#This Row],[Column5]] &lt;&gt; 0,$E$2&lt;&gt;"Deployment"), MAX(W343, ($U$2 * IF($E$2="Deployment",deployment_raw[[#This Row],[Column5]],1))), 0),"")</f>
        <v/>
      </c>
      <c r="V343" s="15" t="str">
        <f>IF(ISNUMBER(deployment_raw[[#This Row],[Column12]]), (deployment_raw[[#This Row],[Column12]] * IF($E$2="Deployment",deployment_raw[[#This Row],[Column5]],1)*(1+$V$2)),"")</f>
        <v/>
      </c>
      <c r="W343" s="14" t="str">
        <f>IF(ISNUMBER(deployment_raw[[#This Row],[Column13]]), (deployment_raw[[#This Row],[Column13]] * IF($E$2="Deployment",deployment_raw[[#This Row],[Column5]],1)*(1+$W$2))/1048576,"")</f>
        <v/>
      </c>
    </row>
    <row r="344" spans="1:23" ht="15.75" customHeight="1" x14ac:dyDescent="0.25">
      <c r="A344" s="5" t="str">
        <f>IF(ISNONTEXT(deployment_raw[[#This Row],[Column1]]), "", deployment_raw[[#This Row],[Column1]])</f>
        <v/>
      </c>
      <c r="B344" s="6" t="str">
        <f>IF(ISNONTEXT(deployment_raw[[#This Row],[Column2]]), "", deployment_raw[[#This Row],[Column2]])</f>
        <v/>
      </c>
      <c r="C344" s="6" t="str">
        <f>IF(ISNONTEXT(deployment_raw[[#This Row],[Column3]]), "", deployment_raw[[#This Row],[Column3]])</f>
        <v/>
      </c>
      <c r="D344" s="6" t="str">
        <f>IF(ISNONTEXT(deployment_raw[[#This Row],[Column4]]), "", deployment_raw[[#This Row],[Column4]])</f>
        <v/>
      </c>
      <c r="E344" s="7" t="str">
        <f>IF(ISNUMBER(deployment_raw[[#This Row],[Column5]]), deployment_raw[[#This Row],[Column5]],"")</f>
        <v/>
      </c>
      <c r="F344" s="32" t="str">
        <f>IF(ISNUMBER(deployment_raw[[#This Row],[Column17]]), deployment_raw[[#This Row],[Column17]]/IF(OR($E$2="Deployment",deployment_raw[[#This Row],[Column5]]=0),1,deployment_raw[[#This Row],[Column5]]),"")</f>
        <v/>
      </c>
      <c r="G344" s="42" t="str">
        <f>IF(ISNUMBER(deployment_raw[[#This Row],[Column14]]), deployment_raw[[#This Row],[Column14]]/IF(OR($E$2="Deployment",deployment_raw[[#This Row],[Column5]]=0),1,deployment_raw[[#This Row],[Column5]]),"")</f>
        <v/>
      </c>
      <c r="H344" s="79" t="str">
        <f>IF(ISNUMBER(deployment_raw[[#This Row],[Column19]]), IF(I344&lt;&gt;0,(deployment_raw[[#This Row],[Column19]]/IF(OR($E$2="Deployment",deployment_raw[[#This Row],[Column5]]=0),1,deployment_raw[[#This Row],[Column5]]))/I344,0),"")</f>
        <v/>
      </c>
      <c r="I344" s="69" t="str">
        <f>IF(ISNUMBER(deployment_raw[[#This Row],[Column6]]), (deployment_raw[[#This Row],[Column6]] * IF($E$2="Deployment",deployment_raw[[#This Row],[Column5]],1)),"")</f>
        <v/>
      </c>
      <c r="J344" s="79" t="str">
        <f>IF(ISNUMBER(deployment_raw[[#This Row],[Column19]]), IF(K344&lt;&gt;0,(deployment_raw[[#This Row],[Column19]]/IF(OR($E$2="Deployment",deployment_raw[[#This Row],[Column5]]=0),1,deployment_raw[[#This Row],[Column5]]))/K344,0),"")</f>
        <v/>
      </c>
      <c r="K344" s="72" t="str">
        <f>IF(ISNUMBER(deployment_raw[[#This Row],[Column8]]), (deployment_raw[[#This Row],[Column8]]  * IF($E$2="Deployment",deployment_raw[[#This Row],[Column5]],1)),"")</f>
        <v/>
      </c>
      <c r="L34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4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44" s="81" t="str">
        <f>IF(ISNUMBER(deployment_raw[[#This Row],[Column20]]), IF(O344&lt;&gt;0,deployment_raw[[#This Row],[Column20]]/IF(OR($E$2="Deployment",deployment_raw[[#This Row],[Column5]]=0),1,deployment_raw[[#This Row],[Column5]])/1048576/O344,0),"")</f>
        <v/>
      </c>
      <c r="O344" s="74" t="str">
        <f>IF(ISNUMBER(deployment_raw[[#This Row],[Column7]]), (deployment_raw[[#This Row],[Column7]] * IF($E$2="Deployment",deployment_raw[[#This Row],[Column5]],1))/1048576,"")</f>
        <v/>
      </c>
      <c r="P344" s="81" t="str">
        <f>IF(ISNUMBER(deployment_raw[[#This Row],[Column20]]), IF(Q344&lt;&gt;0,deployment_raw[[#This Row],[Column20]]/IF(OR($E$2="Deployment",deployment_raw[[#This Row],[Column5]]=0),1,deployment_raw[[#This Row],[Column5]])/1048576/Q344,0),"")</f>
        <v/>
      </c>
      <c r="Q344" s="76" t="str">
        <f>IF(ISNUMBER(deployment_raw[[#This Row],[Column9]]), (deployment_raw[[#This Row],[Column9]] * IF($E$2="Deployment",deployment_raw[[#This Row],[Column5]],1))/1048576,"")</f>
        <v/>
      </c>
      <c r="R344" s="57" t="str">
        <f>IF(ISNUMBER(deployment_raw[[#This Row],[Column10]]), (deployment_raw[[#This Row],[Column10]] * IF($E$2="Deployment",deployment_raw[[#This Row],[Column5]],1)),"")</f>
        <v/>
      </c>
      <c r="S344" s="48" t="str">
        <f>IF(ISNUMBER(deployment_raw[[#This Row],[Column11]]), (deployment_raw[[#This Row],[Column11]] * IF($E$2="Deployment",deployment_raw[[#This Row],[Column5]],1))/1048576,"")</f>
        <v/>
      </c>
      <c r="T344" s="59" t="str">
        <f>IF(ISNUMBER(deployment_raw[[#This Row],[Column8]]),IF(OR(deployment_raw[[#This Row],[Column5]] &lt;&gt; 0,$E$2 &lt;&gt; "Deployment"), MAX(V344, ($T$2 * IF($E$2="Deployment",deployment_raw[[#This Row],[Column5]],1))), 0),"")</f>
        <v/>
      </c>
      <c r="U344" s="50" t="str">
        <f>IF(ISNUMBER(deployment_raw[[#This Row],[Column9]]),IF(OR(deployment_raw[[#This Row],[Column5]] &lt;&gt; 0,$E$2&lt;&gt;"Deployment"), MAX(W344, ($U$2 * IF($E$2="Deployment",deployment_raw[[#This Row],[Column5]],1))), 0),"")</f>
        <v/>
      </c>
      <c r="V344" s="15" t="str">
        <f>IF(ISNUMBER(deployment_raw[[#This Row],[Column12]]), (deployment_raw[[#This Row],[Column12]] * IF($E$2="Deployment",deployment_raw[[#This Row],[Column5]],1)*(1+$V$2)),"")</f>
        <v/>
      </c>
      <c r="W344" s="14" t="str">
        <f>IF(ISNUMBER(deployment_raw[[#This Row],[Column13]]), (deployment_raw[[#This Row],[Column13]] * IF($E$2="Deployment",deployment_raw[[#This Row],[Column5]],1)*(1+$W$2))/1048576,"")</f>
        <v/>
      </c>
    </row>
    <row r="345" spans="1:23" ht="15.75" customHeight="1" x14ac:dyDescent="0.25">
      <c r="A345" s="5" t="str">
        <f>IF(ISNONTEXT(deployment_raw[[#This Row],[Column1]]), "", deployment_raw[[#This Row],[Column1]])</f>
        <v/>
      </c>
      <c r="B345" s="6" t="str">
        <f>IF(ISNONTEXT(deployment_raw[[#This Row],[Column2]]), "", deployment_raw[[#This Row],[Column2]])</f>
        <v/>
      </c>
      <c r="C345" s="6" t="str">
        <f>IF(ISNONTEXT(deployment_raw[[#This Row],[Column3]]), "", deployment_raw[[#This Row],[Column3]])</f>
        <v/>
      </c>
      <c r="D345" s="6" t="str">
        <f>IF(ISNONTEXT(deployment_raw[[#This Row],[Column4]]), "", deployment_raw[[#This Row],[Column4]])</f>
        <v/>
      </c>
      <c r="E345" s="7" t="str">
        <f>IF(ISNUMBER(deployment_raw[[#This Row],[Column5]]), deployment_raw[[#This Row],[Column5]],"")</f>
        <v/>
      </c>
      <c r="F345" s="32" t="str">
        <f>IF(ISNUMBER(deployment_raw[[#This Row],[Column17]]), deployment_raw[[#This Row],[Column17]]/IF(OR($E$2="Deployment",deployment_raw[[#This Row],[Column5]]=0),1,deployment_raw[[#This Row],[Column5]]),"")</f>
        <v/>
      </c>
      <c r="G345" s="42" t="str">
        <f>IF(ISNUMBER(deployment_raw[[#This Row],[Column14]]), deployment_raw[[#This Row],[Column14]]/IF(OR($E$2="Deployment",deployment_raw[[#This Row],[Column5]]=0),1,deployment_raw[[#This Row],[Column5]]),"")</f>
        <v/>
      </c>
      <c r="H345" s="79" t="str">
        <f>IF(ISNUMBER(deployment_raw[[#This Row],[Column19]]), IF(I345&lt;&gt;0,(deployment_raw[[#This Row],[Column19]]/IF(OR($E$2="Deployment",deployment_raw[[#This Row],[Column5]]=0),1,deployment_raw[[#This Row],[Column5]]))/I345,0),"")</f>
        <v/>
      </c>
      <c r="I345" s="69" t="str">
        <f>IF(ISNUMBER(deployment_raw[[#This Row],[Column6]]), (deployment_raw[[#This Row],[Column6]] * IF($E$2="Deployment",deployment_raw[[#This Row],[Column5]],1)),"")</f>
        <v/>
      </c>
      <c r="J345" s="79" t="str">
        <f>IF(ISNUMBER(deployment_raw[[#This Row],[Column19]]), IF(K345&lt;&gt;0,(deployment_raw[[#This Row],[Column19]]/IF(OR($E$2="Deployment",deployment_raw[[#This Row],[Column5]]=0),1,deployment_raw[[#This Row],[Column5]]))/K345,0),"")</f>
        <v/>
      </c>
      <c r="K345" s="72" t="str">
        <f>IF(ISNUMBER(deployment_raw[[#This Row],[Column8]]), (deployment_raw[[#This Row],[Column8]]  * IF($E$2="Deployment",deployment_raw[[#This Row],[Column5]],1)),"")</f>
        <v/>
      </c>
      <c r="L34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4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45" s="81" t="str">
        <f>IF(ISNUMBER(deployment_raw[[#This Row],[Column20]]), IF(O345&lt;&gt;0,deployment_raw[[#This Row],[Column20]]/IF(OR($E$2="Deployment",deployment_raw[[#This Row],[Column5]]=0),1,deployment_raw[[#This Row],[Column5]])/1048576/O345,0),"")</f>
        <v/>
      </c>
      <c r="O345" s="74" t="str">
        <f>IF(ISNUMBER(deployment_raw[[#This Row],[Column7]]), (deployment_raw[[#This Row],[Column7]] * IF($E$2="Deployment",deployment_raw[[#This Row],[Column5]],1))/1048576,"")</f>
        <v/>
      </c>
      <c r="P345" s="81" t="str">
        <f>IF(ISNUMBER(deployment_raw[[#This Row],[Column20]]), IF(Q345&lt;&gt;0,deployment_raw[[#This Row],[Column20]]/IF(OR($E$2="Deployment",deployment_raw[[#This Row],[Column5]]=0),1,deployment_raw[[#This Row],[Column5]])/1048576/Q345,0),"")</f>
        <v/>
      </c>
      <c r="Q345" s="76" t="str">
        <f>IF(ISNUMBER(deployment_raw[[#This Row],[Column9]]), (deployment_raw[[#This Row],[Column9]] * IF($E$2="Deployment",deployment_raw[[#This Row],[Column5]],1))/1048576,"")</f>
        <v/>
      </c>
      <c r="R345" s="57" t="str">
        <f>IF(ISNUMBER(deployment_raw[[#This Row],[Column10]]), (deployment_raw[[#This Row],[Column10]] * IF($E$2="Deployment",deployment_raw[[#This Row],[Column5]],1)),"")</f>
        <v/>
      </c>
      <c r="S345" s="48" t="str">
        <f>IF(ISNUMBER(deployment_raw[[#This Row],[Column11]]), (deployment_raw[[#This Row],[Column11]] * IF($E$2="Deployment",deployment_raw[[#This Row],[Column5]],1))/1048576,"")</f>
        <v/>
      </c>
      <c r="T345" s="59" t="str">
        <f>IF(ISNUMBER(deployment_raw[[#This Row],[Column8]]),IF(OR(deployment_raw[[#This Row],[Column5]] &lt;&gt; 0,$E$2 &lt;&gt; "Deployment"), MAX(V345, ($T$2 * IF($E$2="Deployment",deployment_raw[[#This Row],[Column5]],1))), 0),"")</f>
        <v/>
      </c>
      <c r="U345" s="50" t="str">
        <f>IF(ISNUMBER(deployment_raw[[#This Row],[Column9]]),IF(OR(deployment_raw[[#This Row],[Column5]] &lt;&gt; 0,$E$2&lt;&gt;"Deployment"), MAX(W345, ($U$2 * IF($E$2="Deployment",deployment_raw[[#This Row],[Column5]],1))), 0),"")</f>
        <v/>
      </c>
      <c r="V345" s="15" t="str">
        <f>IF(ISNUMBER(deployment_raw[[#This Row],[Column12]]), (deployment_raw[[#This Row],[Column12]] * IF($E$2="Deployment",deployment_raw[[#This Row],[Column5]],1)*(1+$V$2)),"")</f>
        <v/>
      </c>
      <c r="W345" s="14" t="str">
        <f>IF(ISNUMBER(deployment_raw[[#This Row],[Column13]]), (deployment_raw[[#This Row],[Column13]] * IF($E$2="Deployment",deployment_raw[[#This Row],[Column5]],1)*(1+$W$2))/1048576,"")</f>
        <v/>
      </c>
    </row>
    <row r="346" spans="1:23" ht="15.75" customHeight="1" x14ac:dyDescent="0.25">
      <c r="A346" s="5" t="str">
        <f>IF(ISNONTEXT(deployment_raw[[#This Row],[Column1]]), "", deployment_raw[[#This Row],[Column1]])</f>
        <v/>
      </c>
      <c r="B346" s="6" t="str">
        <f>IF(ISNONTEXT(deployment_raw[[#This Row],[Column2]]), "", deployment_raw[[#This Row],[Column2]])</f>
        <v/>
      </c>
      <c r="C346" s="6" t="str">
        <f>IF(ISNONTEXT(deployment_raw[[#This Row],[Column3]]), "", deployment_raw[[#This Row],[Column3]])</f>
        <v/>
      </c>
      <c r="D346" s="6" t="str">
        <f>IF(ISNONTEXT(deployment_raw[[#This Row],[Column4]]), "", deployment_raw[[#This Row],[Column4]])</f>
        <v/>
      </c>
      <c r="E346" s="7" t="str">
        <f>IF(ISNUMBER(deployment_raw[[#This Row],[Column5]]), deployment_raw[[#This Row],[Column5]],"")</f>
        <v/>
      </c>
      <c r="F346" s="32" t="str">
        <f>IF(ISNUMBER(deployment_raw[[#This Row],[Column17]]), deployment_raw[[#This Row],[Column17]]/IF(OR($E$2="Deployment",deployment_raw[[#This Row],[Column5]]=0),1,deployment_raw[[#This Row],[Column5]]),"")</f>
        <v/>
      </c>
      <c r="G346" s="42" t="str">
        <f>IF(ISNUMBER(deployment_raw[[#This Row],[Column14]]), deployment_raw[[#This Row],[Column14]]/IF(OR($E$2="Deployment",deployment_raw[[#This Row],[Column5]]=0),1,deployment_raw[[#This Row],[Column5]]),"")</f>
        <v/>
      </c>
      <c r="H346" s="79" t="str">
        <f>IF(ISNUMBER(deployment_raw[[#This Row],[Column19]]), IF(I346&lt;&gt;0,(deployment_raw[[#This Row],[Column19]]/IF(OR($E$2="Deployment",deployment_raw[[#This Row],[Column5]]=0),1,deployment_raw[[#This Row],[Column5]]))/I346,0),"")</f>
        <v/>
      </c>
      <c r="I346" s="69" t="str">
        <f>IF(ISNUMBER(deployment_raw[[#This Row],[Column6]]), (deployment_raw[[#This Row],[Column6]] * IF($E$2="Deployment",deployment_raw[[#This Row],[Column5]],1)),"")</f>
        <v/>
      </c>
      <c r="J346" s="79" t="str">
        <f>IF(ISNUMBER(deployment_raw[[#This Row],[Column19]]), IF(K346&lt;&gt;0,(deployment_raw[[#This Row],[Column19]]/IF(OR($E$2="Deployment",deployment_raw[[#This Row],[Column5]]=0),1,deployment_raw[[#This Row],[Column5]]))/K346,0),"")</f>
        <v/>
      </c>
      <c r="K346" s="72" t="str">
        <f>IF(ISNUMBER(deployment_raw[[#This Row],[Column8]]), (deployment_raw[[#This Row],[Column8]]  * IF($E$2="Deployment",deployment_raw[[#This Row],[Column5]],1)),"")</f>
        <v/>
      </c>
      <c r="L34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4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46" s="81" t="str">
        <f>IF(ISNUMBER(deployment_raw[[#This Row],[Column20]]), IF(O346&lt;&gt;0,deployment_raw[[#This Row],[Column20]]/IF(OR($E$2="Deployment",deployment_raw[[#This Row],[Column5]]=0),1,deployment_raw[[#This Row],[Column5]])/1048576/O346,0),"")</f>
        <v/>
      </c>
      <c r="O346" s="74" t="str">
        <f>IF(ISNUMBER(deployment_raw[[#This Row],[Column7]]), (deployment_raw[[#This Row],[Column7]] * IF($E$2="Deployment",deployment_raw[[#This Row],[Column5]],1))/1048576,"")</f>
        <v/>
      </c>
      <c r="P346" s="81" t="str">
        <f>IF(ISNUMBER(deployment_raw[[#This Row],[Column20]]), IF(Q346&lt;&gt;0,deployment_raw[[#This Row],[Column20]]/IF(OR($E$2="Deployment",deployment_raw[[#This Row],[Column5]]=0),1,deployment_raw[[#This Row],[Column5]])/1048576/Q346,0),"")</f>
        <v/>
      </c>
      <c r="Q346" s="76" t="str">
        <f>IF(ISNUMBER(deployment_raw[[#This Row],[Column9]]), (deployment_raw[[#This Row],[Column9]] * IF($E$2="Deployment",deployment_raw[[#This Row],[Column5]],1))/1048576,"")</f>
        <v/>
      </c>
      <c r="R346" s="57" t="str">
        <f>IF(ISNUMBER(deployment_raw[[#This Row],[Column10]]), (deployment_raw[[#This Row],[Column10]] * IF($E$2="Deployment",deployment_raw[[#This Row],[Column5]],1)),"")</f>
        <v/>
      </c>
      <c r="S346" s="48" t="str">
        <f>IF(ISNUMBER(deployment_raw[[#This Row],[Column11]]), (deployment_raw[[#This Row],[Column11]] * IF($E$2="Deployment",deployment_raw[[#This Row],[Column5]],1))/1048576,"")</f>
        <v/>
      </c>
      <c r="T346" s="59" t="str">
        <f>IF(ISNUMBER(deployment_raw[[#This Row],[Column8]]),IF(OR(deployment_raw[[#This Row],[Column5]] &lt;&gt; 0,$E$2 &lt;&gt; "Deployment"), MAX(V346, ($T$2 * IF($E$2="Deployment",deployment_raw[[#This Row],[Column5]],1))), 0),"")</f>
        <v/>
      </c>
      <c r="U346" s="50" t="str">
        <f>IF(ISNUMBER(deployment_raw[[#This Row],[Column9]]),IF(OR(deployment_raw[[#This Row],[Column5]] &lt;&gt; 0,$E$2&lt;&gt;"Deployment"), MAX(W346, ($U$2 * IF($E$2="Deployment",deployment_raw[[#This Row],[Column5]],1))), 0),"")</f>
        <v/>
      </c>
      <c r="V346" s="15" t="str">
        <f>IF(ISNUMBER(deployment_raw[[#This Row],[Column12]]), (deployment_raw[[#This Row],[Column12]] * IF($E$2="Deployment",deployment_raw[[#This Row],[Column5]],1)*(1+$V$2)),"")</f>
        <v/>
      </c>
      <c r="W346" s="14" t="str">
        <f>IF(ISNUMBER(deployment_raw[[#This Row],[Column13]]), (deployment_raw[[#This Row],[Column13]] * IF($E$2="Deployment",deployment_raw[[#This Row],[Column5]],1)*(1+$W$2))/1048576,"")</f>
        <v/>
      </c>
    </row>
    <row r="347" spans="1:23" ht="15.75" customHeight="1" x14ac:dyDescent="0.25">
      <c r="A347" s="5" t="str">
        <f>IF(ISNONTEXT(deployment_raw[[#This Row],[Column1]]), "", deployment_raw[[#This Row],[Column1]])</f>
        <v/>
      </c>
      <c r="B347" s="6" t="str">
        <f>IF(ISNONTEXT(deployment_raw[[#This Row],[Column2]]), "", deployment_raw[[#This Row],[Column2]])</f>
        <v/>
      </c>
      <c r="C347" s="6" t="str">
        <f>IF(ISNONTEXT(deployment_raw[[#This Row],[Column3]]), "", deployment_raw[[#This Row],[Column3]])</f>
        <v/>
      </c>
      <c r="D347" s="6" t="str">
        <f>IF(ISNONTEXT(deployment_raw[[#This Row],[Column4]]), "", deployment_raw[[#This Row],[Column4]])</f>
        <v/>
      </c>
      <c r="E347" s="7" t="str">
        <f>IF(ISNUMBER(deployment_raw[[#This Row],[Column5]]), deployment_raw[[#This Row],[Column5]],"")</f>
        <v/>
      </c>
      <c r="F347" s="32" t="str">
        <f>IF(ISNUMBER(deployment_raw[[#This Row],[Column17]]), deployment_raw[[#This Row],[Column17]]/IF(OR($E$2="Deployment",deployment_raw[[#This Row],[Column5]]=0),1,deployment_raw[[#This Row],[Column5]]),"")</f>
        <v/>
      </c>
      <c r="G347" s="42" t="str">
        <f>IF(ISNUMBER(deployment_raw[[#This Row],[Column14]]), deployment_raw[[#This Row],[Column14]]/IF(OR($E$2="Deployment",deployment_raw[[#This Row],[Column5]]=0),1,deployment_raw[[#This Row],[Column5]]),"")</f>
        <v/>
      </c>
      <c r="H347" s="79" t="str">
        <f>IF(ISNUMBER(deployment_raw[[#This Row],[Column19]]), IF(I347&lt;&gt;0,(deployment_raw[[#This Row],[Column19]]/IF(OR($E$2="Deployment",deployment_raw[[#This Row],[Column5]]=0),1,deployment_raw[[#This Row],[Column5]]))/I347,0),"")</f>
        <v/>
      </c>
      <c r="I347" s="69" t="str">
        <f>IF(ISNUMBER(deployment_raw[[#This Row],[Column6]]), (deployment_raw[[#This Row],[Column6]] * IF($E$2="Deployment",deployment_raw[[#This Row],[Column5]],1)),"")</f>
        <v/>
      </c>
      <c r="J347" s="79" t="str">
        <f>IF(ISNUMBER(deployment_raw[[#This Row],[Column19]]), IF(K347&lt;&gt;0,(deployment_raw[[#This Row],[Column19]]/IF(OR($E$2="Deployment",deployment_raw[[#This Row],[Column5]]=0),1,deployment_raw[[#This Row],[Column5]]))/K347,0),"")</f>
        <v/>
      </c>
      <c r="K347" s="72" t="str">
        <f>IF(ISNUMBER(deployment_raw[[#This Row],[Column8]]), (deployment_raw[[#This Row],[Column8]]  * IF($E$2="Deployment",deployment_raw[[#This Row],[Column5]],1)),"")</f>
        <v/>
      </c>
      <c r="L34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4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47" s="81" t="str">
        <f>IF(ISNUMBER(deployment_raw[[#This Row],[Column20]]), IF(O347&lt;&gt;0,deployment_raw[[#This Row],[Column20]]/IF(OR($E$2="Deployment",deployment_raw[[#This Row],[Column5]]=0),1,deployment_raw[[#This Row],[Column5]])/1048576/O347,0),"")</f>
        <v/>
      </c>
      <c r="O347" s="74" t="str">
        <f>IF(ISNUMBER(deployment_raw[[#This Row],[Column7]]), (deployment_raw[[#This Row],[Column7]] * IF($E$2="Deployment",deployment_raw[[#This Row],[Column5]],1))/1048576,"")</f>
        <v/>
      </c>
      <c r="P347" s="81" t="str">
        <f>IF(ISNUMBER(deployment_raw[[#This Row],[Column20]]), IF(Q347&lt;&gt;0,deployment_raw[[#This Row],[Column20]]/IF(OR($E$2="Deployment",deployment_raw[[#This Row],[Column5]]=0),1,deployment_raw[[#This Row],[Column5]])/1048576/Q347,0),"")</f>
        <v/>
      </c>
      <c r="Q347" s="76" t="str">
        <f>IF(ISNUMBER(deployment_raw[[#This Row],[Column9]]), (deployment_raw[[#This Row],[Column9]] * IF($E$2="Deployment",deployment_raw[[#This Row],[Column5]],1))/1048576,"")</f>
        <v/>
      </c>
      <c r="R347" s="57" t="str">
        <f>IF(ISNUMBER(deployment_raw[[#This Row],[Column10]]), (deployment_raw[[#This Row],[Column10]] * IF($E$2="Deployment",deployment_raw[[#This Row],[Column5]],1)),"")</f>
        <v/>
      </c>
      <c r="S347" s="48" t="str">
        <f>IF(ISNUMBER(deployment_raw[[#This Row],[Column11]]), (deployment_raw[[#This Row],[Column11]] * IF($E$2="Deployment",deployment_raw[[#This Row],[Column5]],1))/1048576,"")</f>
        <v/>
      </c>
      <c r="T347" s="59" t="str">
        <f>IF(ISNUMBER(deployment_raw[[#This Row],[Column8]]),IF(OR(deployment_raw[[#This Row],[Column5]] &lt;&gt; 0,$E$2 &lt;&gt; "Deployment"), MAX(V347, ($T$2 * IF($E$2="Deployment",deployment_raw[[#This Row],[Column5]],1))), 0),"")</f>
        <v/>
      </c>
      <c r="U347" s="50" t="str">
        <f>IF(ISNUMBER(deployment_raw[[#This Row],[Column9]]),IF(OR(deployment_raw[[#This Row],[Column5]] &lt;&gt; 0,$E$2&lt;&gt;"Deployment"), MAX(W347, ($U$2 * IF($E$2="Deployment",deployment_raw[[#This Row],[Column5]],1))), 0),"")</f>
        <v/>
      </c>
      <c r="V347" s="15" t="str">
        <f>IF(ISNUMBER(deployment_raw[[#This Row],[Column12]]), (deployment_raw[[#This Row],[Column12]] * IF($E$2="Deployment",deployment_raw[[#This Row],[Column5]],1)*(1+$V$2)),"")</f>
        <v/>
      </c>
      <c r="W347" s="14" t="str">
        <f>IF(ISNUMBER(deployment_raw[[#This Row],[Column13]]), (deployment_raw[[#This Row],[Column13]] * IF($E$2="Deployment",deployment_raw[[#This Row],[Column5]],1)*(1+$W$2))/1048576,"")</f>
        <v/>
      </c>
    </row>
    <row r="348" spans="1:23" ht="15.75" customHeight="1" x14ac:dyDescent="0.25">
      <c r="A348" s="5" t="str">
        <f>IF(ISNONTEXT(deployment_raw[[#This Row],[Column1]]), "", deployment_raw[[#This Row],[Column1]])</f>
        <v/>
      </c>
      <c r="B348" s="6" t="str">
        <f>IF(ISNONTEXT(deployment_raw[[#This Row],[Column2]]), "", deployment_raw[[#This Row],[Column2]])</f>
        <v/>
      </c>
      <c r="C348" s="6" t="str">
        <f>IF(ISNONTEXT(deployment_raw[[#This Row],[Column3]]), "", deployment_raw[[#This Row],[Column3]])</f>
        <v/>
      </c>
      <c r="D348" s="6" t="str">
        <f>IF(ISNONTEXT(deployment_raw[[#This Row],[Column4]]), "", deployment_raw[[#This Row],[Column4]])</f>
        <v/>
      </c>
      <c r="E348" s="7" t="str">
        <f>IF(ISNUMBER(deployment_raw[[#This Row],[Column5]]), deployment_raw[[#This Row],[Column5]],"")</f>
        <v/>
      </c>
      <c r="F348" s="32" t="str">
        <f>IF(ISNUMBER(deployment_raw[[#This Row],[Column17]]), deployment_raw[[#This Row],[Column17]]/IF(OR($E$2="Deployment",deployment_raw[[#This Row],[Column5]]=0),1,deployment_raw[[#This Row],[Column5]]),"")</f>
        <v/>
      </c>
      <c r="G348" s="42" t="str">
        <f>IF(ISNUMBER(deployment_raw[[#This Row],[Column14]]), deployment_raw[[#This Row],[Column14]]/IF(OR($E$2="Deployment",deployment_raw[[#This Row],[Column5]]=0),1,deployment_raw[[#This Row],[Column5]]),"")</f>
        <v/>
      </c>
      <c r="H348" s="79" t="str">
        <f>IF(ISNUMBER(deployment_raw[[#This Row],[Column19]]), IF(I348&lt;&gt;0,(deployment_raw[[#This Row],[Column19]]/IF(OR($E$2="Deployment",deployment_raw[[#This Row],[Column5]]=0),1,deployment_raw[[#This Row],[Column5]]))/I348,0),"")</f>
        <v/>
      </c>
      <c r="I348" s="69" t="str">
        <f>IF(ISNUMBER(deployment_raw[[#This Row],[Column6]]), (deployment_raw[[#This Row],[Column6]] * IF($E$2="Deployment",deployment_raw[[#This Row],[Column5]],1)),"")</f>
        <v/>
      </c>
      <c r="J348" s="79" t="str">
        <f>IF(ISNUMBER(deployment_raw[[#This Row],[Column19]]), IF(K348&lt;&gt;0,(deployment_raw[[#This Row],[Column19]]/IF(OR($E$2="Deployment",deployment_raw[[#This Row],[Column5]]=0),1,deployment_raw[[#This Row],[Column5]]))/K348,0),"")</f>
        <v/>
      </c>
      <c r="K348" s="72" t="str">
        <f>IF(ISNUMBER(deployment_raw[[#This Row],[Column8]]), (deployment_raw[[#This Row],[Column8]]  * IF($E$2="Deployment",deployment_raw[[#This Row],[Column5]],1)),"")</f>
        <v/>
      </c>
      <c r="L34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4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48" s="81" t="str">
        <f>IF(ISNUMBER(deployment_raw[[#This Row],[Column20]]), IF(O348&lt;&gt;0,deployment_raw[[#This Row],[Column20]]/IF(OR($E$2="Deployment",deployment_raw[[#This Row],[Column5]]=0),1,deployment_raw[[#This Row],[Column5]])/1048576/O348,0),"")</f>
        <v/>
      </c>
      <c r="O348" s="74" t="str">
        <f>IF(ISNUMBER(deployment_raw[[#This Row],[Column7]]), (deployment_raw[[#This Row],[Column7]] * IF($E$2="Deployment",deployment_raw[[#This Row],[Column5]],1))/1048576,"")</f>
        <v/>
      </c>
      <c r="P348" s="81" t="str">
        <f>IF(ISNUMBER(deployment_raw[[#This Row],[Column20]]), IF(Q348&lt;&gt;0,deployment_raw[[#This Row],[Column20]]/IF(OR($E$2="Deployment",deployment_raw[[#This Row],[Column5]]=0),1,deployment_raw[[#This Row],[Column5]])/1048576/Q348,0),"")</f>
        <v/>
      </c>
      <c r="Q348" s="76" t="str">
        <f>IF(ISNUMBER(deployment_raw[[#This Row],[Column9]]), (deployment_raw[[#This Row],[Column9]] * IF($E$2="Deployment",deployment_raw[[#This Row],[Column5]],1))/1048576,"")</f>
        <v/>
      </c>
      <c r="R348" s="57" t="str">
        <f>IF(ISNUMBER(deployment_raw[[#This Row],[Column10]]), (deployment_raw[[#This Row],[Column10]] * IF($E$2="Deployment",deployment_raw[[#This Row],[Column5]],1)),"")</f>
        <v/>
      </c>
      <c r="S348" s="48" t="str">
        <f>IF(ISNUMBER(deployment_raw[[#This Row],[Column11]]), (deployment_raw[[#This Row],[Column11]] * IF($E$2="Deployment",deployment_raw[[#This Row],[Column5]],1))/1048576,"")</f>
        <v/>
      </c>
      <c r="T348" s="59" t="str">
        <f>IF(ISNUMBER(deployment_raw[[#This Row],[Column8]]),IF(OR(deployment_raw[[#This Row],[Column5]] &lt;&gt; 0,$E$2 &lt;&gt; "Deployment"), MAX(V348, ($T$2 * IF($E$2="Deployment",deployment_raw[[#This Row],[Column5]],1))), 0),"")</f>
        <v/>
      </c>
      <c r="U348" s="50" t="str">
        <f>IF(ISNUMBER(deployment_raw[[#This Row],[Column9]]),IF(OR(deployment_raw[[#This Row],[Column5]] &lt;&gt; 0,$E$2&lt;&gt;"Deployment"), MAX(W348, ($U$2 * IF($E$2="Deployment",deployment_raw[[#This Row],[Column5]],1))), 0),"")</f>
        <v/>
      </c>
      <c r="V348" s="15" t="str">
        <f>IF(ISNUMBER(deployment_raw[[#This Row],[Column12]]), (deployment_raw[[#This Row],[Column12]] * IF($E$2="Deployment",deployment_raw[[#This Row],[Column5]],1)*(1+$V$2)),"")</f>
        <v/>
      </c>
      <c r="W348" s="14" t="str">
        <f>IF(ISNUMBER(deployment_raw[[#This Row],[Column13]]), (deployment_raw[[#This Row],[Column13]] * IF($E$2="Deployment",deployment_raw[[#This Row],[Column5]],1)*(1+$W$2))/1048576,"")</f>
        <v/>
      </c>
    </row>
    <row r="349" spans="1:23" ht="15.75" customHeight="1" x14ac:dyDescent="0.25">
      <c r="A349" s="5" t="str">
        <f>IF(ISNONTEXT(deployment_raw[[#This Row],[Column1]]), "", deployment_raw[[#This Row],[Column1]])</f>
        <v/>
      </c>
      <c r="B349" s="6" t="str">
        <f>IF(ISNONTEXT(deployment_raw[[#This Row],[Column2]]), "", deployment_raw[[#This Row],[Column2]])</f>
        <v/>
      </c>
      <c r="C349" s="6" t="str">
        <f>IF(ISNONTEXT(deployment_raw[[#This Row],[Column3]]), "", deployment_raw[[#This Row],[Column3]])</f>
        <v/>
      </c>
      <c r="D349" s="6" t="str">
        <f>IF(ISNONTEXT(deployment_raw[[#This Row],[Column4]]), "", deployment_raw[[#This Row],[Column4]])</f>
        <v/>
      </c>
      <c r="E349" s="7" t="str">
        <f>IF(ISNUMBER(deployment_raw[[#This Row],[Column5]]), deployment_raw[[#This Row],[Column5]],"")</f>
        <v/>
      </c>
      <c r="F349" s="32" t="str">
        <f>IF(ISNUMBER(deployment_raw[[#This Row],[Column17]]), deployment_raw[[#This Row],[Column17]]/IF(OR($E$2="Deployment",deployment_raw[[#This Row],[Column5]]=0),1,deployment_raw[[#This Row],[Column5]]),"")</f>
        <v/>
      </c>
      <c r="G349" s="42" t="str">
        <f>IF(ISNUMBER(deployment_raw[[#This Row],[Column14]]), deployment_raw[[#This Row],[Column14]]/IF(OR($E$2="Deployment",deployment_raw[[#This Row],[Column5]]=0),1,deployment_raw[[#This Row],[Column5]]),"")</f>
        <v/>
      </c>
      <c r="H349" s="79" t="str">
        <f>IF(ISNUMBER(deployment_raw[[#This Row],[Column19]]), IF(I349&lt;&gt;0,(deployment_raw[[#This Row],[Column19]]/IF(OR($E$2="Deployment",deployment_raw[[#This Row],[Column5]]=0),1,deployment_raw[[#This Row],[Column5]]))/I349,0),"")</f>
        <v/>
      </c>
      <c r="I349" s="69" t="str">
        <f>IF(ISNUMBER(deployment_raw[[#This Row],[Column6]]), (deployment_raw[[#This Row],[Column6]] * IF($E$2="Deployment",deployment_raw[[#This Row],[Column5]],1)),"")</f>
        <v/>
      </c>
      <c r="J349" s="79" t="str">
        <f>IF(ISNUMBER(deployment_raw[[#This Row],[Column19]]), IF(K349&lt;&gt;0,(deployment_raw[[#This Row],[Column19]]/IF(OR($E$2="Deployment",deployment_raw[[#This Row],[Column5]]=0),1,deployment_raw[[#This Row],[Column5]]))/K349,0),"")</f>
        <v/>
      </c>
      <c r="K349" s="72" t="str">
        <f>IF(ISNUMBER(deployment_raw[[#This Row],[Column8]]), (deployment_raw[[#This Row],[Column8]]  * IF($E$2="Deployment",deployment_raw[[#This Row],[Column5]],1)),"")</f>
        <v/>
      </c>
      <c r="L34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4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49" s="81" t="str">
        <f>IF(ISNUMBER(deployment_raw[[#This Row],[Column20]]), IF(O349&lt;&gt;0,deployment_raw[[#This Row],[Column20]]/IF(OR($E$2="Deployment",deployment_raw[[#This Row],[Column5]]=0),1,deployment_raw[[#This Row],[Column5]])/1048576/O349,0),"")</f>
        <v/>
      </c>
      <c r="O349" s="74" t="str">
        <f>IF(ISNUMBER(deployment_raw[[#This Row],[Column7]]), (deployment_raw[[#This Row],[Column7]] * IF($E$2="Deployment",deployment_raw[[#This Row],[Column5]],1))/1048576,"")</f>
        <v/>
      </c>
      <c r="P349" s="81" t="str">
        <f>IF(ISNUMBER(deployment_raw[[#This Row],[Column20]]), IF(Q349&lt;&gt;0,deployment_raw[[#This Row],[Column20]]/IF(OR($E$2="Deployment",deployment_raw[[#This Row],[Column5]]=0),1,deployment_raw[[#This Row],[Column5]])/1048576/Q349,0),"")</f>
        <v/>
      </c>
      <c r="Q349" s="76" t="str">
        <f>IF(ISNUMBER(deployment_raw[[#This Row],[Column9]]), (deployment_raw[[#This Row],[Column9]] * IF($E$2="Deployment",deployment_raw[[#This Row],[Column5]],1))/1048576,"")</f>
        <v/>
      </c>
      <c r="R349" s="57" t="str">
        <f>IF(ISNUMBER(deployment_raw[[#This Row],[Column10]]), (deployment_raw[[#This Row],[Column10]] * IF($E$2="Deployment",deployment_raw[[#This Row],[Column5]],1)),"")</f>
        <v/>
      </c>
      <c r="S349" s="48" t="str">
        <f>IF(ISNUMBER(deployment_raw[[#This Row],[Column11]]), (deployment_raw[[#This Row],[Column11]] * IF($E$2="Deployment",deployment_raw[[#This Row],[Column5]],1))/1048576,"")</f>
        <v/>
      </c>
      <c r="T349" s="59" t="str">
        <f>IF(ISNUMBER(deployment_raw[[#This Row],[Column8]]),IF(OR(deployment_raw[[#This Row],[Column5]] &lt;&gt; 0,$E$2 &lt;&gt; "Deployment"), MAX(V349, ($T$2 * IF($E$2="Deployment",deployment_raw[[#This Row],[Column5]],1))), 0),"")</f>
        <v/>
      </c>
      <c r="U349" s="50" t="str">
        <f>IF(ISNUMBER(deployment_raw[[#This Row],[Column9]]),IF(OR(deployment_raw[[#This Row],[Column5]] &lt;&gt; 0,$E$2&lt;&gt;"Deployment"), MAX(W349, ($U$2 * IF($E$2="Deployment",deployment_raw[[#This Row],[Column5]],1))), 0),"")</f>
        <v/>
      </c>
      <c r="V349" s="15" t="str">
        <f>IF(ISNUMBER(deployment_raw[[#This Row],[Column12]]), (deployment_raw[[#This Row],[Column12]] * IF($E$2="Deployment",deployment_raw[[#This Row],[Column5]],1)*(1+$V$2)),"")</f>
        <v/>
      </c>
      <c r="W349" s="14" t="str">
        <f>IF(ISNUMBER(deployment_raw[[#This Row],[Column13]]), (deployment_raw[[#This Row],[Column13]] * IF($E$2="Deployment",deployment_raw[[#This Row],[Column5]],1)*(1+$W$2))/1048576,"")</f>
        <v/>
      </c>
    </row>
    <row r="350" spans="1:23" ht="15.75" customHeight="1" x14ac:dyDescent="0.25">
      <c r="A350" s="5" t="str">
        <f>IF(ISNONTEXT(deployment_raw[[#This Row],[Column1]]), "", deployment_raw[[#This Row],[Column1]])</f>
        <v/>
      </c>
      <c r="B350" s="6" t="str">
        <f>IF(ISNONTEXT(deployment_raw[[#This Row],[Column2]]), "", deployment_raw[[#This Row],[Column2]])</f>
        <v/>
      </c>
      <c r="C350" s="6" t="str">
        <f>IF(ISNONTEXT(deployment_raw[[#This Row],[Column3]]), "", deployment_raw[[#This Row],[Column3]])</f>
        <v/>
      </c>
      <c r="D350" s="6" t="str">
        <f>IF(ISNONTEXT(deployment_raw[[#This Row],[Column4]]), "", deployment_raw[[#This Row],[Column4]])</f>
        <v/>
      </c>
      <c r="E350" s="7" t="str">
        <f>IF(ISNUMBER(deployment_raw[[#This Row],[Column5]]), deployment_raw[[#This Row],[Column5]],"")</f>
        <v/>
      </c>
      <c r="F350" s="32" t="str">
        <f>IF(ISNUMBER(deployment_raw[[#This Row],[Column17]]), deployment_raw[[#This Row],[Column17]]/IF(OR($E$2="Deployment",deployment_raw[[#This Row],[Column5]]=0),1,deployment_raw[[#This Row],[Column5]]),"")</f>
        <v/>
      </c>
      <c r="G350" s="42" t="str">
        <f>IF(ISNUMBER(deployment_raw[[#This Row],[Column14]]), deployment_raw[[#This Row],[Column14]]/IF(OR($E$2="Deployment",deployment_raw[[#This Row],[Column5]]=0),1,deployment_raw[[#This Row],[Column5]]),"")</f>
        <v/>
      </c>
      <c r="H350" s="79" t="str">
        <f>IF(ISNUMBER(deployment_raw[[#This Row],[Column19]]), IF(I350&lt;&gt;0,(deployment_raw[[#This Row],[Column19]]/IF(OR($E$2="Deployment",deployment_raw[[#This Row],[Column5]]=0),1,deployment_raw[[#This Row],[Column5]]))/I350,0),"")</f>
        <v/>
      </c>
      <c r="I350" s="69" t="str">
        <f>IF(ISNUMBER(deployment_raw[[#This Row],[Column6]]), (deployment_raw[[#This Row],[Column6]] * IF($E$2="Deployment",deployment_raw[[#This Row],[Column5]],1)),"")</f>
        <v/>
      </c>
      <c r="J350" s="79" t="str">
        <f>IF(ISNUMBER(deployment_raw[[#This Row],[Column19]]), IF(K350&lt;&gt;0,(deployment_raw[[#This Row],[Column19]]/IF(OR($E$2="Deployment",deployment_raw[[#This Row],[Column5]]=0),1,deployment_raw[[#This Row],[Column5]]))/K350,0),"")</f>
        <v/>
      </c>
      <c r="K350" s="72" t="str">
        <f>IF(ISNUMBER(deployment_raw[[#This Row],[Column8]]), (deployment_raw[[#This Row],[Column8]]  * IF($E$2="Deployment",deployment_raw[[#This Row],[Column5]],1)),"")</f>
        <v/>
      </c>
      <c r="L35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5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50" s="81" t="str">
        <f>IF(ISNUMBER(deployment_raw[[#This Row],[Column20]]), IF(O350&lt;&gt;0,deployment_raw[[#This Row],[Column20]]/IF(OR($E$2="Deployment",deployment_raw[[#This Row],[Column5]]=0),1,deployment_raw[[#This Row],[Column5]])/1048576/O350,0),"")</f>
        <v/>
      </c>
      <c r="O350" s="74" t="str">
        <f>IF(ISNUMBER(deployment_raw[[#This Row],[Column7]]), (deployment_raw[[#This Row],[Column7]] * IF($E$2="Deployment",deployment_raw[[#This Row],[Column5]],1))/1048576,"")</f>
        <v/>
      </c>
      <c r="P350" s="81" t="str">
        <f>IF(ISNUMBER(deployment_raw[[#This Row],[Column20]]), IF(Q350&lt;&gt;0,deployment_raw[[#This Row],[Column20]]/IF(OR($E$2="Deployment",deployment_raw[[#This Row],[Column5]]=0),1,deployment_raw[[#This Row],[Column5]])/1048576/Q350,0),"")</f>
        <v/>
      </c>
      <c r="Q350" s="76" t="str">
        <f>IF(ISNUMBER(deployment_raw[[#This Row],[Column9]]), (deployment_raw[[#This Row],[Column9]] * IF($E$2="Deployment",deployment_raw[[#This Row],[Column5]],1))/1048576,"")</f>
        <v/>
      </c>
      <c r="R350" s="57" t="str">
        <f>IF(ISNUMBER(deployment_raw[[#This Row],[Column10]]), (deployment_raw[[#This Row],[Column10]] * IF($E$2="Deployment",deployment_raw[[#This Row],[Column5]],1)),"")</f>
        <v/>
      </c>
      <c r="S350" s="48" t="str">
        <f>IF(ISNUMBER(deployment_raw[[#This Row],[Column11]]), (deployment_raw[[#This Row],[Column11]] * IF($E$2="Deployment",deployment_raw[[#This Row],[Column5]],1))/1048576,"")</f>
        <v/>
      </c>
      <c r="T350" s="59" t="str">
        <f>IF(ISNUMBER(deployment_raw[[#This Row],[Column8]]),IF(OR(deployment_raw[[#This Row],[Column5]] &lt;&gt; 0,$E$2 &lt;&gt; "Deployment"), MAX(V350, ($T$2 * IF($E$2="Deployment",deployment_raw[[#This Row],[Column5]],1))), 0),"")</f>
        <v/>
      </c>
      <c r="U350" s="50" t="str">
        <f>IF(ISNUMBER(deployment_raw[[#This Row],[Column9]]),IF(OR(deployment_raw[[#This Row],[Column5]] &lt;&gt; 0,$E$2&lt;&gt;"Deployment"), MAX(W350, ($U$2 * IF($E$2="Deployment",deployment_raw[[#This Row],[Column5]],1))), 0),"")</f>
        <v/>
      </c>
      <c r="V350" s="15" t="str">
        <f>IF(ISNUMBER(deployment_raw[[#This Row],[Column12]]), (deployment_raw[[#This Row],[Column12]] * IF($E$2="Deployment",deployment_raw[[#This Row],[Column5]],1)*(1+$V$2)),"")</f>
        <v/>
      </c>
      <c r="W350" s="14" t="str">
        <f>IF(ISNUMBER(deployment_raw[[#This Row],[Column13]]), (deployment_raw[[#This Row],[Column13]] * IF($E$2="Deployment",deployment_raw[[#This Row],[Column5]],1)*(1+$W$2))/1048576,"")</f>
        <v/>
      </c>
    </row>
    <row r="351" spans="1:23" ht="15.75" customHeight="1" x14ac:dyDescent="0.25">
      <c r="A351" s="5" t="str">
        <f>IF(ISNONTEXT(deployment_raw[[#This Row],[Column1]]), "", deployment_raw[[#This Row],[Column1]])</f>
        <v/>
      </c>
      <c r="B351" s="6" t="str">
        <f>IF(ISNONTEXT(deployment_raw[[#This Row],[Column2]]), "", deployment_raw[[#This Row],[Column2]])</f>
        <v/>
      </c>
      <c r="C351" s="6" t="str">
        <f>IF(ISNONTEXT(deployment_raw[[#This Row],[Column3]]), "", deployment_raw[[#This Row],[Column3]])</f>
        <v/>
      </c>
      <c r="D351" s="6" t="str">
        <f>IF(ISNONTEXT(deployment_raw[[#This Row],[Column4]]), "", deployment_raw[[#This Row],[Column4]])</f>
        <v/>
      </c>
      <c r="E351" s="7" t="str">
        <f>IF(ISNUMBER(deployment_raw[[#This Row],[Column5]]), deployment_raw[[#This Row],[Column5]],"")</f>
        <v/>
      </c>
      <c r="F351" s="32" t="str">
        <f>IF(ISNUMBER(deployment_raw[[#This Row],[Column17]]), deployment_raw[[#This Row],[Column17]]/IF(OR($E$2="Deployment",deployment_raw[[#This Row],[Column5]]=0),1,deployment_raw[[#This Row],[Column5]]),"")</f>
        <v/>
      </c>
      <c r="G351" s="42" t="str">
        <f>IF(ISNUMBER(deployment_raw[[#This Row],[Column14]]), deployment_raw[[#This Row],[Column14]]/IF(OR($E$2="Deployment",deployment_raw[[#This Row],[Column5]]=0),1,deployment_raw[[#This Row],[Column5]]),"")</f>
        <v/>
      </c>
      <c r="H351" s="79" t="str">
        <f>IF(ISNUMBER(deployment_raw[[#This Row],[Column19]]), IF(I351&lt;&gt;0,(deployment_raw[[#This Row],[Column19]]/IF(OR($E$2="Deployment",deployment_raw[[#This Row],[Column5]]=0),1,deployment_raw[[#This Row],[Column5]]))/I351,0),"")</f>
        <v/>
      </c>
      <c r="I351" s="69" t="str">
        <f>IF(ISNUMBER(deployment_raw[[#This Row],[Column6]]), (deployment_raw[[#This Row],[Column6]] * IF($E$2="Deployment",deployment_raw[[#This Row],[Column5]],1)),"")</f>
        <v/>
      </c>
      <c r="J351" s="79" t="str">
        <f>IF(ISNUMBER(deployment_raw[[#This Row],[Column19]]), IF(K351&lt;&gt;0,(deployment_raw[[#This Row],[Column19]]/IF(OR($E$2="Deployment",deployment_raw[[#This Row],[Column5]]=0),1,deployment_raw[[#This Row],[Column5]]))/K351,0),"")</f>
        <v/>
      </c>
      <c r="K351" s="72" t="str">
        <f>IF(ISNUMBER(deployment_raw[[#This Row],[Column8]]), (deployment_raw[[#This Row],[Column8]]  * IF($E$2="Deployment",deployment_raw[[#This Row],[Column5]],1)),"")</f>
        <v/>
      </c>
      <c r="L35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5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51" s="81" t="str">
        <f>IF(ISNUMBER(deployment_raw[[#This Row],[Column20]]), IF(O351&lt;&gt;0,deployment_raw[[#This Row],[Column20]]/IF(OR($E$2="Deployment",deployment_raw[[#This Row],[Column5]]=0),1,deployment_raw[[#This Row],[Column5]])/1048576/O351,0),"")</f>
        <v/>
      </c>
      <c r="O351" s="74" t="str">
        <f>IF(ISNUMBER(deployment_raw[[#This Row],[Column7]]), (deployment_raw[[#This Row],[Column7]] * IF($E$2="Deployment",deployment_raw[[#This Row],[Column5]],1))/1048576,"")</f>
        <v/>
      </c>
      <c r="P351" s="81" t="str">
        <f>IF(ISNUMBER(deployment_raw[[#This Row],[Column20]]), IF(Q351&lt;&gt;0,deployment_raw[[#This Row],[Column20]]/IF(OR($E$2="Deployment",deployment_raw[[#This Row],[Column5]]=0),1,deployment_raw[[#This Row],[Column5]])/1048576/Q351,0),"")</f>
        <v/>
      </c>
      <c r="Q351" s="76" t="str">
        <f>IF(ISNUMBER(deployment_raw[[#This Row],[Column9]]), (deployment_raw[[#This Row],[Column9]] * IF($E$2="Deployment",deployment_raw[[#This Row],[Column5]],1))/1048576,"")</f>
        <v/>
      </c>
      <c r="R351" s="57" t="str">
        <f>IF(ISNUMBER(deployment_raw[[#This Row],[Column10]]), (deployment_raw[[#This Row],[Column10]] * IF($E$2="Deployment",deployment_raw[[#This Row],[Column5]],1)),"")</f>
        <v/>
      </c>
      <c r="S351" s="48" t="str">
        <f>IF(ISNUMBER(deployment_raw[[#This Row],[Column11]]), (deployment_raw[[#This Row],[Column11]] * IF($E$2="Deployment",deployment_raw[[#This Row],[Column5]],1))/1048576,"")</f>
        <v/>
      </c>
      <c r="T351" s="59" t="str">
        <f>IF(ISNUMBER(deployment_raw[[#This Row],[Column8]]),IF(OR(deployment_raw[[#This Row],[Column5]] &lt;&gt; 0,$E$2 &lt;&gt; "Deployment"), MAX(V351, ($T$2 * IF($E$2="Deployment",deployment_raw[[#This Row],[Column5]],1))), 0),"")</f>
        <v/>
      </c>
      <c r="U351" s="50" t="str">
        <f>IF(ISNUMBER(deployment_raw[[#This Row],[Column9]]),IF(OR(deployment_raw[[#This Row],[Column5]] &lt;&gt; 0,$E$2&lt;&gt;"Deployment"), MAX(W351, ($U$2 * IF($E$2="Deployment",deployment_raw[[#This Row],[Column5]],1))), 0),"")</f>
        <v/>
      </c>
      <c r="V351" s="15" t="str">
        <f>IF(ISNUMBER(deployment_raw[[#This Row],[Column12]]), (deployment_raw[[#This Row],[Column12]] * IF($E$2="Deployment",deployment_raw[[#This Row],[Column5]],1)*(1+$V$2)),"")</f>
        <v/>
      </c>
      <c r="W351" s="14" t="str">
        <f>IF(ISNUMBER(deployment_raw[[#This Row],[Column13]]), (deployment_raw[[#This Row],[Column13]] * IF($E$2="Deployment",deployment_raw[[#This Row],[Column5]],1)*(1+$W$2))/1048576,"")</f>
        <v/>
      </c>
    </row>
    <row r="352" spans="1:23" ht="15.75" customHeight="1" x14ac:dyDescent="0.25">
      <c r="A352" s="5" t="str">
        <f>IF(ISNONTEXT(deployment_raw[[#This Row],[Column1]]), "", deployment_raw[[#This Row],[Column1]])</f>
        <v/>
      </c>
      <c r="B352" s="6" t="str">
        <f>IF(ISNONTEXT(deployment_raw[[#This Row],[Column2]]), "", deployment_raw[[#This Row],[Column2]])</f>
        <v/>
      </c>
      <c r="C352" s="6" t="str">
        <f>IF(ISNONTEXT(deployment_raw[[#This Row],[Column3]]), "", deployment_raw[[#This Row],[Column3]])</f>
        <v/>
      </c>
      <c r="D352" s="6" t="str">
        <f>IF(ISNONTEXT(deployment_raw[[#This Row],[Column4]]), "", deployment_raw[[#This Row],[Column4]])</f>
        <v/>
      </c>
      <c r="E352" s="7" t="str">
        <f>IF(ISNUMBER(deployment_raw[[#This Row],[Column5]]), deployment_raw[[#This Row],[Column5]],"")</f>
        <v/>
      </c>
      <c r="F352" s="32" t="str">
        <f>IF(ISNUMBER(deployment_raw[[#This Row],[Column17]]), deployment_raw[[#This Row],[Column17]]/IF(OR($E$2="Deployment",deployment_raw[[#This Row],[Column5]]=0),1,deployment_raw[[#This Row],[Column5]]),"")</f>
        <v/>
      </c>
      <c r="G352" s="42" t="str">
        <f>IF(ISNUMBER(deployment_raw[[#This Row],[Column14]]), deployment_raw[[#This Row],[Column14]]/IF(OR($E$2="Deployment",deployment_raw[[#This Row],[Column5]]=0),1,deployment_raw[[#This Row],[Column5]]),"")</f>
        <v/>
      </c>
      <c r="H352" s="79" t="str">
        <f>IF(ISNUMBER(deployment_raw[[#This Row],[Column19]]), IF(I352&lt;&gt;0,(deployment_raw[[#This Row],[Column19]]/IF(OR($E$2="Deployment",deployment_raw[[#This Row],[Column5]]=0),1,deployment_raw[[#This Row],[Column5]]))/I352,0),"")</f>
        <v/>
      </c>
      <c r="I352" s="69" t="str">
        <f>IF(ISNUMBER(deployment_raw[[#This Row],[Column6]]), (deployment_raw[[#This Row],[Column6]] * IF($E$2="Deployment",deployment_raw[[#This Row],[Column5]],1)),"")</f>
        <v/>
      </c>
      <c r="J352" s="79" t="str">
        <f>IF(ISNUMBER(deployment_raw[[#This Row],[Column19]]), IF(K352&lt;&gt;0,(deployment_raw[[#This Row],[Column19]]/IF(OR($E$2="Deployment",deployment_raw[[#This Row],[Column5]]=0),1,deployment_raw[[#This Row],[Column5]]))/K352,0),"")</f>
        <v/>
      </c>
      <c r="K352" s="72" t="str">
        <f>IF(ISNUMBER(deployment_raw[[#This Row],[Column8]]), (deployment_raw[[#This Row],[Column8]]  * IF($E$2="Deployment",deployment_raw[[#This Row],[Column5]],1)),"")</f>
        <v/>
      </c>
      <c r="L35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5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52" s="81" t="str">
        <f>IF(ISNUMBER(deployment_raw[[#This Row],[Column20]]), IF(O352&lt;&gt;0,deployment_raw[[#This Row],[Column20]]/IF(OR($E$2="Deployment",deployment_raw[[#This Row],[Column5]]=0),1,deployment_raw[[#This Row],[Column5]])/1048576/O352,0),"")</f>
        <v/>
      </c>
      <c r="O352" s="74" t="str">
        <f>IF(ISNUMBER(deployment_raw[[#This Row],[Column7]]), (deployment_raw[[#This Row],[Column7]] * IF($E$2="Deployment",deployment_raw[[#This Row],[Column5]],1))/1048576,"")</f>
        <v/>
      </c>
      <c r="P352" s="81" t="str">
        <f>IF(ISNUMBER(deployment_raw[[#This Row],[Column20]]), IF(Q352&lt;&gt;0,deployment_raw[[#This Row],[Column20]]/IF(OR($E$2="Deployment",deployment_raw[[#This Row],[Column5]]=0),1,deployment_raw[[#This Row],[Column5]])/1048576/Q352,0),"")</f>
        <v/>
      </c>
      <c r="Q352" s="76" t="str">
        <f>IF(ISNUMBER(deployment_raw[[#This Row],[Column9]]), (deployment_raw[[#This Row],[Column9]] * IF($E$2="Deployment",deployment_raw[[#This Row],[Column5]],1))/1048576,"")</f>
        <v/>
      </c>
      <c r="R352" s="57" t="str">
        <f>IF(ISNUMBER(deployment_raw[[#This Row],[Column10]]), (deployment_raw[[#This Row],[Column10]] * IF($E$2="Deployment",deployment_raw[[#This Row],[Column5]],1)),"")</f>
        <v/>
      </c>
      <c r="S352" s="48" t="str">
        <f>IF(ISNUMBER(deployment_raw[[#This Row],[Column11]]), (deployment_raw[[#This Row],[Column11]] * IF($E$2="Deployment",deployment_raw[[#This Row],[Column5]],1))/1048576,"")</f>
        <v/>
      </c>
      <c r="T352" s="59" t="str">
        <f>IF(ISNUMBER(deployment_raw[[#This Row],[Column8]]),IF(OR(deployment_raw[[#This Row],[Column5]] &lt;&gt; 0,$E$2 &lt;&gt; "Deployment"), MAX(V352, ($T$2 * IF($E$2="Deployment",deployment_raw[[#This Row],[Column5]],1))), 0),"")</f>
        <v/>
      </c>
      <c r="U352" s="50" t="str">
        <f>IF(ISNUMBER(deployment_raw[[#This Row],[Column9]]),IF(OR(deployment_raw[[#This Row],[Column5]] &lt;&gt; 0,$E$2&lt;&gt;"Deployment"), MAX(W352, ($U$2 * IF($E$2="Deployment",deployment_raw[[#This Row],[Column5]],1))), 0),"")</f>
        <v/>
      </c>
      <c r="V352" s="15" t="str">
        <f>IF(ISNUMBER(deployment_raw[[#This Row],[Column12]]), (deployment_raw[[#This Row],[Column12]] * IF($E$2="Deployment",deployment_raw[[#This Row],[Column5]],1)*(1+$V$2)),"")</f>
        <v/>
      </c>
      <c r="W352" s="14" t="str">
        <f>IF(ISNUMBER(deployment_raw[[#This Row],[Column13]]), (deployment_raw[[#This Row],[Column13]] * IF($E$2="Deployment",deployment_raw[[#This Row],[Column5]],1)*(1+$W$2))/1048576,"")</f>
        <v/>
      </c>
    </row>
    <row r="353" spans="1:23" ht="15.75" customHeight="1" x14ac:dyDescent="0.25">
      <c r="A353" s="5" t="str">
        <f>IF(ISNONTEXT(deployment_raw[[#This Row],[Column1]]), "", deployment_raw[[#This Row],[Column1]])</f>
        <v/>
      </c>
      <c r="B353" s="6" t="str">
        <f>IF(ISNONTEXT(deployment_raw[[#This Row],[Column2]]), "", deployment_raw[[#This Row],[Column2]])</f>
        <v/>
      </c>
      <c r="C353" s="6" t="str">
        <f>IF(ISNONTEXT(deployment_raw[[#This Row],[Column3]]), "", deployment_raw[[#This Row],[Column3]])</f>
        <v/>
      </c>
      <c r="D353" s="6" t="str">
        <f>IF(ISNONTEXT(deployment_raw[[#This Row],[Column4]]), "", deployment_raw[[#This Row],[Column4]])</f>
        <v/>
      </c>
      <c r="E353" s="7" t="str">
        <f>IF(ISNUMBER(deployment_raw[[#This Row],[Column5]]), deployment_raw[[#This Row],[Column5]],"")</f>
        <v/>
      </c>
      <c r="F353" s="32" t="str">
        <f>IF(ISNUMBER(deployment_raw[[#This Row],[Column17]]), deployment_raw[[#This Row],[Column17]]/IF(OR($E$2="Deployment",deployment_raw[[#This Row],[Column5]]=0),1,deployment_raw[[#This Row],[Column5]]),"")</f>
        <v/>
      </c>
      <c r="G353" s="42" t="str">
        <f>IF(ISNUMBER(deployment_raw[[#This Row],[Column14]]), deployment_raw[[#This Row],[Column14]]/IF(OR($E$2="Deployment",deployment_raw[[#This Row],[Column5]]=0),1,deployment_raw[[#This Row],[Column5]]),"")</f>
        <v/>
      </c>
      <c r="H353" s="79" t="str">
        <f>IF(ISNUMBER(deployment_raw[[#This Row],[Column19]]), IF(I353&lt;&gt;0,(deployment_raw[[#This Row],[Column19]]/IF(OR($E$2="Deployment",deployment_raw[[#This Row],[Column5]]=0),1,deployment_raw[[#This Row],[Column5]]))/I353,0),"")</f>
        <v/>
      </c>
      <c r="I353" s="69" t="str">
        <f>IF(ISNUMBER(deployment_raw[[#This Row],[Column6]]), (deployment_raw[[#This Row],[Column6]] * IF($E$2="Deployment",deployment_raw[[#This Row],[Column5]],1)),"")</f>
        <v/>
      </c>
      <c r="J353" s="79" t="str">
        <f>IF(ISNUMBER(deployment_raw[[#This Row],[Column19]]), IF(K353&lt;&gt;0,(deployment_raw[[#This Row],[Column19]]/IF(OR($E$2="Deployment",deployment_raw[[#This Row],[Column5]]=0),1,deployment_raw[[#This Row],[Column5]]))/K353,0),"")</f>
        <v/>
      </c>
      <c r="K353" s="72" t="str">
        <f>IF(ISNUMBER(deployment_raw[[#This Row],[Column8]]), (deployment_raw[[#This Row],[Column8]]  * IF($E$2="Deployment",deployment_raw[[#This Row],[Column5]],1)),"")</f>
        <v/>
      </c>
      <c r="L35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5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53" s="81" t="str">
        <f>IF(ISNUMBER(deployment_raw[[#This Row],[Column20]]), IF(O353&lt;&gt;0,deployment_raw[[#This Row],[Column20]]/IF(OR($E$2="Deployment",deployment_raw[[#This Row],[Column5]]=0),1,deployment_raw[[#This Row],[Column5]])/1048576/O353,0),"")</f>
        <v/>
      </c>
      <c r="O353" s="74" t="str">
        <f>IF(ISNUMBER(deployment_raw[[#This Row],[Column7]]), (deployment_raw[[#This Row],[Column7]] * IF($E$2="Deployment",deployment_raw[[#This Row],[Column5]],1))/1048576,"")</f>
        <v/>
      </c>
      <c r="P353" s="81" t="str">
        <f>IF(ISNUMBER(deployment_raw[[#This Row],[Column20]]), IF(Q353&lt;&gt;0,deployment_raw[[#This Row],[Column20]]/IF(OR($E$2="Deployment",deployment_raw[[#This Row],[Column5]]=0),1,deployment_raw[[#This Row],[Column5]])/1048576/Q353,0),"")</f>
        <v/>
      </c>
      <c r="Q353" s="76" t="str">
        <f>IF(ISNUMBER(deployment_raw[[#This Row],[Column9]]), (deployment_raw[[#This Row],[Column9]] * IF($E$2="Deployment",deployment_raw[[#This Row],[Column5]],1))/1048576,"")</f>
        <v/>
      </c>
      <c r="R353" s="57" t="str">
        <f>IF(ISNUMBER(deployment_raw[[#This Row],[Column10]]), (deployment_raw[[#This Row],[Column10]] * IF($E$2="Deployment",deployment_raw[[#This Row],[Column5]],1)),"")</f>
        <v/>
      </c>
      <c r="S353" s="48" t="str">
        <f>IF(ISNUMBER(deployment_raw[[#This Row],[Column11]]), (deployment_raw[[#This Row],[Column11]] * IF($E$2="Deployment",deployment_raw[[#This Row],[Column5]],1))/1048576,"")</f>
        <v/>
      </c>
      <c r="T353" s="59" t="str">
        <f>IF(ISNUMBER(deployment_raw[[#This Row],[Column8]]),IF(OR(deployment_raw[[#This Row],[Column5]] &lt;&gt; 0,$E$2 &lt;&gt; "Deployment"), MAX(V353, ($T$2 * IF($E$2="Deployment",deployment_raw[[#This Row],[Column5]],1))), 0),"")</f>
        <v/>
      </c>
      <c r="U353" s="50" t="str">
        <f>IF(ISNUMBER(deployment_raw[[#This Row],[Column9]]),IF(OR(deployment_raw[[#This Row],[Column5]] &lt;&gt; 0,$E$2&lt;&gt;"Deployment"), MAX(W353, ($U$2 * IF($E$2="Deployment",deployment_raw[[#This Row],[Column5]],1))), 0),"")</f>
        <v/>
      </c>
      <c r="V353" s="15" t="str">
        <f>IF(ISNUMBER(deployment_raw[[#This Row],[Column12]]), (deployment_raw[[#This Row],[Column12]] * IF($E$2="Deployment",deployment_raw[[#This Row],[Column5]],1)*(1+$V$2)),"")</f>
        <v/>
      </c>
      <c r="W353" s="14" t="str">
        <f>IF(ISNUMBER(deployment_raw[[#This Row],[Column13]]), (deployment_raw[[#This Row],[Column13]] * IF($E$2="Deployment",deployment_raw[[#This Row],[Column5]],1)*(1+$W$2))/1048576,"")</f>
        <v/>
      </c>
    </row>
    <row r="354" spans="1:23" ht="15.75" customHeight="1" x14ac:dyDescent="0.25">
      <c r="A354" s="5" t="str">
        <f>IF(ISNONTEXT(deployment_raw[[#This Row],[Column1]]), "", deployment_raw[[#This Row],[Column1]])</f>
        <v/>
      </c>
      <c r="B354" s="6" t="str">
        <f>IF(ISNONTEXT(deployment_raw[[#This Row],[Column2]]), "", deployment_raw[[#This Row],[Column2]])</f>
        <v/>
      </c>
      <c r="C354" s="6" t="str">
        <f>IF(ISNONTEXT(deployment_raw[[#This Row],[Column3]]), "", deployment_raw[[#This Row],[Column3]])</f>
        <v/>
      </c>
      <c r="D354" s="6" t="str">
        <f>IF(ISNONTEXT(deployment_raw[[#This Row],[Column4]]), "", deployment_raw[[#This Row],[Column4]])</f>
        <v/>
      </c>
      <c r="E354" s="7" t="str">
        <f>IF(ISNUMBER(deployment_raw[[#This Row],[Column5]]), deployment_raw[[#This Row],[Column5]],"")</f>
        <v/>
      </c>
      <c r="F354" s="32" t="str">
        <f>IF(ISNUMBER(deployment_raw[[#This Row],[Column17]]), deployment_raw[[#This Row],[Column17]]/IF(OR($E$2="Deployment",deployment_raw[[#This Row],[Column5]]=0),1,deployment_raw[[#This Row],[Column5]]),"")</f>
        <v/>
      </c>
      <c r="G354" s="42" t="str">
        <f>IF(ISNUMBER(deployment_raw[[#This Row],[Column14]]), deployment_raw[[#This Row],[Column14]]/IF(OR($E$2="Deployment",deployment_raw[[#This Row],[Column5]]=0),1,deployment_raw[[#This Row],[Column5]]),"")</f>
        <v/>
      </c>
      <c r="H354" s="79" t="str">
        <f>IF(ISNUMBER(deployment_raw[[#This Row],[Column19]]), IF(I354&lt;&gt;0,(deployment_raw[[#This Row],[Column19]]/IF(OR($E$2="Deployment",deployment_raw[[#This Row],[Column5]]=0),1,deployment_raw[[#This Row],[Column5]]))/I354,0),"")</f>
        <v/>
      </c>
      <c r="I354" s="69" t="str">
        <f>IF(ISNUMBER(deployment_raw[[#This Row],[Column6]]), (deployment_raw[[#This Row],[Column6]] * IF($E$2="Deployment",deployment_raw[[#This Row],[Column5]],1)),"")</f>
        <v/>
      </c>
      <c r="J354" s="79" t="str">
        <f>IF(ISNUMBER(deployment_raw[[#This Row],[Column19]]), IF(K354&lt;&gt;0,(deployment_raw[[#This Row],[Column19]]/IF(OR($E$2="Deployment",deployment_raw[[#This Row],[Column5]]=0),1,deployment_raw[[#This Row],[Column5]]))/K354,0),"")</f>
        <v/>
      </c>
      <c r="K354" s="72" t="str">
        <f>IF(ISNUMBER(deployment_raw[[#This Row],[Column8]]), (deployment_raw[[#This Row],[Column8]]  * IF($E$2="Deployment",deployment_raw[[#This Row],[Column5]],1)),"")</f>
        <v/>
      </c>
      <c r="L35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5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54" s="81" t="str">
        <f>IF(ISNUMBER(deployment_raw[[#This Row],[Column20]]), IF(O354&lt;&gt;0,deployment_raw[[#This Row],[Column20]]/IF(OR($E$2="Deployment",deployment_raw[[#This Row],[Column5]]=0),1,deployment_raw[[#This Row],[Column5]])/1048576/O354,0),"")</f>
        <v/>
      </c>
      <c r="O354" s="74" t="str">
        <f>IF(ISNUMBER(deployment_raw[[#This Row],[Column7]]), (deployment_raw[[#This Row],[Column7]] * IF($E$2="Deployment",deployment_raw[[#This Row],[Column5]],1))/1048576,"")</f>
        <v/>
      </c>
      <c r="P354" s="81" t="str">
        <f>IF(ISNUMBER(deployment_raw[[#This Row],[Column20]]), IF(Q354&lt;&gt;0,deployment_raw[[#This Row],[Column20]]/IF(OR($E$2="Deployment",deployment_raw[[#This Row],[Column5]]=0),1,deployment_raw[[#This Row],[Column5]])/1048576/Q354,0),"")</f>
        <v/>
      </c>
      <c r="Q354" s="76" t="str">
        <f>IF(ISNUMBER(deployment_raw[[#This Row],[Column9]]), (deployment_raw[[#This Row],[Column9]] * IF($E$2="Deployment",deployment_raw[[#This Row],[Column5]],1))/1048576,"")</f>
        <v/>
      </c>
      <c r="R354" s="57" t="str">
        <f>IF(ISNUMBER(deployment_raw[[#This Row],[Column10]]), (deployment_raw[[#This Row],[Column10]] * IF($E$2="Deployment",deployment_raw[[#This Row],[Column5]],1)),"")</f>
        <v/>
      </c>
      <c r="S354" s="48" t="str">
        <f>IF(ISNUMBER(deployment_raw[[#This Row],[Column11]]), (deployment_raw[[#This Row],[Column11]] * IF($E$2="Deployment",deployment_raw[[#This Row],[Column5]],1))/1048576,"")</f>
        <v/>
      </c>
      <c r="T354" s="59" t="str">
        <f>IF(ISNUMBER(deployment_raw[[#This Row],[Column8]]),IF(OR(deployment_raw[[#This Row],[Column5]] &lt;&gt; 0,$E$2 &lt;&gt; "Deployment"), MAX(V354, ($T$2 * IF($E$2="Deployment",deployment_raw[[#This Row],[Column5]],1))), 0),"")</f>
        <v/>
      </c>
      <c r="U354" s="50" t="str">
        <f>IF(ISNUMBER(deployment_raw[[#This Row],[Column9]]),IF(OR(deployment_raw[[#This Row],[Column5]] &lt;&gt; 0,$E$2&lt;&gt;"Deployment"), MAX(W354, ($U$2 * IF($E$2="Deployment",deployment_raw[[#This Row],[Column5]],1))), 0),"")</f>
        <v/>
      </c>
      <c r="V354" s="15" t="str">
        <f>IF(ISNUMBER(deployment_raw[[#This Row],[Column12]]), (deployment_raw[[#This Row],[Column12]] * IF($E$2="Deployment",deployment_raw[[#This Row],[Column5]],1)*(1+$V$2)),"")</f>
        <v/>
      </c>
      <c r="W354" s="14" t="str">
        <f>IF(ISNUMBER(deployment_raw[[#This Row],[Column13]]), (deployment_raw[[#This Row],[Column13]] * IF($E$2="Deployment",deployment_raw[[#This Row],[Column5]],1)*(1+$W$2))/1048576,"")</f>
        <v/>
      </c>
    </row>
    <row r="355" spans="1:23" ht="15.75" customHeight="1" x14ac:dyDescent="0.25">
      <c r="A355" s="5" t="str">
        <f>IF(ISNONTEXT(deployment_raw[[#This Row],[Column1]]), "", deployment_raw[[#This Row],[Column1]])</f>
        <v/>
      </c>
      <c r="B355" s="6" t="str">
        <f>IF(ISNONTEXT(deployment_raw[[#This Row],[Column2]]), "", deployment_raw[[#This Row],[Column2]])</f>
        <v/>
      </c>
      <c r="C355" s="6" t="str">
        <f>IF(ISNONTEXT(deployment_raw[[#This Row],[Column3]]), "", deployment_raw[[#This Row],[Column3]])</f>
        <v/>
      </c>
      <c r="D355" s="6" t="str">
        <f>IF(ISNONTEXT(deployment_raw[[#This Row],[Column4]]), "", deployment_raw[[#This Row],[Column4]])</f>
        <v/>
      </c>
      <c r="E355" s="7" t="str">
        <f>IF(ISNUMBER(deployment_raw[[#This Row],[Column5]]), deployment_raw[[#This Row],[Column5]],"")</f>
        <v/>
      </c>
      <c r="F355" s="32" t="str">
        <f>IF(ISNUMBER(deployment_raw[[#This Row],[Column17]]), deployment_raw[[#This Row],[Column17]]/IF(OR($E$2="Deployment",deployment_raw[[#This Row],[Column5]]=0),1,deployment_raw[[#This Row],[Column5]]),"")</f>
        <v/>
      </c>
      <c r="G355" s="42" t="str">
        <f>IF(ISNUMBER(deployment_raw[[#This Row],[Column14]]), deployment_raw[[#This Row],[Column14]]/IF(OR($E$2="Deployment",deployment_raw[[#This Row],[Column5]]=0),1,deployment_raw[[#This Row],[Column5]]),"")</f>
        <v/>
      </c>
      <c r="H355" s="79" t="str">
        <f>IF(ISNUMBER(deployment_raw[[#This Row],[Column19]]), IF(I355&lt;&gt;0,(deployment_raw[[#This Row],[Column19]]/IF(OR($E$2="Deployment",deployment_raw[[#This Row],[Column5]]=0),1,deployment_raw[[#This Row],[Column5]]))/I355,0),"")</f>
        <v/>
      </c>
      <c r="I355" s="69" t="str">
        <f>IF(ISNUMBER(deployment_raw[[#This Row],[Column6]]), (deployment_raw[[#This Row],[Column6]] * IF($E$2="Deployment",deployment_raw[[#This Row],[Column5]],1)),"")</f>
        <v/>
      </c>
      <c r="J355" s="79" t="str">
        <f>IF(ISNUMBER(deployment_raw[[#This Row],[Column19]]), IF(K355&lt;&gt;0,(deployment_raw[[#This Row],[Column19]]/IF(OR($E$2="Deployment",deployment_raw[[#This Row],[Column5]]=0),1,deployment_raw[[#This Row],[Column5]]))/K355,0),"")</f>
        <v/>
      </c>
      <c r="K355" s="72" t="str">
        <f>IF(ISNUMBER(deployment_raw[[#This Row],[Column8]]), (deployment_raw[[#This Row],[Column8]]  * IF($E$2="Deployment",deployment_raw[[#This Row],[Column5]],1)),"")</f>
        <v/>
      </c>
      <c r="L35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5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55" s="81" t="str">
        <f>IF(ISNUMBER(deployment_raw[[#This Row],[Column20]]), IF(O355&lt;&gt;0,deployment_raw[[#This Row],[Column20]]/IF(OR($E$2="Deployment",deployment_raw[[#This Row],[Column5]]=0),1,deployment_raw[[#This Row],[Column5]])/1048576/O355,0),"")</f>
        <v/>
      </c>
      <c r="O355" s="74" t="str">
        <f>IF(ISNUMBER(deployment_raw[[#This Row],[Column7]]), (deployment_raw[[#This Row],[Column7]] * IF($E$2="Deployment",deployment_raw[[#This Row],[Column5]],1))/1048576,"")</f>
        <v/>
      </c>
      <c r="P355" s="81" t="str">
        <f>IF(ISNUMBER(deployment_raw[[#This Row],[Column20]]), IF(Q355&lt;&gt;0,deployment_raw[[#This Row],[Column20]]/IF(OR($E$2="Deployment",deployment_raw[[#This Row],[Column5]]=0),1,deployment_raw[[#This Row],[Column5]])/1048576/Q355,0),"")</f>
        <v/>
      </c>
      <c r="Q355" s="76" t="str">
        <f>IF(ISNUMBER(deployment_raw[[#This Row],[Column9]]), (deployment_raw[[#This Row],[Column9]] * IF($E$2="Deployment",deployment_raw[[#This Row],[Column5]],1))/1048576,"")</f>
        <v/>
      </c>
      <c r="R355" s="57" t="str">
        <f>IF(ISNUMBER(deployment_raw[[#This Row],[Column10]]), (deployment_raw[[#This Row],[Column10]] * IF($E$2="Deployment",deployment_raw[[#This Row],[Column5]],1)),"")</f>
        <v/>
      </c>
      <c r="S355" s="48" t="str">
        <f>IF(ISNUMBER(deployment_raw[[#This Row],[Column11]]), (deployment_raw[[#This Row],[Column11]] * IF($E$2="Deployment",deployment_raw[[#This Row],[Column5]],1))/1048576,"")</f>
        <v/>
      </c>
      <c r="T355" s="59" t="str">
        <f>IF(ISNUMBER(deployment_raw[[#This Row],[Column8]]),IF(OR(deployment_raw[[#This Row],[Column5]] &lt;&gt; 0,$E$2 &lt;&gt; "Deployment"), MAX(V355, ($T$2 * IF($E$2="Deployment",deployment_raw[[#This Row],[Column5]],1))), 0),"")</f>
        <v/>
      </c>
      <c r="U355" s="50" t="str">
        <f>IF(ISNUMBER(deployment_raw[[#This Row],[Column9]]),IF(OR(deployment_raw[[#This Row],[Column5]] &lt;&gt; 0,$E$2&lt;&gt;"Deployment"), MAX(W355, ($U$2 * IF($E$2="Deployment",deployment_raw[[#This Row],[Column5]],1))), 0),"")</f>
        <v/>
      </c>
      <c r="V355" s="15" t="str">
        <f>IF(ISNUMBER(deployment_raw[[#This Row],[Column12]]), (deployment_raw[[#This Row],[Column12]] * IF($E$2="Deployment",deployment_raw[[#This Row],[Column5]],1)*(1+$V$2)),"")</f>
        <v/>
      </c>
      <c r="W355" s="14" t="str">
        <f>IF(ISNUMBER(deployment_raw[[#This Row],[Column13]]), (deployment_raw[[#This Row],[Column13]] * IF($E$2="Deployment",deployment_raw[[#This Row],[Column5]],1)*(1+$W$2))/1048576,"")</f>
        <v/>
      </c>
    </row>
    <row r="356" spans="1:23" ht="15.75" customHeight="1" x14ac:dyDescent="0.25">
      <c r="A356" s="5" t="str">
        <f>IF(ISNONTEXT(deployment_raw[[#This Row],[Column1]]), "", deployment_raw[[#This Row],[Column1]])</f>
        <v/>
      </c>
      <c r="B356" s="6" t="str">
        <f>IF(ISNONTEXT(deployment_raw[[#This Row],[Column2]]), "", deployment_raw[[#This Row],[Column2]])</f>
        <v/>
      </c>
      <c r="C356" s="6" t="str">
        <f>IF(ISNONTEXT(deployment_raw[[#This Row],[Column3]]), "", deployment_raw[[#This Row],[Column3]])</f>
        <v/>
      </c>
      <c r="D356" s="6" t="str">
        <f>IF(ISNONTEXT(deployment_raw[[#This Row],[Column4]]), "", deployment_raw[[#This Row],[Column4]])</f>
        <v/>
      </c>
      <c r="E356" s="7" t="str">
        <f>IF(ISNUMBER(deployment_raw[[#This Row],[Column5]]), deployment_raw[[#This Row],[Column5]],"")</f>
        <v/>
      </c>
      <c r="F356" s="32" t="str">
        <f>IF(ISNUMBER(deployment_raw[[#This Row],[Column17]]), deployment_raw[[#This Row],[Column17]]/IF(OR($E$2="Deployment",deployment_raw[[#This Row],[Column5]]=0),1,deployment_raw[[#This Row],[Column5]]),"")</f>
        <v/>
      </c>
      <c r="G356" s="42" t="str">
        <f>IF(ISNUMBER(deployment_raw[[#This Row],[Column14]]), deployment_raw[[#This Row],[Column14]]/IF(OR($E$2="Deployment",deployment_raw[[#This Row],[Column5]]=0),1,deployment_raw[[#This Row],[Column5]]),"")</f>
        <v/>
      </c>
      <c r="H356" s="79" t="str">
        <f>IF(ISNUMBER(deployment_raw[[#This Row],[Column19]]), IF(I356&lt;&gt;0,(deployment_raw[[#This Row],[Column19]]/IF(OR($E$2="Deployment",deployment_raw[[#This Row],[Column5]]=0),1,deployment_raw[[#This Row],[Column5]]))/I356,0),"")</f>
        <v/>
      </c>
      <c r="I356" s="69" t="str">
        <f>IF(ISNUMBER(deployment_raw[[#This Row],[Column6]]), (deployment_raw[[#This Row],[Column6]] * IF($E$2="Deployment",deployment_raw[[#This Row],[Column5]],1)),"")</f>
        <v/>
      </c>
      <c r="J356" s="79" t="str">
        <f>IF(ISNUMBER(deployment_raw[[#This Row],[Column19]]), IF(K356&lt;&gt;0,(deployment_raw[[#This Row],[Column19]]/IF(OR($E$2="Deployment",deployment_raw[[#This Row],[Column5]]=0),1,deployment_raw[[#This Row],[Column5]]))/K356,0),"")</f>
        <v/>
      </c>
      <c r="K356" s="72" t="str">
        <f>IF(ISNUMBER(deployment_raw[[#This Row],[Column8]]), (deployment_raw[[#This Row],[Column8]]  * IF($E$2="Deployment",deployment_raw[[#This Row],[Column5]],1)),"")</f>
        <v/>
      </c>
      <c r="L35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5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56" s="81" t="str">
        <f>IF(ISNUMBER(deployment_raw[[#This Row],[Column20]]), IF(O356&lt;&gt;0,deployment_raw[[#This Row],[Column20]]/IF(OR($E$2="Deployment",deployment_raw[[#This Row],[Column5]]=0),1,deployment_raw[[#This Row],[Column5]])/1048576/O356,0),"")</f>
        <v/>
      </c>
      <c r="O356" s="74" t="str">
        <f>IF(ISNUMBER(deployment_raw[[#This Row],[Column7]]), (deployment_raw[[#This Row],[Column7]] * IF($E$2="Deployment",deployment_raw[[#This Row],[Column5]],1))/1048576,"")</f>
        <v/>
      </c>
      <c r="P356" s="81" t="str">
        <f>IF(ISNUMBER(deployment_raw[[#This Row],[Column20]]), IF(Q356&lt;&gt;0,deployment_raw[[#This Row],[Column20]]/IF(OR($E$2="Deployment",deployment_raw[[#This Row],[Column5]]=0),1,deployment_raw[[#This Row],[Column5]])/1048576/Q356,0),"")</f>
        <v/>
      </c>
      <c r="Q356" s="76" t="str">
        <f>IF(ISNUMBER(deployment_raw[[#This Row],[Column9]]), (deployment_raw[[#This Row],[Column9]] * IF($E$2="Deployment",deployment_raw[[#This Row],[Column5]],1))/1048576,"")</f>
        <v/>
      </c>
      <c r="R356" s="57" t="str">
        <f>IF(ISNUMBER(deployment_raw[[#This Row],[Column10]]), (deployment_raw[[#This Row],[Column10]] * IF($E$2="Deployment",deployment_raw[[#This Row],[Column5]],1)),"")</f>
        <v/>
      </c>
      <c r="S356" s="48" t="str">
        <f>IF(ISNUMBER(deployment_raw[[#This Row],[Column11]]), (deployment_raw[[#This Row],[Column11]] * IF($E$2="Deployment",deployment_raw[[#This Row],[Column5]],1))/1048576,"")</f>
        <v/>
      </c>
      <c r="T356" s="59" t="str">
        <f>IF(ISNUMBER(deployment_raw[[#This Row],[Column8]]),IF(OR(deployment_raw[[#This Row],[Column5]] &lt;&gt; 0,$E$2 &lt;&gt; "Deployment"), MAX(V356, ($T$2 * IF($E$2="Deployment",deployment_raw[[#This Row],[Column5]],1))), 0),"")</f>
        <v/>
      </c>
      <c r="U356" s="50" t="str">
        <f>IF(ISNUMBER(deployment_raw[[#This Row],[Column9]]),IF(OR(deployment_raw[[#This Row],[Column5]] &lt;&gt; 0,$E$2&lt;&gt;"Deployment"), MAX(W356, ($U$2 * IF($E$2="Deployment",deployment_raw[[#This Row],[Column5]],1))), 0),"")</f>
        <v/>
      </c>
      <c r="V356" s="15" t="str">
        <f>IF(ISNUMBER(deployment_raw[[#This Row],[Column12]]), (deployment_raw[[#This Row],[Column12]] * IF($E$2="Deployment",deployment_raw[[#This Row],[Column5]],1)*(1+$V$2)),"")</f>
        <v/>
      </c>
      <c r="W356" s="14" t="str">
        <f>IF(ISNUMBER(deployment_raw[[#This Row],[Column13]]), (deployment_raw[[#This Row],[Column13]] * IF($E$2="Deployment",deployment_raw[[#This Row],[Column5]],1)*(1+$W$2))/1048576,"")</f>
        <v/>
      </c>
    </row>
    <row r="357" spans="1:23" ht="15.75" customHeight="1" x14ac:dyDescent="0.25">
      <c r="A357" s="5" t="str">
        <f>IF(ISNONTEXT(deployment_raw[[#This Row],[Column1]]), "", deployment_raw[[#This Row],[Column1]])</f>
        <v/>
      </c>
      <c r="B357" s="6" t="str">
        <f>IF(ISNONTEXT(deployment_raw[[#This Row],[Column2]]), "", deployment_raw[[#This Row],[Column2]])</f>
        <v/>
      </c>
      <c r="C357" s="6" t="str">
        <f>IF(ISNONTEXT(deployment_raw[[#This Row],[Column3]]), "", deployment_raw[[#This Row],[Column3]])</f>
        <v/>
      </c>
      <c r="D357" s="6" t="str">
        <f>IF(ISNONTEXT(deployment_raw[[#This Row],[Column4]]), "", deployment_raw[[#This Row],[Column4]])</f>
        <v/>
      </c>
      <c r="E357" s="7" t="str">
        <f>IF(ISNUMBER(deployment_raw[[#This Row],[Column5]]), deployment_raw[[#This Row],[Column5]],"")</f>
        <v/>
      </c>
      <c r="F357" s="32" t="str">
        <f>IF(ISNUMBER(deployment_raw[[#This Row],[Column17]]), deployment_raw[[#This Row],[Column17]]/IF(OR($E$2="Deployment",deployment_raw[[#This Row],[Column5]]=0),1,deployment_raw[[#This Row],[Column5]]),"")</f>
        <v/>
      </c>
      <c r="G357" s="42" t="str">
        <f>IF(ISNUMBER(deployment_raw[[#This Row],[Column14]]), deployment_raw[[#This Row],[Column14]]/IF(OR($E$2="Deployment",deployment_raw[[#This Row],[Column5]]=0),1,deployment_raw[[#This Row],[Column5]]),"")</f>
        <v/>
      </c>
      <c r="H357" s="79" t="str">
        <f>IF(ISNUMBER(deployment_raw[[#This Row],[Column19]]), IF(I357&lt;&gt;0,(deployment_raw[[#This Row],[Column19]]/IF(OR($E$2="Deployment",deployment_raw[[#This Row],[Column5]]=0),1,deployment_raw[[#This Row],[Column5]]))/I357,0),"")</f>
        <v/>
      </c>
      <c r="I357" s="69" t="str">
        <f>IF(ISNUMBER(deployment_raw[[#This Row],[Column6]]), (deployment_raw[[#This Row],[Column6]] * IF($E$2="Deployment",deployment_raw[[#This Row],[Column5]],1)),"")</f>
        <v/>
      </c>
      <c r="J357" s="79" t="str">
        <f>IF(ISNUMBER(deployment_raw[[#This Row],[Column19]]), IF(K357&lt;&gt;0,(deployment_raw[[#This Row],[Column19]]/IF(OR($E$2="Deployment",deployment_raw[[#This Row],[Column5]]=0),1,deployment_raw[[#This Row],[Column5]]))/K357,0),"")</f>
        <v/>
      </c>
      <c r="K357" s="72" t="str">
        <f>IF(ISNUMBER(deployment_raw[[#This Row],[Column8]]), (deployment_raw[[#This Row],[Column8]]  * IF($E$2="Deployment",deployment_raw[[#This Row],[Column5]],1)),"")</f>
        <v/>
      </c>
      <c r="L35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5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57" s="81" t="str">
        <f>IF(ISNUMBER(deployment_raw[[#This Row],[Column20]]), IF(O357&lt;&gt;0,deployment_raw[[#This Row],[Column20]]/IF(OR($E$2="Deployment",deployment_raw[[#This Row],[Column5]]=0),1,deployment_raw[[#This Row],[Column5]])/1048576/O357,0),"")</f>
        <v/>
      </c>
      <c r="O357" s="74" t="str">
        <f>IF(ISNUMBER(deployment_raw[[#This Row],[Column7]]), (deployment_raw[[#This Row],[Column7]] * IF($E$2="Deployment",deployment_raw[[#This Row],[Column5]],1))/1048576,"")</f>
        <v/>
      </c>
      <c r="P357" s="81" t="str">
        <f>IF(ISNUMBER(deployment_raw[[#This Row],[Column20]]), IF(Q357&lt;&gt;0,deployment_raw[[#This Row],[Column20]]/IF(OR($E$2="Deployment",deployment_raw[[#This Row],[Column5]]=0),1,deployment_raw[[#This Row],[Column5]])/1048576/Q357,0),"")</f>
        <v/>
      </c>
      <c r="Q357" s="76" t="str">
        <f>IF(ISNUMBER(deployment_raw[[#This Row],[Column9]]), (deployment_raw[[#This Row],[Column9]] * IF($E$2="Deployment",deployment_raw[[#This Row],[Column5]],1))/1048576,"")</f>
        <v/>
      </c>
      <c r="R357" s="57" t="str">
        <f>IF(ISNUMBER(deployment_raw[[#This Row],[Column10]]), (deployment_raw[[#This Row],[Column10]] * IF($E$2="Deployment",deployment_raw[[#This Row],[Column5]],1)),"")</f>
        <v/>
      </c>
      <c r="S357" s="48" t="str">
        <f>IF(ISNUMBER(deployment_raw[[#This Row],[Column11]]), (deployment_raw[[#This Row],[Column11]] * IF($E$2="Deployment",deployment_raw[[#This Row],[Column5]],1))/1048576,"")</f>
        <v/>
      </c>
      <c r="T357" s="59" t="str">
        <f>IF(ISNUMBER(deployment_raw[[#This Row],[Column8]]),IF(OR(deployment_raw[[#This Row],[Column5]] &lt;&gt; 0,$E$2 &lt;&gt; "Deployment"), MAX(V357, ($T$2 * IF($E$2="Deployment",deployment_raw[[#This Row],[Column5]],1))), 0),"")</f>
        <v/>
      </c>
      <c r="U357" s="50" t="str">
        <f>IF(ISNUMBER(deployment_raw[[#This Row],[Column9]]),IF(OR(deployment_raw[[#This Row],[Column5]] &lt;&gt; 0,$E$2&lt;&gt;"Deployment"), MAX(W357, ($U$2 * IF($E$2="Deployment",deployment_raw[[#This Row],[Column5]],1))), 0),"")</f>
        <v/>
      </c>
      <c r="V357" s="15" t="str">
        <f>IF(ISNUMBER(deployment_raw[[#This Row],[Column12]]), (deployment_raw[[#This Row],[Column12]] * IF($E$2="Deployment",deployment_raw[[#This Row],[Column5]],1)*(1+$V$2)),"")</f>
        <v/>
      </c>
      <c r="W357" s="14" t="str">
        <f>IF(ISNUMBER(deployment_raw[[#This Row],[Column13]]), (deployment_raw[[#This Row],[Column13]] * IF($E$2="Deployment",deployment_raw[[#This Row],[Column5]],1)*(1+$W$2))/1048576,"")</f>
        <v/>
      </c>
    </row>
    <row r="358" spans="1:23" ht="15.75" customHeight="1" x14ac:dyDescent="0.25">
      <c r="A358" s="5" t="str">
        <f>IF(ISNONTEXT(deployment_raw[[#This Row],[Column1]]), "", deployment_raw[[#This Row],[Column1]])</f>
        <v/>
      </c>
      <c r="B358" s="6" t="str">
        <f>IF(ISNONTEXT(deployment_raw[[#This Row],[Column2]]), "", deployment_raw[[#This Row],[Column2]])</f>
        <v/>
      </c>
      <c r="C358" s="6" t="str">
        <f>IF(ISNONTEXT(deployment_raw[[#This Row],[Column3]]), "", deployment_raw[[#This Row],[Column3]])</f>
        <v/>
      </c>
      <c r="D358" s="6" t="str">
        <f>IF(ISNONTEXT(deployment_raw[[#This Row],[Column4]]), "", deployment_raw[[#This Row],[Column4]])</f>
        <v/>
      </c>
      <c r="E358" s="7" t="str">
        <f>IF(ISNUMBER(deployment_raw[[#This Row],[Column5]]), deployment_raw[[#This Row],[Column5]],"")</f>
        <v/>
      </c>
      <c r="F358" s="32" t="str">
        <f>IF(ISNUMBER(deployment_raw[[#This Row],[Column17]]), deployment_raw[[#This Row],[Column17]]/IF(OR($E$2="Deployment",deployment_raw[[#This Row],[Column5]]=0),1,deployment_raw[[#This Row],[Column5]]),"")</f>
        <v/>
      </c>
      <c r="G358" s="42" t="str">
        <f>IF(ISNUMBER(deployment_raw[[#This Row],[Column14]]), deployment_raw[[#This Row],[Column14]]/IF(OR($E$2="Deployment",deployment_raw[[#This Row],[Column5]]=0),1,deployment_raw[[#This Row],[Column5]]),"")</f>
        <v/>
      </c>
      <c r="H358" s="79" t="str">
        <f>IF(ISNUMBER(deployment_raw[[#This Row],[Column19]]), IF(I358&lt;&gt;0,(deployment_raw[[#This Row],[Column19]]/IF(OR($E$2="Deployment",deployment_raw[[#This Row],[Column5]]=0),1,deployment_raw[[#This Row],[Column5]]))/I358,0),"")</f>
        <v/>
      </c>
      <c r="I358" s="69" t="str">
        <f>IF(ISNUMBER(deployment_raw[[#This Row],[Column6]]), (deployment_raw[[#This Row],[Column6]] * IF($E$2="Deployment",deployment_raw[[#This Row],[Column5]],1)),"")</f>
        <v/>
      </c>
      <c r="J358" s="79" t="str">
        <f>IF(ISNUMBER(deployment_raw[[#This Row],[Column19]]), IF(K358&lt;&gt;0,(deployment_raw[[#This Row],[Column19]]/IF(OR($E$2="Deployment",deployment_raw[[#This Row],[Column5]]=0),1,deployment_raw[[#This Row],[Column5]]))/K358,0),"")</f>
        <v/>
      </c>
      <c r="K358" s="72" t="str">
        <f>IF(ISNUMBER(deployment_raw[[#This Row],[Column8]]), (deployment_raw[[#This Row],[Column8]]  * IF($E$2="Deployment",deployment_raw[[#This Row],[Column5]],1)),"")</f>
        <v/>
      </c>
      <c r="L35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5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58" s="81" t="str">
        <f>IF(ISNUMBER(deployment_raw[[#This Row],[Column20]]), IF(O358&lt;&gt;0,deployment_raw[[#This Row],[Column20]]/IF(OR($E$2="Deployment",deployment_raw[[#This Row],[Column5]]=0),1,deployment_raw[[#This Row],[Column5]])/1048576/O358,0),"")</f>
        <v/>
      </c>
      <c r="O358" s="74" t="str">
        <f>IF(ISNUMBER(deployment_raw[[#This Row],[Column7]]), (deployment_raw[[#This Row],[Column7]] * IF($E$2="Deployment",deployment_raw[[#This Row],[Column5]],1))/1048576,"")</f>
        <v/>
      </c>
      <c r="P358" s="81" t="str">
        <f>IF(ISNUMBER(deployment_raw[[#This Row],[Column20]]), IF(Q358&lt;&gt;0,deployment_raw[[#This Row],[Column20]]/IF(OR($E$2="Deployment",deployment_raw[[#This Row],[Column5]]=0),1,deployment_raw[[#This Row],[Column5]])/1048576/Q358,0),"")</f>
        <v/>
      </c>
      <c r="Q358" s="76" t="str">
        <f>IF(ISNUMBER(deployment_raw[[#This Row],[Column9]]), (deployment_raw[[#This Row],[Column9]] * IF($E$2="Deployment",deployment_raw[[#This Row],[Column5]],1))/1048576,"")</f>
        <v/>
      </c>
      <c r="R358" s="57" t="str">
        <f>IF(ISNUMBER(deployment_raw[[#This Row],[Column10]]), (deployment_raw[[#This Row],[Column10]] * IF($E$2="Deployment",deployment_raw[[#This Row],[Column5]],1)),"")</f>
        <v/>
      </c>
      <c r="S358" s="48" t="str">
        <f>IF(ISNUMBER(deployment_raw[[#This Row],[Column11]]), (deployment_raw[[#This Row],[Column11]] * IF($E$2="Deployment",deployment_raw[[#This Row],[Column5]],1))/1048576,"")</f>
        <v/>
      </c>
      <c r="T358" s="59" t="str">
        <f>IF(ISNUMBER(deployment_raw[[#This Row],[Column8]]),IF(OR(deployment_raw[[#This Row],[Column5]] &lt;&gt; 0,$E$2 &lt;&gt; "Deployment"), MAX(V358, ($T$2 * IF($E$2="Deployment",deployment_raw[[#This Row],[Column5]],1))), 0),"")</f>
        <v/>
      </c>
      <c r="U358" s="50" t="str">
        <f>IF(ISNUMBER(deployment_raw[[#This Row],[Column9]]),IF(OR(deployment_raw[[#This Row],[Column5]] &lt;&gt; 0,$E$2&lt;&gt;"Deployment"), MAX(W358, ($U$2 * IF($E$2="Deployment",deployment_raw[[#This Row],[Column5]],1))), 0),"")</f>
        <v/>
      </c>
      <c r="V358" s="15" t="str">
        <f>IF(ISNUMBER(deployment_raw[[#This Row],[Column12]]), (deployment_raw[[#This Row],[Column12]] * IF($E$2="Deployment",deployment_raw[[#This Row],[Column5]],1)*(1+$V$2)),"")</f>
        <v/>
      </c>
      <c r="W358" s="14" t="str">
        <f>IF(ISNUMBER(deployment_raw[[#This Row],[Column13]]), (deployment_raw[[#This Row],[Column13]] * IF($E$2="Deployment",deployment_raw[[#This Row],[Column5]],1)*(1+$W$2))/1048576,"")</f>
        <v/>
      </c>
    </row>
    <row r="359" spans="1:23" ht="15.75" customHeight="1" x14ac:dyDescent="0.25">
      <c r="A359" s="5" t="str">
        <f>IF(ISNONTEXT(deployment_raw[[#This Row],[Column1]]), "", deployment_raw[[#This Row],[Column1]])</f>
        <v/>
      </c>
      <c r="B359" s="6" t="str">
        <f>IF(ISNONTEXT(deployment_raw[[#This Row],[Column2]]), "", deployment_raw[[#This Row],[Column2]])</f>
        <v/>
      </c>
      <c r="C359" s="6" t="str">
        <f>IF(ISNONTEXT(deployment_raw[[#This Row],[Column3]]), "", deployment_raw[[#This Row],[Column3]])</f>
        <v/>
      </c>
      <c r="D359" s="6" t="str">
        <f>IF(ISNONTEXT(deployment_raw[[#This Row],[Column4]]), "", deployment_raw[[#This Row],[Column4]])</f>
        <v/>
      </c>
      <c r="E359" s="7" t="str">
        <f>IF(ISNUMBER(deployment_raw[[#This Row],[Column5]]), deployment_raw[[#This Row],[Column5]],"")</f>
        <v/>
      </c>
      <c r="F359" s="32" t="str">
        <f>IF(ISNUMBER(deployment_raw[[#This Row],[Column17]]), deployment_raw[[#This Row],[Column17]]/IF(OR($E$2="Deployment",deployment_raw[[#This Row],[Column5]]=0),1,deployment_raw[[#This Row],[Column5]]),"")</f>
        <v/>
      </c>
      <c r="G359" s="42" t="str">
        <f>IF(ISNUMBER(deployment_raw[[#This Row],[Column14]]), deployment_raw[[#This Row],[Column14]]/IF(OR($E$2="Deployment",deployment_raw[[#This Row],[Column5]]=0),1,deployment_raw[[#This Row],[Column5]]),"")</f>
        <v/>
      </c>
      <c r="H359" s="79" t="str">
        <f>IF(ISNUMBER(deployment_raw[[#This Row],[Column19]]), IF(I359&lt;&gt;0,(deployment_raw[[#This Row],[Column19]]/IF(OR($E$2="Deployment",deployment_raw[[#This Row],[Column5]]=0),1,deployment_raw[[#This Row],[Column5]]))/I359,0),"")</f>
        <v/>
      </c>
      <c r="I359" s="69" t="str">
        <f>IF(ISNUMBER(deployment_raw[[#This Row],[Column6]]), (deployment_raw[[#This Row],[Column6]] * IF($E$2="Deployment",deployment_raw[[#This Row],[Column5]],1)),"")</f>
        <v/>
      </c>
      <c r="J359" s="79" t="str">
        <f>IF(ISNUMBER(deployment_raw[[#This Row],[Column19]]), IF(K359&lt;&gt;0,(deployment_raw[[#This Row],[Column19]]/IF(OR($E$2="Deployment",deployment_raw[[#This Row],[Column5]]=0),1,deployment_raw[[#This Row],[Column5]]))/K359,0),"")</f>
        <v/>
      </c>
      <c r="K359" s="72" t="str">
        <f>IF(ISNUMBER(deployment_raw[[#This Row],[Column8]]), (deployment_raw[[#This Row],[Column8]]  * IF($E$2="Deployment",deployment_raw[[#This Row],[Column5]],1)),"")</f>
        <v/>
      </c>
      <c r="L35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5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59" s="81" t="str">
        <f>IF(ISNUMBER(deployment_raw[[#This Row],[Column20]]), IF(O359&lt;&gt;0,deployment_raw[[#This Row],[Column20]]/IF(OR($E$2="Deployment",deployment_raw[[#This Row],[Column5]]=0),1,deployment_raw[[#This Row],[Column5]])/1048576/O359,0),"")</f>
        <v/>
      </c>
      <c r="O359" s="74" t="str">
        <f>IF(ISNUMBER(deployment_raw[[#This Row],[Column7]]), (deployment_raw[[#This Row],[Column7]] * IF($E$2="Deployment",deployment_raw[[#This Row],[Column5]],1))/1048576,"")</f>
        <v/>
      </c>
      <c r="P359" s="81" t="str">
        <f>IF(ISNUMBER(deployment_raw[[#This Row],[Column20]]), IF(Q359&lt;&gt;0,deployment_raw[[#This Row],[Column20]]/IF(OR($E$2="Deployment",deployment_raw[[#This Row],[Column5]]=0),1,deployment_raw[[#This Row],[Column5]])/1048576/Q359,0),"")</f>
        <v/>
      </c>
      <c r="Q359" s="76" t="str">
        <f>IF(ISNUMBER(deployment_raw[[#This Row],[Column9]]), (deployment_raw[[#This Row],[Column9]] * IF($E$2="Deployment",deployment_raw[[#This Row],[Column5]],1))/1048576,"")</f>
        <v/>
      </c>
      <c r="R359" s="57" t="str">
        <f>IF(ISNUMBER(deployment_raw[[#This Row],[Column10]]), (deployment_raw[[#This Row],[Column10]] * IF($E$2="Deployment",deployment_raw[[#This Row],[Column5]],1)),"")</f>
        <v/>
      </c>
      <c r="S359" s="48" t="str">
        <f>IF(ISNUMBER(deployment_raw[[#This Row],[Column11]]), (deployment_raw[[#This Row],[Column11]] * IF($E$2="Deployment",deployment_raw[[#This Row],[Column5]],1))/1048576,"")</f>
        <v/>
      </c>
      <c r="T359" s="59" t="str">
        <f>IF(ISNUMBER(deployment_raw[[#This Row],[Column8]]),IF(OR(deployment_raw[[#This Row],[Column5]] &lt;&gt; 0,$E$2 &lt;&gt; "Deployment"), MAX(V359, ($T$2 * IF($E$2="Deployment",deployment_raw[[#This Row],[Column5]],1))), 0),"")</f>
        <v/>
      </c>
      <c r="U359" s="50" t="str">
        <f>IF(ISNUMBER(deployment_raw[[#This Row],[Column9]]),IF(OR(deployment_raw[[#This Row],[Column5]] &lt;&gt; 0,$E$2&lt;&gt;"Deployment"), MAX(W359, ($U$2 * IF($E$2="Deployment",deployment_raw[[#This Row],[Column5]],1))), 0),"")</f>
        <v/>
      </c>
      <c r="V359" s="15" t="str">
        <f>IF(ISNUMBER(deployment_raw[[#This Row],[Column12]]), (deployment_raw[[#This Row],[Column12]] * IF($E$2="Deployment",deployment_raw[[#This Row],[Column5]],1)*(1+$V$2)),"")</f>
        <v/>
      </c>
      <c r="W359" s="14" t="str">
        <f>IF(ISNUMBER(deployment_raw[[#This Row],[Column13]]), (deployment_raw[[#This Row],[Column13]] * IF($E$2="Deployment",deployment_raw[[#This Row],[Column5]],1)*(1+$W$2))/1048576,"")</f>
        <v/>
      </c>
    </row>
    <row r="360" spans="1:23" ht="15.75" customHeight="1" x14ac:dyDescent="0.25">
      <c r="A360" s="5" t="str">
        <f>IF(ISNONTEXT(deployment_raw[[#This Row],[Column1]]), "", deployment_raw[[#This Row],[Column1]])</f>
        <v/>
      </c>
      <c r="B360" s="6" t="str">
        <f>IF(ISNONTEXT(deployment_raw[[#This Row],[Column2]]), "", deployment_raw[[#This Row],[Column2]])</f>
        <v/>
      </c>
      <c r="C360" s="6" t="str">
        <f>IF(ISNONTEXT(deployment_raw[[#This Row],[Column3]]), "", deployment_raw[[#This Row],[Column3]])</f>
        <v/>
      </c>
      <c r="D360" s="6" t="str">
        <f>IF(ISNONTEXT(deployment_raw[[#This Row],[Column4]]), "", deployment_raw[[#This Row],[Column4]])</f>
        <v/>
      </c>
      <c r="E360" s="7" t="str">
        <f>IF(ISNUMBER(deployment_raw[[#This Row],[Column5]]), deployment_raw[[#This Row],[Column5]],"")</f>
        <v/>
      </c>
      <c r="F360" s="32" t="str">
        <f>IF(ISNUMBER(deployment_raw[[#This Row],[Column17]]), deployment_raw[[#This Row],[Column17]]/IF(OR($E$2="Deployment",deployment_raw[[#This Row],[Column5]]=0),1,deployment_raw[[#This Row],[Column5]]),"")</f>
        <v/>
      </c>
      <c r="G360" s="42" t="str">
        <f>IF(ISNUMBER(deployment_raw[[#This Row],[Column14]]), deployment_raw[[#This Row],[Column14]]/IF(OR($E$2="Deployment",deployment_raw[[#This Row],[Column5]]=0),1,deployment_raw[[#This Row],[Column5]]),"")</f>
        <v/>
      </c>
      <c r="H360" s="79" t="str">
        <f>IF(ISNUMBER(deployment_raw[[#This Row],[Column19]]), IF(I360&lt;&gt;0,(deployment_raw[[#This Row],[Column19]]/IF(OR($E$2="Deployment",deployment_raw[[#This Row],[Column5]]=0),1,deployment_raw[[#This Row],[Column5]]))/I360,0),"")</f>
        <v/>
      </c>
      <c r="I360" s="69" t="str">
        <f>IF(ISNUMBER(deployment_raw[[#This Row],[Column6]]), (deployment_raw[[#This Row],[Column6]] * IF($E$2="Deployment",deployment_raw[[#This Row],[Column5]],1)),"")</f>
        <v/>
      </c>
      <c r="J360" s="79" t="str">
        <f>IF(ISNUMBER(deployment_raw[[#This Row],[Column19]]), IF(K360&lt;&gt;0,(deployment_raw[[#This Row],[Column19]]/IF(OR($E$2="Deployment",deployment_raw[[#This Row],[Column5]]=0),1,deployment_raw[[#This Row],[Column5]]))/K360,0),"")</f>
        <v/>
      </c>
      <c r="K360" s="72" t="str">
        <f>IF(ISNUMBER(deployment_raw[[#This Row],[Column8]]), (deployment_raw[[#This Row],[Column8]]  * IF($E$2="Deployment",deployment_raw[[#This Row],[Column5]],1)),"")</f>
        <v/>
      </c>
      <c r="L36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6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60" s="81" t="str">
        <f>IF(ISNUMBER(deployment_raw[[#This Row],[Column20]]), IF(O360&lt;&gt;0,deployment_raw[[#This Row],[Column20]]/IF(OR($E$2="Deployment",deployment_raw[[#This Row],[Column5]]=0),1,deployment_raw[[#This Row],[Column5]])/1048576/O360,0),"")</f>
        <v/>
      </c>
      <c r="O360" s="74" t="str">
        <f>IF(ISNUMBER(deployment_raw[[#This Row],[Column7]]), (deployment_raw[[#This Row],[Column7]] * IF($E$2="Deployment",deployment_raw[[#This Row],[Column5]],1))/1048576,"")</f>
        <v/>
      </c>
      <c r="P360" s="81" t="str">
        <f>IF(ISNUMBER(deployment_raw[[#This Row],[Column20]]), IF(Q360&lt;&gt;0,deployment_raw[[#This Row],[Column20]]/IF(OR($E$2="Deployment",deployment_raw[[#This Row],[Column5]]=0),1,deployment_raw[[#This Row],[Column5]])/1048576/Q360,0),"")</f>
        <v/>
      </c>
      <c r="Q360" s="76" t="str">
        <f>IF(ISNUMBER(deployment_raw[[#This Row],[Column9]]), (deployment_raw[[#This Row],[Column9]] * IF($E$2="Deployment",deployment_raw[[#This Row],[Column5]],1))/1048576,"")</f>
        <v/>
      </c>
      <c r="R360" s="57" t="str">
        <f>IF(ISNUMBER(deployment_raw[[#This Row],[Column10]]), (deployment_raw[[#This Row],[Column10]] * IF($E$2="Deployment",deployment_raw[[#This Row],[Column5]],1)),"")</f>
        <v/>
      </c>
      <c r="S360" s="48" t="str">
        <f>IF(ISNUMBER(deployment_raw[[#This Row],[Column11]]), (deployment_raw[[#This Row],[Column11]] * IF($E$2="Deployment",deployment_raw[[#This Row],[Column5]],1))/1048576,"")</f>
        <v/>
      </c>
      <c r="T360" s="59" t="str">
        <f>IF(ISNUMBER(deployment_raw[[#This Row],[Column8]]),IF(OR(deployment_raw[[#This Row],[Column5]] &lt;&gt; 0,$E$2 &lt;&gt; "Deployment"), MAX(V360, ($T$2 * IF($E$2="Deployment",deployment_raw[[#This Row],[Column5]],1))), 0),"")</f>
        <v/>
      </c>
      <c r="U360" s="50" t="str">
        <f>IF(ISNUMBER(deployment_raw[[#This Row],[Column9]]),IF(OR(deployment_raw[[#This Row],[Column5]] &lt;&gt; 0,$E$2&lt;&gt;"Deployment"), MAX(W360, ($U$2 * IF($E$2="Deployment",deployment_raw[[#This Row],[Column5]],1))), 0),"")</f>
        <v/>
      </c>
      <c r="V360" s="15" t="str">
        <f>IF(ISNUMBER(deployment_raw[[#This Row],[Column12]]), (deployment_raw[[#This Row],[Column12]] * IF($E$2="Deployment",deployment_raw[[#This Row],[Column5]],1)*(1+$V$2)),"")</f>
        <v/>
      </c>
      <c r="W360" s="14" t="str">
        <f>IF(ISNUMBER(deployment_raw[[#This Row],[Column13]]), (deployment_raw[[#This Row],[Column13]] * IF($E$2="Deployment",deployment_raw[[#This Row],[Column5]],1)*(1+$W$2))/1048576,"")</f>
        <v/>
      </c>
    </row>
    <row r="361" spans="1:23" ht="15.75" customHeight="1" x14ac:dyDescent="0.25">
      <c r="A361" s="5" t="str">
        <f>IF(ISNONTEXT(deployment_raw[[#This Row],[Column1]]), "", deployment_raw[[#This Row],[Column1]])</f>
        <v/>
      </c>
      <c r="B361" s="6" t="str">
        <f>IF(ISNONTEXT(deployment_raw[[#This Row],[Column2]]), "", deployment_raw[[#This Row],[Column2]])</f>
        <v/>
      </c>
      <c r="C361" s="6" t="str">
        <f>IF(ISNONTEXT(deployment_raw[[#This Row],[Column3]]), "", deployment_raw[[#This Row],[Column3]])</f>
        <v/>
      </c>
      <c r="D361" s="6" t="str">
        <f>IF(ISNONTEXT(deployment_raw[[#This Row],[Column4]]), "", deployment_raw[[#This Row],[Column4]])</f>
        <v/>
      </c>
      <c r="E361" s="7" t="str">
        <f>IF(ISNUMBER(deployment_raw[[#This Row],[Column5]]), deployment_raw[[#This Row],[Column5]],"")</f>
        <v/>
      </c>
      <c r="F361" s="32" t="str">
        <f>IF(ISNUMBER(deployment_raw[[#This Row],[Column17]]), deployment_raw[[#This Row],[Column17]]/IF(OR($E$2="Deployment",deployment_raw[[#This Row],[Column5]]=0),1,deployment_raw[[#This Row],[Column5]]),"")</f>
        <v/>
      </c>
      <c r="G361" s="42" t="str">
        <f>IF(ISNUMBER(deployment_raw[[#This Row],[Column14]]), deployment_raw[[#This Row],[Column14]]/IF(OR($E$2="Deployment",deployment_raw[[#This Row],[Column5]]=0),1,deployment_raw[[#This Row],[Column5]]),"")</f>
        <v/>
      </c>
      <c r="H361" s="79" t="str">
        <f>IF(ISNUMBER(deployment_raw[[#This Row],[Column19]]), IF(I361&lt;&gt;0,(deployment_raw[[#This Row],[Column19]]/IF(OR($E$2="Deployment",deployment_raw[[#This Row],[Column5]]=0),1,deployment_raw[[#This Row],[Column5]]))/I361,0),"")</f>
        <v/>
      </c>
      <c r="I361" s="69" t="str">
        <f>IF(ISNUMBER(deployment_raw[[#This Row],[Column6]]), (deployment_raw[[#This Row],[Column6]] * IF($E$2="Deployment",deployment_raw[[#This Row],[Column5]],1)),"")</f>
        <v/>
      </c>
      <c r="J361" s="79" t="str">
        <f>IF(ISNUMBER(deployment_raw[[#This Row],[Column19]]), IF(K361&lt;&gt;0,(deployment_raw[[#This Row],[Column19]]/IF(OR($E$2="Deployment",deployment_raw[[#This Row],[Column5]]=0),1,deployment_raw[[#This Row],[Column5]]))/K361,0),"")</f>
        <v/>
      </c>
      <c r="K361" s="72" t="str">
        <f>IF(ISNUMBER(deployment_raw[[#This Row],[Column8]]), (deployment_raw[[#This Row],[Column8]]  * IF($E$2="Deployment",deployment_raw[[#This Row],[Column5]],1)),"")</f>
        <v/>
      </c>
      <c r="L36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6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61" s="81" t="str">
        <f>IF(ISNUMBER(deployment_raw[[#This Row],[Column20]]), IF(O361&lt;&gt;0,deployment_raw[[#This Row],[Column20]]/IF(OR($E$2="Deployment",deployment_raw[[#This Row],[Column5]]=0),1,deployment_raw[[#This Row],[Column5]])/1048576/O361,0),"")</f>
        <v/>
      </c>
      <c r="O361" s="74" t="str">
        <f>IF(ISNUMBER(deployment_raw[[#This Row],[Column7]]), (deployment_raw[[#This Row],[Column7]] * IF($E$2="Deployment",deployment_raw[[#This Row],[Column5]],1))/1048576,"")</f>
        <v/>
      </c>
      <c r="P361" s="81" t="str">
        <f>IF(ISNUMBER(deployment_raw[[#This Row],[Column20]]), IF(Q361&lt;&gt;0,deployment_raw[[#This Row],[Column20]]/IF(OR($E$2="Deployment",deployment_raw[[#This Row],[Column5]]=0),1,deployment_raw[[#This Row],[Column5]])/1048576/Q361,0),"")</f>
        <v/>
      </c>
      <c r="Q361" s="76" t="str">
        <f>IF(ISNUMBER(deployment_raw[[#This Row],[Column9]]), (deployment_raw[[#This Row],[Column9]] * IF($E$2="Deployment",deployment_raw[[#This Row],[Column5]],1))/1048576,"")</f>
        <v/>
      </c>
      <c r="R361" s="57" t="str">
        <f>IF(ISNUMBER(deployment_raw[[#This Row],[Column10]]), (deployment_raw[[#This Row],[Column10]] * IF($E$2="Deployment",deployment_raw[[#This Row],[Column5]],1)),"")</f>
        <v/>
      </c>
      <c r="S361" s="48" t="str">
        <f>IF(ISNUMBER(deployment_raw[[#This Row],[Column11]]), (deployment_raw[[#This Row],[Column11]] * IF($E$2="Deployment",deployment_raw[[#This Row],[Column5]],1))/1048576,"")</f>
        <v/>
      </c>
      <c r="T361" s="59" t="str">
        <f>IF(ISNUMBER(deployment_raw[[#This Row],[Column8]]),IF(OR(deployment_raw[[#This Row],[Column5]] &lt;&gt; 0,$E$2 &lt;&gt; "Deployment"), MAX(V361, ($T$2 * IF($E$2="Deployment",deployment_raw[[#This Row],[Column5]],1))), 0),"")</f>
        <v/>
      </c>
      <c r="U361" s="50" t="str">
        <f>IF(ISNUMBER(deployment_raw[[#This Row],[Column9]]),IF(OR(deployment_raw[[#This Row],[Column5]] &lt;&gt; 0,$E$2&lt;&gt;"Deployment"), MAX(W361, ($U$2 * IF($E$2="Deployment",deployment_raw[[#This Row],[Column5]],1))), 0),"")</f>
        <v/>
      </c>
      <c r="V361" s="15" t="str">
        <f>IF(ISNUMBER(deployment_raw[[#This Row],[Column12]]), (deployment_raw[[#This Row],[Column12]] * IF($E$2="Deployment",deployment_raw[[#This Row],[Column5]],1)*(1+$V$2)),"")</f>
        <v/>
      </c>
      <c r="W361" s="14" t="str">
        <f>IF(ISNUMBER(deployment_raw[[#This Row],[Column13]]), (deployment_raw[[#This Row],[Column13]] * IF($E$2="Deployment",deployment_raw[[#This Row],[Column5]],1)*(1+$W$2))/1048576,"")</f>
        <v/>
      </c>
    </row>
    <row r="362" spans="1:23" ht="15.75" customHeight="1" x14ac:dyDescent="0.25">
      <c r="A362" s="5" t="str">
        <f>IF(ISNONTEXT(deployment_raw[[#This Row],[Column1]]), "", deployment_raw[[#This Row],[Column1]])</f>
        <v/>
      </c>
      <c r="B362" s="6" t="str">
        <f>IF(ISNONTEXT(deployment_raw[[#This Row],[Column2]]), "", deployment_raw[[#This Row],[Column2]])</f>
        <v/>
      </c>
      <c r="C362" s="6" t="str">
        <f>IF(ISNONTEXT(deployment_raw[[#This Row],[Column3]]), "", deployment_raw[[#This Row],[Column3]])</f>
        <v/>
      </c>
      <c r="D362" s="6" t="str">
        <f>IF(ISNONTEXT(deployment_raw[[#This Row],[Column4]]), "", deployment_raw[[#This Row],[Column4]])</f>
        <v/>
      </c>
      <c r="E362" s="7" t="str">
        <f>IF(ISNUMBER(deployment_raw[[#This Row],[Column5]]), deployment_raw[[#This Row],[Column5]],"")</f>
        <v/>
      </c>
      <c r="F362" s="32" t="str">
        <f>IF(ISNUMBER(deployment_raw[[#This Row],[Column17]]), deployment_raw[[#This Row],[Column17]]/IF(OR($E$2="Deployment",deployment_raw[[#This Row],[Column5]]=0),1,deployment_raw[[#This Row],[Column5]]),"")</f>
        <v/>
      </c>
      <c r="G362" s="42" t="str">
        <f>IF(ISNUMBER(deployment_raw[[#This Row],[Column14]]), deployment_raw[[#This Row],[Column14]]/IF(OR($E$2="Deployment",deployment_raw[[#This Row],[Column5]]=0),1,deployment_raw[[#This Row],[Column5]]),"")</f>
        <v/>
      </c>
      <c r="H362" s="79" t="str">
        <f>IF(ISNUMBER(deployment_raw[[#This Row],[Column19]]), IF(I362&lt;&gt;0,(deployment_raw[[#This Row],[Column19]]/IF(OR($E$2="Deployment",deployment_raw[[#This Row],[Column5]]=0),1,deployment_raw[[#This Row],[Column5]]))/I362,0),"")</f>
        <v/>
      </c>
      <c r="I362" s="69" t="str">
        <f>IF(ISNUMBER(deployment_raw[[#This Row],[Column6]]), (deployment_raw[[#This Row],[Column6]] * IF($E$2="Deployment",deployment_raw[[#This Row],[Column5]],1)),"")</f>
        <v/>
      </c>
      <c r="J362" s="79" t="str">
        <f>IF(ISNUMBER(deployment_raw[[#This Row],[Column19]]), IF(K362&lt;&gt;0,(deployment_raw[[#This Row],[Column19]]/IF(OR($E$2="Deployment",deployment_raw[[#This Row],[Column5]]=0),1,deployment_raw[[#This Row],[Column5]]))/K362,0),"")</f>
        <v/>
      </c>
      <c r="K362" s="72" t="str">
        <f>IF(ISNUMBER(deployment_raw[[#This Row],[Column8]]), (deployment_raw[[#This Row],[Column8]]  * IF($E$2="Deployment",deployment_raw[[#This Row],[Column5]],1)),"")</f>
        <v/>
      </c>
      <c r="L36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6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62" s="81" t="str">
        <f>IF(ISNUMBER(deployment_raw[[#This Row],[Column20]]), IF(O362&lt;&gt;0,deployment_raw[[#This Row],[Column20]]/IF(OR($E$2="Deployment",deployment_raw[[#This Row],[Column5]]=0),1,deployment_raw[[#This Row],[Column5]])/1048576/O362,0),"")</f>
        <v/>
      </c>
      <c r="O362" s="74" t="str">
        <f>IF(ISNUMBER(deployment_raw[[#This Row],[Column7]]), (deployment_raw[[#This Row],[Column7]] * IF($E$2="Deployment",deployment_raw[[#This Row],[Column5]],1))/1048576,"")</f>
        <v/>
      </c>
      <c r="P362" s="81" t="str">
        <f>IF(ISNUMBER(deployment_raw[[#This Row],[Column20]]), IF(Q362&lt;&gt;0,deployment_raw[[#This Row],[Column20]]/IF(OR($E$2="Deployment",deployment_raw[[#This Row],[Column5]]=0),1,deployment_raw[[#This Row],[Column5]])/1048576/Q362,0),"")</f>
        <v/>
      </c>
      <c r="Q362" s="76" t="str">
        <f>IF(ISNUMBER(deployment_raw[[#This Row],[Column9]]), (deployment_raw[[#This Row],[Column9]] * IF($E$2="Deployment",deployment_raw[[#This Row],[Column5]],1))/1048576,"")</f>
        <v/>
      </c>
      <c r="R362" s="57" t="str">
        <f>IF(ISNUMBER(deployment_raw[[#This Row],[Column10]]), (deployment_raw[[#This Row],[Column10]] * IF($E$2="Deployment",deployment_raw[[#This Row],[Column5]],1)),"")</f>
        <v/>
      </c>
      <c r="S362" s="48" t="str">
        <f>IF(ISNUMBER(deployment_raw[[#This Row],[Column11]]), (deployment_raw[[#This Row],[Column11]] * IF($E$2="Deployment",deployment_raw[[#This Row],[Column5]],1))/1048576,"")</f>
        <v/>
      </c>
      <c r="T362" s="59" t="str">
        <f>IF(ISNUMBER(deployment_raw[[#This Row],[Column8]]),IF(OR(deployment_raw[[#This Row],[Column5]] &lt;&gt; 0,$E$2 &lt;&gt; "Deployment"), MAX(V362, ($T$2 * IF($E$2="Deployment",deployment_raw[[#This Row],[Column5]],1))), 0),"")</f>
        <v/>
      </c>
      <c r="U362" s="50" t="str">
        <f>IF(ISNUMBER(deployment_raw[[#This Row],[Column9]]),IF(OR(deployment_raw[[#This Row],[Column5]] &lt;&gt; 0,$E$2&lt;&gt;"Deployment"), MAX(W362, ($U$2 * IF($E$2="Deployment",deployment_raw[[#This Row],[Column5]],1))), 0),"")</f>
        <v/>
      </c>
      <c r="V362" s="15" t="str">
        <f>IF(ISNUMBER(deployment_raw[[#This Row],[Column12]]), (deployment_raw[[#This Row],[Column12]] * IF($E$2="Deployment",deployment_raw[[#This Row],[Column5]],1)*(1+$V$2)),"")</f>
        <v/>
      </c>
      <c r="W362" s="14" t="str">
        <f>IF(ISNUMBER(deployment_raw[[#This Row],[Column13]]), (deployment_raw[[#This Row],[Column13]] * IF($E$2="Deployment",deployment_raw[[#This Row],[Column5]],1)*(1+$W$2))/1048576,"")</f>
        <v/>
      </c>
    </row>
    <row r="363" spans="1:23" ht="15.75" customHeight="1" x14ac:dyDescent="0.25">
      <c r="A363" s="5" t="str">
        <f>IF(ISNONTEXT(deployment_raw[[#This Row],[Column1]]), "", deployment_raw[[#This Row],[Column1]])</f>
        <v/>
      </c>
      <c r="B363" s="6" t="str">
        <f>IF(ISNONTEXT(deployment_raw[[#This Row],[Column2]]), "", deployment_raw[[#This Row],[Column2]])</f>
        <v/>
      </c>
      <c r="C363" s="6" t="str">
        <f>IF(ISNONTEXT(deployment_raw[[#This Row],[Column3]]), "", deployment_raw[[#This Row],[Column3]])</f>
        <v/>
      </c>
      <c r="D363" s="6" t="str">
        <f>IF(ISNONTEXT(deployment_raw[[#This Row],[Column4]]), "", deployment_raw[[#This Row],[Column4]])</f>
        <v/>
      </c>
      <c r="E363" s="7" t="str">
        <f>IF(ISNUMBER(deployment_raw[[#This Row],[Column5]]), deployment_raw[[#This Row],[Column5]],"")</f>
        <v/>
      </c>
      <c r="F363" s="32" t="str">
        <f>IF(ISNUMBER(deployment_raw[[#This Row],[Column17]]), deployment_raw[[#This Row],[Column17]]/IF(OR($E$2="Deployment",deployment_raw[[#This Row],[Column5]]=0),1,deployment_raw[[#This Row],[Column5]]),"")</f>
        <v/>
      </c>
      <c r="G363" s="42" t="str">
        <f>IF(ISNUMBER(deployment_raw[[#This Row],[Column14]]), deployment_raw[[#This Row],[Column14]]/IF(OR($E$2="Deployment",deployment_raw[[#This Row],[Column5]]=0),1,deployment_raw[[#This Row],[Column5]]),"")</f>
        <v/>
      </c>
      <c r="H363" s="79" t="str">
        <f>IF(ISNUMBER(deployment_raw[[#This Row],[Column19]]), IF(I363&lt;&gt;0,(deployment_raw[[#This Row],[Column19]]/IF(OR($E$2="Deployment",deployment_raw[[#This Row],[Column5]]=0),1,deployment_raw[[#This Row],[Column5]]))/I363,0),"")</f>
        <v/>
      </c>
      <c r="I363" s="69" t="str">
        <f>IF(ISNUMBER(deployment_raw[[#This Row],[Column6]]), (deployment_raw[[#This Row],[Column6]] * IF($E$2="Deployment",deployment_raw[[#This Row],[Column5]],1)),"")</f>
        <v/>
      </c>
      <c r="J363" s="79" t="str">
        <f>IF(ISNUMBER(deployment_raw[[#This Row],[Column19]]), IF(K363&lt;&gt;0,(deployment_raw[[#This Row],[Column19]]/IF(OR($E$2="Deployment",deployment_raw[[#This Row],[Column5]]=0),1,deployment_raw[[#This Row],[Column5]]))/K363,0),"")</f>
        <v/>
      </c>
      <c r="K363" s="72" t="str">
        <f>IF(ISNUMBER(deployment_raw[[#This Row],[Column8]]), (deployment_raw[[#This Row],[Column8]]  * IF($E$2="Deployment",deployment_raw[[#This Row],[Column5]],1)),"")</f>
        <v/>
      </c>
      <c r="L36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6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63" s="81" t="str">
        <f>IF(ISNUMBER(deployment_raw[[#This Row],[Column20]]), IF(O363&lt;&gt;0,deployment_raw[[#This Row],[Column20]]/IF(OR($E$2="Deployment",deployment_raw[[#This Row],[Column5]]=0),1,deployment_raw[[#This Row],[Column5]])/1048576/O363,0),"")</f>
        <v/>
      </c>
      <c r="O363" s="74" t="str">
        <f>IF(ISNUMBER(deployment_raw[[#This Row],[Column7]]), (deployment_raw[[#This Row],[Column7]] * IF($E$2="Deployment",deployment_raw[[#This Row],[Column5]],1))/1048576,"")</f>
        <v/>
      </c>
      <c r="P363" s="81" t="str">
        <f>IF(ISNUMBER(deployment_raw[[#This Row],[Column20]]), IF(Q363&lt;&gt;0,deployment_raw[[#This Row],[Column20]]/IF(OR($E$2="Deployment",deployment_raw[[#This Row],[Column5]]=0),1,deployment_raw[[#This Row],[Column5]])/1048576/Q363,0),"")</f>
        <v/>
      </c>
      <c r="Q363" s="76" t="str">
        <f>IF(ISNUMBER(deployment_raw[[#This Row],[Column9]]), (deployment_raw[[#This Row],[Column9]] * IF($E$2="Deployment",deployment_raw[[#This Row],[Column5]],1))/1048576,"")</f>
        <v/>
      </c>
      <c r="R363" s="57" t="str">
        <f>IF(ISNUMBER(deployment_raw[[#This Row],[Column10]]), (deployment_raw[[#This Row],[Column10]] * IF($E$2="Deployment",deployment_raw[[#This Row],[Column5]],1)),"")</f>
        <v/>
      </c>
      <c r="S363" s="48" t="str">
        <f>IF(ISNUMBER(deployment_raw[[#This Row],[Column11]]), (deployment_raw[[#This Row],[Column11]] * IF($E$2="Deployment",deployment_raw[[#This Row],[Column5]],1))/1048576,"")</f>
        <v/>
      </c>
      <c r="T363" s="59" t="str">
        <f>IF(ISNUMBER(deployment_raw[[#This Row],[Column8]]),IF(OR(deployment_raw[[#This Row],[Column5]] &lt;&gt; 0,$E$2 &lt;&gt; "Deployment"), MAX(V363, ($T$2 * IF($E$2="Deployment",deployment_raw[[#This Row],[Column5]],1))), 0),"")</f>
        <v/>
      </c>
      <c r="U363" s="50" t="str">
        <f>IF(ISNUMBER(deployment_raw[[#This Row],[Column9]]),IF(OR(deployment_raw[[#This Row],[Column5]] &lt;&gt; 0,$E$2&lt;&gt;"Deployment"), MAX(W363, ($U$2 * IF($E$2="Deployment",deployment_raw[[#This Row],[Column5]],1))), 0),"")</f>
        <v/>
      </c>
      <c r="V363" s="15" t="str">
        <f>IF(ISNUMBER(deployment_raw[[#This Row],[Column12]]), (deployment_raw[[#This Row],[Column12]] * IF($E$2="Deployment",deployment_raw[[#This Row],[Column5]],1)*(1+$V$2)),"")</f>
        <v/>
      </c>
      <c r="W363" s="14" t="str">
        <f>IF(ISNUMBER(deployment_raw[[#This Row],[Column13]]), (deployment_raw[[#This Row],[Column13]] * IF($E$2="Deployment",deployment_raw[[#This Row],[Column5]],1)*(1+$W$2))/1048576,"")</f>
        <v/>
      </c>
    </row>
    <row r="364" spans="1:23" ht="15.75" customHeight="1" x14ac:dyDescent="0.25">
      <c r="A364" s="5" t="str">
        <f>IF(ISNONTEXT(deployment_raw[[#This Row],[Column1]]), "", deployment_raw[[#This Row],[Column1]])</f>
        <v/>
      </c>
      <c r="B364" s="6" t="str">
        <f>IF(ISNONTEXT(deployment_raw[[#This Row],[Column2]]), "", deployment_raw[[#This Row],[Column2]])</f>
        <v/>
      </c>
      <c r="C364" s="6" t="str">
        <f>IF(ISNONTEXT(deployment_raw[[#This Row],[Column3]]), "", deployment_raw[[#This Row],[Column3]])</f>
        <v/>
      </c>
      <c r="D364" s="6" t="str">
        <f>IF(ISNONTEXT(deployment_raw[[#This Row],[Column4]]), "", deployment_raw[[#This Row],[Column4]])</f>
        <v/>
      </c>
      <c r="E364" s="7" t="str">
        <f>IF(ISNUMBER(deployment_raw[[#This Row],[Column5]]), deployment_raw[[#This Row],[Column5]],"")</f>
        <v/>
      </c>
      <c r="F364" s="32" t="str">
        <f>IF(ISNUMBER(deployment_raw[[#This Row],[Column17]]), deployment_raw[[#This Row],[Column17]]/IF(OR($E$2="Deployment",deployment_raw[[#This Row],[Column5]]=0),1,deployment_raw[[#This Row],[Column5]]),"")</f>
        <v/>
      </c>
      <c r="G364" s="42" t="str">
        <f>IF(ISNUMBER(deployment_raw[[#This Row],[Column14]]), deployment_raw[[#This Row],[Column14]]/IF(OR($E$2="Deployment",deployment_raw[[#This Row],[Column5]]=0),1,deployment_raw[[#This Row],[Column5]]),"")</f>
        <v/>
      </c>
      <c r="H364" s="79" t="str">
        <f>IF(ISNUMBER(deployment_raw[[#This Row],[Column19]]), IF(I364&lt;&gt;0,(deployment_raw[[#This Row],[Column19]]/IF(OR($E$2="Deployment",deployment_raw[[#This Row],[Column5]]=0),1,deployment_raw[[#This Row],[Column5]]))/I364,0),"")</f>
        <v/>
      </c>
      <c r="I364" s="69" t="str">
        <f>IF(ISNUMBER(deployment_raw[[#This Row],[Column6]]), (deployment_raw[[#This Row],[Column6]] * IF($E$2="Deployment",deployment_raw[[#This Row],[Column5]],1)),"")</f>
        <v/>
      </c>
      <c r="J364" s="79" t="str">
        <f>IF(ISNUMBER(deployment_raw[[#This Row],[Column19]]), IF(K364&lt;&gt;0,(deployment_raw[[#This Row],[Column19]]/IF(OR($E$2="Deployment",deployment_raw[[#This Row],[Column5]]=0),1,deployment_raw[[#This Row],[Column5]]))/K364,0),"")</f>
        <v/>
      </c>
      <c r="K364" s="72" t="str">
        <f>IF(ISNUMBER(deployment_raw[[#This Row],[Column8]]), (deployment_raw[[#This Row],[Column8]]  * IF($E$2="Deployment",deployment_raw[[#This Row],[Column5]],1)),"")</f>
        <v/>
      </c>
      <c r="L36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6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64" s="81" t="str">
        <f>IF(ISNUMBER(deployment_raw[[#This Row],[Column20]]), IF(O364&lt;&gt;0,deployment_raw[[#This Row],[Column20]]/IF(OR($E$2="Deployment",deployment_raw[[#This Row],[Column5]]=0),1,deployment_raw[[#This Row],[Column5]])/1048576/O364,0),"")</f>
        <v/>
      </c>
      <c r="O364" s="74" t="str">
        <f>IF(ISNUMBER(deployment_raw[[#This Row],[Column7]]), (deployment_raw[[#This Row],[Column7]] * IF($E$2="Deployment",deployment_raw[[#This Row],[Column5]],1))/1048576,"")</f>
        <v/>
      </c>
      <c r="P364" s="81" t="str">
        <f>IF(ISNUMBER(deployment_raw[[#This Row],[Column20]]), IF(Q364&lt;&gt;0,deployment_raw[[#This Row],[Column20]]/IF(OR($E$2="Deployment",deployment_raw[[#This Row],[Column5]]=0),1,deployment_raw[[#This Row],[Column5]])/1048576/Q364,0),"")</f>
        <v/>
      </c>
      <c r="Q364" s="76" t="str">
        <f>IF(ISNUMBER(deployment_raw[[#This Row],[Column9]]), (deployment_raw[[#This Row],[Column9]] * IF($E$2="Deployment",deployment_raw[[#This Row],[Column5]],1))/1048576,"")</f>
        <v/>
      </c>
      <c r="R364" s="57" t="str">
        <f>IF(ISNUMBER(deployment_raw[[#This Row],[Column10]]), (deployment_raw[[#This Row],[Column10]] * IF($E$2="Deployment",deployment_raw[[#This Row],[Column5]],1)),"")</f>
        <v/>
      </c>
      <c r="S364" s="48" t="str">
        <f>IF(ISNUMBER(deployment_raw[[#This Row],[Column11]]), (deployment_raw[[#This Row],[Column11]] * IF($E$2="Deployment",deployment_raw[[#This Row],[Column5]],1))/1048576,"")</f>
        <v/>
      </c>
      <c r="T364" s="59" t="str">
        <f>IF(ISNUMBER(deployment_raw[[#This Row],[Column8]]),IF(OR(deployment_raw[[#This Row],[Column5]] &lt;&gt; 0,$E$2 &lt;&gt; "Deployment"), MAX(V364, ($T$2 * IF($E$2="Deployment",deployment_raw[[#This Row],[Column5]],1))), 0),"")</f>
        <v/>
      </c>
      <c r="U364" s="50" t="str">
        <f>IF(ISNUMBER(deployment_raw[[#This Row],[Column9]]),IF(OR(deployment_raw[[#This Row],[Column5]] &lt;&gt; 0,$E$2&lt;&gt;"Deployment"), MAX(W364, ($U$2 * IF($E$2="Deployment",deployment_raw[[#This Row],[Column5]],1))), 0),"")</f>
        <v/>
      </c>
      <c r="V364" s="15" t="str">
        <f>IF(ISNUMBER(deployment_raw[[#This Row],[Column12]]), (deployment_raw[[#This Row],[Column12]] * IF($E$2="Deployment",deployment_raw[[#This Row],[Column5]],1)*(1+$V$2)),"")</f>
        <v/>
      </c>
      <c r="W364" s="14" t="str">
        <f>IF(ISNUMBER(deployment_raw[[#This Row],[Column13]]), (deployment_raw[[#This Row],[Column13]] * IF($E$2="Deployment",deployment_raw[[#This Row],[Column5]],1)*(1+$W$2))/1048576,"")</f>
        <v/>
      </c>
    </row>
    <row r="365" spans="1:23" ht="15.75" customHeight="1" x14ac:dyDescent="0.25">
      <c r="A365" s="5" t="str">
        <f>IF(ISNONTEXT(deployment_raw[[#This Row],[Column1]]), "", deployment_raw[[#This Row],[Column1]])</f>
        <v/>
      </c>
      <c r="B365" s="6" t="str">
        <f>IF(ISNONTEXT(deployment_raw[[#This Row],[Column2]]), "", deployment_raw[[#This Row],[Column2]])</f>
        <v/>
      </c>
      <c r="C365" s="6" t="str">
        <f>IF(ISNONTEXT(deployment_raw[[#This Row],[Column3]]), "", deployment_raw[[#This Row],[Column3]])</f>
        <v/>
      </c>
      <c r="D365" s="6" t="str">
        <f>IF(ISNONTEXT(deployment_raw[[#This Row],[Column4]]), "", deployment_raw[[#This Row],[Column4]])</f>
        <v/>
      </c>
      <c r="E365" s="7" t="str">
        <f>IF(ISNUMBER(deployment_raw[[#This Row],[Column5]]), deployment_raw[[#This Row],[Column5]],"")</f>
        <v/>
      </c>
      <c r="F365" s="32" t="str">
        <f>IF(ISNUMBER(deployment_raw[[#This Row],[Column17]]), deployment_raw[[#This Row],[Column17]]/IF(OR($E$2="Deployment",deployment_raw[[#This Row],[Column5]]=0),1,deployment_raw[[#This Row],[Column5]]),"")</f>
        <v/>
      </c>
      <c r="G365" s="42" t="str">
        <f>IF(ISNUMBER(deployment_raw[[#This Row],[Column14]]), deployment_raw[[#This Row],[Column14]]/IF(OR($E$2="Deployment",deployment_raw[[#This Row],[Column5]]=0),1,deployment_raw[[#This Row],[Column5]]),"")</f>
        <v/>
      </c>
      <c r="H365" s="79" t="str">
        <f>IF(ISNUMBER(deployment_raw[[#This Row],[Column19]]), IF(I365&lt;&gt;0,(deployment_raw[[#This Row],[Column19]]/IF(OR($E$2="Deployment",deployment_raw[[#This Row],[Column5]]=0),1,deployment_raw[[#This Row],[Column5]]))/I365,0),"")</f>
        <v/>
      </c>
      <c r="I365" s="69" t="str">
        <f>IF(ISNUMBER(deployment_raw[[#This Row],[Column6]]), (deployment_raw[[#This Row],[Column6]] * IF($E$2="Deployment",deployment_raw[[#This Row],[Column5]],1)),"")</f>
        <v/>
      </c>
      <c r="J365" s="79" t="str">
        <f>IF(ISNUMBER(deployment_raw[[#This Row],[Column19]]), IF(K365&lt;&gt;0,(deployment_raw[[#This Row],[Column19]]/IF(OR($E$2="Deployment",deployment_raw[[#This Row],[Column5]]=0),1,deployment_raw[[#This Row],[Column5]]))/K365,0),"")</f>
        <v/>
      </c>
      <c r="K365" s="72" t="str">
        <f>IF(ISNUMBER(deployment_raw[[#This Row],[Column8]]), (deployment_raw[[#This Row],[Column8]]  * IF($E$2="Deployment",deployment_raw[[#This Row],[Column5]],1)),"")</f>
        <v/>
      </c>
      <c r="L36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6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65" s="81" t="str">
        <f>IF(ISNUMBER(deployment_raw[[#This Row],[Column20]]), IF(O365&lt;&gt;0,deployment_raw[[#This Row],[Column20]]/IF(OR($E$2="Deployment",deployment_raw[[#This Row],[Column5]]=0),1,deployment_raw[[#This Row],[Column5]])/1048576/O365,0),"")</f>
        <v/>
      </c>
      <c r="O365" s="74" t="str">
        <f>IF(ISNUMBER(deployment_raw[[#This Row],[Column7]]), (deployment_raw[[#This Row],[Column7]] * IF($E$2="Deployment",deployment_raw[[#This Row],[Column5]],1))/1048576,"")</f>
        <v/>
      </c>
      <c r="P365" s="81" t="str">
        <f>IF(ISNUMBER(deployment_raw[[#This Row],[Column20]]), IF(Q365&lt;&gt;0,deployment_raw[[#This Row],[Column20]]/IF(OR($E$2="Deployment",deployment_raw[[#This Row],[Column5]]=0),1,deployment_raw[[#This Row],[Column5]])/1048576/Q365,0),"")</f>
        <v/>
      </c>
      <c r="Q365" s="76" t="str">
        <f>IF(ISNUMBER(deployment_raw[[#This Row],[Column9]]), (deployment_raw[[#This Row],[Column9]] * IF($E$2="Deployment",deployment_raw[[#This Row],[Column5]],1))/1048576,"")</f>
        <v/>
      </c>
      <c r="R365" s="57" t="str">
        <f>IF(ISNUMBER(deployment_raw[[#This Row],[Column10]]), (deployment_raw[[#This Row],[Column10]] * IF($E$2="Deployment",deployment_raw[[#This Row],[Column5]],1)),"")</f>
        <v/>
      </c>
      <c r="S365" s="48" t="str">
        <f>IF(ISNUMBER(deployment_raw[[#This Row],[Column11]]), (deployment_raw[[#This Row],[Column11]] * IF($E$2="Deployment",deployment_raw[[#This Row],[Column5]],1))/1048576,"")</f>
        <v/>
      </c>
      <c r="T365" s="59" t="str">
        <f>IF(ISNUMBER(deployment_raw[[#This Row],[Column8]]),IF(OR(deployment_raw[[#This Row],[Column5]] &lt;&gt; 0,$E$2 &lt;&gt; "Deployment"), MAX(V365, ($T$2 * IF($E$2="Deployment",deployment_raw[[#This Row],[Column5]],1))), 0),"")</f>
        <v/>
      </c>
      <c r="U365" s="50" t="str">
        <f>IF(ISNUMBER(deployment_raw[[#This Row],[Column9]]),IF(OR(deployment_raw[[#This Row],[Column5]] &lt;&gt; 0,$E$2&lt;&gt;"Deployment"), MAX(W365, ($U$2 * IF($E$2="Deployment",deployment_raw[[#This Row],[Column5]],1))), 0),"")</f>
        <v/>
      </c>
      <c r="V365" s="15" t="str">
        <f>IF(ISNUMBER(deployment_raw[[#This Row],[Column12]]), (deployment_raw[[#This Row],[Column12]] * IF($E$2="Deployment",deployment_raw[[#This Row],[Column5]],1)*(1+$V$2)),"")</f>
        <v/>
      </c>
      <c r="W365" s="14" t="str">
        <f>IF(ISNUMBER(deployment_raw[[#This Row],[Column13]]), (deployment_raw[[#This Row],[Column13]] * IF($E$2="Deployment",deployment_raw[[#This Row],[Column5]],1)*(1+$W$2))/1048576,"")</f>
        <v/>
      </c>
    </row>
    <row r="366" spans="1:23" ht="15.75" customHeight="1" x14ac:dyDescent="0.25">
      <c r="A366" s="5" t="str">
        <f>IF(ISNONTEXT(deployment_raw[[#This Row],[Column1]]), "", deployment_raw[[#This Row],[Column1]])</f>
        <v/>
      </c>
      <c r="B366" s="6" t="str">
        <f>IF(ISNONTEXT(deployment_raw[[#This Row],[Column2]]), "", deployment_raw[[#This Row],[Column2]])</f>
        <v/>
      </c>
      <c r="C366" s="6" t="str">
        <f>IF(ISNONTEXT(deployment_raw[[#This Row],[Column3]]), "", deployment_raw[[#This Row],[Column3]])</f>
        <v/>
      </c>
      <c r="D366" s="6" t="str">
        <f>IF(ISNONTEXT(deployment_raw[[#This Row],[Column4]]), "", deployment_raw[[#This Row],[Column4]])</f>
        <v/>
      </c>
      <c r="E366" s="7" t="str">
        <f>IF(ISNUMBER(deployment_raw[[#This Row],[Column5]]), deployment_raw[[#This Row],[Column5]],"")</f>
        <v/>
      </c>
      <c r="F366" s="32" t="str">
        <f>IF(ISNUMBER(deployment_raw[[#This Row],[Column17]]), deployment_raw[[#This Row],[Column17]]/IF(OR($E$2="Deployment",deployment_raw[[#This Row],[Column5]]=0),1,deployment_raw[[#This Row],[Column5]]),"")</f>
        <v/>
      </c>
      <c r="G366" s="42" t="str">
        <f>IF(ISNUMBER(deployment_raw[[#This Row],[Column14]]), deployment_raw[[#This Row],[Column14]]/IF(OR($E$2="Deployment",deployment_raw[[#This Row],[Column5]]=0),1,deployment_raw[[#This Row],[Column5]]),"")</f>
        <v/>
      </c>
      <c r="H366" s="79" t="str">
        <f>IF(ISNUMBER(deployment_raw[[#This Row],[Column19]]), IF(I366&lt;&gt;0,(deployment_raw[[#This Row],[Column19]]/IF(OR($E$2="Deployment",deployment_raw[[#This Row],[Column5]]=0),1,deployment_raw[[#This Row],[Column5]]))/I366,0),"")</f>
        <v/>
      </c>
      <c r="I366" s="69" t="str">
        <f>IF(ISNUMBER(deployment_raw[[#This Row],[Column6]]), (deployment_raw[[#This Row],[Column6]] * IF($E$2="Deployment",deployment_raw[[#This Row],[Column5]],1)),"")</f>
        <v/>
      </c>
      <c r="J366" s="79" t="str">
        <f>IF(ISNUMBER(deployment_raw[[#This Row],[Column19]]), IF(K366&lt;&gt;0,(deployment_raw[[#This Row],[Column19]]/IF(OR($E$2="Deployment",deployment_raw[[#This Row],[Column5]]=0),1,deployment_raw[[#This Row],[Column5]]))/K366,0),"")</f>
        <v/>
      </c>
      <c r="K366" s="72" t="str">
        <f>IF(ISNUMBER(deployment_raw[[#This Row],[Column8]]), (deployment_raw[[#This Row],[Column8]]  * IF($E$2="Deployment",deployment_raw[[#This Row],[Column5]],1)),"")</f>
        <v/>
      </c>
      <c r="L36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6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66" s="81" t="str">
        <f>IF(ISNUMBER(deployment_raw[[#This Row],[Column20]]), IF(O366&lt;&gt;0,deployment_raw[[#This Row],[Column20]]/IF(OR($E$2="Deployment",deployment_raw[[#This Row],[Column5]]=0),1,deployment_raw[[#This Row],[Column5]])/1048576/O366,0),"")</f>
        <v/>
      </c>
      <c r="O366" s="74" t="str">
        <f>IF(ISNUMBER(deployment_raw[[#This Row],[Column7]]), (deployment_raw[[#This Row],[Column7]] * IF($E$2="Deployment",deployment_raw[[#This Row],[Column5]],1))/1048576,"")</f>
        <v/>
      </c>
      <c r="P366" s="81" t="str">
        <f>IF(ISNUMBER(deployment_raw[[#This Row],[Column20]]), IF(Q366&lt;&gt;0,deployment_raw[[#This Row],[Column20]]/IF(OR($E$2="Deployment",deployment_raw[[#This Row],[Column5]]=0),1,deployment_raw[[#This Row],[Column5]])/1048576/Q366,0),"")</f>
        <v/>
      </c>
      <c r="Q366" s="76" t="str">
        <f>IF(ISNUMBER(deployment_raw[[#This Row],[Column9]]), (deployment_raw[[#This Row],[Column9]] * IF($E$2="Deployment",deployment_raw[[#This Row],[Column5]],1))/1048576,"")</f>
        <v/>
      </c>
      <c r="R366" s="57" t="str">
        <f>IF(ISNUMBER(deployment_raw[[#This Row],[Column10]]), (deployment_raw[[#This Row],[Column10]] * IF($E$2="Deployment",deployment_raw[[#This Row],[Column5]],1)),"")</f>
        <v/>
      </c>
      <c r="S366" s="48" t="str">
        <f>IF(ISNUMBER(deployment_raw[[#This Row],[Column11]]), (deployment_raw[[#This Row],[Column11]] * IF($E$2="Deployment",deployment_raw[[#This Row],[Column5]],1))/1048576,"")</f>
        <v/>
      </c>
      <c r="T366" s="59" t="str">
        <f>IF(ISNUMBER(deployment_raw[[#This Row],[Column8]]),IF(OR(deployment_raw[[#This Row],[Column5]] &lt;&gt; 0,$E$2 &lt;&gt; "Deployment"), MAX(V366, ($T$2 * IF($E$2="Deployment",deployment_raw[[#This Row],[Column5]],1))), 0),"")</f>
        <v/>
      </c>
      <c r="U366" s="50" t="str">
        <f>IF(ISNUMBER(deployment_raw[[#This Row],[Column9]]),IF(OR(deployment_raw[[#This Row],[Column5]] &lt;&gt; 0,$E$2&lt;&gt;"Deployment"), MAX(W366, ($U$2 * IF($E$2="Deployment",deployment_raw[[#This Row],[Column5]],1))), 0),"")</f>
        <v/>
      </c>
      <c r="V366" s="15" t="str">
        <f>IF(ISNUMBER(deployment_raw[[#This Row],[Column12]]), (deployment_raw[[#This Row],[Column12]] * IF($E$2="Deployment",deployment_raw[[#This Row],[Column5]],1)*(1+$V$2)),"")</f>
        <v/>
      </c>
      <c r="W366" s="14" t="str">
        <f>IF(ISNUMBER(deployment_raw[[#This Row],[Column13]]), (deployment_raw[[#This Row],[Column13]] * IF($E$2="Deployment",deployment_raw[[#This Row],[Column5]],1)*(1+$W$2))/1048576,"")</f>
        <v/>
      </c>
    </row>
    <row r="367" spans="1:23" ht="15.75" customHeight="1" x14ac:dyDescent="0.25">
      <c r="A367" s="5" t="str">
        <f>IF(ISNONTEXT(deployment_raw[[#This Row],[Column1]]), "", deployment_raw[[#This Row],[Column1]])</f>
        <v/>
      </c>
      <c r="B367" s="6" t="str">
        <f>IF(ISNONTEXT(deployment_raw[[#This Row],[Column2]]), "", deployment_raw[[#This Row],[Column2]])</f>
        <v/>
      </c>
      <c r="C367" s="6" t="str">
        <f>IF(ISNONTEXT(deployment_raw[[#This Row],[Column3]]), "", deployment_raw[[#This Row],[Column3]])</f>
        <v/>
      </c>
      <c r="D367" s="6" t="str">
        <f>IF(ISNONTEXT(deployment_raw[[#This Row],[Column4]]), "", deployment_raw[[#This Row],[Column4]])</f>
        <v/>
      </c>
      <c r="E367" s="7" t="str">
        <f>IF(ISNUMBER(deployment_raw[[#This Row],[Column5]]), deployment_raw[[#This Row],[Column5]],"")</f>
        <v/>
      </c>
      <c r="F367" s="32" t="str">
        <f>IF(ISNUMBER(deployment_raw[[#This Row],[Column17]]), deployment_raw[[#This Row],[Column17]]/IF(OR($E$2="Deployment",deployment_raw[[#This Row],[Column5]]=0),1,deployment_raw[[#This Row],[Column5]]),"")</f>
        <v/>
      </c>
      <c r="G367" s="42" t="str">
        <f>IF(ISNUMBER(deployment_raw[[#This Row],[Column14]]), deployment_raw[[#This Row],[Column14]]/IF(OR($E$2="Deployment",deployment_raw[[#This Row],[Column5]]=0),1,deployment_raw[[#This Row],[Column5]]),"")</f>
        <v/>
      </c>
      <c r="H367" s="79" t="str">
        <f>IF(ISNUMBER(deployment_raw[[#This Row],[Column19]]), IF(I367&lt;&gt;0,(deployment_raw[[#This Row],[Column19]]/IF(OR($E$2="Deployment",deployment_raw[[#This Row],[Column5]]=0),1,deployment_raw[[#This Row],[Column5]]))/I367,0),"")</f>
        <v/>
      </c>
      <c r="I367" s="69" t="str">
        <f>IF(ISNUMBER(deployment_raw[[#This Row],[Column6]]), (deployment_raw[[#This Row],[Column6]] * IF($E$2="Deployment",deployment_raw[[#This Row],[Column5]],1)),"")</f>
        <v/>
      </c>
      <c r="J367" s="79" t="str">
        <f>IF(ISNUMBER(deployment_raw[[#This Row],[Column19]]), IF(K367&lt;&gt;0,(deployment_raw[[#This Row],[Column19]]/IF(OR($E$2="Deployment",deployment_raw[[#This Row],[Column5]]=0),1,deployment_raw[[#This Row],[Column5]]))/K367,0),"")</f>
        <v/>
      </c>
      <c r="K367" s="72" t="str">
        <f>IF(ISNUMBER(deployment_raw[[#This Row],[Column8]]), (deployment_raw[[#This Row],[Column8]]  * IF($E$2="Deployment",deployment_raw[[#This Row],[Column5]],1)),"")</f>
        <v/>
      </c>
      <c r="L36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6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67" s="81" t="str">
        <f>IF(ISNUMBER(deployment_raw[[#This Row],[Column20]]), IF(O367&lt;&gt;0,deployment_raw[[#This Row],[Column20]]/IF(OR($E$2="Deployment",deployment_raw[[#This Row],[Column5]]=0),1,deployment_raw[[#This Row],[Column5]])/1048576/O367,0),"")</f>
        <v/>
      </c>
      <c r="O367" s="74" t="str">
        <f>IF(ISNUMBER(deployment_raw[[#This Row],[Column7]]), (deployment_raw[[#This Row],[Column7]] * IF($E$2="Deployment",deployment_raw[[#This Row],[Column5]],1))/1048576,"")</f>
        <v/>
      </c>
      <c r="P367" s="81" t="str">
        <f>IF(ISNUMBER(deployment_raw[[#This Row],[Column20]]), IF(Q367&lt;&gt;0,deployment_raw[[#This Row],[Column20]]/IF(OR($E$2="Deployment",deployment_raw[[#This Row],[Column5]]=0),1,deployment_raw[[#This Row],[Column5]])/1048576/Q367,0),"")</f>
        <v/>
      </c>
      <c r="Q367" s="76" t="str">
        <f>IF(ISNUMBER(deployment_raw[[#This Row],[Column9]]), (deployment_raw[[#This Row],[Column9]] * IF($E$2="Deployment",deployment_raw[[#This Row],[Column5]],1))/1048576,"")</f>
        <v/>
      </c>
      <c r="R367" s="57" t="str">
        <f>IF(ISNUMBER(deployment_raw[[#This Row],[Column10]]), (deployment_raw[[#This Row],[Column10]] * IF($E$2="Deployment",deployment_raw[[#This Row],[Column5]],1)),"")</f>
        <v/>
      </c>
      <c r="S367" s="48" t="str">
        <f>IF(ISNUMBER(deployment_raw[[#This Row],[Column11]]), (deployment_raw[[#This Row],[Column11]] * IF($E$2="Deployment",deployment_raw[[#This Row],[Column5]],1))/1048576,"")</f>
        <v/>
      </c>
      <c r="T367" s="59" t="str">
        <f>IF(ISNUMBER(deployment_raw[[#This Row],[Column8]]),IF(OR(deployment_raw[[#This Row],[Column5]] &lt;&gt; 0,$E$2 &lt;&gt; "Deployment"), MAX(V367, ($T$2 * IF($E$2="Deployment",deployment_raw[[#This Row],[Column5]],1))), 0),"")</f>
        <v/>
      </c>
      <c r="U367" s="50" t="str">
        <f>IF(ISNUMBER(deployment_raw[[#This Row],[Column9]]),IF(OR(deployment_raw[[#This Row],[Column5]] &lt;&gt; 0,$E$2&lt;&gt;"Deployment"), MAX(W367, ($U$2 * IF($E$2="Deployment",deployment_raw[[#This Row],[Column5]],1))), 0),"")</f>
        <v/>
      </c>
      <c r="V367" s="15" t="str">
        <f>IF(ISNUMBER(deployment_raw[[#This Row],[Column12]]), (deployment_raw[[#This Row],[Column12]] * IF($E$2="Deployment",deployment_raw[[#This Row],[Column5]],1)*(1+$V$2)),"")</f>
        <v/>
      </c>
      <c r="W367" s="14" t="str">
        <f>IF(ISNUMBER(deployment_raw[[#This Row],[Column13]]), (deployment_raw[[#This Row],[Column13]] * IF($E$2="Deployment",deployment_raw[[#This Row],[Column5]],1)*(1+$W$2))/1048576,"")</f>
        <v/>
      </c>
    </row>
    <row r="368" spans="1:23" ht="15.75" customHeight="1" x14ac:dyDescent="0.25">
      <c r="A368" s="5" t="str">
        <f>IF(ISNONTEXT(deployment_raw[[#This Row],[Column1]]), "", deployment_raw[[#This Row],[Column1]])</f>
        <v/>
      </c>
      <c r="B368" s="6" t="str">
        <f>IF(ISNONTEXT(deployment_raw[[#This Row],[Column2]]), "", deployment_raw[[#This Row],[Column2]])</f>
        <v/>
      </c>
      <c r="C368" s="6" t="str">
        <f>IF(ISNONTEXT(deployment_raw[[#This Row],[Column3]]), "", deployment_raw[[#This Row],[Column3]])</f>
        <v/>
      </c>
      <c r="D368" s="6" t="str">
        <f>IF(ISNONTEXT(deployment_raw[[#This Row],[Column4]]), "", deployment_raw[[#This Row],[Column4]])</f>
        <v/>
      </c>
      <c r="E368" s="7" t="str">
        <f>IF(ISNUMBER(deployment_raw[[#This Row],[Column5]]), deployment_raw[[#This Row],[Column5]],"")</f>
        <v/>
      </c>
      <c r="F368" s="32" t="str">
        <f>IF(ISNUMBER(deployment_raw[[#This Row],[Column17]]), deployment_raw[[#This Row],[Column17]]/IF(OR($E$2="Deployment",deployment_raw[[#This Row],[Column5]]=0),1,deployment_raw[[#This Row],[Column5]]),"")</f>
        <v/>
      </c>
      <c r="G368" s="42" t="str">
        <f>IF(ISNUMBER(deployment_raw[[#This Row],[Column14]]), deployment_raw[[#This Row],[Column14]]/IF(OR($E$2="Deployment",deployment_raw[[#This Row],[Column5]]=0),1,deployment_raw[[#This Row],[Column5]]),"")</f>
        <v/>
      </c>
      <c r="H368" s="79" t="str">
        <f>IF(ISNUMBER(deployment_raw[[#This Row],[Column19]]), IF(I368&lt;&gt;0,(deployment_raw[[#This Row],[Column19]]/IF(OR($E$2="Deployment",deployment_raw[[#This Row],[Column5]]=0),1,deployment_raw[[#This Row],[Column5]]))/I368,0),"")</f>
        <v/>
      </c>
      <c r="I368" s="69" t="str">
        <f>IF(ISNUMBER(deployment_raw[[#This Row],[Column6]]), (deployment_raw[[#This Row],[Column6]] * IF($E$2="Deployment",deployment_raw[[#This Row],[Column5]],1)),"")</f>
        <v/>
      </c>
      <c r="J368" s="79" t="str">
        <f>IF(ISNUMBER(deployment_raw[[#This Row],[Column19]]), IF(K368&lt;&gt;0,(deployment_raw[[#This Row],[Column19]]/IF(OR($E$2="Deployment",deployment_raw[[#This Row],[Column5]]=0),1,deployment_raw[[#This Row],[Column5]]))/K368,0),"")</f>
        <v/>
      </c>
      <c r="K368" s="72" t="str">
        <f>IF(ISNUMBER(deployment_raw[[#This Row],[Column8]]), (deployment_raw[[#This Row],[Column8]]  * IF($E$2="Deployment",deployment_raw[[#This Row],[Column5]],1)),"")</f>
        <v/>
      </c>
      <c r="L36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6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68" s="81" t="str">
        <f>IF(ISNUMBER(deployment_raw[[#This Row],[Column20]]), IF(O368&lt;&gt;0,deployment_raw[[#This Row],[Column20]]/IF(OR($E$2="Deployment",deployment_raw[[#This Row],[Column5]]=0),1,deployment_raw[[#This Row],[Column5]])/1048576/O368,0),"")</f>
        <v/>
      </c>
      <c r="O368" s="74" t="str">
        <f>IF(ISNUMBER(deployment_raw[[#This Row],[Column7]]), (deployment_raw[[#This Row],[Column7]] * IF($E$2="Deployment",deployment_raw[[#This Row],[Column5]],1))/1048576,"")</f>
        <v/>
      </c>
      <c r="P368" s="81" t="str">
        <f>IF(ISNUMBER(deployment_raw[[#This Row],[Column20]]), IF(Q368&lt;&gt;0,deployment_raw[[#This Row],[Column20]]/IF(OR($E$2="Deployment",deployment_raw[[#This Row],[Column5]]=0),1,deployment_raw[[#This Row],[Column5]])/1048576/Q368,0),"")</f>
        <v/>
      </c>
      <c r="Q368" s="76" t="str">
        <f>IF(ISNUMBER(deployment_raw[[#This Row],[Column9]]), (deployment_raw[[#This Row],[Column9]] * IF($E$2="Deployment",deployment_raw[[#This Row],[Column5]],1))/1048576,"")</f>
        <v/>
      </c>
      <c r="R368" s="57" t="str">
        <f>IF(ISNUMBER(deployment_raw[[#This Row],[Column10]]), (deployment_raw[[#This Row],[Column10]] * IF($E$2="Deployment",deployment_raw[[#This Row],[Column5]],1)),"")</f>
        <v/>
      </c>
      <c r="S368" s="48" t="str">
        <f>IF(ISNUMBER(deployment_raw[[#This Row],[Column11]]), (deployment_raw[[#This Row],[Column11]] * IF($E$2="Deployment",deployment_raw[[#This Row],[Column5]],1))/1048576,"")</f>
        <v/>
      </c>
      <c r="T368" s="59" t="str">
        <f>IF(ISNUMBER(deployment_raw[[#This Row],[Column8]]),IF(OR(deployment_raw[[#This Row],[Column5]] &lt;&gt; 0,$E$2 &lt;&gt; "Deployment"), MAX(V368, ($T$2 * IF($E$2="Deployment",deployment_raw[[#This Row],[Column5]],1))), 0),"")</f>
        <v/>
      </c>
      <c r="U368" s="50" t="str">
        <f>IF(ISNUMBER(deployment_raw[[#This Row],[Column9]]),IF(OR(deployment_raw[[#This Row],[Column5]] &lt;&gt; 0,$E$2&lt;&gt;"Deployment"), MAX(W368, ($U$2 * IF($E$2="Deployment",deployment_raw[[#This Row],[Column5]],1))), 0),"")</f>
        <v/>
      </c>
      <c r="V368" s="15" t="str">
        <f>IF(ISNUMBER(deployment_raw[[#This Row],[Column12]]), (deployment_raw[[#This Row],[Column12]] * IF($E$2="Deployment",deployment_raw[[#This Row],[Column5]],1)*(1+$V$2)),"")</f>
        <v/>
      </c>
      <c r="W368" s="14" t="str">
        <f>IF(ISNUMBER(deployment_raw[[#This Row],[Column13]]), (deployment_raw[[#This Row],[Column13]] * IF($E$2="Deployment",deployment_raw[[#This Row],[Column5]],1)*(1+$W$2))/1048576,"")</f>
        <v/>
      </c>
    </row>
    <row r="369" spans="1:23" ht="15.75" customHeight="1" x14ac:dyDescent="0.25">
      <c r="A369" s="5" t="str">
        <f>IF(ISNONTEXT(deployment_raw[[#This Row],[Column1]]), "", deployment_raw[[#This Row],[Column1]])</f>
        <v/>
      </c>
      <c r="B369" s="6" t="str">
        <f>IF(ISNONTEXT(deployment_raw[[#This Row],[Column2]]), "", deployment_raw[[#This Row],[Column2]])</f>
        <v/>
      </c>
      <c r="C369" s="6" t="str">
        <f>IF(ISNONTEXT(deployment_raw[[#This Row],[Column3]]), "", deployment_raw[[#This Row],[Column3]])</f>
        <v/>
      </c>
      <c r="D369" s="6" t="str">
        <f>IF(ISNONTEXT(deployment_raw[[#This Row],[Column4]]), "", deployment_raw[[#This Row],[Column4]])</f>
        <v/>
      </c>
      <c r="E369" s="7" t="str">
        <f>IF(ISNUMBER(deployment_raw[[#This Row],[Column5]]), deployment_raw[[#This Row],[Column5]],"")</f>
        <v/>
      </c>
      <c r="F369" s="32" t="str">
        <f>IF(ISNUMBER(deployment_raw[[#This Row],[Column17]]), deployment_raw[[#This Row],[Column17]]/IF(OR($E$2="Deployment",deployment_raw[[#This Row],[Column5]]=0),1,deployment_raw[[#This Row],[Column5]]),"")</f>
        <v/>
      </c>
      <c r="G369" s="42" t="str">
        <f>IF(ISNUMBER(deployment_raw[[#This Row],[Column14]]), deployment_raw[[#This Row],[Column14]]/IF(OR($E$2="Deployment",deployment_raw[[#This Row],[Column5]]=0),1,deployment_raw[[#This Row],[Column5]]),"")</f>
        <v/>
      </c>
      <c r="H369" s="79" t="str">
        <f>IF(ISNUMBER(deployment_raw[[#This Row],[Column19]]), IF(I369&lt;&gt;0,(deployment_raw[[#This Row],[Column19]]/IF(OR($E$2="Deployment",deployment_raw[[#This Row],[Column5]]=0),1,deployment_raw[[#This Row],[Column5]]))/I369,0),"")</f>
        <v/>
      </c>
      <c r="I369" s="69" t="str">
        <f>IF(ISNUMBER(deployment_raw[[#This Row],[Column6]]), (deployment_raw[[#This Row],[Column6]] * IF($E$2="Deployment",deployment_raw[[#This Row],[Column5]],1)),"")</f>
        <v/>
      </c>
      <c r="J369" s="79" t="str">
        <f>IF(ISNUMBER(deployment_raw[[#This Row],[Column19]]), IF(K369&lt;&gt;0,(deployment_raw[[#This Row],[Column19]]/IF(OR($E$2="Deployment",deployment_raw[[#This Row],[Column5]]=0),1,deployment_raw[[#This Row],[Column5]]))/K369,0),"")</f>
        <v/>
      </c>
      <c r="K369" s="72" t="str">
        <f>IF(ISNUMBER(deployment_raw[[#This Row],[Column8]]), (deployment_raw[[#This Row],[Column8]]  * IF($E$2="Deployment",deployment_raw[[#This Row],[Column5]],1)),"")</f>
        <v/>
      </c>
      <c r="L36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6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69" s="81" t="str">
        <f>IF(ISNUMBER(deployment_raw[[#This Row],[Column20]]), IF(O369&lt;&gt;0,deployment_raw[[#This Row],[Column20]]/IF(OR($E$2="Deployment",deployment_raw[[#This Row],[Column5]]=0),1,deployment_raw[[#This Row],[Column5]])/1048576/O369,0),"")</f>
        <v/>
      </c>
      <c r="O369" s="74" t="str">
        <f>IF(ISNUMBER(deployment_raw[[#This Row],[Column7]]), (deployment_raw[[#This Row],[Column7]] * IF($E$2="Deployment",deployment_raw[[#This Row],[Column5]],1))/1048576,"")</f>
        <v/>
      </c>
      <c r="P369" s="81" t="str">
        <f>IF(ISNUMBER(deployment_raw[[#This Row],[Column20]]), IF(Q369&lt;&gt;0,deployment_raw[[#This Row],[Column20]]/IF(OR($E$2="Deployment",deployment_raw[[#This Row],[Column5]]=0),1,deployment_raw[[#This Row],[Column5]])/1048576/Q369,0),"")</f>
        <v/>
      </c>
      <c r="Q369" s="76" t="str">
        <f>IF(ISNUMBER(deployment_raw[[#This Row],[Column9]]), (deployment_raw[[#This Row],[Column9]] * IF($E$2="Deployment",deployment_raw[[#This Row],[Column5]],1))/1048576,"")</f>
        <v/>
      </c>
      <c r="R369" s="57" t="str">
        <f>IF(ISNUMBER(deployment_raw[[#This Row],[Column10]]), (deployment_raw[[#This Row],[Column10]] * IF($E$2="Deployment",deployment_raw[[#This Row],[Column5]],1)),"")</f>
        <v/>
      </c>
      <c r="S369" s="48" t="str">
        <f>IF(ISNUMBER(deployment_raw[[#This Row],[Column11]]), (deployment_raw[[#This Row],[Column11]] * IF($E$2="Deployment",deployment_raw[[#This Row],[Column5]],1))/1048576,"")</f>
        <v/>
      </c>
      <c r="T369" s="59" t="str">
        <f>IF(ISNUMBER(deployment_raw[[#This Row],[Column8]]),IF(OR(deployment_raw[[#This Row],[Column5]] &lt;&gt; 0,$E$2 &lt;&gt; "Deployment"), MAX(V369, ($T$2 * IF($E$2="Deployment",deployment_raw[[#This Row],[Column5]],1))), 0),"")</f>
        <v/>
      </c>
      <c r="U369" s="50" t="str">
        <f>IF(ISNUMBER(deployment_raw[[#This Row],[Column9]]),IF(OR(deployment_raw[[#This Row],[Column5]] &lt;&gt; 0,$E$2&lt;&gt;"Deployment"), MAX(W369, ($U$2 * IF($E$2="Deployment",deployment_raw[[#This Row],[Column5]],1))), 0),"")</f>
        <v/>
      </c>
      <c r="V369" s="15" t="str">
        <f>IF(ISNUMBER(deployment_raw[[#This Row],[Column12]]), (deployment_raw[[#This Row],[Column12]] * IF($E$2="Deployment",deployment_raw[[#This Row],[Column5]],1)*(1+$V$2)),"")</f>
        <v/>
      </c>
      <c r="W369" s="14" t="str">
        <f>IF(ISNUMBER(deployment_raw[[#This Row],[Column13]]), (deployment_raw[[#This Row],[Column13]] * IF($E$2="Deployment",deployment_raw[[#This Row],[Column5]],1)*(1+$W$2))/1048576,"")</f>
        <v/>
      </c>
    </row>
    <row r="370" spans="1:23" ht="15.75" customHeight="1" x14ac:dyDescent="0.25">
      <c r="A370" s="5" t="str">
        <f>IF(ISNONTEXT(deployment_raw[[#This Row],[Column1]]), "", deployment_raw[[#This Row],[Column1]])</f>
        <v/>
      </c>
      <c r="B370" s="6" t="str">
        <f>IF(ISNONTEXT(deployment_raw[[#This Row],[Column2]]), "", deployment_raw[[#This Row],[Column2]])</f>
        <v/>
      </c>
      <c r="C370" s="6" t="str">
        <f>IF(ISNONTEXT(deployment_raw[[#This Row],[Column3]]), "", deployment_raw[[#This Row],[Column3]])</f>
        <v/>
      </c>
      <c r="D370" s="6" t="str">
        <f>IF(ISNONTEXT(deployment_raw[[#This Row],[Column4]]), "", deployment_raw[[#This Row],[Column4]])</f>
        <v/>
      </c>
      <c r="E370" s="7" t="str">
        <f>IF(ISNUMBER(deployment_raw[[#This Row],[Column5]]), deployment_raw[[#This Row],[Column5]],"")</f>
        <v/>
      </c>
      <c r="F370" s="32" t="str">
        <f>IF(ISNUMBER(deployment_raw[[#This Row],[Column17]]), deployment_raw[[#This Row],[Column17]]/IF(OR($E$2="Deployment",deployment_raw[[#This Row],[Column5]]=0),1,deployment_raw[[#This Row],[Column5]]),"")</f>
        <v/>
      </c>
      <c r="G370" s="42" t="str">
        <f>IF(ISNUMBER(deployment_raw[[#This Row],[Column14]]), deployment_raw[[#This Row],[Column14]]/IF(OR($E$2="Deployment",deployment_raw[[#This Row],[Column5]]=0),1,deployment_raw[[#This Row],[Column5]]),"")</f>
        <v/>
      </c>
      <c r="H370" s="79" t="str">
        <f>IF(ISNUMBER(deployment_raw[[#This Row],[Column19]]), IF(I370&lt;&gt;0,(deployment_raw[[#This Row],[Column19]]/IF(OR($E$2="Deployment",deployment_raw[[#This Row],[Column5]]=0),1,deployment_raw[[#This Row],[Column5]]))/I370,0),"")</f>
        <v/>
      </c>
      <c r="I370" s="69" t="str">
        <f>IF(ISNUMBER(deployment_raw[[#This Row],[Column6]]), (deployment_raw[[#This Row],[Column6]] * IF($E$2="Deployment",deployment_raw[[#This Row],[Column5]],1)),"")</f>
        <v/>
      </c>
      <c r="J370" s="79" t="str">
        <f>IF(ISNUMBER(deployment_raw[[#This Row],[Column19]]), IF(K370&lt;&gt;0,(deployment_raw[[#This Row],[Column19]]/IF(OR($E$2="Deployment",deployment_raw[[#This Row],[Column5]]=0),1,deployment_raw[[#This Row],[Column5]]))/K370,0),"")</f>
        <v/>
      </c>
      <c r="K370" s="72" t="str">
        <f>IF(ISNUMBER(deployment_raw[[#This Row],[Column8]]), (deployment_raw[[#This Row],[Column8]]  * IF($E$2="Deployment",deployment_raw[[#This Row],[Column5]],1)),"")</f>
        <v/>
      </c>
      <c r="L37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7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70" s="81" t="str">
        <f>IF(ISNUMBER(deployment_raw[[#This Row],[Column20]]), IF(O370&lt;&gt;0,deployment_raw[[#This Row],[Column20]]/IF(OR($E$2="Deployment",deployment_raw[[#This Row],[Column5]]=0),1,deployment_raw[[#This Row],[Column5]])/1048576/O370,0),"")</f>
        <v/>
      </c>
      <c r="O370" s="74" t="str">
        <f>IF(ISNUMBER(deployment_raw[[#This Row],[Column7]]), (deployment_raw[[#This Row],[Column7]] * IF($E$2="Deployment",deployment_raw[[#This Row],[Column5]],1))/1048576,"")</f>
        <v/>
      </c>
      <c r="P370" s="81" t="str">
        <f>IF(ISNUMBER(deployment_raw[[#This Row],[Column20]]), IF(Q370&lt;&gt;0,deployment_raw[[#This Row],[Column20]]/IF(OR($E$2="Deployment",deployment_raw[[#This Row],[Column5]]=0),1,deployment_raw[[#This Row],[Column5]])/1048576/Q370,0),"")</f>
        <v/>
      </c>
      <c r="Q370" s="76" t="str">
        <f>IF(ISNUMBER(deployment_raw[[#This Row],[Column9]]), (deployment_raw[[#This Row],[Column9]] * IF($E$2="Deployment",deployment_raw[[#This Row],[Column5]],1))/1048576,"")</f>
        <v/>
      </c>
      <c r="R370" s="57" t="str">
        <f>IF(ISNUMBER(deployment_raw[[#This Row],[Column10]]), (deployment_raw[[#This Row],[Column10]] * IF($E$2="Deployment",deployment_raw[[#This Row],[Column5]],1)),"")</f>
        <v/>
      </c>
      <c r="S370" s="48" t="str">
        <f>IF(ISNUMBER(deployment_raw[[#This Row],[Column11]]), (deployment_raw[[#This Row],[Column11]] * IF($E$2="Deployment",deployment_raw[[#This Row],[Column5]],1))/1048576,"")</f>
        <v/>
      </c>
      <c r="T370" s="59" t="str">
        <f>IF(ISNUMBER(deployment_raw[[#This Row],[Column8]]),IF(OR(deployment_raw[[#This Row],[Column5]] &lt;&gt; 0,$E$2 &lt;&gt; "Deployment"), MAX(V370, ($T$2 * IF($E$2="Deployment",deployment_raw[[#This Row],[Column5]],1))), 0),"")</f>
        <v/>
      </c>
      <c r="U370" s="50" t="str">
        <f>IF(ISNUMBER(deployment_raw[[#This Row],[Column9]]),IF(OR(deployment_raw[[#This Row],[Column5]] &lt;&gt; 0,$E$2&lt;&gt;"Deployment"), MAX(W370, ($U$2 * IF($E$2="Deployment",deployment_raw[[#This Row],[Column5]],1))), 0),"")</f>
        <v/>
      </c>
      <c r="V370" s="15" t="str">
        <f>IF(ISNUMBER(deployment_raw[[#This Row],[Column12]]), (deployment_raw[[#This Row],[Column12]] * IF($E$2="Deployment",deployment_raw[[#This Row],[Column5]],1)*(1+$V$2)),"")</f>
        <v/>
      </c>
      <c r="W370" s="14" t="str">
        <f>IF(ISNUMBER(deployment_raw[[#This Row],[Column13]]), (deployment_raw[[#This Row],[Column13]] * IF($E$2="Deployment",deployment_raw[[#This Row],[Column5]],1)*(1+$W$2))/1048576,"")</f>
        <v/>
      </c>
    </row>
    <row r="371" spans="1:23" ht="15.75" customHeight="1" x14ac:dyDescent="0.25">
      <c r="A371" s="5" t="str">
        <f>IF(ISNONTEXT(deployment_raw[[#This Row],[Column1]]), "", deployment_raw[[#This Row],[Column1]])</f>
        <v/>
      </c>
      <c r="B371" s="6" t="str">
        <f>IF(ISNONTEXT(deployment_raw[[#This Row],[Column2]]), "", deployment_raw[[#This Row],[Column2]])</f>
        <v/>
      </c>
      <c r="C371" s="6" t="str">
        <f>IF(ISNONTEXT(deployment_raw[[#This Row],[Column3]]), "", deployment_raw[[#This Row],[Column3]])</f>
        <v/>
      </c>
      <c r="D371" s="6" t="str">
        <f>IF(ISNONTEXT(deployment_raw[[#This Row],[Column4]]), "", deployment_raw[[#This Row],[Column4]])</f>
        <v/>
      </c>
      <c r="E371" s="7" t="str">
        <f>IF(ISNUMBER(deployment_raw[[#This Row],[Column5]]), deployment_raw[[#This Row],[Column5]],"")</f>
        <v/>
      </c>
      <c r="F371" s="32" t="str">
        <f>IF(ISNUMBER(deployment_raw[[#This Row],[Column17]]), deployment_raw[[#This Row],[Column17]]/IF(OR($E$2="Deployment",deployment_raw[[#This Row],[Column5]]=0),1,deployment_raw[[#This Row],[Column5]]),"")</f>
        <v/>
      </c>
      <c r="G371" s="42" t="str">
        <f>IF(ISNUMBER(deployment_raw[[#This Row],[Column14]]), deployment_raw[[#This Row],[Column14]]/IF(OR($E$2="Deployment",deployment_raw[[#This Row],[Column5]]=0),1,deployment_raw[[#This Row],[Column5]]),"")</f>
        <v/>
      </c>
      <c r="H371" s="79" t="str">
        <f>IF(ISNUMBER(deployment_raw[[#This Row],[Column19]]), IF(I371&lt;&gt;0,(deployment_raw[[#This Row],[Column19]]/IF(OR($E$2="Deployment",deployment_raw[[#This Row],[Column5]]=0),1,deployment_raw[[#This Row],[Column5]]))/I371,0),"")</f>
        <v/>
      </c>
      <c r="I371" s="69" t="str">
        <f>IF(ISNUMBER(deployment_raw[[#This Row],[Column6]]), (deployment_raw[[#This Row],[Column6]] * IF($E$2="Deployment",deployment_raw[[#This Row],[Column5]],1)),"")</f>
        <v/>
      </c>
      <c r="J371" s="79" t="str">
        <f>IF(ISNUMBER(deployment_raw[[#This Row],[Column19]]), IF(K371&lt;&gt;0,(deployment_raw[[#This Row],[Column19]]/IF(OR($E$2="Deployment",deployment_raw[[#This Row],[Column5]]=0),1,deployment_raw[[#This Row],[Column5]]))/K371,0),"")</f>
        <v/>
      </c>
      <c r="K371" s="72" t="str">
        <f>IF(ISNUMBER(deployment_raw[[#This Row],[Column8]]), (deployment_raw[[#This Row],[Column8]]  * IF($E$2="Deployment",deployment_raw[[#This Row],[Column5]],1)),"")</f>
        <v/>
      </c>
      <c r="L37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7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71" s="81" t="str">
        <f>IF(ISNUMBER(deployment_raw[[#This Row],[Column20]]), IF(O371&lt;&gt;0,deployment_raw[[#This Row],[Column20]]/IF(OR($E$2="Deployment",deployment_raw[[#This Row],[Column5]]=0),1,deployment_raw[[#This Row],[Column5]])/1048576/O371,0),"")</f>
        <v/>
      </c>
      <c r="O371" s="74" t="str">
        <f>IF(ISNUMBER(deployment_raw[[#This Row],[Column7]]), (deployment_raw[[#This Row],[Column7]] * IF($E$2="Deployment",deployment_raw[[#This Row],[Column5]],1))/1048576,"")</f>
        <v/>
      </c>
      <c r="P371" s="81" t="str">
        <f>IF(ISNUMBER(deployment_raw[[#This Row],[Column20]]), IF(Q371&lt;&gt;0,deployment_raw[[#This Row],[Column20]]/IF(OR($E$2="Deployment",deployment_raw[[#This Row],[Column5]]=0),1,deployment_raw[[#This Row],[Column5]])/1048576/Q371,0),"")</f>
        <v/>
      </c>
      <c r="Q371" s="76" t="str">
        <f>IF(ISNUMBER(deployment_raw[[#This Row],[Column9]]), (deployment_raw[[#This Row],[Column9]] * IF($E$2="Deployment",deployment_raw[[#This Row],[Column5]],1))/1048576,"")</f>
        <v/>
      </c>
      <c r="R371" s="57" t="str">
        <f>IF(ISNUMBER(deployment_raw[[#This Row],[Column10]]), (deployment_raw[[#This Row],[Column10]] * IF($E$2="Deployment",deployment_raw[[#This Row],[Column5]],1)),"")</f>
        <v/>
      </c>
      <c r="S371" s="48" t="str">
        <f>IF(ISNUMBER(deployment_raw[[#This Row],[Column11]]), (deployment_raw[[#This Row],[Column11]] * IF($E$2="Deployment",deployment_raw[[#This Row],[Column5]],1))/1048576,"")</f>
        <v/>
      </c>
      <c r="T371" s="59" t="str">
        <f>IF(ISNUMBER(deployment_raw[[#This Row],[Column8]]),IF(OR(deployment_raw[[#This Row],[Column5]] &lt;&gt; 0,$E$2 &lt;&gt; "Deployment"), MAX(V371, ($T$2 * IF($E$2="Deployment",deployment_raw[[#This Row],[Column5]],1))), 0),"")</f>
        <v/>
      </c>
      <c r="U371" s="50" t="str">
        <f>IF(ISNUMBER(deployment_raw[[#This Row],[Column9]]),IF(OR(deployment_raw[[#This Row],[Column5]] &lt;&gt; 0,$E$2&lt;&gt;"Deployment"), MAX(W371, ($U$2 * IF($E$2="Deployment",deployment_raw[[#This Row],[Column5]],1))), 0),"")</f>
        <v/>
      </c>
      <c r="V371" s="15" t="str">
        <f>IF(ISNUMBER(deployment_raw[[#This Row],[Column12]]), (deployment_raw[[#This Row],[Column12]] * IF($E$2="Deployment",deployment_raw[[#This Row],[Column5]],1)*(1+$V$2)),"")</f>
        <v/>
      </c>
      <c r="W371" s="14" t="str">
        <f>IF(ISNUMBER(deployment_raw[[#This Row],[Column13]]), (deployment_raw[[#This Row],[Column13]] * IF($E$2="Deployment",deployment_raw[[#This Row],[Column5]],1)*(1+$W$2))/1048576,"")</f>
        <v/>
      </c>
    </row>
    <row r="372" spans="1:23" ht="15.75" customHeight="1" x14ac:dyDescent="0.25">
      <c r="A372" s="5" t="str">
        <f>IF(ISNONTEXT(deployment_raw[[#This Row],[Column1]]), "", deployment_raw[[#This Row],[Column1]])</f>
        <v/>
      </c>
      <c r="B372" s="6" t="str">
        <f>IF(ISNONTEXT(deployment_raw[[#This Row],[Column2]]), "", deployment_raw[[#This Row],[Column2]])</f>
        <v/>
      </c>
      <c r="C372" s="6" t="str">
        <f>IF(ISNONTEXT(deployment_raw[[#This Row],[Column3]]), "", deployment_raw[[#This Row],[Column3]])</f>
        <v/>
      </c>
      <c r="D372" s="6" t="str">
        <f>IF(ISNONTEXT(deployment_raw[[#This Row],[Column4]]), "", deployment_raw[[#This Row],[Column4]])</f>
        <v/>
      </c>
      <c r="E372" s="7" t="str">
        <f>IF(ISNUMBER(deployment_raw[[#This Row],[Column5]]), deployment_raw[[#This Row],[Column5]],"")</f>
        <v/>
      </c>
      <c r="F372" s="32" t="str">
        <f>IF(ISNUMBER(deployment_raw[[#This Row],[Column17]]), deployment_raw[[#This Row],[Column17]]/IF(OR($E$2="Deployment",deployment_raw[[#This Row],[Column5]]=0),1,deployment_raw[[#This Row],[Column5]]),"")</f>
        <v/>
      </c>
      <c r="G372" s="42" t="str">
        <f>IF(ISNUMBER(deployment_raw[[#This Row],[Column14]]), deployment_raw[[#This Row],[Column14]]/IF(OR($E$2="Deployment",deployment_raw[[#This Row],[Column5]]=0),1,deployment_raw[[#This Row],[Column5]]),"")</f>
        <v/>
      </c>
      <c r="H372" s="79" t="str">
        <f>IF(ISNUMBER(deployment_raw[[#This Row],[Column19]]), IF(I372&lt;&gt;0,(deployment_raw[[#This Row],[Column19]]/IF(OR($E$2="Deployment",deployment_raw[[#This Row],[Column5]]=0),1,deployment_raw[[#This Row],[Column5]]))/I372,0),"")</f>
        <v/>
      </c>
      <c r="I372" s="69" t="str">
        <f>IF(ISNUMBER(deployment_raw[[#This Row],[Column6]]), (deployment_raw[[#This Row],[Column6]] * IF($E$2="Deployment",deployment_raw[[#This Row],[Column5]],1)),"")</f>
        <v/>
      </c>
      <c r="J372" s="79" t="str">
        <f>IF(ISNUMBER(deployment_raw[[#This Row],[Column19]]), IF(K372&lt;&gt;0,(deployment_raw[[#This Row],[Column19]]/IF(OR($E$2="Deployment",deployment_raw[[#This Row],[Column5]]=0),1,deployment_raw[[#This Row],[Column5]]))/K372,0),"")</f>
        <v/>
      </c>
      <c r="K372" s="72" t="str">
        <f>IF(ISNUMBER(deployment_raw[[#This Row],[Column8]]), (deployment_raw[[#This Row],[Column8]]  * IF($E$2="Deployment",deployment_raw[[#This Row],[Column5]],1)),"")</f>
        <v/>
      </c>
      <c r="L37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7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72" s="81" t="str">
        <f>IF(ISNUMBER(deployment_raw[[#This Row],[Column20]]), IF(O372&lt;&gt;0,deployment_raw[[#This Row],[Column20]]/IF(OR($E$2="Deployment",deployment_raw[[#This Row],[Column5]]=0),1,deployment_raw[[#This Row],[Column5]])/1048576/O372,0),"")</f>
        <v/>
      </c>
      <c r="O372" s="74" t="str">
        <f>IF(ISNUMBER(deployment_raw[[#This Row],[Column7]]), (deployment_raw[[#This Row],[Column7]] * IF($E$2="Deployment",deployment_raw[[#This Row],[Column5]],1))/1048576,"")</f>
        <v/>
      </c>
      <c r="P372" s="81" t="str">
        <f>IF(ISNUMBER(deployment_raw[[#This Row],[Column20]]), IF(Q372&lt;&gt;0,deployment_raw[[#This Row],[Column20]]/IF(OR($E$2="Deployment",deployment_raw[[#This Row],[Column5]]=0),1,deployment_raw[[#This Row],[Column5]])/1048576/Q372,0),"")</f>
        <v/>
      </c>
      <c r="Q372" s="76" t="str">
        <f>IF(ISNUMBER(deployment_raw[[#This Row],[Column9]]), (deployment_raw[[#This Row],[Column9]] * IF($E$2="Deployment",deployment_raw[[#This Row],[Column5]],1))/1048576,"")</f>
        <v/>
      </c>
      <c r="R372" s="57" t="str">
        <f>IF(ISNUMBER(deployment_raw[[#This Row],[Column10]]), (deployment_raw[[#This Row],[Column10]] * IF($E$2="Deployment",deployment_raw[[#This Row],[Column5]],1)),"")</f>
        <v/>
      </c>
      <c r="S372" s="48" t="str">
        <f>IF(ISNUMBER(deployment_raw[[#This Row],[Column11]]), (deployment_raw[[#This Row],[Column11]] * IF($E$2="Deployment",deployment_raw[[#This Row],[Column5]],1))/1048576,"")</f>
        <v/>
      </c>
      <c r="T372" s="59" t="str">
        <f>IF(ISNUMBER(deployment_raw[[#This Row],[Column8]]),IF(OR(deployment_raw[[#This Row],[Column5]] &lt;&gt; 0,$E$2 &lt;&gt; "Deployment"), MAX(V372, ($T$2 * IF($E$2="Deployment",deployment_raw[[#This Row],[Column5]],1))), 0),"")</f>
        <v/>
      </c>
      <c r="U372" s="50" t="str">
        <f>IF(ISNUMBER(deployment_raw[[#This Row],[Column9]]),IF(OR(deployment_raw[[#This Row],[Column5]] &lt;&gt; 0,$E$2&lt;&gt;"Deployment"), MAX(W372, ($U$2 * IF($E$2="Deployment",deployment_raw[[#This Row],[Column5]],1))), 0),"")</f>
        <v/>
      </c>
      <c r="V372" s="15" t="str">
        <f>IF(ISNUMBER(deployment_raw[[#This Row],[Column12]]), (deployment_raw[[#This Row],[Column12]] * IF($E$2="Deployment",deployment_raw[[#This Row],[Column5]],1)*(1+$V$2)),"")</f>
        <v/>
      </c>
      <c r="W372" s="14" t="str">
        <f>IF(ISNUMBER(deployment_raw[[#This Row],[Column13]]), (deployment_raw[[#This Row],[Column13]] * IF($E$2="Deployment",deployment_raw[[#This Row],[Column5]],1)*(1+$W$2))/1048576,"")</f>
        <v/>
      </c>
    </row>
    <row r="373" spans="1:23" ht="15.75" customHeight="1" x14ac:dyDescent="0.25">
      <c r="A373" s="5" t="str">
        <f>IF(ISNONTEXT(deployment_raw[[#This Row],[Column1]]), "", deployment_raw[[#This Row],[Column1]])</f>
        <v/>
      </c>
      <c r="B373" s="6" t="str">
        <f>IF(ISNONTEXT(deployment_raw[[#This Row],[Column2]]), "", deployment_raw[[#This Row],[Column2]])</f>
        <v/>
      </c>
      <c r="C373" s="6" t="str">
        <f>IF(ISNONTEXT(deployment_raw[[#This Row],[Column3]]), "", deployment_raw[[#This Row],[Column3]])</f>
        <v/>
      </c>
      <c r="D373" s="6" t="str">
        <f>IF(ISNONTEXT(deployment_raw[[#This Row],[Column4]]), "", deployment_raw[[#This Row],[Column4]])</f>
        <v/>
      </c>
      <c r="E373" s="7" t="str">
        <f>IF(ISNUMBER(deployment_raw[[#This Row],[Column5]]), deployment_raw[[#This Row],[Column5]],"")</f>
        <v/>
      </c>
      <c r="F373" s="32" t="str">
        <f>IF(ISNUMBER(deployment_raw[[#This Row],[Column17]]), deployment_raw[[#This Row],[Column17]]/IF(OR($E$2="Deployment",deployment_raw[[#This Row],[Column5]]=0),1,deployment_raw[[#This Row],[Column5]]),"")</f>
        <v/>
      </c>
      <c r="G373" s="42" t="str">
        <f>IF(ISNUMBER(deployment_raw[[#This Row],[Column14]]), deployment_raw[[#This Row],[Column14]]/IF(OR($E$2="Deployment",deployment_raw[[#This Row],[Column5]]=0),1,deployment_raw[[#This Row],[Column5]]),"")</f>
        <v/>
      </c>
      <c r="H373" s="79" t="str">
        <f>IF(ISNUMBER(deployment_raw[[#This Row],[Column19]]), IF(I373&lt;&gt;0,(deployment_raw[[#This Row],[Column19]]/IF(OR($E$2="Deployment",deployment_raw[[#This Row],[Column5]]=0),1,deployment_raw[[#This Row],[Column5]]))/I373,0),"")</f>
        <v/>
      </c>
      <c r="I373" s="69" t="str">
        <f>IF(ISNUMBER(deployment_raw[[#This Row],[Column6]]), (deployment_raw[[#This Row],[Column6]] * IF($E$2="Deployment",deployment_raw[[#This Row],[Column5]],1)),"")</f>
        <v/>
      </c>
      <c r="J373" s="79" t="str">
        <f>IF(ISNUMBER(deployment_raw[[#This Row],[Column19]]), IF(K373&lt;&gt;0,(deployment_raw[[#This Row],[Column19]]/IF(OR($E$2="Deployment",deployment_raw[[#This Row],[Column5]]=0),1,deployment_raw[[#This Row],[Column5]]))/K373,0),"")</f>
        <v/>
      </c>
      <c r="K373" s="72" t="str">
        <f>IF(ISNUMBER(deployment_raw[[#This Row],[Column8]]), (deployment_raw[[#This Row],[Column8]]  * IF($E$2="Deployment",deployment_raw[[#This Row],[Column5]],1)),"")</f>
        <v/>
      </c>
      <c r="L37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7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73" s="81" t="str">
        <f>IF(ISNUMBER(deployment_raw[[#This Row],[Column20]]), IF(O373&lt;&gt;0,deployment_raw[[#This Row],[Column20]]/IF(OR($E$2="Deployment",deployment_raw[[#This Row],[Column5]]=0),1,deployment_raw[[#This Row],[Column5]])/1048576/O373,0),"")</f>
        <v/>
      </c>
      <c r="O373" s="74" t="str">
        <f>IF(ISNUMBER(deployment_raw[[#This Row],[Column7]]), (deployment_raw[[#This Row],[Column7]] * IF($E$2="Deployment",deployment_raw[[#This Row],[Column5]],1))/1048576,"")</f>
        <v/>
      </c>
      <c r="P373" s="81" t="str">
        <f>IF(ISNUMBER(deployment_raw[[#This Row],[Column20]]), IF(Q373&lt;&gt;0,deployment_raw[[#This Row],[Column20]]/IF(OR($E$2="Deployment",deployment_raw[[#This Row],[Column5]]=0),1,deployment_raw[[#This Row],[Column5]])/1048576/Q373,0),"")</f>
        <v/>
      </c>
      <c r="Q373" s="76" t="str">
        <f>IF(ISNUMBER(deployment_raw[[#This Row],[Column9]]), (deployment_raw[[#This Row],[Column9]] * IF($E$2="Deployment",deployment_raw[[#This Row],[Column5]],1))/1048576,"")</f>
        <v/>
      </c>
      <c r="R373" s="57" t="str">
        <f>IF(ISNUMBER(deployment_raw[[#This Row],[Column10]]), (deployment_raw[[#This Row],[Column10]] * IF($E$2="Deployment",deployment_raw[[#This Row],[Column5]],1)),"")</f>
        <v/>
      </c>
      <c r="S373" s="48" t="str">
        <f>IF(ISNUMBER(deployment_raw[[#This Row],[Column11]]), (deployment_raw[[#This Row],[Column11]] * IF($E$2="Deployment",deployment_raw[[#This Row],[Column5]],1))/1048576,"")</f>
        <v/>
      </c>
      <c r="T373" s="59" t="str">
        <f>IF(ISNUMBER(deployment_raw[[#This Row],[Column8]]),IF(OR(deployment_raw[[#This Row],[Column5]] &lt;&gt; 0,$E$2 &lt;&gt; "Deployment"), MAX(V373, ($T$2 * IF($E$2="Deployment",deployment_raw[[#This Row],[Column5]],1))), 0),"")</f>
        <v/>
      </c>
      <c r="U373" s="50" t="str">
        <f>IF(ISNUMBER(deployment_raw[[#This Row],[Column9]]),IF(OR(deployment_raw[[#This Row],[Column5]] &lt;&gt; 0,$E$2&lt;&gt;"Deployment"), MAX(W373, ($U$2 * IF($E$2="Deployment",deployment_raw[[#This Row],[Column5]],1))), 0),"")</f>
        <v/>
      </c>
      <c r="V373" s="15" t="str">
        <f>IF(ISNUMBER(deployment_raw[[#This Row],[Column12]]), (deployment_raw[[#This Row],[Column12]] * IF($E$2="Deployment",deployment_raw[[#This Row],[Column5]],1)*(1+$V$2)),"")</f>
        <v/>
      </c>
      <c r="W373" s="14" t="str">
        <f>IF(ISNUMBER(deployment_raw[[#This Row],[Column13]]), (deployment_raw[[#This Row],[Column13]] * IF($E$2="Deployment",deployment_raw[[#This Row],[Column5]],1)*(1+$W$2))/1048576,"")</f>
        <v/>
      </c>
    </row>
    <row r="374" spans="1:23" ht="15.75" customHeight="1" x14ac:dyDescent="0.25">
      <c r="A374" s="5" t="str">
        <f>IF(ISNONTEXT(deployment_raw[[#This Row],[Column1]]), "", deployment_raw[[#This Row],[Column1]])</f>
        <v/>
      </c>
      <c r="B374" s="6" t="str">
        <f>IF(ISNONTEXT(deployment_raw[[#This Row],[Column2]]), "", deployment_raw[[#This Row],[Column2]])</f>
        <v/>
      </c>
      <c r="C374" s="6" t="str">
        <f>IF(ISNONTEXT(deployment_raw[[#This Row],[Column3]]), "", deployment_raw[[#This Row],[Column3]])</f>
        <v/>
      </c>
      <c r="D374" s="6" t="str">
        <f>IF(ISNONTEXT(deployment_raw[[#This Row],[Column4]]), "", deployment_raw[[#This Row],[Column4]])</f>
        <v/>
      </c>
      <c r="E374" s="7" t="str">
        <f>IF(ISNUMBER(deployment_raw[[#This Row],[Column5]]), deployment_raw[[#This Row],[Column5]],"")</f>
        <v/>
      </c>
      <c r="F374" s="32" t="str">
        <f>IF(ISNUMBER(deployment_raw[[#This Row],[Column17]]), deployment_raw[[#This Row],[Column17]]/IF(OR($E$2="Deployment",deployment_raw[[#This Row],[Column5]]=0),1,deployment_raw[[#This Row],[Column5]]),"")</f>
        <v/>
      </c>
      <c r="G374" s="42" t="str">
        <f>IF(ISNUMBER(deployment_raw[[#This Row],[Column14]]), deployment_raw[[#This Row],[Column14]]/IF(OR($E$2="Deployment",deployment_raw[[#This Row],[Column5]]=0),1,deployment_raw[[#This Row],[Column5]]),"")</f>
        <v/>
      </c>
      <c r="H374" s="79" t="str">
        <f>IF(ISNUMBER(deployment_raw[[#This Row],[Column19]]), IF(I374&lt;&gt;0,(deployment_raw[[#This Row],[Column19]]/IF(OR($E$2="Deployment",deployment_raw[[#This Row],[Column5]]=0),1,deployment_raw[[#This Row],[Column5]]))/I374,0),"")</f>
        <v/>
      </c>
      <c r="I374" s="69" t="str">
        <f>IF(ISNUMBER(deployment_raw[[#This Row],[Column6]]), (deployment_raw[[#This Row],[Column6]] * IF($E$2="Deployment",deployment_raw[[#This Row],[Column5]],1)),"")</f>
        <v/>
      </c>
      <c r="J374" s="79" t="str">
        <f>IF(ISNUMBER(deployment_raw[[#This Row],[Column19]]), IF(K374&lt;&gt;0,(deployment_raw[[#This Row],[Column19]]/IF(OR($E$2="Deployment",deployment_raw[[#This Row],[Column5]]=0),1,deployment_raw[[#This Row],[Column5]]))/K374,0),"")</f>
        <v/>
      </c>
      <c r="K374" s="72" t="str">
        <f>IF(ISNUMBER(deployment_raw[[#This Row],[Column8]]), (deployment_raw[[#This Row],[Column8]]  * IF($E$2="Deployment",deployment_raw[[#This Row],[Column5]],1)),"")</f>
        <v/>
      </c>
      <c r="L37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7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74" s="81" t="str">
        <f>IF(ISNUMBER(deployment_raw[[#This Row],[Column20]]), IF(O374&lt;&gt;0,deployment_raw[[#This Row],[Column20]]/IF(OR($E$2="Deployment",deployment_raw[[#This Row],[Column5]]=0),1,deployment_raw[[#This Row],[Column5]])/1048576/O374,0),"")</f>
        <v/>
      </c>
      <c r="O374" s="74" t="str">
        <f>IF(ISNUMBER(deployment_raw[[#This Row],[Column7]]), (deployment_raw[[#This Row],[Column7]] * IF($E$2="Deployment",deployment_raw[[#This Row],[Column5]],1))/1048576,"")</f>
        <v/>
      </c>
      <c r="P374" s="81" t="str">
        <f>IF(ISNUMBER(deployment_raw[[#This Row],[Column20]]), IF(Q374&lt;&gt;0,deployment_raw[[#This Row],[Column20]]/IF(OR($E$2="Deployment",deployment_raw[[#This Row],[Column5]]=0),1,deployment_raw[[#This Row],[Column5]])/1048576/Q374,0),"")</f>
        <v/>
      </c>
      <c r="Q374" s="76" t="str">
        <f>IF(ISNUMBER(deployment_raw[[#This Row],[Column9]]), (deployment_raw[[#This Row],[Column9]] * IF($E$2="Deployment",deployment_raw[[#This Row],[Column5]],1))/1048576,"")</f>
        <v/>
      </c>
      <c r="R374" s="57" t="str">
        <f>IF(ISNUMBER(deployment_raw[[#This Row],[Column10]]), (deployment_raw[[#This Row],[Column10]] * IF($E$2="Deployment",deployment_raw[[#This Row],[Column5]],1)),"")</f>
        <v/>
      </c>
      <c r="S374" s="48" t="str">
        <f>IF(ISNUMBER(deployment_raw[[#This Row],[Column11]]), (deployment_raw[[#This Row],[Column11]] * IF($E$2="Deployment",deployment_raw[[#This Row],[Column5]],1))/1048576,"")</f>
        <v/>
      </c>
      <c r="T374" s="59" t="str">
        <f>IF(ISNUMBER(deployment_raw[[#This Row],[Column8]]),IF(OR(deployment_raw[[#This Row],[Column5]] &lt;&gt; 0,$E$2 &lt;&gt; "Deployment"), MAX(V374, ($T$2 * IF($E$2="Deployment",deployment_raw[[#This Row],[Column5]],1))), 0),"")</f>
        <v/>
      </c>
      <c r="U374" s="50" t="str">
        <f>IF(ISNUMBER(deployment_raw[[#This Row],[Column9]]),IF(OR(deployment_raw[[#This Row],[Column5]] &lt;&gt; 0,$E$2&lt;&gt;"Deployment"), MAX(W374, ($U$2 * IF($E$2="Deployment",deployment_raw[[#This Row],[Column5]],1))), 0),"")</f>
        <v/>
      </c>
      <c r="V374" s="15" t="str">
        <f>IF(ISNUMBER(deployment_raw[[#This Row],[Column12]]), (deployment_raw[[#This Row],[Column12]] * IF($E$2="Deployment",deployment_raw[[#This Row],[Column5]],1)*(1+$V$2)),"")</f>
        <v/>
      </c>
      <c r="W374" s="14" t="str">
        <f>IF(ISNUMBER(deployment_raw[[#This Row],[Column13]]), (deployment_raw[[#This Row],[Column13]] * IF($E$2="Deployment",deployment_raw[[#This Row],[Column5]],1)*(1+$W$2))/1048576,"")</f>
        <v/>
      </c>
    </row>
    <row r="375" spans="1:23" ht="15.75" customHeight="1" x14ac:dyDescent="0.25">
      <c r="A375" s="5" t="str">
        <f>IF(ISNONTEXT(deployment_raw[[#This Row],[Column1]]), "", deployment_raw[[#This Row],[Column1]])</f>
        <v/>
      </c>
      <c r="B375" s="6" t="str">
        <f>IF(ISNONTEXT(deployment_raw[[#This Row],[Column2]]), "", deployment_raw[[#This Row],[Column2]])</f>
        <v/>
      </c>
      <c r="C375" s="6" t="str">
        <f>IF(ISNONTEXT(deployment_raw[[#This Row],[Column3]]), "", deployment_raw[[#This Row],[Column3]])</f>
        <v/>
      </c>
      <c r="D375" s="6" t="str">
        <f>IF(ISNONTEXT(deployment_raw[[#This Row],[Column4]]), "", deployment_raw[[#This Row],[Column4]])</f>
        <v/>
      </c>
      <c r="E375" s="7" t="str">
        <f>IF(ISNUMBER(deployment_raw[[#This Row],[Column5]]), deployment_raw[[#This Row],[Column5]],"")</f>
        <v/>
      </c>
      <c r="F375" s="32" t="str">
        <f>IF(ISNUMBER(deployment_raw[[#This Row],[Column17]]), deployment_raw[[#This Row],[Column17]]/IF(OR($E$2="Deployment",deployment_raw[[#This Row],[Column5]]=0),1,deployment_raw[[#This Row],[Column5]]),"")</f>
        <v/>
      </c>
      <c r="G375" s="42" t="str">
        <f>IF(ISNUMBER(deployment_raw[[#This Row],[Column14]]), deployment_raw[[#This Row],[Column14]]/IF(OR($E$2="Deployment",deployment_raw[[#This Row],[Column5]]=0),1,deployment_raw[[#This Row],[Column5]]),"")</f>
        <v/>
      </c>
      <c r="H375" s="79" t="str">
        <f>IF(ISNUMBER(deployment_raw[[#This Row],[Column19]]), IF(I375&lt;&gt;0,(deployment_raw[[#This Row],[Column19]]/IF(OR($E$2="Deployment",deployment_raw[[#This Row],[Column5]]=0),1,deployment_raw[[#This Row],[Column5]]))/I375,0),"")</f>
        <v/>
      </c>
      <c r="I375" s="69" t="str">
        <f>IF(ISNUMBER(deployment_raw[[#This Row],[Column6]]), (deployment_raw[[#This Row],[Column6]] * IF($E$2="Deployment",deployment_raw[[#This Row],[Column5]],1)),"")</f>
        <v/>
      </c>
      <c r="J375" s="79" t="str">
        <f>IF(ISNUMBER(deployment_raw[[#This Row],[Column19]]), IF(K375&lt;&gt;0,(deployment_raw[[#This Row],[Column19]]/IF(OR($E$2="Deployment",deployment_raw[[#This Row],[Column5]]=0),1,deployment_raw[[#This Row],[Column5]]))/K375,0),"")</f>
        <v/>
      </c>
      <c r="K375" s="72" t="str">
        <f>IF(ISNUMBER(deployment_raw[[#This Row],[Column8]]), (deployment_raw[[#This Row],[Column8]]  * IF($E$2="Deployment",deployment_raw[[#This Row],[Column5]],1)),"")</f>
        <v/>
      </c>
      <c r="L37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7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75" s="81" t="str">
        <f>IF(ISNUMBER(deployment_raw[[#This Row],[Column20]]), IF(O375&lt;&gt;0,deployment_raw[[#This Row],[Column20]]/IF(OR($E$2="Deployment",deployment_raw[[#This Row],[Column5]]=0),1,deployment_raw[[#This Row],[Column5]])/1048576/O375,0),"")</f>
        <v/>
      </c>
      <c r="O375" s="74" t="str">
        <f>IF(ISNUMBER(deployment_raw[[#This Row],[Column7]]), (deployment_raw[[#This Row],[Column7]] * IF($E$2="Deployment",deployment_raw[[#This Row],[Column5]],1))/1048576,"")</f>
        <v/>
      </c>
      <c r="P375" s="81" t="str">
        <f>IF(ISNUMBER(deployment_raw[[#This Row],[Column20]]), IF(Q375&lt;&gt;0,deployment_raw[[#This Row],[Column20]]/IF(OR($E$2="Deployment",deployment_raw[[#This Row],[Column5]]=0),1,deployment_raw[[#This Row],[Column5]])/1048576/Q375,0),"")</f>
        <v/>
      </c>
      <c r="Q375" s="76" t="str">
        <f>IF(ISNUMBER(deployment_raw[[#This Row],[Column9]]), (deployment_raw[[#This Row],[Column9]] * IF($E$2="Deployment",deployment_raw[[#This Row],[Column5]],1))/1048576,"")</f>
        <v/>
      </c>
      <c r="R375" s="57" t="str">
        <f>IF(ISNUMBER(deployment_raw[[#This Row],[Column10]]), (deployment_raw[[#This Row],[Column10]] * IF($E$2="Deployment",deployment_raw[[#This Row],[Column5]],1)),"")</f>
        <v/>
      </c>
      <c r="S375" s="48" t="str">
        <f>IF(ISNUMBER(deployment_raw[[#This Row],[Column11]]), (deployment_raw[[#This Row],[Column11]] * IF($E$2="Deployment",deployment_raw[[#This Row],[Column5]],1))/1048576,"")</f>
        <v/>
      </c>
      <c r="T375" s="59" t="str">
        <f>IF(ISNUMBER(deployment_raw[[#This Row],[Column8]]),IF(OR(deployment_raw[[#This Row],[Column5]] &lt;&gt; 0,$E$2 &lt;&gt; "Deployment"), MAX(V375, ($T$2 * IF($E$2="Deployment",deployment_raw[[#This Row],[Column5]],1))), 0),"")</f>
        <v/>
      </c>
      <c r="U375" s="50" t="str">
        <f>IF(ISNUMBER(deployment_raw[[#This Row],[Column9]]),IF(OR(deployment_raw[[#This Row],[Column5]] &lt;&gt; 0,$E$2&lt;&gt;"Deployment"), MAX(W375, ($U$2 * IF($E$2="Deployment",deployment_raw[[#This Row],[Column5]],1))), 0),"")</f>
        <v/>
      </c>
      <c r="V375" s="15" t="str">
        <f>IF(ISNUMBER(deployment_raw[[#This Row],[Column12]]), (deployment_raw[[#This Row],[Column12]] * IF($E$2="Deployment",deployment_raw[[#This Row],[Column5]],1)*(1+$V$2)),"")</f>
        <v/>
      </c>
      <c r="W375" s="14" t="str">
        <f>IF(ISNUMBER(deployment_raw[[#This Row],[Column13]]), (deployment_raw[[#This Row],[Column13]] * IF($E$2="Deployment",deployment_raw[[#This Row],[Column5]],1)*(1+$W$2))/1048576,"")</f>
        <v/>
      </c>
    </row>
    <row r="376" spans="1:23" ht="15.75" customHeight="1" x14ac:dyDescent="0.25">
      <c r="A376" s="5" t="str">
        <f>IF(ISNONTEXT(deployment_raw[[#This Row],[Column1]]), "", deployment_raw[[#This Row],[Column1]])</f>
        <v/>
      </c>
      <c r="B376" s="6" t="str">
        <f>IF(ISNONTEXT(deployment_raw[[#This Row],[Column2]]), "", deployment_raw[[#This Row],[Column2]])</f>
        <v/>
      </c>
      <c r="C376" s="6" t="str">
        <f>IF(ISNONTEXT(deployment_raw[[#This Row],[Column3]]), "", deployment_raw[[#This Row],[Column3]])</f>
        <v/>
      </c>
      <c r="D376" s="6" t="str">
        <f>IF(ISNONTEXT(deployment_raw[[#This Row],[Column4]]), "", deployment_raw[[#This Row],[Column4]])</f>
        <v/>
      </c>
      <c r="E376" s="7" t="str">
        <f>IF(ISNUMBER(deployment_raw[[#This Row],[Column5]]), deployment_raw[[#This Row],[Column5]],"")</f>
        <v/>
      </c>
      <c r="F376" s="32" t="str">
        <f>IF(ISNUMBER(deployment_raw[[#This Row],[Column17]]), deployment_raw[[#This Row],[Column17]]/IF(OR($E$2="Deployment",deployment_raw[[#This Row],[Column5]]=0),1,deployment_raw[[#This Row],[Column5]]),"")</f>
        <v/>
      </c>
      <c r="G376" s="42" t="str">
        <f>IF(ISNUMBER(deployment_raw[[#This Row],[Column14]]), deployment_raw[[#This Row],[Column14]]/IF(OR($E$2="Deployment",deployment_raw[[#This Row],[Column5]]=0),1,deployment_raw[[#This Row],[Column5]]),"")</f>
        <v/>
      </c>
      <c r="H376" s="79" t="str">
        <f>IF(ISNUMBER(deployment_raw[[#This Row],[Column19]]), IF(I376&lt;&gt;0,(deployment_raw[[#This Row],[Column19]]/IF(OR($E$2="Deployment",deployment_raw[[#This Row],[Column5]]=0),1,deployment_raw[[#This Row],[Column5]]))/I376,0),"")</f>
        <v/>
      </c>
      <c r="I376" s="69" t="str">
        <f>IF(ISNUMBER(deployment_raw[[#This Row],[Column6]]), (deployment_raw[[#This Row],[Column6]] * IF($E$2="Deployment",deployment_raw[[#This Row],[Column5]],1)),"")</f>
        <v/>
      </c>
      <c r="J376" s="79" t="str">
        <f>IF(ISNUMBER(deployment_raw[[#This Row],[Column19]]), IF(K376&lt;&gt;0,(deployment_raw[[#This Row],[Column19]]/IF(OR($E$2="Deployment",deployment_raw[[#This Row],[Column5]]=0),1,deployment_raw[[#This Row],[Column5]]))/K376,0),"")</f>
        <v/>
      </c>
      <c r="K376" s="72" t="str">
        <f>IF(ISNUMBER(deployment_raw[[#This Row],[Column8]]), (deployment_raw[[#This Row],[Column8]]  * IF($E$2="Deployment",deployment_raw[[#This Row],[Column5]],1)),"")</f>
        <v/>
      </c>
      <c r="L37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7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76" s="81" t="str">
        <f>IF(ISNUMBER(deployment_raw[[#This Row],[Column20]]), IF(O376&lt;&gt;0,deployment_raw[[#This Row],[Column20]]/IF(OR($E$2="Deployment",deployment_raw[[#This Row],[Column5]]=0),1,deployment_raw[[#This Row],[Column5]])/1048576/O376,0),"")</f>
        <v/>
      </c>
      <c r="O376" s="74" t="str">
        <f>IF(ISNUMBER(deployment_raw[[#This Row],[Column7]]), (deployment_raw[[#This Row],[Column7]] * IF($E$2="Deployment",deployment_raw[[#This Row],[Column5]],1))/1048576,"")</f>
        <v/>
      </c>
      <c r="P376" s="81" t="str">
        <f>IF(ISNUMBER(deployment_raw[[#This Row],[Column20]]), IF(Q376&lt;&gt;0,deployment_raw[[#This Row],[Column20]]/IF(OR($E$2="Deployment",deployment_raw[[#This Row],[Column5]]=0),1,deployment_raw[[#This Row],[Column5]])/1048576/Q376,0),"")</f>
        <v/>
      </c>
      <c r="Q376" s="76" t="str">
        <f>IF(ISNUMBER(deployment_raw[[#This Row],[Column9]]), (deployment_raw[[#This Row],[Column9]] * IF($E$2="Deployment",deployment_raw[[#This Row],[Column5]],1))/1048576,"")</f>
        <v/>
      </c>
      <c r="R376" s="57" t="str">
        <f>IF(ISNUMBER(deployment_raw[[#This Row],[Column10]]), (deployment_raw[[#This Row],[Column10]] * IF($E$2="Deployment",deployment_raw[[#This Row],[Column5]],1)),"")</f>
        <v/>
      </c>
      <c r="S376" s="48" t="str">
        <f>IF(ISNUMBER(deployment_raw[[#This Row],[Column11]]), (deployment_raw[[#This Row],[Column11]] * IF($E$2="Deployment",deployment_raw[[#This Row],[Column5]],1))/1048576,"")</f>
        <v/>
      </c>
      <c r="T376" s="59" t="str">
        <f>IF(ISNUMBER(deployment_raw[[#This Row],[Column8]]),IF(OR(deployment_raw[[#This Row],[Column5]] &lt;&gt; 0,$E$2 &lt;&gt; "Deployment"), MAX(V376, ($T$2 * IF($E$2="Deployment",deployment_raw[[#This Row],[Column5]],1))), 0),"")</f>
        <v/>
      </c>
      <c r="U376" s="50" t="str">
        <f>IF(ISNUMBER(deployment_raw[[#This Row],[Column9]]),IF(OR(deployment_raw[[#This Row],[Column5]] &lt;&gt; 0,$E$2&lt;&gt;"Deployment"), MAX(W376, ($U$2 * IF($E$2="Deployment",deployment_raw[[#This Row],[Column5]],1))), 0),"")</f>
        <v/>
      </c>
      <c r="V376" s="15" t="str">
        <f>IF(ISNUMBER(deployment_raw[[#This Row],[Column12]]), (deployment_raw[[#This Row],[Column12]] * IF($E$2="Deployment",deployment_raw[[#This Row],[Column5]],1)*(1+$V$2)),"")</f>
        <v/>
      </c>
      <c r="W376" s="14" t="str">
        <f>IF(ISNUMBER(deployment_raw[[#This Row],[Column13]]), (deployment_raw[[#This Row],[Column13]] * IF($E$2="Deployment",deployment_raw[[#This Row],[Column5]],1)*(1+$W$2))/1048576,"")</f>
        <v/>
      </c>
    </row>
    <row r="377" spans="1:23" ht="15.75" customHeight="1" x14ac:dyDescent="0.25">
      <c r="A377" s="5" t="str">
        <f>IF(ISNONTEXT(deployment_raw[[#This Row],[Column1]]), "", deployment_raw[[#This Row],[Column1]])</f>
        <v/>
      </c>
      <c r="B377" s="6" t="str">
        <f>IF(ISNONTEXT(deployment_raw[[#This Row],[Column2]]), "", deployment_raw[[#This Row],[Column2]])</f>
        <v/>
      </c>
      <c r="C377" s="6" t="str">
        <f>IF(ISNONTEXT(deployment_raw[[#This Row],[Column3]]), "", deployment_raw[[#This Row],[Column3]])</f>
        <v/>
      </c>
      <c r="D377" s="6" t="str">
        <f>IF(ISNONTEXT(deployment_raw[[#This Row],[Column4]]), "", deployment_raw[[#This Row],[Column4]])</f>
        <v/>
      </c>
      <c r="E377" s="7" t="str">
        <f>IF(ISNUMBER(deployment_raw[[#This Row],[Column5]]), deployment_raw[[#This Row],[Column5]],"")</f>
        <v/>
      </c>
      <c r="F377" s="32" t="str">
        <f>IF(ISNUMBER(deployment_raw[[#This Row],[Column17]]), deployment_raw[[#This Row],[Column17]]/IF(OR($E$2="Deployment",deployment_raw[[#This Row],[Column5]]=0),1,deployment_raw[[#This Row],[Column5]]),"")</f>
        <v/>
      </c>
      <c r="G377" s="42" t="str">
        <f>IF(ISNUMBER(deployment_raw[[#This Row],[Column14]]), deployment_raw[[#This Row],[Column14]]/IF(OR($E$2="Deployment",deployment_raw[[#This Row],[Column5]]=0),1,deployment_raw[[#This Row],[Column5]]),"")</f>
        <v/>
      </c>
      <c r="H377" s="79" t="str">
        <f>IF(ISNUMBER(deployment_raw[[#This Row],[Column19]]), IF(I377&lt;&gt;0,(deployment_raw[[#This Row],[Column19]]/IF(OR($E$2="Deployment",deployment_raw[[#This Row],[Column5]]=0),1,deployment_raw[[#This Row],[Column5]]))/I377,0),"")</f>
        <v/>
      </c>
      <c r="I377" s="69" t="str">
        <f>IF(ISNUMBER(deployment_raw[[#This Row],[Column6]]), (deployment_raw[[#This Row],[Column6]] * IF($E$2="Deployment",deployment_raw[[#This Row],[Column5]],1)),"")</f>
        <v/>
      </c>
      <c r="J377" s="79" t="str">
        <f>IF(ISNUMBER(deployment_raw[[#This Row],[Column19]]), IF(K377&lt;&gt;0,(deployment_raw[[#This Row],[Column19]]/IF(OR($E$2="Deployment",deployment_raw[[#This Row],[Column5]]=0),1,deployment_raw[[#This Row],[Column5]]))/K377,0),"")</f>
        <v/>
      </c>
      <c r="K377" s="72" t="str">
        <f>IF(ISNUMBER(deployment_raw[[#This Row],[Column8]]), (deployment_raw[[#This Row],[Column8]]  * IF($E$2="Deployment",deployment_raw[[#This Row],[Column5]],1)),"")</f>
        <v/>
      </c>
      <c r="L37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7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77" s="81" t="str">
        <f>IF(ISNUMBER(deployment_raw[[#This Row],[Column20]]), IF(O377&lt;&gt;0,deployment_raw[[#This Row],[Column20]]/IF(OR($E$2="Deployment",deployment_raw[[#This Row],[Column5]]=0),1,deployment_raw[[#This Row],[Column5]])/1048576/O377,0),"")</f>
        <v/>
      </c>
      <c r="O377" s="74" t="str">
        <f>IF(ISNUMBER(deployment_raw[[#This Row],[Column7]]), (deployment_raw[[#This Row],[Column7]] * IF($E$2="Deployment",deployment_raw[[#This Row],[Column5]],1))/1048576,"")</f>
        <v/>
      </c>
      <c r="P377" s="81" t="str">
        <f>IF(ISNUMBER(deployment_raw[[#This Row],[Column20]]), IF(Q377&lt;&gt;0,deployment_raw[[#This Row],[Column20]]/IF(OR($E$2="Deployment",deployment_raw[[#This Row],[Column5]]=0),1,deployment_raw[[#This Row],[Column5]])/1048576/Q377,0),"")</f>
        <v/>
      </c>
      <c r="Q377" s="76" t="str">
        <f>IF(ISNUMBER(deployment_raw[[#This Row],[Column9]]), (deployment_raw[[#This Row],[Column9]] * IF($E$2="Deployment",deployment_raw[[#This Row],[Column5]],1))/1048576,"")</f>
        <v/>
      </c>
      <c r="R377" s="57" t="str">
        <f>IF(ISNUMBER(deployment_raw[[#This Row],[Column10]]), (deployment_raw[[#This Row],[Column10]] * IF($E$2="Deployment",deployment_raw[[#This Row],[Column5]],1)),"")</f>
        <v/>
      </c>
      <c r="S377" s="48" t="str">
        <f>IF(ISNUMBER(deployment_raw[[#This Row],[Column11]]), (deployment_raw[[#This Row],[Column11]] * IF($E$2="Deployment",deployment_raw[[#This Row],[Column5]],1))/1048576,"")</f>
        <v/>
      </c>
      <c r="T377" s="59" t="str">
        <f>IF(ISNUMBER(deployment_raw[[#This Row],[Column8]]),IF(OR(deployment_raw[[#This Row],[Column5]] &lt;&gt; 0,$E$2 &lt;&gt; "Deployment"), MAX(V377, ($T$2 * IF($E$2="Deployment",deployment_raw[[#This Row],[Column5]],1))), 0),"")</f>
        <v/>
      </c>
      <c r="U377" s="50" t="str">
        <f>IF(ISNUMBER(deployment_raw[[#This Row],[Column9]]),IF(OR(deployment_raw[[#This Row],[Column5]] &lt;&gt; 0,$E$2&lt;&gt;"Deployment"), MAX(W377, ($U$2 * IF($E$2="Deployment",deployment_raw[[#This Row],[Column5]],1))), 0),"")</f>
        <v/>
      </c>
      <c r="V377" s="15" t="str">
        <f>IF(ISNUMBER(deployment_raw[[#This Row],[Column12]]), (deployment_raw[[#This Row],[Column12]] * IF($E$2="Deployment",deployment_raw[[#This Row],[Column5]],1)*(1+$V$2)),"")</f>
        <v/>
      </c>
      <c r="W377" s="14" t="str">
        <f>IF(ISNUMBER(deployment_raw[[#This Row],[Column13]]), (deployment_raw[[#This Row],[Column13]] * IF($E$2="Deployment",deployment_raw[[#This Row],[Column5]],1)*(1+$W$2))/1048576,"")</f>
        <v/>
      </c>
    </row>
    <row r="378" spans="1:23" ht="15.75" customHeight="1" x14ac:dyDescent="0.25">
      <c r="A378" s="5" t="str">
        <f>IF(ISNONTEXT(deployment_raw[[#This Row],[Column1]]), "", deployment_raw[[#This Row],[Column1]])</f>
        <v/>
      </c>
      <c r="B378" s="6" t="str">
        <f>IF(ISNONTEXT(deployment_raw[[#This Row],[Column2]]), "", deployment_raw[[#This Row],[Column2]])</f>
        <v/>
      </c>
      <c r="C378" s="6" t="str">
        <f>IF(ISNONTEXT(deployment_raw[[#This Row],[Column3]]), "", deployment_raw[[#This Row],[Column3]])</f>
        <v/>
      </c>
      <c r="D378" s="6" t="str">
        <f>IF(ISNONTEXT(deployment_raw[[#This Row],[Column4]]), "", deployment_raw[[#This Row],[Column4]])</f>
        <v/>
      </c>
      <c r="E378" s="7" t="str">
        <f>IF(ISNUMBER(deployment_raw[[#This Row],[Column5]]), deployment_raw[[#This Row],[Column5]],"")</f>
        <v/>
      </c>
      <c r="F378" s="32" t="str">
        <f>IF(ISNUMBER(deployment_raw[[#This Row],[Column17]]), deployment_raw[[#This Row],[Column17]]/IF(OR($E$2="Deployment",deployment_raw[[#This Row],[Column5]]=0),1,deployment_raw[[#This Row],[Column5]]),"")</f>
        <v/>
      </c>
      <c r="G378" s="42" t="str">
        <f>IF(ISNUMBER(deployment_raw[[#This Row],[Column14]]), deployment_raw[[#This Row],[Column14]]/IF(OR($E$2="Deployment",deployment_raw[[#This Row],[Column5]]=0),1,deployment_raw[[#This Row],[Column5]]),"")</f>
        <v/>
      </c>
      <c r="H378" s="79" t="str">
        <f>IF(ISNUMBER(deployment_raw[[#This Row],[Column19]]), IF(I378&lt;&gt;0,(deployment_raw[[#This Row],[Column19]]/IF(OR($E$2="Deployment",deployment_raw[[#This Row],[Column5]]=0),1,deployment_raw[[#This Row],[Column5]]))/I378,0),"")</f>
        <v/>
      </c>
      <c r="I378" s="69" t="str">
        <f>IF(ISNUMBER(deployment_raw[[#This Row],[Column6]]), (deployment_raw[[#This Row],[Column6]] * IF($E$2="Deployment",deployment_raw[[#This Row],[Column5]],1)),"")</f>
        <v/>
      </c>
      <c r="J378" s="79" t="str">
        <f>IF(ISNUMBER(deployment_raw[[#This Row],[Column19]]), IF(K378&lt;&gt;0,(deployment_raw[[#This Row],[Column19]]/IF(OR($E$2="Deployment",deployment_raw[[#This Row],[Column5]]=0),1,deployment_raw[[#This Row],[Column5]]))/K378,0),"")</f>
        <v/>
      </c>
      <c r="K378" s="72" t="str">
        <f>IF(ISNUMBER(deployment_raw[[#This Row],[Column8]]), (deployment_raw[[#This Row],[Column8]]  * IF($E$2="Deployment",deployment_raw[[#This Row],[Column5]],1)),"")</f>
        <v/>
      </c>
      <c r="L37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7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78" s="81" t="str">
        <f>IF(ISNUMBER(deployment_raw[[#This Row],[Column20]]), IF(O378&lt;&gt;0,deployment_raw[[#This Row],[Column20]]/IF(OR($E$2="Deployment",deployment_raw[[#This Row],[Column5]]=0),1,deployment_raw[[#This Row],[Column5]])/1048576/O378,0),"")</f>
        <v/>
      </c>
      <c r="O378" s="74" t="str">
        <f>IF(ISNUMBER(deployment_raw[[#This Row],[Column7]]), (deployment_raw[[#This Row],[Column7]] * IF($E$2="Deployment",deployment_raw[[#This Row],[Column5]],1))/1048576,"")</f>
        <v/>
      </c>
      <c r="P378" s="81" t="str">
        <f>IF(ISNUMBER(deployment_raw[[#This Row],[Column20]]), IF(Q378&lt;&gt;0,deployment_raw[[#This Row],[Column20]]/IF(OR($E$2="Deployment",deployment_raw[[#This Row],[Column5]]=0),1,deployment_raw[[#This Row],[Column5]])/1048576/Q378,0),"")</f>
        <v/>
      </c>
      <c r="Q378" s="76" t="str">
        <f>IF(ISNUMBER(deployment_raw[[#This Row],[Column9]]), (deployment_raw[[#This Row],[Column9]] * IF($E$2="Deployment",deployment_raw[[#This Row],[Column5]],1))/1048576,"")</f>
        <v/>
      </c>
      <c r="R378" s="57" t="str">
        <f>IF(ISNUMBER(deployment_raw[[#This Row],[Column10]]), (deployment_raw[[#This Row],[Column10]] * IF($E$2="Deployment",deployment_raw[[#This Row],[Column5]],1)),"")</f>
        <v/>
      </c>
      <c r="S378" s="48" t="str">
        <f>IF(ISNUMBER(deployment_raw[[#This Row],[Column11]]), (deployment_raw[[#This Row],[Column11]] * IF($E$2="Deployment",deployment_raw[[#This Row],[Column5]],1))/1048576,"")</f>
        <v/>
      </c>
      <c r="T378" s="59" t="str">
        <f>IF(ISNUMBER(deployment_raw[[#This Row],[Column8]]),IF(OR(deployment_raw[[#This Row],[Column5]] &lt;&gt; 0,$E$2 &lt;&gt; "Deployment"), MAX(V378, ($T$2 * IF($E$2="Deployment",deployment_raw[[#This Row],[Column5]],1))), 0),"")</f>
        <v/>
      </c>
      <c r="U378" s="50" t="str">
        <f>IF(ISNUMBER(deployment_raw[[#This Row],[Column9]]),IF(OR(deployment_raw[[#This Row],[Column5]] &lt;&gt; 0,$E$2&lt;&gt;"Deployment"), MAX(W378, ($U$2 * IF($E$2="Deployment",deployment_raw[[#This Row],[Column5]],1))), 0),"")</f>
        <v/>
      </c>
      <c r="V378" s="15" t="str">
        <f>IF(ISNUMBER(deployment_raw[[#This Row],[Column12]]), (deployment_raw[[#This Row],[Column12]] * IF($E$2="Deployment",deployment_raw[[#This Row],[Column5]],1)*(1+$V$2)),"")</f>
        <v/>
      </c>
      <c r="W378" s="14" t="str">
        <f>IF(ISNUMBER(deployment_raw[[#This Row],[Column13]]), (deployment_raw[[#This Row],[Column13]] * IF($E$2="Deployment",deployment_raw[[#This Row],[Column5]],1)*(1+$W$2))/1048576,"")</f>
        <v/>
      </c>
    </row>
    <row r="379" spans="1:23" ht="15.75" customHeight="1" x14ac:dyDescent="0.25">
      <c r="A379" s="5" t="str">
        <f>IF(ISNONTEXT(deployment_raw[[#This Row],[Column1]]), "", deployment_raw[[#This Row],[Column1]])</f>
        <v/>
      </c>
      <c r="B379" s="6" t="str">
        <f>IF(ISNONTEXT(deployment_raw[[#This Row],[Column2]]), "", deployment_raw[[#This Row],[Column2]])</f>
        <v/>
      </c>
      <c r="C379" s="6" t="str">
        <f>IF(ISNONTEXT(deployment_raw[[#This Row],[Column3]]), "", deployment_raw[[#This Row],[Column3]])</f>
        <v/>
      </c>
      <c r="D379" s="6" t="str">
        <f>IF(ISNONTEXT(deployment_raw[[#This Row],[Column4]]), "", deployment_raw[[#This Row],[Column4]])</f>
        <v/>
      </c>
      <c r="E379" s="7" t="str">
        <f>IF(ISNUMBER(deployment_raw[[#This Row],[Column5]]), deployment_raw[[#This Row],[Column5]],"")</f>
        <v/>
      </c>
      <c r="F379" s="32" t="str">
        <f>IF(ISNUMBER(deployment_raw[[#This Row],[Column17]]), deployment_raw[[#This Row],[Column17]]/IF(OR($E$2="Deployment",deployment_raw[[#This Row],[Column5]]=0),1,deployment_raw[[#This Row],[Column5]]),"")</f>
        <v/>
      </c>
      <c r="G379" s="42" t="str">
        <f>IF(ISNUMBER(deployment_raw[[#This Row],[Column14]]), deployment_raw[[#This Row],[Column14]]/IF(OR($E$2="Deployment",deployment_raw[[#This Row],[Column5]]=0),1,deployment_raw[[#This Row],[Column5]]),"")</f>
        <v/>
      </c>
      <c r="H379" s="79" t="str">
        <f>IF(ISNUMBER(deployment_raw[[#This Row],[Column19]]), IF(I379&lt;&gt;0,(deployment_raw[[#This Row],[Column19]]/IF(OR($E$2="Deployment",deployment_raw[[#This Row],[Column5]]=0),1,deployment_raw[[#This Row],[Column5]]))/I379,0),"")</f>
        <v/>
      </c>
      <c r="I379" s="69" t="str">
        <f>IF(ISNUMBER(deployment_raw[[#This Row],[Column6]]), (deployment_raw[[#This Row],[Column6]] * IF($E$2="Deployment",deployment_raw[[#This Row],[Column5]],1)),"")</f>
        <v/>
      </c>
      <c r="J379" s="79" t="str">
        <f>IF(ISNUMBER(deployment_raw[[#This Row],[Column19]]), IF(K379&lt;&gt;0,(deployment_raw[[#This Row],[Column19]]/IF(OR($E$2="Deployment",deployment_raw[[#This Row],[Column5]]=0),1,deployment_raw[[#This Row],[Column5]]))/K379,0),"")</f>
        <v/>
      </c>
      <c r="K379" s="72" t="str">
        <f>IF(ISNUMBER(deployment_raw[[#This Row],[Column8]]), (deployment_raw[[#This Row],[Column8]]  * IF($E$2="Deployment",deployment_raw[[#This Row],[Column5]],1)),"")</f>
        <v/>
      </c>
      <c r="L37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7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79" s="81" t="str">
        <f>IF(ISNUMBER(deployment_raw[[#This Row],[Column20]]), IF(O379&lt;&gt;0,deployment_raw[[#This Row],[Column20]]/IF(OR($E$2="Deployment",deployment_raw[[#This Row],[Column5]]=0),1,deployment_raw[[#This Row],[Column5]])/1048576/O379,0),"")</f>
        <v/>
      </c>
      <c r="O379" s="74" t="str">
        <f>IF(ISNUMBER(deployment_raw[[#This Row],[Column7]]), (deployment_raw[[#This Row],[Column7]] * IF($E$2="Deployment",deployment_raw[[#This Row],[Column5]],1))/1048576,"")</f>
        <v/>
      </c>
      <c r="P379" s="81" t="str">
        <f>IF(ISNUMBER(deployment_raw[[#This Row],[Column20]]), IF(Q379&lt;&gt;0,deployment_raw[[#This Row],[Column20]]/IF(OR($E$2="Deployment",deployment_raw[[#This Row],[Column5]]=0),1,deployment_raw[[#This Row],[Column5]])/1048576/Q379,0),"")</f>
        <v/>
      </c>
      <c r="Q379" s="76" t="str">
        <f>IF(ISNUMBER(deployment_raw[[#This Row],[Column9]]), (deployment_raw[[#This Row],[Column9]] * IF($E$2="Deployment",deployment_raw[[#This Row],[Column5]],1))/1048576,"")</f>
        <v/>
      </c>
      <c r="R379" s="57" t="str">
        <f>IF(ISNUMBER(deployment_raw[[#This Row],[Column10]]), (deployment_raw[[#This Row],[Column10]] * IF($E$2="Deployment",deployment_raw[[#This Row],[Column5]],1)),"")</f>
        <v/>
      </c>
      <c r="S379" s="48" t="str">
        <f>IF(ISNUMBER(deployment_raw[[#This Row],[Column11]]), (deployment_raw[[#This Row],[Column11]] * IF($E$2="Deployment",deployment_raw[[#This Row],[Column5]],1))/1048576,"")</f>
        <v/>
      </c>
      <c r="T379" s="59" t="str">
        <f>IF(ISNUMBER(deployment_raw[[#This Row],[Column8]]),IF(OR(deployment_raw[[#This Row],[Column5]] &lt;&gt; 0,$E$2 &lt;&gt; "Deployment"), MAX(V379, ($T$2 * IF($E$2="Deployment",deployment_raw[[#This Row],[Column5]],1))), 0),"")</f>
        <v/>
      </c>
      <c r="U379" s="50" t="str">
        <f>IF(ISNUMBER(deployment_raw[[#This Row],[Column9]]),IF(OR(deployment_raw[[#This Row],[Column5]] &lt;&gt; 0,$E$2&lt;&gt;"Deployment"), MAX(W379, ($U$2 * IF($E$2="Deployment",deployment_raw[[#This Row],[Column5]],1))), 0),"")</f>
        <v/>
      </c>
      <c r="V379" s="15" t="str">
        <f>IF(ISNUMBER(deployment_raw[[#This Row],[Column12]]), (deployment_raw[[#This Row],[Column12]] * IF($E$2="Deployment",deployment_raw[[#This Row],[Column5]],1)*(1+$V$2)),"")</f>
        <v/>
      </c>
      <c r="W379" s="14" t="str">
        <f>IF(ISNUMBER(deployment_raw[[#This Row],[Column13]]), (deployment_raw[[#This Row],[Column13]] * IF($E$2="Deployment",deployment_raw[[#This Row],[Column5]],1)*(1+$W$2))/1048576,"")</f>
        <v/>
      </c>
    </row>
    <row r="380" spans="1:23" ht="15.75" customHeight="1" x14ac:dyDescent="0.25">
      <c r="A380" s="5" t="str">
        <f>IF(ISNONTEXT(deployment_raw[[#This Row],[Column1]]), "", deployment_raw[[#This Row],[Column1]])</f>
        <v/>
      </c>
      <c r="B380" s="6" t="str">
        <f>IF(ISNONTEXT(deployment_raw[[#This Row],[Column2]]), "", deployment_raw[[#This Row],[Column2]])</f>
        <v/>
      </c>
      <c r="C380" s="6" t="str">
        <f>IF(ISNONTEXT(deployment_raw[[#This Row],[Column3]]), "", deployment_raw[[#This Row],[Column3]])</f>
        <v/>
      </c>
      <c r="D380" s="6" t="str">
        <f>IF(ISNONTEXT(deployment_raw[[#This Row],[Column4]]), "", deployment_raw[[#This Row],[Column4]])</f>
        <v/>
      </c>
      <c r="E380" s="7" t="str">
        <f>IF(ISNUMBER(deployment_raw[[#This Row],[Column5]]), deployment_raw[[#This Row],[Column5]],"")</f>
        <v/>
      </c>
      <c r="F380" s="32" t="str">
        <f>IF(ISNUMBER(deployment_raw[[#This Row],[Column17]]), deployment_raw[[#This Row],[Column17]]/IF(OR($E$2="Deployment",deployment_raw[[#This Row],[Column5]]=0),1,deployment_raw[[#This Row],[Column5]]),"")</f>
        <v/>
      </c>
      <c r="G380" s="42" t="str">
        <f>IF(ISNUMBER(deployment_raw[[#This Row],[Column14]]), deployment_raw[[#This Row],[Column14]]/IF(OR($E$2="Deployment",deployment_raw[[#This Row],[Column5]]=0),1,deployment_raw[[#This Row],[Column5]]),"")</f>
        <v/>
      </c>
      <c r="H380" s="79" t="str">
        <f>IF(ISNUMBER(deployment_raw[[#This Row],[Column19]]), IF(I380&lt;&gt;0,(deployment_raw[[#This Row],[Column19]]/IF(OR($E$2="Deployment",deployment_raw[[#This Row],[Column5]]=0),1,deployment_raw[[#This Row],[Column5]]))/I380,0),"")</f>
        <v/>
      </c>
      <c r="I380" s="69" t="str">
        <f>IF(ISNUMBER(deployment_raw[[#This Row],[Column6]]), (deployment_raw[[#This Row],[Column6]] * IF($E$2="Deployment",deployment_raw[[#This Row],[Column5]],1)),"")</f>
        <v/>
      </c>
      <c r="J380" s="79" t="str">
        <f>IF(ISNUMBER(deployment_raw[[#This Row],[Column19]]), IF(K380&lt;&gt;0,(deployment_raw[[#This Row],[Column19]]/IF(OR($E$2="Deployment",deployment_raw[[#This Row],[Column5]]=0),1,deployment_raw[[#This Row],[Column5]]))/K380,0),"")</f>
        <v/>
      </c>
      <c r="K380" s="72" t="str">
        <f>IF(ISNUMBER(deployment_raw[[#This Row],[Column8]]), (deployment_raw[[#This Row],[Column8]]  * IF($E$2="Deployment",deployment_raw[[#This Row],[Column5]],1)),"")</f>
        <v/>
      </c>
      <c r="L38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8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80" s="81" t="str">
        <f>IF(ISNUMBER(deployment_raw[[#This Row],[Column20]]), IF(O380&lt;&gt;0,deployment_raw[[#This Row],[Column20]]/IF(OR($E$2="Deployment",deployment_raw[[#This Row],[Column5]]=0),1,deployment_raw[[#This Row],[Column5]])/1048576/O380,0),"")</f>
        <v/>
      </c>
      <c r="O380" s="74" t="str">
        <f>IF(ISNUMBER(deployment_raw[[#This Row],[Column7]]), (deployment_raw[[#This Row],[Column7]] * IF($E$2="Deployment",deployment_raw[[#This Row],[Column5]],1))/1048576,"")</f>
        <v/>
      </c>
      <c r="P380" s="81" t="str">
        <f>IF(ISNUMBER(deployment_raw[[#This Row],[Column20]]), IF(Q380&lt;&gt;0,deployment_raw[[#This Row],[Column20]]/IF(OR($E$2="Deployment",deployment_raw[[#This Row],[Column5]]=0),1,deployment_raw[[#This Row],[Column5]])/1048576/Q380,0),"")</f>
        <v/>
      </c>
      <c r="Q380" s="76" t="str">
        <f>IF(ISNUMBER(deployment_raw[[#This Row],[Column9]]), (deployment_raw[[#This Row],[Column9]] * IF($E$2="Deployment",deployment_raw[[#This Row],[Column5]],1))/1048576,"")</f>
        <v/>
      </c>
      <c r="R380" s="57" t="str">
        <f>IF(ISNUMBER(deployment_raw[[#This Row],[Column10]]), (deployment_raw[[#This Row],[Column10]] * IF($E$2="Deployment",deployment_raw[[#This Row],[Column5]],1)),"")</f>
        <v/>
      </c>
      <c r="S380" s="48" t="str">
        <f>IF(ISNUMBER(deployment_raw[[#This Row],[Column11]]), (deployment_raw[[#This Row],[Column11]] * IF($E$2="Deployment",deployment_raw[[#This Row],[Column5]],1))/1048576,"")</f>
        <v/>
      </c>
      <c r="T380" s="59" t="str">
        <f>IF(ISNUMBER(deployment_raw[[#This Row],[Column8]]),IF(OR(deployment_raw[[#This Row],[Column5]] &lt;&gt; 0,$E$2 &lt;&gt; "Deployment"), MAX(V380, ($T$2 * IF($E$2="Deployment",deployment_raw[[#This Row],[Column5]],1))), 0),"")</f>
        <v/>
      </c>
      <c r="U380" s="50" t="str">
        <f>IF(ISNUMBER(deployment_raw[[#This Row],[Column9]]),IF(OR(deployment_raw[[#This Row],[Column5]] &lt;&gt; 0,$E$2&lt;&gt;"Deployment"), MAX(W380, ($U$2 * IF($E$2="Deployment",deployment_raw[[#This Row],[Column5]],1))), 0),"")</f>
        <v/>
      </c>
      <c r="V380" s="15" t="str">
        <f>IF(ISNUMBER(deployment_raw[[#This Row],[Column12]]), (deployment_raw[[#This Row],[Column12]] * IF($E$2="Deployment",deployment_raw[[#This Row],[Column5]],1)*(1+$V$2)),"")</f>
        <v/>
      </c>
      <c r="W380" s="14" t="str">
        <f>IF(ISNUMBER(deployment_raw[[#This Row],[Column13]]), (deployment_raw[[#This Row],[Column13]] * IF($E$2="Deployment",deployment_raw[[#This Row],[Column5]],1)*(1+$W$2))/1048576,"")</f>
        <v/>
      </c>
    </row>
    <row r="381" spans="1:23" ht="15.75" customHeight="1" x14ac:dyDescent="0.25">
      <c r="A381" s="5" t="str">
        <f>IF(ISNONTEXT(deployment_raw[[#This Row],[Column1]]), "", deployment_raw[[#This Row],[Column1]])</f>
        <v/>
      </c>
      <c r="B381" s="6" t="str">
        <f>IF(ISNONTEXT(deployment_raw[[#This Row],[Column2]]), "", deployment_raw[[#This Row],[Column2]])</f>
        <v/>
      </c>
      <c r="C381" s="6" t="str">
        <f>IF(ISNONTEXT(deployment_raw[[#This Row],[Column3]]), "", deployment_raw[[#This Row],[Column3]])</f>
        <v/>
      </c>
      <c r="D381" s="6" t="str">
        <f>IF(ISNONTEXT(deployment_raw[[#This Row],[Column4]]), "", deployment_raw[[#This Row],[Column4]])</f>
        <v/>
      </c>
      <c r="E381" s="7" t="str">
        <f>IF(ISNUMBER(deployment_raw[[#This Row],[Column5]]), deployment_raw[[#This Row],[Column5]],"")</f>
        <v/>
      </c>
      <c r="F381" s="32" t="str">
        <f>IF(ISNUMBER(deployment_raw[[#This Row],[Column17]]), deployment_raw[[#This Row],[Column17]]/IF(OR($E$2="Deployment",deployment_raw[[#This Row],[Column5]]=0),1,deployment_raw[[#This Row],[Column5]]),"")</f>
        <v/>
      </c>
      <c r="G381" s="42" t="str">
        <f>IF(ISNUMBER(deployment_raw[[#This Row],[Column14]]), deployment_raw[[#This Row],[Column14]]/IF(OR($E$2="Deployment",deployment_raw[[#This Row],[Column5]]=0),1,deployment_raw[[#This Row],[Column5]]),"")</f>
        <v/>
      </c>
      <c r="H381" s="79" t="str">
        <f>IF(ISNUMBER(deployment_raw[[#This Row],[Column19]]), IF(I381&lt;&gt;0,(deployment_raw[[#This Row],[Column19]]/IF(OR($E$2="Deployment",deployment_raw[[#This Row],[Column5]]=0),1,deployment_raw[[#This Row],[Column5]]))/I381,0),"")</f>
        <v/>
      </c>
      <c r="I381" s="69" t="str">
        <f>IF(ISNUMBER(deployment_raw[[#This Row],[Column6]]), (deployment_raw[[#This Row],[Column6]] * IF($E$2="Deployment",deployment_raw[[#This Row],[Column5]],1)),"")</f>
        <v/>
      </c>
      <c r="J381" s="79" t="str">
        <f>IF(ISNUMBER(deployment_raw[[#This Row],[Column19]]), IF(K381&lt;&gt;0,(deployment_raw[[#This Row],[Column19]]/IF(OR($E$2="Deployment",deployment_raw[[#This Row],[Column5]]=0),1,deployment_raw[[#This Row],[Column5]]))/K381,0),"")</f>
        <v/>
      </c>
      <c r="K381" s="72" t="str">
        <f>IF(ISNUMBER(deployment_raw[[#This Row],[Column8]]), (deployment_raw[[#This Row],[Column8]]  * IF($E$2="Deployment",deployment_raw[[#This Row],[Column5]],1)),"")</f>
        <v/>
      </c>
      <c r="L38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8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81" s="81" t="str">
        <f>IF(ISNUMBER(deployment_raw[[#This Row],[Column20]]), IF(O381&lt;&gt;0,deployment_raw[[#This Row],[Column20]]/IF(OR($E$2="Deployment",deployment_raw[[#This Row],[Column5]]=0),1,deployment_raw[[#This Row],[Column5]])/1048576/O381,0),"")</f>
        <v/>
      </c>
      <c r="O381" s="74" t="str">
        <f>IF(ISNUMBER(deployment_raw[[#This Row],[Column7]]), (deployment_raw[[#This Row],[Column7]] * IF($E$2="Deployment",deployment_raw[[#This Row],[Column5]],1))/1048576,"")</f>
        <v/>
      </c>
      <c r="P381" s="81" t="str">
        <f>IF(ISNUMBER(deployment_raw[[#This Row],[Column20]]), IF(Q381&lt;&gt;0,deployment_raw[[#This Row],[Column20]]/IF(OR($E$2="Deployment",deployment_raw[[#This Row],[Column5]]=0),1,deployment_raw[[#This Row],[Column5]])/1048576/Q381,0),"")</f>
        <v/>
      </c>
      <c r="Q381" s="76" t="str">
        <f>IF(ISNUMBER(deployment_raw[[#This Row],[Column9]]), (deployment_raw[[#This Row],[Column9]] * IF($E$2="Deployment",deployment_raw[[#This Row],[Column5]],1))/1048576,"")</f>
        <v/>
      </c>
      <c r="R381" s="57" t="str">
        <f>IF(ISNUMBER(deployment_raw[[#This Row],[Column10]]), (deployment_raw[[#This Row],[Column10]] * IF($E$2="Deployment",deployment_raw[[#This Row],[Column5]],1)),"")</f>
        <v/>
      </c>
      <c r="S381" s="48" t="str">
        <f>IF(ISNUMBER(deployment_raw[[#This Row],[Column11]]), (deployment_raw[[#This Row],[Column11]] * IF($E$2="Deployment",deployment_raw[[#This Row],[Column5]],1))/1048576,"")</f>
        <v/>
      </c>
      <c r="T381" s="59" t="str">
        <f>IF(ISNUMBER(deployment_raw[[#This Row],[Column8]]),IF(OR(deployment_raw[[#This Row],[Column5]] &lt;&gt; 0,$E$2 &lt;&gt; "Deployment"), MAX(V381, ($T$2 * IF($E$2="Deployment",deployment_raw[[#This Row],[Column5]],1))), 0),"")</f>
        <v/>
      </c>
      <c r="U381" s="50" t="str">
        <f>IF(ISNUMBER(deployment_raw[[#This Row],[Column9]]),IF(OR(deployment_raw[[#This Row],[Column5]] &lt;&gt; 0,$E$2&lt;&gt;"Deployment"), MAX(W381, ($U$2 * IF($E$2="Deployment",deployment_raw[[#This Row],[Column5]],1))), 0),"")</f>
        <v/>
      </c>
      <c r="V381" s="15" t="str">
        <f>IF(ISNUMBER(deployment_raw[[#This Row],[Column12]]), (deployment_raw[[#This Row],[Column12]] * IF($E$2="Deployment",deployment_raw[[#This Row],[Column5]],1)*(1+$V$2)),"")</f>
        <v/>
      </c>
      <c r="W381" s="14" t="str">
        <f>IF(ISNUMBER(deployment_raw[[#This Row],[Column13]]), (deployment_raw[[#This Row],[Column13]] * IF($E$2="Deployment",deployment_raw[[#This Row],[Column5]],1)*(1+$W$2))/1048576,"")</f>
        <v/>
      </c>
    </row>
    <row r="382" spans="1:23" ht="15.75" customHeight="1" x14ac:dyDescent="0.25">
      <c r="A382" s="5" t="str">
        <f>IF(ISNONTEXT(deployment_raw[[#This Row],[Column1]]), "", deployment_raw[[#This Row],[Column1]])</f>
        <v/>
      </c>
      <c r="B382" s="6" t="str">
        <f>IF(ISNONTEXT(deployment_raw[[#This Row],[Column2]]), "", deployment_raw[[#This Row],[Column2]])</f>
        <v/>
      </c>
      <c r="C382" s="6" t="str">
        <f>IF(ISNONTEXT(deployment_raw[[#This Row],[Column3]]), "", deployment_raw[[#This Row],[Column3]])</f>
        <v/>
      </c>
      <c r="D382" s="6" t="str">
        <f>IF(ISNONTEXT(deployment_raw[[#This Row],[Column4]]), "", deployment_raw[[#This Row],[Column4]])</f>
        <v/>
      </c>
      <c r="E382" s="7" t="str">
        <f>IF(ISNUMBER(deployment_raw[[#This Row],[Column5]]), deployment_raw[[#This Row],[Column5]],"")</f>
        <v/>
      </c>
      <c r="F382" s="32" t="str">
        <f>IF(ISNUMBER(deployment_raw[[#This Row],[Column17]]), deployment_raw[[#This Row],[Column17]]/IF(OR($E$2="Deployment",deployment_raw[[#This Row],[Column5]]=0),1,deployment_raw[[#This Row],[Column5]]),"")</f>
        <v/>
      </c>
      <c r="G382" s="42" t="str">
        <f>IF(ISNUMBER(deployment_raw[[#This Row],[Column14]]), deployment_raw[[#This Row],[Column14]]/IF(OR($E$2="Deployment",deployment_raw[[#This Row],[Column5]]=0),1,deployment_raw[[#This Row],[Column5]]),"")</f>
        <v/>
      </c>
      <c r="H382" s="79" t="str">
        <f>IF(ISNUMBER(deployment_raw[[#This Row],[Column19]]), IF(I382&lt;&gt;0,(deployment_raw[[#This Row],[Column19]]/IF(OR($E$2="Deployment",deployment_raw[[#This Row],[Column5]]=0),1,deployment_raw[[#This Row],[Column5]]))/I382,0),"")</f>
        <v/>
      </c>
      <c r="I382" s="69" t="str">
        <f>IF(ISNUMBER(deployment_raw[[#This Row],[Column6]]), (deployment_raw[[#This Row],[Column6]] * IF($E$2="Deployment",deployment_raw[[#This Row],[Column5]],1)),"")</f>
        <v/>
      </c>
      <c r="J382" s="79" t="str">
        <f>IF(ISNUMBER(deployment_raw[[#This Row],[Column19]]), IF(K382&lt;&gt;0,(deployment_raw[[#This Row],[Column19]]/IF(OR($E$2="Deployment",deployment_raw[[#This Row],[Column5]]=0),1,deployment_raw[[#This Row],[Column5]]))/K382,0),"")</f>
        <v/>
      </c>
      <c r="K382" s="72" t="str">
        <f>IF(ISNUMBER(deployment_raw[[#This Row],[Column8]]), (deployment_raw[[#This Row],[Column8]]  * IF($E$2="Deployment",deployment_raw[[#This Row],[Column5]],1)),"")</f>
        <v/>
      </c>
      <c r="L38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8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82" s="81" t="str">
        <f>IF(ISNUMBER(deployment_raw[[#This Row],[Column20]]), IF(O382&lt;&gt;0,deployment_raw[[#This Row],[Column20]]/IF(OR($E$2="Deployment",deployment_raw[[#This Row],[Column5]]=0),1,deployment_raw[[#This Row],[Column5]])/1048576/O382,0),"")</f>
        <v/>
      </c>
      <c r="O382" s="74" t="str">
        <f>IF(ISNUMBER(deployment_raw[[#This Row],[Column7]]), (deployment_raw[[#This Row],[Column7]] * IF($E$2="Deployment",deployment_raw[[#This Row],[Column5]],1))/1048576,"")</f>
        <v/>
      </c>
      <c r="P382" s="81" t="str">
        <f>IF(ISNUMBER(deployment_raw[[#This Row],[Column20]]), IF(Q382&lt;&gt;0,deployment_raw[[#This Row],[Column20]]/IF(OR($E$2="Deployment",deployment_raw[[#This Row],[Column5]]=0),1,deployment_raw[[#This Row],[Column5]])/1048576/Q382,0),"")</f>
        <v/>
      </c>
      <c r="Q382" s="76" t="str">
        <f>IF(ISNUMBER(deployment_raw[[#This Row],[Column9]]), (deployment_raw[[#This Row],[Column9]] * IF($E$2="Deployment",deployment_raw[[#This Row],[Column5]],1))/1048576,"")</f>
        <v/>
      </c>
      <c r="R382" s="57" t="str">
        <f>IF(ISNUMBER(deployment_raw[[#This Row],[Column10]]), (deployment_raw[[#This Row],[Column10]] * IF($E$2="Deployment",deployment_raw[[#This Row],[Column5]],1)),"")</f>
        <v/>
      </c>
      <c r="S382" s="48" t="str">
        <f>IF(ISNUMBER(deployment_raw[[#This Row],[Column11]]), (deployment_raw[[#This Row],[Column11]] * IF($E$2="Deployment",deployment_raw[[#This Row],[Column5]],1))/1048576,"")</f>
        <v/>
      </c>
      <c r="T382" s="59" t="str">
        <f>IF(ISNUMBER(deployment_raw[[#This Row],[Column8]]),IF(OR(deployment_raw[[#This Row],[Column5]] &lt;&gt; 0,$E$2 &lt;&gt; "Deployment"), MAX(V382, ($T$2 * IF($E$2="Deployment",deployment_raw[[#This Row],[Column5]],1))), 0),"")</f>
        <v/>
      </c>
      <c r="U382" s="50" t="str">
        <f>IF(ISNUMBER(deployment_raw[[#This Row],[Column9]]),IF(OR(deployment_raw[[#This Row],[Column5]] &lt;&gt; 0,$E$2&lt;&gt;"Deployment"), MAX(W382, ($U$2 * IF($E$2="Deployment",deployment_raw[[#This Row],[Column5]],1))), 0),"")</f>
        <v/>
      </c>
      <c r="V382" s="15" t="str">
        <f>IF(ISNUMBER(deployment_raw[[#This Row],[Column12]]), (deployment_raw[[#This Row],[Column12]] * IF($E$2="Deployment",deployment_raw[[#This Row],[Column5]],1)*(1+$V$2)),"")</f>
        <v/>
      </c>
      <c r="W382" s="14" t="str">
        <f>IF(ISNUMBER(deployment_raw[[#This Row],[Column13]]), (deployment_raw[[#This Row],[Column13]] * IF($E$2="Deployment",deployment_raw[[#This Row],[Column5]],1)*(1+$W$2))/1048576,"")</f>
        <v/>
      </c>
    </row>
    <row r="383" spans="1:23" ht="15.75" customHeight="1" x14ac:dyDescent="0.25">
      <c r="A383" s="5" t="str">
        <f>IF(ISNONTEXT(deployment_raw[[#This Row],[Column1]]), "", deployment_raw[[#This Row],[Column1]])</f>
        <v/>
      </c>
      <c r="B383" s="6" t="str">
        <f>IF(ISNONTEXT(deployment_raw[[#This Row],[Column2]]), "", deployment_raw[[#This Row],[Column2]])</f>
        <v/>
      </c>
      <c r="C383" s="6" t="str">
        <f>IF(ISNONTEXT(deployment_raw[[#This Row],[Column3]]), "", deployment_raw[[#This Row],[Column3]])</f>
        <v/>
      </c>
      <c r="D383" s="6" t="str">
        <f>IF(ISNONTEXT(deployment_raw[[#This Row],[Column4]]), "", deployment_raw[[#This Row],[Column4]])</f>
        <v/>
      </c>
      <c r="E383" s="7" t="str">
        <f>IF(ISNUMBER(deployment_raw[[#This Row],[Column5]]), deployment_raw[[#This Row],[Column5]],"")</f>
        <v/>
      </c>
      <c r="F383" s="32" t="str">
        <f>IF(ISNUMBER(deployment_raw[[#This Row],[Column17]]), deployment_raw[[#This Row],[Column17]]/IF(OR($E$2="Deployment",deployment_raw[[#This Row],[Column5]]=0),1,deployment_raw[[#This Row],[Column5]]),"")</f>
        <v/>
      </c>
      <c r="G383" s="42" t="str">
        <f>IF(ISNUMBER(deployment_raw[[#This Row],[Column14]]), deployment_raw[[#This Row],[Column14]]/IF(OR($E$2="Deployment",deployment_raw[[#This Row],[Column5]]=0),1,deployment_raw[[#This Row],[Column5]]),"")</f>
        <v/>
      </c>
      <c r="H383" s="79" t="str">
        <f>IF(ISNUMBER(deployment_raw[[#This Row],[Column19]]), IF(I383&lt;&gt;0,(deployment_raw[[#This Row],[Column19]]/IF(OR($E$2="Deployment",deployment_raw[[#This Row],[Column5]]=0),1,deployment_raw[[#This Row],[Column5]]))/I383,0),"")</f>
        <v/>
      </c>
      <c r="I383" s="69" t="str">
        <f>IF(ISNUMBER(deployment_raw[[#This Row],[Column6]]), (deployment_raw[[#This Row],[Column6]] * IF($E$2="Deployment",deployment_raw[[#This Row],[Column5]],1)),"")</f>
        <v/>
      </c>
      <c r="J383" s="79" t="str">
        <f>IF(ISNUMBER(deployment_raw[[#This Row],[Column19]]), IF(K383&lt;&gt;0,(deployment_raw[[#This Row],[Column19]]/IF(OR($E$2="Deployment",deployment_raw[[#This Row],[Column5]]=0),1,deployment_raw[[#This Row],[Column5]]))/K383,0),"")</f>
        <v/>
      </c>
      <c r="K383" s="72" t="str">
        <f>IF(ISNUMBER(deployment_raw[[#This Row],[Column8]]), (deployment_raw[[#This Row],[Column8]]  * IF($E$2="Deployment",deployment_raw[[#This Row],[Column5]],1)),"")</f>
        <v/>
      </c>
      <c r="L38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8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83" s="81" t="str">
        <f>IF(ISNUMBER(deployment_raw[[#This Row],[Column20]]), IF(O383&lt;&gt;0,deployment_raw[[#This Row],[Column20]]/IF(OR($E$2="Deployment",deployment_raw[[#This Row],[Column5]]=0),1,deployment_raw[[#This Row],[Column5]])/1048576/O383,0),"")</f>
        <v/>
      </c>
      <c r="O383" s="74" t="str">
        <f>IF(ISNUMBER(deployment_raw[[#This Row],[Column7]]), (deployment_raw[[#This Row],[Column7]] * IF($E$2="Deployment",deployment_raw[[#This Row],[Column5]],1))/1048576,"")</f>
        <v/>
      </c>
      <c r="P383" s="81" t="str">
        <f>IF(ISNUMBER(deployment_raw[[#This Row],[Column20]]), IF(Q383&lt;&gt;0,deployment_raw[[#This Row],[Column20]]/IF(OR($E$2="Deployment",deployment_raw[[#This Row],[Column5]]=0),1,deployment_raw[[#This Row],[Column5]])/1048576/Q383,0),"")</f>
        <v/>
      </c>
      <c r="Q383" s="76" t="str">
        <f>IF(ISNUMBER(deployment_raw[[#This Row],[Column9]]), (deployment_raw[[#This Row],[Column9]] * IF($E$2="Deployment",deployment_raw[[#This Row],[Column5]],1))/1048576,"")</f>
        <v/>
      </c>
      <c r="R383" s="57" t="str">
        <f>IF(ISNUMBER(deployment_raw[[#This Row],[Column10]]), (deployment_raw[[#This Row],[Column10]] * IF($E$2="Deployment",deployment_raw[[#This Row],[Column5]],1)),"")</f>
        <v/>
      </c>
      <c r="S383" s="48" t="str">
        <f>IF(ISNUMBER(deployment_raw[[#This Row],[Column11]]), (deployment_raw[[#This Row],[Column11]] * IF($E$2="Deployment",deployment_raw[[#This Row],[Column5]],1))/1048576,"")</f>
        <v/>
      </c>
      <c r="T383" s="59" t="str">
        <f>IF(ISNUMBER(deployment_raw[[#This Row],[Column8]]),IF(OR(deployment_raw[[#This Row],[Column5]] &lt;&gt; 0,$E$2 &lt;&gt; "Deployment"), MAX(V383, ($T$2 * IF($E$2="Deployment",deployment_raw[[#This Row],[Column5]],1))), 0),"")</f>
        <v/>
      </c>
      <c r="U383" s="50" t="str">
        <f>IF(ISNUMBER(deployment_raw[[#This Row],[Column9]]),IF(OR(deployment_raw[[#This Row],[Column5]] &lt;&gt; 0,$E$2&lt;&gt;"Deployment"), MAX(W383, ($U$2 * IF($E$2="Deployment",deployment_raw[[#This Row],[Column5]],1))), 0),"")</f>
        <v/>
      </c>
      <c r="V383" s="15" t="str">
        <f>IF(ISNUMBER(deployment_raw[[#This Row],[Column12]]), (deployment_raw[[#This Row],[Column12]] * IF($E$2="Deployment",deployment_raw[[#This Row],[Column5]],1)*(1+$V$2)),"")</f>
        <v/>
      </c>
      <c r="W383" s="14" t="str">
        <f>IF(ISNUMBER(deployment_raw[[#This Row],[Column13]]), (deployment_raw[[#This Row],[Column13]] * IF($E$2="Deployment",deployment_raw[[#This Row],[Column5]],1)*(1+$W$2))/1048576,"")</f>
        <v/>
      </c>
    </row>
    <row r="384" spans="1:23" ht="15.75" customHeight="1" x14ac:dyDescent="0.25">
      <c r="A384" s="5" t="str">
        <f>IF(ISNONTEXT(deployment_raw[[#This Row],[Column1]]), "", deployment_raw[[#This Row],[Column1]])</f>
        <v/>
      </c>
      <c r="B384" s="6" t="str">
        <f>IF(ISNONTEXT(deployment_raw[[#This Row],[Column2]]), "", deployment_raw[[#This Row],[Column2]])</f>
        <v/>
      </c>
      <c r="C384" s="6" t="str">
        <f>IF(ISNONTEXT(deployment_raw[[#This Row],[Column3]]), "", deployment_raw[[#This Row],[Column3]])</f>
        <v/>
      </c>
      <c r="D384" s="6" t="str">
        <f>IF(ISNONTEXT(deployment_raw[[#This Row],[Column4]]), "", deployment_raw[[#This Row],[Column4]])</f>
        <v/>
      </c>
      <c r="E384" s="7" t="str">
        <f>IF(ISNUMBER(deployment_raw[[#This Row],[Column5]]), deployment_raw[[#This Row],[Column5]],"")</f>
        <v/>
      </c>
      <c r="F384" s="32" t="str">
        <f>IF(ISNUMBER(deployment_raw[[#This Row],[Column17]]), deployment_raw[[#This Row],[Column17]]/IF(OR($E$2="Deployment",deployment_raw[[#This Row],[Column5]]=0),1,deployment_raw[[#This Row],[Column5]]),"")</f>
        <v/>
      </c>
      <c r="G384" s="42" t="str">
        <f>IF(ISNUMBER(deployment_raw[[#This Row],[Column14]]), deployment_raw[[#This Row],[Column14]]/IF(OR($E$2="Deployment",deployment_raw[[#This Row],[Column5]]=0),1,deployment_raw[[#This Row],[Column5]]),"")</f>
        <v/>
      </c>
      <c r="H384" s="79" t="str">
        <f>IF(ISNUMBER(deployment_raw[[#This Row],[Column19]]), IF(I384&lt;&gt;0,(deployment_raw[[#This Row],[Column19]]/IF(OR($E$2="Deployment",deployment_raw[[#This Row],[Column5]]=0),1,deployment_raw[[#This Row],[Column5]]))/I384,0),"")</f>
        <v/>
      </c>
      <c r="I384" s="69" t="str">
        <f>IF(ISNUMBER(deployment_raw[[#This Row],[Column6]]), (deployment_raw[[#This Row],[Column6]] * IF($E$2="Deployment",deployment_raw[[#This Row],[Column5]],1)),"")</f>
        <v/>
      </c>
      <c r="J384" s="79" t="str">
        <f>IF(ISNUMBER(deployment_raw[[#This Row],[Column19]]), IF(K384&lt;&gt;0,(deployment_raw[[#This Row],[Column19]]/IF(OR($E$2="Deployment",deployment_raw[[#This Row],[Column5]]=0),1,deployment_raw[[#This Row],[Column5]]))/K384,0),"")</f>
        <v/>
      </c>
      <c r="K384" s="72" t="str">
        <f>IF(ISNUMBER(deployment_raw[[#This Row],[Column8]]), (deployment_raw[[#This Row],[Column8]]  * IF($E$2="Deployment",deployment_raw[[#This Row],[Column5]],1)),"")</f>
        <v/>
      </c>
      <c r="L38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8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84" s="81" t="str">
        <f>IF(ISNUMBER(deployment_raw[[#This Row],[Column20]]), IF(O384&lt;&gt;0,deployment_raw[[#This Row],[Column20]]/IF(OR($E$2="Deployment",deployment_raw[[#This Row],[Column5]]=0),1,deployment_raw[[#This Row],[Column5]])/1048576/O384,0),"")</f>
        <v/>
      </c>
      <c r="O384" s="74" t="str">
        <f>IF(ISNUMBER(deployment_raw[[#This Row],[Column7]]), (deployment_raw[[#This Row],[Column7]] * IF($E$2="Deployment",deployment_raw[[#This Row],[Column5]],1))/1048576,"")</f>
        <v/>
      </c>
      <c r="P384" s="81" t="str">
        <f>IF(ISNUMBER(deployment_raw[[#This Row],[Column20]]), IF(Q384&lt;&gt;0,deployment_raw[[#This Row],[Column20]]/IF(OR($E$2="Deployment",deployment_raw[[#This Row],[Column5]]=0),1,deployment_raw[[#This Row],[Column5]])/1048576/Q384,0),"")</f>
        <v/>
      </c>
      <c r="Q384" s="76" t="str">
        <f>IF(ISNUMBER(deployment_raw[[#This Row],[Column9]]), (deployment_raw[[#This Row],[Column9]] * IF($E$2="Deployment",deployment_raw[[#This Row],[Column5]],1))/1048576,"")</f>
        <v/>
      </c>
      <c r="R384" s="57" t="str">
        <f>IF(ISNUMBER(deployment_raw[[#This Row],[Column10]]), (deployment_raw[[#This Row],[Column10]] * IF($E$2="Deployment",deployment_raw[[#This Row],[Column5]],1)),"")</f>
        <v/>
      </c>
      <c r="S384" s="48" t="str">
        <f>IF(ISNUMBER(deployment_raw[[#This Row],[Column11]]), (deployment_raw[[#This Row],[Column11]] * IF($E$2="Deployment",deployment_raw[[#This Row],[Column5]],1))/1048576,"")</f>
        <v/>
      </c>
      <c r="T384" s="59" t="str">
        <f>IF(ISNUMBER(deployment_raw[[#This Row],[Column8]]),IF(OR(deployment_raw[[#This Row],[Column5]] &lt;&gt; 0,$E$2 &lt;&gt; "Deployment"), MAX(V384, ($T$2 * IF($E$2="Deployment",deployment_raw[[#This Row],[Column5]],1))), 0),"")</f>
        <v/>
      </c>
      <c r="U384" s="50" t="str">
        <f>IF(ISNUMBER(deployment_raw[[#This Row],[Column9]]),IF(OR(deployment_raw[[#This Row],[Column5]] &lt;&gt; 0,$E$2&lt;&gt;"Deployment"), MAX(W384, ($U$2 * IF($E$2="Deployment",deployment_raw[[#This Row],[Column5]],1))), 0),"")</f>
        <v/>
      </c>
      <c r="V384" s="15" t="str">
        <f>IF(ISNUMBER(deployment_raw[[#This Row],[Column12]]), (deployment_raw[[#This Row],[Column12]] * IF($E$2="Deployment",deployment_raw[[#This Row],[Column5]],1)*(1+$V$2)),"")</f>
        <v/>
      </c>
      <c r="W384" s="14" t="str">
        <f>IF(ISNUMBER(deployment_raw[[#This Row],[Column13]]), (deployment_raw[[#This Row],[Column13]] * IF($E$2="Deployment",deployment_raw[[#This Row],[Column5]],1)*(1+$W$2))/1048576,"")</f>
        <v/>
      </c>
    </row>
    <row r="385" spans="1:23" ht="15.75" customHeight="1" x14ac:dyDescent="0.25">
      <c r="A385" s="5" t="str">
        <f>IF(ISNONTEXT(deployment_raw[[#This Row],[Column1]]), "", deployment_raw[[#This Row],[Column1]])</f>
        <v/>
      </c>
      <c r="B385" s="6" t="str">
        <f>IF(ISNONTEXT(deployment_raw[[#This Row],[Column2]]), "", deployment_raw[[#This Row],[Column2]])</f>
        <v/>
      </c>
      <c r="C385" s="6" t="str">
        <f>IF(ISNONTEXT(deployment_raw[[#This Row],[Column3]]), "", deployment_raw[[#This Row],[Column3]])</f>
        <v/>
      </c>
      <c r="D385" s="6" t="str">
        <f>IF(ISNONTEXT(deployment_raw[[#This Row],[Column4]]), "", deployment_raw[[#This Row],[Column4]])</f>
        <v/>
      </c>
      <c r="E385" s="7" t="str">
        <f>IF(ISNUMBER(deployment_raw[[#This Row],[Column5]]), deployment_raw[[#This Row],[Column5]],"")</f>
        <v/>
      </c>
      <c r="F385" s="32" t="str">
        <f>IF(ISNUMBER(deployment_raw[[#This Row],[Column17]]), deployment_raw[[#This Row],[Column17]]/IF(OR($E$2="Deployment",deployment_raw[[#This Row],[Column5]]=0),1,deployment_raw[[#This Row],[Column5]]),"")</f>
        <v/>
      </c>
      <c r="G385" s="42" t="str">
        <f>IF(ISNUMBER(deployment_raw[[#This Row],[Column14]]), deployment_raw[[#This Row],[Column14]]/IF(OR($E$2="Deployment",deployment_raw[[#This Row],[Column5]]=0),1,deployment_raw[[#This Row],[Column5]]),"")</f>
        <v/>
      </c>
      <c r="H385" s="79" t="str">
        <f>IF(ISNUMBER(deployment_raw[[#This Row],[Column19]]), IF(I385&lt;&gt;0,(deployment_raw[[#This Row],[Column19]]/IF(OR($E$2="Deployment",deployment_raw[[#This Row],[Column5]]=0),1,deployment_raw[[#This Row],[Column5]]))/I385,0),"")</f>
        <v/>
      </c>
      <c r="I385" s="69" t="str">
        <f>IF(ISNUMBER(deployment_raw[[#This Row],[Column6]]), (deployment_raw[[#This Row],[Column6]] * IF($E$2="Deployment",deployment_raw[[#This Row],[Column5]],1)),"")</f>
        <v/>
      </c>
      <c r="J385" s="79" t="str">
        <f>IF(ISNUMBER(deployment_raw[[#This Row],[Column19]]), IF(K385&lt;&gt;0,(deployment_raw[[#This Row],[Column19]]/IF(OR($E$2="Deployment",deployment_raw[[#This Row],[Column5]]=0),1,deployment_raw[[#This Row],[Column5]]))/K385,0),"")</f>
        <v/>
      </c>
      <c r="K385" s="72" t="str">
        <f>IF(ISNUMBER(deployment_raw[[#This Row],[Column8]]), (deployment_raw[[#This Row],[Column8]]  * IF($E$2="Deployment",deployment_raw[[#This Row],[Column5]],1)),"")</f>
        <v/>
      </c>
      <c r="L38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8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85" s="81" t="str">
        <f>IF(ISNUMBER(deployment_raw[[#This Row],[Column20]]), IF(O385&lt;&gt;0,deployment_raw[[#This Row],[Column20]]/IF(OR($E$2="Deployment",deployment_raw[[#This Row],[Column5]]=0),1,deployment_raw[[#This Row],[Column5]])/1048576/O385,0),"")</f>
        <v/>
      </c>
      <c r="O385" s="74" t="str">
        <f>IF(ISNUMBER(deployment_raw[[#This Row],[Column7]]), (deployment_raw[[#This Row],[Column7]] * IF($E$2="Deployment",deployment_raw[[#This Row],[Column5]],1))/1048576,"")</f>
        <v/>
      </c>
      <c r="P385" s="81" t="str">
        <f>IF(ISNUMBER(deployment_raw[[#This Row],[Column20]]), IF(Q385&lt;&gt;0,deployment_raw[[#This Row],[Column20]]/IF(OR($E$2="Deployment",deployment_raw[[#This Row],[Column5]]=0),1,deployment_raw[[#This Row],[Column5]])/1048576/Q385,0),"")</f>
        <v/>
      </c>
      <c r="Q385" s="76" t="str">
        <f>IF(ISNUMBER(deployment_raw[[#This Row],[Column9]]), (deployment_raw[[#This Row],[Column9]] * IF($E$2="Deployment",deployment_raw[[#This Row],[Column5]],1))/1048576,"")</f>
        <v/>
      </c>
      <c r="R385" s="57" t="str">
        <f>IF(ISNUMBER(deployment_raw[[#This Row],[Column10]]), (deployment_raw[[#This Row],[Column10]] * IF($E$2="Deployment",deployment_raw[[#This Row],[Column5]],1)),"")</f>
        <v/>
      </c>
      <c r="S385" s="48" t="str">
        <f>IF(ISNUMBER(deployment_raw[[#This Row],[Column11]]), (deployment_raw[[#This Row],[Column11]] * IF($E$2="Deployment",deployment_raw[[#This Row],[Column5]],1))/1048576,"")</f>
        <v/>
      </c>
      <c r="T385" s="59" t="str">
        <f>IF(ISNUMBER(deployment_raw[[#This Row],[Column8]]),IF(OR(deployment_raw[[#This Row],[Column5]] &lt;&gt; 0,$E$2 &lt;&gt; "Deployment"), MAX(V385, ($T$2 * IF($E$2="Deployment",deployment_raw[[#This Row],[Column5]],1))), 0),"")</f>
        <v/>
      </c>
      <c r="U385" s="50" t="str">
        <f>IF(ISNUMBER(deployment_raw[[#This Row],[Column9]]),IF(OR(deployment_raw[[#This Row],[Column5]] &lt;&gt; 0,$E$2&lt;&gt;"Deployment"), MAX(W385, ($U$2 * IF($E$2="Deployment",deployment_raw[[#This Row],[Column5]],1))), 0),"")</f>
        <v/>
      </c>
      <c r="V385" s="15" t="str">
        <f>IF(ISNUMBER(deployment_raw[[#This Row],[Column12]]), (deployment_raw[[#This Row],[Column12]] * IF($E$2="Deployment",deployment_raw[[#This Row],[Column5]],1)*(1+$V$2)),"")</f>
        <v/>
      </c>
      <c r="W385" s="14" t="str">
        <f>IF(ISNUMBER(deployment_raw[[#This Row],[Column13]]), (deployment_raw[[#This Row],[Column13]] * IF($E$2="Deployment",deployment_raw[[#This Row],[Column5]],1)*(1+$W$2))/1048576,"")</f>
        <v/>
      </c>
    </row>
    <row r="386" spans="1:23" ht="15.75" customHeight="1" x14ac:dyDescent="0.25">
      <c r="A386" s="5" t="str">
        <f>IF(ISNONTEXT(deployment_raw[[#This Row],[Column1]]), "", deployment_raw[[#This Row],[Column1]])</f>
        <v/>
      </c>
      <c r="B386" s="6" t="str">
        <f>IF(ISNONTEXT(deployment_raw[[#This Row],[Column2]]), "", deployment_raw[[#This Row],[Column2]])</f>
        <v/>
      </c>
      <c r="C386" s="6" t="str">
        <f>IF(ISNONTEXT(deployment_raw[[#This Row],[Column3]]), "", deployment_raw[[#This Row],[Column3]])</f>
        <v/>
      </c>
      <c r="D386" s="6" t="str">
        <f>IF(ISNONTEXT(deployment_raw[[#This Row],[Column4]]), "", deployment_raw[[#This Row],[Column4]])</f>
        <v/>
      </c>
      <c r="E386" s="7" t="str">
        <f>IF(ISNUMBER(deployment_raw[[#This Row],[Column5]]), deployment_raw[[#This Row],[Column5]],"")</f>
        <v/>
      </c>
      <c r="F386" s="32" t="str">
        <f>IF(ISNUMBER(deployment_raw[[#This Row],[Column17]]), deployment_raw[[#This Row],[Column17]]/IF(OR($E$2="Deployment",deployment_raw[[#This Row],[Column5]]=0),1,deployment_raw[[#This Row],[Column5]]),"")</f>
        <v/>
      </c>
      <c r="G386" s="42" t="str">
        <f>IF(ISNUMBER(deployment_raw[[#This Row],[Column14]]), deployment_raw[[#This Row],[Column14]]/IF(OR($E$2="Deployment",deployment_raw[[#This Row],[Column5]]=0),1,deployment_raw[[#This Row],[Column5]]),"")</f>
        <v/>
      </c>
      <c r="H386" s="79" t="str">
        <f>IF(ISNUMBER(deployment_raw[[#This Row],[Column19]]), IF(I386&lt;&gt;0,(deployment_raw[[#This Row],[Column19]]/IF(OR($E$2="Deployment",deployment_raw[[#This Row],[Column5]]=0),1,deployment_raw[[#This Row],[Column5]]))/I386,0),"")</f>
        <v/>
      </c>
      <c r="I386" s="69" t="str">
        <f>IF(ISNUMBER(deployment_raw[[#This Row],[Column6]]), (deployment_raw[[#This Row],[Column6]] * IF($E$2="Deployment",deployment_raw[[#This Row],[Column5]],1)),"")</f>
        <v/>
      </c>
      <c r="J386" s="79" t="str">
        <f>IF(ISNUMBER(deployment_raw[[#This Row],[Column19]]), IF(K386&lt;&gt;0,(deployment_raw[[#This Row],[Column19]]/IF(OR($E$2="Deployment",deployment_raw[[#This Row],[Column5]]=0),1,deployment_raw[[#This Row],[Column5]]))/K386,0),"")</f>
        <v/>
      </c>
      <c r="K386" s="72" t="str">
        <f>IF(ISNUMBER(deployment_raw[[#This Row],[Column8]]), (deployment_raw[[#This Row],[Column8]]  * IF($E$2="Deployment",deployment_raw[[#This Row],[Column5]],1)),"")</f>
        <v/>
      </c>
      <c r="L38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8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86" s="81" t="str">
        <f>IF(ISNUMBER(deployment_raw[[#This Row],[Column20]]), IF(O386&lt;&gt;0,deployment_raw[[#This Row],[Column20]]/IF(OR($E$2="Deployment",deployment_raw[[#This Row],[Column5]]=0),1,deployment_raw[[#This Row],[Column5]])/1048576/O386,0),"")</f>
        <v/>
      </c>
      <c r="O386" s="74" t="str">
        <f>IF(ISNUMBER(deployment_raw[[#This Row],[Column7]]), (deployment_raw[[#This Row],[Column7]] * IF($E$2="Deployment",deployment_raw[[#This Row],[Column5]],1))/1048576,"")</f>
        <v/>
      </c>
      <c r="P386" s="81" t="str">
        <f>IF(ISNUMBER(deployment_raw[[#This Row],[Column20]]), IF(Q386&lt;&gt;0,deployment_raw[[#This Row],[Column20]]/IF(OR($E$2="Deployment",deployment_raw[[#This Row],[Column5]]=0),1,deployment_raw[[#This Row],[Column5]])/1048576/Q386,0),"")</f>
        <v/>
      </c>
      <c r="Q386" s="76" t="str">
        <f>IF(ISNUMBER(deployment_raw[[#This Row],[Column9]]), (deployment_raw[[#This Row],[Column9]] * IF($E$2="Deployment",deployment_raw[[#This Row],[Column5]],1))/1048576,"")</f>
        <v/>
      </c>
      <c r="R386" s="57" t="str">
        <f>IF(ISNUMBER(deployment_raw[[#This Row],[Column10]]), (deployment_raw[[#This Row],[Column10]] * IF($E$2="Deployment",deployment_raw[[#This Row],[Column5]],1)),"")</f>
        <v/>
      </c>
      <c r="S386" s="48" t="str">
        <f>IF(ISNUMBER(deployment_raw[[#This Row],[Column11]]), (deployment_raw[[#This Row],[Column11]] * IF($E$2="Deployment",deployment_raw[[#This Row],[Column5]],1))/1048576,"")</f>
        <v/>
      </c>
      <c r="T386" s="59" t="str">
        <f>IF(ISNUMBER(deployment_raw[[#This Row],[Column8]]),IF(OR(deployment_raw[[#This Row],[Column5]] &lt;&gt; 0,$E$2 &lt;&gt; "Deployment"), MAX(V386, ($T$2 * IF($E$2="Deployment",deployment_raw[[#This Row],[Column5]],1))), 0),"")</f>
        <v/>
      </c>
      <c r="U386" s="50" t="str">
        <f>IF(ISNUMBER(deployment_raw[[#This Row],[Column9]]),IF(OR(deployment_raw[[#This Row],[Column5]] &lt;&gt; 0,$E$2&lt;&gt;"Deployment"), MAX(W386, ($U$2 * IF($E$2="Deployment",deployment_raw[[#This Row],[Column5]],1))), 0),"")</f>
        <v/>
      </c>
      <c r="V386" s="15" t="str">
        <f>IF(ISNUMBER(deployment_raw[[#This Row],[Column12]]), (deployment_raw[[#This Row],[Column12]] * IF($E$2="Deployment",deployment_raw[[#This Row],[Column5]],1)*(1+$V$2)),"")</f>
        <v/>
      </c>
      <c r="W386" s="14" t="str">
        <f>IF(ISNUMBER(deployment_raw[[#This Row],[Column13]]), (deployment_raw[[#This Row],[Column13]] * IF($E$2="Deployment",deployment_raw[[#This Row],[Column5]],1)*(1+$W$2))/1048576,"")</f>
        <v/>
      </c>
    </row>
    <row r="387" spans="1:23" ht="15.75" customHeight="1" x14ac:dyDescent="0.25">
      <c r="A387" s="5" t="str">
        <f>IF(ISNONTEXT(deployment_raw[[#This Row],[Column1]]), "", deployment_raw[[#This Row],[Column1]])</f>
        <v/>
      </c>
      <c r="B387" s="6" t="str">
        <f>IF(ISNONTEXT(deployment_raw[[#This Row],[Column2]]), "", deployment_raw[[#This Row],[Column2]])</f>
        <v/>
      </c>
      <c r="C387" s="6" t="str">
        <f>IF(ISNONTEXT(deployment_raw[[#This Row],[Column3]]), "", deployment_raw[[#This Row],[Column3]])</f>
        <v/>
      </c>
      <c r="D387" s="6" t="str">
        <f>IF(ISNONTEXT(deployment_raw[[#This Row],[Column4]]), "", deployment_raw[[#This Row],[Column4]])</f>
        <v/>
      </c>
      <c r="E387" s="7" t="str">
        <f>IF(ISNUMBER(deployment_raw[[#This Row],[Column5]]), deployment_raw[[#This Row],[Column5]],"")</f>
        <v/>
      </c>
      <c r="F387" s="32" t="str">
        <f>IF(ISNUMBER(deployment_raw[[#This Row],[Column17]]), deployment_raw[[#This Row],[Column17]]/IF(OR($E$2="Deployment",deployment_raw[[#This Row],[Column5]]=0),1,deployment_raw[[#This Row],[Column5]]),"")</f>
        <v/>
      </c>
      <c r="G387" s="42" t="str">
        <f>IF(ISNUMBER(deployment_raw[[#This Row],[Column14]]), deployment_raw[[#This Row],[Column14]]/IF(OR($E$2="Deployment",deployment_raw[[#This Row],[Column5]]=0),1,deployment_raw[[#This Row],[Column5]]),"")</f>
        <v/>
      </c>
      <c r="H387" s="79" t="str">
        <f>IF(ISNUMBER(deployment_raw[[#This Row],[Column19]]), IF(I387&lt;&gt;0,(deployment_raw[[#This Row],[Column19]]/IF(OR($E$2="Deployment",deployment_raw[[#This Row],[Column5]]=0),1,deployment_raw[[#This Row],[Column5]]))/I387,0),"")</f>
        <v/>
      </c>
      <c r="I387" s="69" t="str">
        <f>IF(ISNUMBER(deployment_raw[[#This Row],[Column6]]), (deployment_raw[[#This Row],[Column6]] * IF($E$2="Deployment",deployment_raw[[#This Row],[Column5]],1)),"")</f>
        <v/>
      </c>
      <c r="J387" s="79" t="str">
        <f>IF(ISNUMBER(deployment_raw[[#This Row],[Column19]]), IF(K387&lt;&gt;0,(deployment_raw[[#This Row],[Column19]]/IF(OR($E$2="Deployment",deployment_raw[[#This Row],[Column5]]=0),1,deployment_raw[[#This Row],[Column5]]))/K387,0),"")</f>
        <v/>
      </c>
      <c r="K387" s="72" t="str">
        <f>IF(ISNUMBER(deployment_raw[[#This Row],[Column8]]), (deployment_raw[[#This Row],[Column8]]  * IF($E$2="Deployment",deployment_raw[[#This Row],[Column5]],1)),"")</f>
        <v/>
      </c>
      <c r="L38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8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87" s="81" t="str">
        <f>IF(ISNUMBER(deployment_raw[[#This Row],[Column20]]), IF(O387&lt;&gt;0,deployment_raw[[#This Row],[Column20]]/IF(OR($E$2="Deployment",deployment_raw[[#This Row],[Column5]]=0),1,deployment_raw[[#This Row],[Column5]])/1048576/O387,0),"")</f>
        <v/>
      </c>
      <c r="O387" s="74" t="str">
        <f>IF(ISNUMBER(deployment_raw[[#This Row],[Column7]]), (deployment_raw[[#This Row],[Column7]] * IF($E$2="Deployment",deployment_raw[[#This Row],[Column5]],1))/1048576,"")</f>
        <v/>
      </c>
      <c r="P387" s="81" t="str">
        <f>IF(ISNUMBER(deployment_raw[[#This Row],[Column20]]), IF(Q387&lt;&gt;0,deployment_raw[[#This Row],[Column20]]/IF(OR($E$2="Deployment",deployment_raw[[#This Row],[Column5]]=0),1,deployment_raw[[#This Row],[Column5]])/1048576/Q387,0),"")</f>
        <v/>
      </c>
      <c r="Q387" s="76" t="str">
        <f>IF(ISNUMBER(deployment_raw[[#This Row],[Column9]]), (deployment_raw[[#This Row],[Column9]] * IF($E$2="Deployment",deployment_raw[[#This Row],[Column5]],1))/1048576,"")</f>
        <v/>
      </c>
      <c r="R387" s="57" t="str">
        <f>IF(ISNUMBER(deployment_raw[[#This Row],[Column10]]), (deployment_raw[[#This Row],[Column10]] * IF($E$2="Deployment",deployment_raw[[#This Row],[Column5]],1)),"")</f>
        <v/>
      </c>
      <c r="S387" s="48" t="str">
        <f>IF(ISNUMBER(deployment_raw[[#This Row],[Column11]]), (deployment_raw[[#This Row],[Column11]] * IF($E$2="Deployment",deployment_raw[[#This Row],[Column5]],1))/1048576,"")</f>
        <v/>
      </c>
      <c r="T387" s="59" t="str">
        <f>IF(ISNUMBER(deployment_raw[[#This Row],[Column8]]),IF(OR(deployment_raw[[#This Row],[Column5]] &lt;&gt; 0,$E$2 &lt;&gt; "Deployment"), MAX(V387, ($T$2 * IF($E$2="Deployment",deployment_raw[[#This Row],[Column5]],1))), 0),"")</f>
        <v/>
      </c>
      <c r="U387" s="50" t="str">
        <f>IF(ISNUMBER(deployment_raw[[#This Row],[Column9]]),IF(OR(deployment_raw[[#This Row],[Column5]] &lt;&gt; 0,$E$2&lt;&gt;"Deployment"), MAX(W387, ($U$2 * IF($E$2="Deployment",deployment_raw[[#This Row],[Column5]],1))), 0),"")</f>
        <v/>
      </c>
      <c r="V387" s="15" t="str">
        <f>IF(ISNUMBER(deployment_raw[[#This Row],[Column12]]), (deployment_raw[[#This Row],[Column12]] * IF($E$2="Deployment",deployment_raw[[#This Row],[Column5]],1)*(1+$V$2)),"")</f>
        <v/>
      </c>
      <c r="W387" s="14" t="str">
        <f>IF(ISNUMBER(deployment_raw[[#This Row],[Column13]]), (deployment_raw[[#This Row],[Column13]] * IF($E$2="Deployment",deployment_raw[[#This Row],[Column5]],1)*(1+$W$2))/1048576,"")</f>
        <v/>
      </c>
    </row>
    <row r="388" spans="1:23" ht="15.75" customHeight="1" x14ac:dyDescent="0.25">
      <c r="A388" s="5" t="str">
        <f>IF(ISNONTEXT(deployment_raw[[#This Row],[Column1]]), "", deployment_raw[[#This Row],[Column1]])</f>
        <v/>
      </c>
      <c r="B388" s="6" t="str">
        <f>IF(ISNONTEXT(deployment_raw[[#This Row],[Column2]]), "", deployment_raw[[#This Row],[Column2]])</f>
        <v/>
      </c>
      <c r="C388" s="6" t="str">
        <f>IF(ISNONTEXT(deployment_raw[[#This Row],[Column3]]), "", deployment_raw[[#This Row],[Column3]])</f>
        <v/>
      </c>
      <c r="D388" s="6" t="str">
        <f>IF(ISNONTEXT(deployment_raw[[#This Row],[Column4]]), "", deployment_raw[[#This Row],[Column4]])</f>
        <v/>
      </c>
      <c r="E388" s="7" t="str">
        <f>IF(ISNUMBER(deployment_raw[[#This Row],[Column5]]), deployment_raw[[#This Row],[Column5]],"")</f>
        <v/>
      </c>
      <c r="F388" s="32" t="str">
        <f>IF(ISNUMBER(deployment_raw[[#This Row],[Column17]]), deployment_raw[[#This Row],[Column17]]/IF(OR($E$2="Deployment",deployment_raw[[#This Row],[Column5]]=0),1,deployment_raw[[#This Row],[Column5]]),"")</f>
        <v/>
      </c>
      <c r="G388" s="42" t="str">
        <f>IF(ISNUMBER(deployment_raw[[#This Row],[Column14]]), deployment_raw[[#This Row],[Column14]]/IF(OR($E$2="Deployment",deployment_raw[[#This Row],[Column5]]=0),1,deployment_raw[[#This Row],[Column5]]),"")</f>
        <v/>
      </c>
      <c r="H388" s="79" t="str">
        <f>IF(ISNUMBER(deployment_raw[[#This Row],[Column19]]), IF(I388&lt;&gt;0,(deployment_raw[[#This Row],[Column19]]/IF(OR($E$2="Deployment",deployment_raw[[#This Row],[Column5]]=0),1,deployment_raw[[#This Row],[Column5]]))/I388,0),"")</f>
        <v/>
      </c>
      <c r="I388" s="69" t="str">
        <f>IF(ISNUMBER(deployment_raw[[#This Row],[Column6]]), (deployment_raw[[#This Row],[Column6]] * IF($E$2="Deployment",deployment_raw[[#This Row],[Column5]],1)),"")</f>
        <v/>
      </c>
      <c r="J388" s="79" t="str">
        <f>IF(ISNUMBER(deployment_raw[[#This Row],[Column19]]), IF(K388&lt;&gt;0,(deployment_raw[[#This Row],[Column19]]/IF(OR($E$2="Deployment",deployment_raw[[#This Row],[Column5]]=0),1,deployment_raw[[#This Row],[Column5]]))/K388,0),"")</f>
        <v/>
      </c>
      <c r="K388" s="72" t="str">
        <f>IF(ISNUMBER(deployment_raw[[#This Row],[Column8]]), (deployment_raw[[#This Row],[Column8]]  * IF($E$2="Deployment",deployment_raw[[#This Row],[Column5]],1)),"")</f>
        <v/>
      </c>
      <c r="L38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8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88" s="81" t="str">
        <f>IF(ISNUMBER(deployment_raw[[#This Row],[Column20]]), IF(O388&lt;&gt;0,deployment_raw[[#This Row],[Column20]]/IF(OR($E$2="Deployment",deployment_raw[[#This Row],[Column5]]=0),1,deployment_raw[[#This Row],[Column5]])/1048576/O388,0),"")</f>
        <v/>
      </c>
      <c r="O388" s="74" t="str">
        <f>IF(ISNUMBER(deployment_raw[[#This Row],[Column7]]), (deployment_raw[[#This Row],[Column7]] * IF($E$2="Deployment",deployment_raw[[#This Row],[Column5]],1))/1048576,"")</f>
        <v/>
      </c>
      <c r="P388" s="81" t="str">
        <f>IF(ISNUMBER(deployment_raw[[#This Row],[Column20]]), IF(Q388&lt;&gt;0,deployment_raw[[#This Row],[Column20]]/IF(OR($E$2="Deployment",deployment_raw[[#This Row],[Column5]]=0),1,deployment_raw[[#This Row],[Column5]])/1048576/Q388,0),"")</f>
        <v/>
      </c>
      <c r="Q388" s="76" t="str">
        <f>IF(ISNUMBER(deployment_raw[[#This Row],[Column9]]), (deployment_raw[[#This Row],[Column9]] * IF($E$2="Deployment",deployment_raw[[#This Row],[Column5]],1))/1048576,"")</f>
        <v/>
      </c>
      <c r="R388" s="57" t="str">
        <f>IF(ISNUMBER(deployment_raw[[#This Row],[Column10]]), (deployment_raw[[#This Row],[Column10]] * IF($E$2="Deployment",deployment_raw[[#This Row],[Column5]],1)),"")</f>
        <v/>
      </c>
      <c r="S388" s="48" t="str">
        <f>IF(ISNUMBER(deployment_raw[[#This Row],[Column11]]), (deployment_raw[[#This Row],[Column11]] * IF($E$2="Deployment",deployment_raw[[#This Row],[Column5]],1))/1048576,"")</f>
        <v/>
      </c>
      <c r="T388" s="59" t="str">
        <f>IF(ISNUMBER(deployment_raw[[#This Row],[Column8]]),IF(OR(deployment_raw[[#This Row],[Column5]] &lt;&gt; 0,$E$2 &lt;&gt; "Deployment"), MAX(V388, ($T$2 * IF($E$2="Deployment",deployment_raw[[#This Row],[Column5]],1))), 0),"")</f>
        <v/>
      </c>
      <c r="U388" s="50" t="str">
        <f>IF(ISNUMBER(deployment_raw[[#This Row],[Column9]]),IF(OR(deployment_raw[[#This Row],[Column5]] &lt;&gt; 0,$E$2&lt;&gt;"Deployment"), MAX(W388, ($U$2 * IF($E$2="Deployment",deployment_raw[[#This Row],[Column5]],1))), 0),"")</f>
        <v/>
      </c>
      <c r="V388" s="15" t="str">
        <f>IF(ISNUMBER(deployment_raw[[#This Row],[Column12]]), (deployment_raw[[#This Row],[Column12]] * IF($E$2="Deployment",deployment_raw[[#This Row],[Column5]],1)*(1+$V$2)),"")</f>
        <v/>
      </c>
      <c r="W388" s="14" t="str">
        <f>IF(ISNUMBER(deployment_raw[[#This Row],[Column13]]), (deployment_raw[[#This Row],[Column13]] * IF($E$2="Deployment",deployment_raw[[#This Row],[Column5]],1)*(1+$W$2))/1048576,"")</f>
        <v/>
      </c>
    </row>
    <row r="389" spans="1:23" ht="15.75" customHeight="1" x14ac:dyDescent="0.25">
      <c r="A389" s="5" t="str">
        <f>IF(ISNONTEXT(deployment_raw[[#This Row],[Column1]]), "", deployment_raw[[#This Row],[Column1]])</f>
        <v/>
      </c>
      <c r="B389" s="6" t="str">
        <f>IF(ISNONTEXT(deployment_raw[[#This Row],[Column2]]), "", deployment_raw[[#This Row],[Column2]])</f>
        <v/>
      </c>
      <c r="C389" s="6" t="str">
        <f>IF(ISNONTEXT(deployment_raw[[#This Row],[Column3]]), "", deployment_raw[[#This Row],[Column3]])</f>
        <v/>
      </c>
      <c r="D389" s="6" t="str">
        <f>IF(ISNONTEXT(deployment_raw[[#This Row],[Column4]]), "", deployment_raw[[#This Row],[Column4]])</f>
        <v/>
      </c>
      <c r="E389" s="7" t="str">
        <f>IF(ISNUMBER(deployment_raw[[#This Row],[Column5]]), deployment_raw[[#This Row],[Column5]],"")</f>
        <v/>
      </c>
      <c r="F389" s="32" t="str">
        <f>IF(ISNUMBER(deployment_raw[[#This Row],[Column17]]), deployment_raw[[#This Row],[Column17]]/IF(OR($E$2="Deployment",deployment_raw[[#This Row],[Column5]]=0),1,deployment_raw[[#This Row],[Column5]]),"")</f>
        <v/>
      </c>
      <c r="G389" s="42" t="str">
        <f>IF(ISNUMBER(deployment_raw[[#This Row],[Column14]]), deployment_raw[[#This Row],[Column14]]/IF(OR($E$2="Deployment",deployment_raw[[#This Row],[Column5]]=0),1,deployment_raw[[#This Row],[Column5]]),"")</f>
        <v/>
      </c>
      <c r="H389" s="79" t="str">
        <f>IF(ISNUMBER(deployment_raw[[#This Row],[Column19]]), IF(I389&lt;&gt;0,(deployment_raw[[#This Row],[Column19]]/IF(OR($E$2="Deployment",deployment_raw[[#This Row],[Column5]]=0),1,deployment_raw[[#This Row],[Column5]]))/I389,0),"")</f>
        <v/>
      </c>
      <c r="I389" s="69" t="str">
        <f>IF(ISNUMBER(deployment_raw[[#This Row],[Column6]]), (deployment_raw[[#This Row],[Column6]] * IF($E$2="Deployment",deployment_raw[[#This Row],[Column5]],1)),"")</f>
        <v/>
      </c>
      <c r="J389" s="79" t="str">
        <f>IF(ISNUMBER(deployment_raw[[#This Row],[Column19]]), IF(K389&lt;&gt;0,(deployment_raw[[#This Row],[Column19]]/IF(OR($E$2="Deployment",deployment_raw[[#This Row],[Column5]]=0),1,deployment_raw[[#This Row],[Column5]]))/K389,0),"")</f>
        <v/>
      </c>
      <c r="K389" s="72" t="str">
        <f>IF(ISNUMBER(deployment_raw[[#This Row],[Column8]]), (deployment_raw[[#This Row],[Column8]]  * IF($E$2="Deployment",deployment_raw[[#This Row],[Column5]],1)),"")</f>
        <v/>
      </c>
      <c r="L38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8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89" s="81" t="str">
        <f>IF(ISNUMBER(deployment_raw[[#This Row],[Column20]]), IF(O389&lt;&gt;0,deployment_raw[[#This Row],[Column20]]/IF(OR($E$2="Deployment",deployment_raw[[#This Row],[Column5]]=0),1,deployment_raw[[#This Row],[Column5]])/1048576/O389,0),"")</f>
        <v/>
      </c>
      <c r="O389" s="74" t="str">
        <f>IF(ISNUMBER(deployment_raw[[#This Row],[Column7]]), (deployment_raw[[#This Row],[Column7]] * IF($E$2="Deployment",deployment_raw[[#This Row],[Column5]],1))/1048576,"")</f>
        <v/>
      </c>
      <c r="P389" s="81" t="str">
        <f>IF(ISNUMBER(deployment_raw[[#This Row],[Column20]]), IF(Q389&lt;&gt;0,deployment_raw[[#This Row],[Column20]]/IF(OR($E$2="Deployment",deployment_raw[[#This Row],[Column5]]=0),1,deployment_raw[[#This Row],[Column5]])/1048576/Q389,0),"")</f>
        <v/>
      </c>
      <c r="Q389" s="76" t="str">
        <f>IF(ISNUMBER(deployment_raw[[#This Row],[Column9]]), (deployment_raw[[#This Row],[Column9]] * IF($E$2="Deployment",deployment_raw[[#This Row],[Column5]],1))/1048576,"")</f>
        <v/>
      </c>
      <c r="R389" s="57" t="str">
        <f>IF(ISNUMBER(deployment_raw[[#This Row],[Column10]]), (deployment_raw[[#This Row],[Column10]] * IF($E$2="Deployment",deployment_raw[[#This Row],[Column5]],1)),"")</f>
        <v/>
      </c>
      <c r="S389" s="48" t="str">
        <f>IF(ISNUMBER(deployment_raw[[#This Row],[Column11]]), (deployment_raw[[#This Row],[Column11]] * IF($E$2="Deployment",deployment_raw[[#This Row],[Column5]],1))/1048576,"")</f>
        <v/>
      </c>
      <c r="T389" s="59" t="str">
        <f>IF(ISNUMBER(deployment_raw[[#This Row],[Column8]]),IF(OR(deployment_raw[[#This Row],[Column5]] &lt;&gt; 0,$E$2 &lt;&gt; "Deployment"), MAX(V389, ($T$2 * IF($E$2="Deployment",deployment_raw[[#This Row],[Column5]],1))), 0),"")</f>
        <v/>
      </c>
      <c r="U389" s="50" t="str">
        <f>IF(ISNUMBER(deployment_raw[[#This Row],[Column9]]),IF(OR(deployment_raw[[#This Row],[Column5]] &lt;&gt; 0,$E$2&lt;&gt;"Deployment"), MAX(W389, ($U$2 * IF($E$2="Deployment",deployment_raw[[#This Row],[Column5]],1))), 0),"")</f>
        <v/>
      </c>
      <c r="V389" s="15" t="str">
        <f>IF(ISNUMBER(deployment_raw[[#This Row],[Column12]]), (deployment_raw[[#This Row],[Column12]] * IF($E$2="Deployment",deployment_raw[[#This Row],[Column5]],1)*(1+$V$2)),"")</f>
        <v/>
      </c>
      <c r="W389" s="14" t="str">
        <f>IF(ISNUMBER(deployment_raw[[#This Row],[Column13]]), (deployment_raw[[#This Row],[Column13]] * IF($E$2="Deployment",deployment_raw[[#This Row],[Column5]],1)*(1+$W$2))/1048576,"")</f>
        <v/>
      </c>
    </row>
    <row r="390" spans="1:23" ht="15.75" customHeight="1" x14ac:dyDescent="0.25">
      <c r="A390" s="5" t="str">
        <f>IF(ISNONTEXT(deployment_raw[[#This Row],[Column1]]), "", deployment_raw[[#This Row],[Column1]])</f>
        <v/>
      </c>
      <c r="B390" s="6" t="str">
        <f>IF(ISNONTEXT(deployment_raw[[#This Row],[Column2]]), "", deployment_raw[[#This Row],[Column2]])</f>
        <v/>
      </c>
      <c r="C390" s="6" t="str">
        <f>IF(ISNONTEXT(deployment_raw[[#This Row],[Column3]]), "", deployment_raw[[#This Row],[Column3]])</f>
        <v/>
      </c>
      <c r="D390" s="6" t="str">
        <f>IF(ISNONTEXT(deployment_raw[[#This Row],[Column4]]), "", deployment_raw[[#This Row],[Column4]])</f>
        <v/>
      </c>
      <c r="E390" s="7" t="str">
        <f>IF(ISNUMBER(deployment_raw[[#This Row],[Column5]]), deployment_raw[[#This Row],[Column5]],"")</f>
        <v/>
      </c>
      <c r="F390" s="32" t="str">
        <f>IF(ISNUMBER(deployment_raw[[#This Row],[Column17]]), deployment_raw[[#This Row],[Column17]]/IF(OR($E$2="Deployment",deployment_raw[[#This Row],[Column5]]=0),1,deployment_raw[[#This Row],[Column5]]),"")</f>
        <v/>
      </c>
      <c r="G390" s="42" t="str">
        <f>IF(ISNUMBER(deployment_raw[[#This Row],[Column14]]), deployment_raw[[#This Row],[Column14]]/IF(OR($E$2="Deployment",deployment_raw[[#This Row],[Column5]]=0),1,deployment_raw[[#This Row],[Column5]]),"")</f>
        <v/>
      </c>
      <c r="H390" s="79" t="str">
        <f>IF(ISNUMBER(deployment_raw[[#This Row],[Column19]]), IF(I390&lt;&gt;0,(deployment_raw[[#This Row],[Column19]]/IF(OR($E$2="Deployment",deployment_raw[[#This Row],[Column5]]=0),1,deployment_raw[[#This Row],[Column5]]))/I390,0),"")</f>
        <v/>
      </c>
      <c r="I390" s="69" t="str">
        <f>IF(ISNUMBER(deployment_raw[[#This Row],[Column6]]), (deployment_raw[[#This Row],[Column6]] * IF($E$2="Deployment",deployment_raw[[#This Row],[Column5]],1)),"")</f>
        <v/>
      </c>
      <c r="J390" s="79" t="str">
        <f>IF(ISNUMBER(deployment_raw[[#This Row],[Column19]]), IF(K390&lt;&gt;0,(deployment_raw[[#This Row],[Column19]]/IF(OR($E$2="Deployment",deployment_raw[[#This Row],[Column5]]=0),1,deployment_raw[[#This Row],[Column5]]))/K390,0),"")</f>
        <v/>
      </c>
      <c r="K390" s="72" t="str">
        <f>IF(ISNUMBER(deployment_raw[[#This Row],[Column8]]), (deployment_raw[[#This Row],[Column8]]  * IF($E$2="Deployment",deployment_raw[[#This Row],[Column5]],1)),"")</f>
        <v/>
      </c>
      <c r="L39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9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90" s="81" t="str">
        <f>IF(ISNUMBER(deployment_raw[[#This Row],[Column20]]), IF(O390&lt;&gt;0,deployment_raw[[#This Row],[Column20]]/IF(OR($E$2="Deployment",deployment_raw[[#This Row],[Column5]]=0),1,deployment_raw[[#This Row],[Column5]])/1048576/O390,0),"")</f>
        <v/>
      </c>
      <c r="O390" s="74" t="str">
        <f>IF(ISNUMBER(deployment_raw[[#This Row],[Column7]]), (deployment_raw[[#This Row],[Column7]] * IF($E$2="Deployment",deployment_raw[[#This Row],[Column5]],1))/1048576,"")</f>
        <v/>
      </c>
      <c r="P390" s="81" t="str">
        <f>IF(ISNUMBER(deployment_raw[[#This Row],[Column20]]), IF(Q390&lt;&gt;0,deployment_raw[[#This Row],[Column20]]/IF(OR($E$2="Deployment",deployment_raw[[#This Row],[Column5]]=0),1,deployment_raw[[#This Row],[Column5]])/1048576/Q390,0),"")</f>
        <v/>
      </c>
      <c r="Q390" s="76" t="str">
        <f>IF(ISNUMBER(deployment_raw[[#This Row],[Column9]]), (deployment_raw[[#This Row],[Column9]] * IF($E$2="Deployment",deployment_raw[[#This Row],[Column5]],1))/1048576,"")</f>
        <v/>
      </c>
      <c r="R390" s="57" t="str">
        <f>IF(ISNUMBER(deployment_raw[[#This Row],[Column10]]), (deployment_raw[[#This Row],[Column10]] * IF($E$2="Deployment",deployment_raw[[#This Row],[Column5]],1)),"")</f>
        <v/>
      </c>
      <c r="S390" s="48" t="str">
        <f>IF(ISNUMBER(deployment_raw[[#This Row],[Column11]]), (deployment_raw[[#This Row],[Column11]] * IF($E$2="Deployment",deployment_raw[[#This Row],[Column5]],1))/1048576,"")</f>
        <v/>
      </c>
      <c r="T390" s="59" t="str">
        <f>IF(ISNUMBER(deployment_raw[[#This Row],[Column8]]),IF(OR(deployment_raw[[#This Row],[Column5]] &lt;&gt; 0,$E$2 &lt;&gt; "Deployment"), MAX(V390, ($T$2 * IF($E$2="Deployment",deployment_raw[[#This Row],[Column5]],1))), 0),"")</f>
        <v/>
      </c>
      <c r="U390" s="50" t="str">
        <f>IF(ISNUMBER(deployment_raw[[#This Row],[Column9]]),IF(OR(deployment_raw[[#This Row],[Column5]] &lt;&gt; 0,$E$2&lt;&gt;"Deployment"), MAX(W390, ($U$2 * IF($E$2="Deployment",deployment_raw[[#This Row],[Column5]],1))), 0),"")</f>
        <v/>
      </c>
      <c r="V390" s="15" t="str">
        <f>IF(ISNUMBER(deployment_raw[[#This Row],[Column12]]), (deployment_raw[[#This Row],[Column12]] * IF($E$2="Deployment",deployment_raw[[#This Row],[Column5]],1)*(1+$V$2)),"")</f>
        <v/>
      </c>
      <c r="W390" s="14" t="str">
        <f>IF(ISNUMBER(deployment_raw[[#This Row],[Column13]]), (deployment_raw[[#This Row],[Column13]] * IF($E$2="Deployment",deployment_raw[[#This Row],[Column5]],1)*(1+$W$2))/1048576,"")</f>
        <v/>
      </c>
    </row>
    <row r="391" spans="1:23" ht="15.75" customHeight="1" x14ac:dyDescent="0.25">
      <c r="A391" s="5" t="str">
        <f>IF(ISNONTEXT(deployment_raw[[#This Row],[Column1]]), "", deployment_raw[[#This Row],[Column1]])</f>
        <v/>
      </c>
      <c r="B391" s="6" t="str">
        <f>IF(ISNONTEXT(deployment_raw[[#This Row],[Column2]]), "", deployment_raw[[#This Row],[Column2]])</f>
        <v/>
      </c>
      <c r="C391" s="6" t="str">
        <f>IF(ISNONTEXT(deployment_raw[[#This Row],[Column3]]), "", deployment_raw[[#This Row],[Column3]])</f>
        <v/>
      </c>
      <c r="D391" s="6" t="str">
        <f>IF(ISNONTEXT(deployment_raw[[#This Row],[Column4]]), "", deployment_raw[[#This Row],[Column4]])</f>
        <v/>
      </c>
      <c r="E391" s="7" t="str">
        <f>IF(ISNUMBER(deployment_raw[[#This Row],[Column5]]), deployment_raw[[#This Row],[Column5]],"")</f>
        <v/>
      </c>
      <c r="F391" s="32" t="str">
        <f>IF(ISNUMBER(deployment_raw[[#This Row],[Column17]]), deployment_raw[[#This Row],[Column17]]/IF(OR($E$2="Deployment",deployment_raw[[#This Row],[Column5]]=0),1,deployment_raw[[#This Row],[Column5]]),"")</f>
        <v/>
      </c>
      <c r="G391" s="42" t="str">
        <f>IF(ISNUMBER(deployment_raw[[#This Row],[Column14]]), deployment_raw[[#This Row],[Column14]]/IF(OR($E$2="Deployment",deployment_raw[[#This Row],[Column5]]=0),1,deployment_raw[[#This Row],[Column5]]),"")</f>
        <v/>
      </c>
      <c r="H391" s="79" t="str">
        <f>IF(ISNUMBER(deployment_raw[[#This Row],[Column19]]), IF(I391&lt;&gt;0,(deployment_raw[[#This Row],[Column19]]/IF(OR($E$2="Deployment",deployment_raw[[#This Row],[Column5]]=0),1,deployment_raw[[#This Row],[Column5]]))/I391,0),"")</f>
        <v/>
      </c>
      <c r="I391" s="69" t="str">
        <f>IF(ISNUMBER(deployment_raw[[#This Row],[Column6]]), (deployment_raw[[#This Row],[Column6]] * IF($E$2="Deployment",deployment_raw[[#This Row],[Column5]],1)),"")</f>
        <v/>
      </c>
      <c r="J391" s="79" t="str">
        <f>IF(ISNUMBER(deployment_raw[[#This Row],[Column19]]), IF(K391&lt;&gt;0,(deployment_raw[[#This Row],[Column19]]/IF(OR($E$2="Deployment",deployment_raw[[#This Row],[Column5]]=0),1,deployment_raw[[#This Row],[Column5]]))/K391,0),"")</f>
        <v/>
      </c>
      <c r="K391" s="72" t="str">
        <f>IF(ISNUMBER(deployment_raw[[#This Row],[Column8]]), (deployment_raw[[#This Row],[Column8]]  * IF($E$2="Deployment",deployment_raw[[#This Row],[Column5]],1)),"")</f>
        <v/>
      </c>
      <c r="L39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9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91" s="81" t="str">
        <f>IF(ISNUMBER(deployment_raw[[#This Row],[Column20]]), IF(O391&lt;&gt;0,deployment_raw[[#This Row],[Column20]]/IF(OR($E$2="Deployment",deployment_raw[[#This Row],[Column5]]=0),1,deployment_raw[[#This Row],[Column5]])/1048576/O391,0),"")</f>
        <v/>
      </c>
      <c r="O391" s="74" t="str">
        <f>IF(ISNUMBER(deployment_raw[[#This Row],[Column7]]), (deployment_raw[[#This Row],[Column7]] * IF($E$2="Deployment",deployment_raw[[#This Row],[Column5]],1))/1048576,"")</f>
        <v/>
      </c>
      <c r="P391" s="81" t="str">
        <f>IF(ISNUMBER(deployment_raw[[#This Row],[Column20]]), IF(Q391&lt;&gt;0,deployment_raw[[#This Row],[Column20]]/IF(OR($E$2="Deployment",deployment_raw[[#This Row],[Column5]]=0),1,deployment_raw[[#This Row],[Column5]])/1048576/Q391,0),"")</f>
        <v/>
      </c>
      <c r="Q391" s="76" t="str">
        <f>IF(ISNUMBER(deployment_raw[[#This Row],[Column9]]), (deployment_raw[[#This Row],[Column9]] * IF($E$2="Deployment",deployment_raw[[#This Row],[Column5]],1))/1048576,"")</f>
        <v/>
      </c>
      <c r="R391" s="57" t="str">
        <f>IF(ISNUMBER(deployment_raw[[#This Row],[Column10]]), (deployment_raw[[#This Row],[Column10]] * IF($E$2="Deployment",deployment_raw[[#This Row],[Column5]],1)),"")</f>
        <v/>
      </c>
      <c r="S391" s="48" t="str">
        <f>IF(ISNUMBER(deployment_raw[[#This Row],[Column11]]), (deployment_raw[[#This Row],[Column11]] * IF($E$2="Deployment",deployment_raw[[#This Row],[Column5]],1))/1048576,"")</f>
        <v/>
      </c>
      <c r="T391" s="59" t="str">
        <f>IF(ISNUMBER(deployment_raw[[#This Row],[Column8]]),IF(OR(deployment_raw[[#This Row],[Column5]] &lt;&gt; 0,$E$2 &lt;&gt; "Deployment"), MAX(V391, ($T$2 * IF($E$2="Deployment",deployment_raw[[#This Row],[Column5]],1))), 0),"")</f>
        <v/>
      </c>
      <c r="U391" s="50" t="str">
        <f>IF(ISNUMBER(deployment_raw[[#This Row],[Column9]]),IF(OR(deployment_raw[[#This Row],[Column5]] &lt;&gt; 0,$E$2&lt;&gt;"Deployment"), MAX(W391, ($U$2 * IF($E$2="Deployment",deployment_raw[[#This Row],[Column5]],1))), 0),"")</f>
        <v/>
      </c>
      <c r="V391" s="15" t="str">
        <f>IF(ISNUMBER(deployment_raw[[#This Row],[Column12]]), (deployment_raw[[#This Row],[Column12]] * IF($E$2="Deployment",deployment_raw[[#This Row],[Column5]],1)*(1+$V$2)),"")</f>
        <v/>
      </c>
      <c r="W391" s="14" t="str">
        <f>IF(ISNUMBER(deployment_raw[[#This Row],[Column13]]), (deployment_raw[[#This Row],[Column13]] * IF($E$2="Deployment",deployment_raw[[#This Row],[Column5]],1)*(1+$W$2))/1048576,"")</f>
        <v/>
      </c>
    </row>
    <row r="392" spans="1:23" ht="15.75" customHeight="1" x14ac:dyDescent="0.25">
      <c r="A392" s="5" t="str">
        <f>IF(ISNONTEXT(deployment_raw[[#This Row],[Column1]]), "", deployment_raw[[#This Row],[Column1]])</f>
        <v/>
      </c>
      <c r="B392" s="6" t="str">
        <f>IF(ISNONTEXT(deployment_raw[[#This Row],[Column2]]), "", deployment_raw[[#This Row],[Column2]])</f>
        <v/>
      </c>
      <c r="C392" s="6" t="str">
        <f>IF(ISNONTEXT(deployment_raw[[#This Row],[Column3]]), "", deployment_raw[[#This Row],[Column3]])</f>
        <v/>
      </c>
      <c r="D392" s="6" t="str">
        <f>IF(ISNONTEXT(deployment_raw[[#This Row],[Column4]]), "", deployment_raw[[#This Row],[Column4]])</f>
        <v/>
      </c>
      <c r="E392" s="7" t="str">
        <f>IF(ISNUMBER(deployment_raw[[#This Row],[Column5]]), deployment_raw[[#This Row],[Column5]],"")</f>
        <v/>
      </c>
      <c r="F392" s="32" t="str">
        <f>IF(ISNUMBER(deployment_raw[[#This Row],[Column17]]), deployment_raw[[#This Row],[Column17]]/IF(OR($E$2="Deployment",deployment_raw[[#This Row],[Column5]]=0),1,deployment_raw[[#This Row],[Column5]]),"")</f>
        <v/>
      </c>
      <c r="G392" s="42" t="str">
        <f>IF(ISNUMBER(deployment_raw[[#This Row],[Column14]]), deployment_raw[[#This Row],[Column14]]/IF(OR($E$2="Deployment",deployment_raw[[#This Row],[Column5]]=0),1,deployment_raw[[#This Row],[Column5]]),"")</f>
        <v/>
      </c>
      <c r="H392" s="79" t="str">
        <f>IF(ISNUMBER(deployment_raw[[#This Row],[Column19]]), IF(I392&lt;&gt;0,(deployment_raw[[#This Row],[Column19]]/IF(OR($E$2="Deployment",deployment_raw[[#This Row],[Column5]]=0),1,deployment_raw[[#This Row],[Column5]]))/I392,0),"")</f>
        <v/>
      </c>
      <c r="I392" s="69" t="str">
        <f>IF(ISNUMBER(deployment_raw[[#This Row],[Column6]]), (deployment_raw[[#This Row],[Column6]] * IF($E$2="Deployment",deployment_raw[[#This Row],[Column5]],1)),"")</f>
        <v/>
      </c>
      <c r="J392" s="79" t="str">
        <f>IF(ISNUMBER(deployment_raw[[#This Row],[Column19]]), IF(K392&lt;&gt;0,(deployment_raw[[#This Row],[Column19]]/IF(OR($E$2="Deployment",deployment_raw[[#This Row],[Column5]]=0),1,deployment_raw[[#This Row],[Column5]]))/K392,0),"")</f>
        <v/>
      </c>
      <c r="K392" s="72" t="str">
        <f>IF(ISNUMBER(deployment_raw[[#This Row],[Column8]]), (deployment_raw[[#This Row],[Column8]]  * IF($E$2="Deployment",deployment_raw[[#This Row],[Column5]],1)),"")</f>
        <v/>
      </c>
      <c r="L39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9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92" s="81" t="str">
        <f>IF(ISNUMBER(deployment_raw[[#This Row],[Column20]]), IF(O392&lt;&gt;0,deployment_raw[[#This Row],[Column20]]/IF(OR($E$2="Deployment",deployment_raw[[#This Row],[Column5]]=0),1,deployment_raw[[#This Row],[Column5]])/1048576/O392,0),"")</f>
        <v/>
      </c>
      <c r="O392" s="74" t="str">
        <f>IF(ISNUMBER(deployment_raw[[#This Row],[Column7]]), (deployment_raw[[#This Row],[Column7]] * IF($E$2="Deployment",deployment_raw[[#This Row],[Column5]],1))/1048576,"")</f>
        <v/>
      </c>
      <c r="P392" s="81" t="str">
        <f>IF(ISNUMBER(deployment_raw[[#This Row],[Column20]]), IF(Q392&lt;&gt;0,deployment_raw[[#This Row],[Column20]]/IF(OR($E$2="Deployment",deployment_raw[[#This Row],[Column5]]=0),1,deployment_raw[[#This Row],[Column5]])/1048576/Q392,0),"")</f>
        <v/>
      </c>
      <c r="Q392" s="76" t="str">
        <f>IF(ISNUMBER(deployment_raw[[#This Row],[Column9]]), (deployment_raw[[#This Row],[Column9]] * IF($E$2="Deployment",deployment_raw[[#This Row],[Column5]],1))/1048576,"")</f>
        <v/>
      </c>
      <c r="R392" s="57" t="str">
        <f>IF(ISNUMBER(deployment_raw[[#This Row],[Column10]]), (deployment_raw[[#This Row],[Column10]] * IF($E$2="Deployment",deployment_raw[[#This Row],[Column5]],1)),"")</f>
        <v/>
      </c>
      <c r="S392" s="48" t="str">
        <f>IF(ISNUMBER(deployment_raw[[#This Row],[Column11]]), (deployment_raw[[#This Row],[Column11]] * IF($E$2="Deployment",deployment_raw[[#This Row],[Column5]],1))/1048576,"")</f>
        <v/>
      </c>
      <c r="T392" s="59" t="str">
        <f>IF(ISNUMBER(deployment_raw[[#This Row],[Column8]]),IF(OR(deployment_raw[[#This Row],[Column5]] &lt;&gt; 0,$E$2 &lt;&gt; "Deployment"), MAX(V392, ($T$2 * IF($E$2="Deployment",deployment_raw[[#This Row],[Column5]],1))), 0),"")</f>
        <v/>
      </c>
      <c r="U392" s="50" t="str">
        <f>IF(ISNUMBER(deployment_raw[[#This Row],[Column9]]),IF(OR(deployment_raw[[#This Row],[Column5]] &lt;&gt; 0,$E$2&lt;&gt;"Deployment"), MAX(W392, ($U$2 * IF($E$2="Deployment",deployment_raw[[#This Row],[Column5]],1))), 0),"")</f>
        <v/>
      </c>
      <c r="V392" s="15" t="str">
        <f>IF(ISNUMBER(deployment_raw[[#This Row],[Column12]]), (deployment_raw[[#This Row],[Column12]] * IF($E$2="Deployment",deployment_raw[[#This Row],[Column5]],1)*(1+$V$2)),"")</f>
        <v/>
      </c>
      <c r="W392" s="14" t="str">
        <f>IF(ISNUMBER(deployment_raw[[#This Row],[Column13]]), (deployment_raw[[#This Row],[Column13]] * IF($E$2="Deployment",deployment_raw[[#This Row],[Column5]],1)*(1+$W$2))/1048576,"")</f>
        <v/>
      </c>
    </row>
    <row r="393" spans="1:23" ht="15.75" customHeight="1" x14ac:dyDescent="0.25">
      <c r="A393" s="5" t="str">
        <f>IF(ISNONTEXT(deployment_raw[[#This Row],[Column1]]), "", deployment_raw[[#This Row],[Column1]])</f>
        <v/>
      </c>
      <c r="B393" s="6" t="str">
        <f>IF(ISNONTEXT(deployment_raw[[#This Row],[Column2]]), "", deployment_raw[[#This Row],[Column2]])</f>
        <v/>
      </c>
      <c r="C393" s="6" t="str">
        <f>IF(ISNONTEXT(deployment_raw[[#This Row],[Column3]]), "", deployment_raw[[#This Row],[Column3]])</f>
        <v/>
      </c>
      <c r="D393" s="6" t="str">
        <f>IF(ISNONTEXT(deployment_raw[[#This Row],[Column4]]), "", deployment_raw[[#This Row],[Column4]])</f>
        <v/>
      </c>
      <c r="E393" s="7" t="str">
        <f>IF(ISNUMBER(deployment_raw[[#This Row],[Column5]]), deployment_raw[[#This Row],[Column5]],"")</f>
        <v/>
      </c>
      <c r="F393" s="32" t="str">
        <f>IF(ISNUMBER(deployment_raw[[#This Row],[Column17]]), deployment_raw[[#This Row],[Column17]]/IF(OR($E$2="Deployment",deployment_raw[[#This Row],[Column5]]=0),1,deployment_raw[[#This Row],[Column5]]),"")</f>
        <v/>
      </c>
      <c r="G393" s="42" t="str">
        <f>IF(ISNUMBER(deployment_raw[[#This Row],[Column14]]), deployment_raw[[#This Row],[Column14]]/IF(OR($E$2="Deployment",deployment_raw[[#This Row],[Column5]]=0),1,deployment_raw[[#This Row],[Column5]]),"")</f>
        <v/>
      </c>
      <c r="H393" s="79" t="str">
        <f>IF(ISNUMBER(deployment_raw[[#This Row],[Column19]]), IF(I393&lt;&gt;0,(deployment_raw[[#This Row],[Column19]]/IF(OR($E$2="Deployment",deployment_raw[[#This Row],[Column5]]=0),1,deployment_raw[[#This Row],[Column5]]))/I393,0),"")</f>
        <v/>
      </c>
      <c r="I393" s="69" t="str">
        <f>IF(ISNUMBER(deployment_raw[[#This Row],[Column6]]), (deployment_raw[[#This Row],[Column6]] * IF($E$2="Deployment",deployment_raw[[#This Row],[Column5]],1)),"")</f>
        <v/>
      </c>
      <c r="J393" s="79" t="str">
        <f>IF(ISNUMBER(deployment_raw[[#This Row],[Column19]]), IF(K393&lt;&gt;0,(deployment_raw[[#This Row],[Column19]]/IF(OR($E$2="Deployment",deployment_raw[[#This Row],[Column5]]=0),1,deployment_raw[[#This Row],[Column5]]))/K393,0),"")</f>
        <v/>
      </c>
      <c r="K393" s="72" t="str">
        <f>IF(ISNUMBER(deployment_raw[[#This Row],[Column8]]), (deployment_raw[[#This Row],[Column8]]  * IF($E$2="Deployment",deployment_raw[[#This Row],[Column5]],1)),"")</f>
        <v/>
      </c>
      <c r="L39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9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93" s="81" t="str">
        <f>IF(ISNUMBER(deployment_raw[[#This Row],[Column20]]), IF(O393&lt;&gt;0,deployment_raw[[#This Row],[Column20]]/IF(OR($E$2="Deployment",deployment_raw[[#This Row],[Column5]]=0),1,deployment_raw[[#This Row],[Column5]])/1048576/O393,0),"")</f>
        <v/>
      </c>
      <c r="O393" s="74" t="str">
        <f>IF(ISNUMBER(deployment_raw[[#This Row],[Column7]]), (deployment_raw[[#This Row],[Column7]] * IF($E$2="Deployment",deployment_raw[[#This Row],[Column5]],1))/1048576,"")</f>
        <v/>
      </c>
      <c r="P393" s="81" t="str">
        <f>IF(ISNUMBER(deployment_raw[[#This Row],[Column20]]), IF(Q393&lt;&gt;0,deployment_raw[[#This Row],[Column20]]/IF(OR($E$2="Deployment",deployment_raw[[#This Row],[Column5]]=0),1,deployment_raw[[#This Row],[Column5]])/1048576/Q393,0),"")</f>
        <v/>
      </c>
      <c r="Q393" s="76" t="str">
        <f>IF(ISNUMBER(deployment_raw[[#This Row],[Column9]]), (deployment_raw[[#This Row],[Column9]] * IF($E$2="Deployment",deployment_raw[[#This Row],[Column5]],1))/1048576,"")</f>
        <v/>
      </c>
      <c r="R393" s="57" t="str">
        <f>IF(ISNUMBER(deployment_raw[[#This Row],[Column10]]), (deployment_raw[[#This Row],[Column10]] * IF($E$2="Deployment",deployment_raw[[#This Row],[Column5]],1)),"")</f>
        <v/>
      </c>
      <c r="S393" s="48" t="str">
        <f>IF(ISNUMBER(deployment_raw[[#This Row],[Column11]]), (deployment_raw[[#This Row],[Column11]] * IF($E$2="Deployment",deployment_raw[[#This Row],[Column5]],1))/1048576,"")</f>
        <v/>
      </c>
      <c r="T393" s="59" t="str">
        <f>IF(ISNUMBER(deployment_raw[[#This Row],[Column8]]),IF(OR(deployment_raw[[#This Row],[Column5]] &lt;&gt; 0,$E$2 &lt;&gt; "Deployment"), MAX(V393, ($T$2 * IF($E$2="Deployment",deployment_raw[[#This Row],[Column5]],1))), 0),"")</f>
        <v/>
      </c>
      <c r="U393" s="50" t="str">
        <f>IF(ISNUMBER(deployment_raw[[#This Row],[Column9]]),IF(OR(deployment_raw[[#This Row],[Column5]] &lt;&gt; 0,$E$2&lt;&gt;"Deployment"), MAX(W393, ($U$2 * IF($E$2="Deployment",deployment_raw[[#This Row],[Column5]],1))), 0),"")</f>
        <v/>
      </c>
      <c r="V393" s="15" t="str">
        <f>IF(ISNUMBER(deployment_raw[[#This Row],[Column12]]), (deployment_raw[[#This Row],[Column12]] * IF($E$2="Deployment",deployment_raw[[#This Row],[Column5]],1)*(1+$V$2)),"")</f>
        <v/>
      </c>
      <c r="W393" s="14" t="str">
        <f>IF(ISNUMBER(deployment_raw[[#This Row],[Column13]]), (deployment_raw[[#This Row],[Column13]] * IF($E$2="Deployment",deployment_raw[[#This Row],[Column5]],1)*(1+$W$2))/1048576,"")</f>
        <v/>
      </c>
    </row>
    <row r="394" spans="1:23" ht="15.75" customHeight="1" x14ac:dyDescent="0.25">
      <c r="A394" s="5" t="str">
        <f>IF(ISNONTEXT(deployment_raw[[#This Row],[Column1]]), "", deployment_raw[[#This Row],[Column1]])</f>
        <v/>
      </c>
      <c r="B394" s="6" t="str">
        <f>IF(ISNONTEXT(deployment_raw[[#This Row],[Column2]]), "", deployment_raw[[#This Row],[Column2]])</f>
        <v/>
      </c>
      <c r="C394" s="6" t="str">
        <f>IF(ISNONTEXT(deployment_raw[[#This Row],[Column3]]), "", deployment_raw[[#This Row],[Column3]])</f>
        <v/>
      </c>
      <c r="D394" s="6" t="str">
        <f>IF(ISNONTEXT(deployment_raw[[#This Row],[Column4]]), "", deployment_raw[[#This Row],[Column4]])</f>
        <v/>
      </c>
      <c r="E394" s="7" t="str">
        <f>IF(ISNUMBER(deployment_raw[[#This Row],[Column5]]), deployment_raw[[#This Row],[Column5]],"")</f>
        <v/>
      </c>
      <c r="F394" s="32" t="str">
        <f>IF(ISNUMBER(deployment_raw[[#This Row],[Column17]]), deployment_raw[[#This Row],[Column17]]/IF(OR($E$2="Deployment",deployment_raw[[#This Row],[Column5]]=0),1,deployment_raw[[#This Row],[Column5]]),"")</f>
        <v/>
      </c>
      <c r="G394" s="42" t="str">
        <f>IF(ISNUMBER(deployment_raw[[#This Row],[Column14]]), deployment_raw[[#This Row],[Column14]]/IF(OR($E$2="Deployment",deployment_raw[[#This Row],[Column5]]=0),1,deployment_raw[[#This Row],[Column5]]),"")</f>
        <v/>
      </c>
      <c r="H394" s="79" t="str">
        <f>IF(ISNUMBER(deployment_raw[[#This Row],[Column19]]), IF(I394&lt;&gt;0,(deployment_raw[[#This Row],[Column19]]/IF(OR($E$2="Deployment",deployment_raw[[#This Row],[Column5]]=0),1,deployment_raw[[#This Row],[Column5]]))/I394,0),"")</f>
        <v/>
      </c>
      <c r="I394" s="69" t="str">
        <f>IF(ISNUMBER(deployment_raw[[#This Row],[Column6]]), (deployment_raw[[#This Row],[Column6]] * IF($E$2="Deployment",deployment_raw[[#This Row],[Column5]],1)),"")</f>
        <v/>
      </c>
      <c r="J394" s="79" t="str">
        <f>IF(ISNUMBER(deployment_raw[[#This Row],[Column19]]), IF(K394&lt;&gt;0,(deployment_raw[[#This Row],[Column19]]/IF(OR($E$2="Deployment",deployment_raw[[#This Row],[Column5]]=0),1,deployment_raw[[#This Row],[Column5]]))/K394,0),"")</f>
        <v/>
      </c>
      <c r="K394" s="72" t="str">
        <f>IF(ISNUMBER(deployment_raw[[#This Row],[Column8]]), (deployment_raw[[#This Row],[Column8]]  * IF($E$2="Deployment",deployment_raw[[#This Row],[Column5]],1)),"")</f>
        <v/>
      </c>
      <c r="L39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9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94" s="81" t="str">
        <f>IF(ISNUMBER(deployment_raw[[#This Row],[Column20]]), IF(O394&lt;&gt;0,deployment_raw[[#This Row],[Column20]]/IF(OR($E$2="Deployment",deployment_raw[[#This Row],[Column5]]=0),1,deployment_raw[[#This Row],[Column5]])/1048576/O394,0),"")</f>
        <v/>
      </c>
      <c r="O394" s="74" t="str">
        <f>IF(ISNUMBER(deployment_raw[[#This Row],[Column7]]), (deployment_raw[[#This Row],[Column7]] * IF($E$2="Deployment",deployment_raw[[#This Row],[Column5]],1))/1048576,"")</f>
        <v/>
      </c>
      <c r="P394" s="81" t="str">
        <f>IF(ISNUMBER(deployment_raw[[#This Row],[Column20]]), IF(Q394&lt;&gt;0,deployment_raw[[#This Row],[Column20]]/IF(OR($E$2="Deployment",deployment_raw[[#This Row],[Column5]]=0),1,deployment_raw[[#This Row],[Column5]])/1048576/Q394,0),"")</f>
        <v/>
      </c>
      <c r="Q394" s="76" t="str">
        <f>IF(ISNUMBER(deployment_raw[[#This Row],[Column9]]), (deployment_raw[[#This Row],[Column9]] * IF($E$2="Deployment",deployment_raw[[#This Row],[Column5]],1))/1048576,"")</f>
        <v/>
      </c>
      <c r="R394" s="57" t="str">
        <f>IF(ISNUMBER(deployment_raw[[#This Row],[Column10]]), (deployment_raw[[#This Row],[Column10]] * IF($E$2="Deployment",deployment_raw[[#This Row],[Column5]],1)),"")</f>
        <v/>
      </c>
      <c r="S394" s="48" t="str">
        <f>IF(ISNUMBER(deployment_raw[[#This Row],[Column11]]), (deployment_raw[[#This Row],[Column11]] * IF($E$2="Deployment",deployment_raw[[#This Row],[Column5]],1))/1048576,"")</f>
        <v/>
      </c>
      <c r="T394" s="59" t="str">
        <f>IF(ISNUMBER(deployment_raw[[#This Row],[Column8]]),IF(OR(deployment_raw[[#This Row],[Column5]] &lt;&gt; 0,$E$2 &lt;&gt; "Deployment"), MAX(V394, ($T$2 * IF($E$2="Deployment",deployment_raw[[#This Row],[Column5]],1))), 0),"")</f>
        <v/>
      </c>
      <c r="U394" s="50" t="str">
        <f>IF(ISNUMBER(deployment_raw[[#This Row],[Column9]]),IF(OR(deployment_raw[[#This Row],[Column5]] &lt;&gt; 0,$E$2&lt;&gt;"Deployment"), MAX(W394, ($U$2 * IF($E$2="Deployment",deployment_raw[[#This Row],[Column5]],1))), 0),"")</f>
        <v/>
      </c>
      <c r="V394" s="15" t="str">
        <f>IF(ISNUMBER(deployment_raw[[#This Row],[Column12]]), (deployment_raw[[#This Row],[Column12]] * IF($E$2="Deployment",deployment_raw[[#This Row],[Column5]],1)*(1+$V$2)),"")</f>
        <v/>
      </c>
      <c r="W394" s="14" t="str">
        <f>IF(ISNUMBER(deployment_raw[[#This Row],[Column13]]), (deployment_raw[[#This Row],[Column13]] * IF($E$2="Deployment",deployment_raw[[#This Row],[Column5]],1)*(1+$W$2))/1048576,"")</f>
        <v/>
      </c>
    </row>
    <row r="395" spans="1:23" ht="15.75" customHeight="1" x14ac:dyDescent="0.25">
      <c r="A395" s="5" t="str">
        <f>IF(ISNONTEXT(deployment_raw[[#This Row],[Column1]]), "", deployment_raw[[#This Row],[Column1]])</f>
        <v/>
      </c>
      <c r="B395" s="6" t="str">
        <f>IF(ISNONTEXT(deployment_raw[[#This Row],[Column2]]), "", deployment_raw[[#This Row],[Column2]])</f>
        <v/>
      </c>
      <c r="C395" s="6" t="str">
        <f>IF(ISNONTEXT(deployment_raw[[#This Row],[Column3]]), "", deployment_raw[[#This Row],[Column3]])</f>
        <v/>
      </c>
      <c r="D395" s="6" t="str">
        <f>IF(ISNONTEXT(deployment_raw[[#This Row],[Column4]]), "", deployment_raw[[#This Row],[Column4]])</f>
        <v/>
      </c>
      <c r="E395" s="7" t="str">
        <f>IF(ISNUMBER(deployment_raw[[#This Row],[Column5]]), deployment_raw[[#This Row],[Column5]],"")</f>
        <v/>
      </c>
      <c r="F395" s="32" t="str">
        <f>IF(ISNUMBER(deployment_raw[[#This Row],[Column17]]), deployment_raw[[#This Row],[Column17]]/IF(OR($E$2="Deployment",deployment_raw[[#This Row],[Column5]]=0),1,deployment_raw[[#This Row],[Column5]]),"")</f>
        <v/>
      </c>
      <c r="G395" s="42" t="str">
        <f>IF(ISNUMBER(deployment_raw[[#This Row],[Column14]]), deployment_raw[[#This Row],[Column14]]/IF(OR($E$2="Deployment",deployment_raw[[#This Row],[Column5]]=0),1,deployment_raw[[#This Row],[Column5]]),"")</f>
        <v/>
      </c>
      <c r="H395" s="79" t="str">
        <f>IF(ISNUMBER(deployment_raw[[#This Row],[Column19]]), IF(I395&lt;&gt;0,(deployment_raw[[#This Row],[Column19]]/IF(OR($E$2="Deployment",deployment_raw[[#This Row],[Column5]]=0),1,deployment_raw[[#This Row],[Column5]]))/I395,0),"")</f>
        <v/>
      </c>
      <c r="I395" s="69" t="str">
        <f>IF(ISNUMBER(deployment_raw[[#This Row],[Column6]]), (deployment_raw[[#This Row],[Column6]] * IF($E$2="Deployment",deployment_raw[[#This Row],[Column5]],1)),"")</f>
        <v/>
      </c>
      <c r="J395" s="79" t="str">
        <f>IF(ISNUMBER(deployment_raw[[#This Row],[Column19]]), IF(K395&lt;&gt;0,(deployment_raw[[#This Row],[Column19]]/IF(OR($E$2="Deployment",deployment_raw[[#This Row],[Column5]]=0),1,deployment_raw[[#This Row],[Column5]]))/K395,0),"")</f>
        <v/>
      </c>
      <c r="K395" s="72" t="str">
        <f>IF(ISNUMBER(deployment_raw[[#This Row],[Column8]]), (deployment_raw[[#This Row],[Column8]]  * IF($E$2="Deployment",deployment_raw[[#This Row],[Column5]],1)),"")</f>
        <v/>
      </c>
      <c r="L39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9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95" s="81" t="str">
        <f>IF(ISNUMBER(deployment_raw[[#This Row],[Column20]]), IF(O395&lt;&gt;0,deployment_raw[[#This Row],[Column20]]/IF(OR($E$2="Deployment",deployment_raw[[#This Row],[Column5]]=0),1,deployment_raw[[#This Row],[Column5]])/1048576/O395,0),"")</f>
        <v/>
      </c>
      <c r="O395" s="74" t="str">
        <f>IF(ISNUMBER(deployment_raw[[#This Row],[Column7]]), (deployment_raw[[#This Row],[Column7]] * IF($E$2="Deployment",deployment_raw[[#This Row],[Column5]],1))/1048576,"")</f>
        <v/>
      </c>
      <c r="P395" s="81" t="str">
        <f>IF(ISNUMBER(deployment_raw[[#This Row],[Column20]]), IF(Q395&lt;&gt;0,deployment_raw[[#This Row],[Column20]]/IF(OR($E$2="Deployment",deployment_raw[[#This Row],[Column5]]=0),1,deployment_raw[[#This Row],[Column5]])/1048576/Q395,0),"")</f>
        <v/>
      </c>
      <c r="Q395" s="76" t="str">
        <f>IF(ISNUMBER(deployment_raw[[#This Row],[Column9]]), (deployment_raw[[#This Row],[Column9]] * IF($E$2="Deployment",deployment_raw[[#This Row],[Column5]],1))/1048576,"")</f>
        <v/>
      </c>
      <c r="R395" s="57" t="str">
        <f>IF(ISNUMBER(deployment_raw[[#This Row],[Column10]]), (deployment_raw[[#This Row],[Column10]] * IF($E$2="Deployment",deployment_raw[[#This Row],[Column5]],1)),"")</f>
        <v/>
      </c>
      <c r="S395" s="48" t="str">
        <f>IF(ISNUMBER(deployment_raw[[#This Row],[Column11]]), (deployment_raw[[#This Row],[Column11]] * IF($E$2="Deployment",deployment_raw[[#This Row],[Column5]],1))/1048576,"")</f>
        <v/>
      </c>
      <c r="T395" s="59" t="str">
        <f>IF(ISNUMBER(deployment_raw[[#This Row],[Column8]]),IF(OR(deployment_raw[[#This Row],[Column5]] &lt;&gt; 0,$E$2 &lt;&gt; "Deployment"), MAX(V395, ($T$2 * IF($E$2="Deployment",deployment_raw[[#This Row],[Column5]],1))), 0),"")</f>
        <v/>
      </c>
      <c r="U395" s="50" t="str">
        <f>IF(ISNUMBER(deployment_raw[[#This Row],[Column9]]),IF(OR(deployment_raw[[#This Row],[Column5]] &lt;&gt; 0,$E$2&lt;&gt;"Deployment"), MAX(W395, ($U$2 * IF($E$2="Deployment",deployment_raw[[#This Row],[Column5]],1))), 0),"")</f>
        <v/>
      </c>
      <c r="V395" s="15" t="str">
        <f>IF(ISNUMBER(deployment_raw[[#This Row],[Column12]]), (deployment_raw[[#This Row],[Column12]] * IF($E$2="Deployment",deployment_raw[[#This Row],[Column5]],1)*(1+$V$2)),"")</f>
        <v/>
      </c>
      <c r="W395" s="14" t="str">
        <f>IF(ISNUMBER(deployment_raw[[#This Row],[Column13]]), (deployment_raw[[#This Row],[Column13]] * IF($E$2="Deployment",deployment_raw[[#This Row],[Column5]],1)*(1+$W$2))/1048576,"")</f>
        <v/>
      </c>
    </row>
    <row r="396" spans="1:23" ht="15.75" customHeight="1" x14ac:dyDescent="0.25">
      <c r="A396" s="5" t="str">
        <f>IF(ISNONTEXT(deployment_raw[[#This Row],[Column1]]), "", deployment_raw[[#This Row],[Column1]])</f>
        <v/>
      </c>
      <c r="B396" s="6" t="str">
        <f>IF(ISNONTEXT(deployment_raw[[#This Row],[Column2]]), "", deployment_raw[[#This Row],[Column2]])</f>
        <v/>
      </c>
      <c r="C396" s="6" t="str">
        <f>IF(ISNONTEXT(deployment_raw[[#This Row],[Column3]]), "", deployment_raw[[#This Row],[Column3]])</f>
        <v/>
      </c>
      <c r="D396" s="6" t="str">
        <f>IF(ISNONTEXT(deployment_raw[[#This Row],[Column4]]), "", deployment_raw[[#This Row],[Column4]])</f>
        <v/>
      </c>
      <c r="E396" s="7" t="str">
        <f>IF(ISNUMBER(deployment_raw[[#This Row],[Column5]]), deployment_raw[[#This Row],[Column5]],"")</f>
        <v/>
      </c>
      <c r="F396" s="32" t="str">
        <f>IF(ISNUMBER(deployment_raw[[#This Row],[Column17]]), deployment_raw[[#This Row],[Column17]]/IF(OR($E$2="Deployment",deployment_raw[[#This Row],[Column5]]=0),1,deployment_raw[[#This Row],[Column5]]),"")</f>
        <v/>
      </c>
      <c r="G396" s="42" t="str">
        <f>IF(ISNUMBER(deployment_raw[[#This Row],[Column14]]), deployment_raw[[#This Row],[Column14]]/IF(OR($E$2="Deployment",deployment_raw[[#This Row],[Column5]]=0),1,deployment_raw[[#This Row],[Column5]]),"")</f>
        <v/>
      </c>
      <c r="H396" s="79" t="str">
        <f>IF(ISNUMBER(deployment_raw[[#This Row],[Column19]]), IF(I396&lt;&gt;0,(deployment_raw[[#This Row],[Column19]]/IF(OR($E$2="Deployment",deployment_raw[[#This Row],[Column5]]=0),1,deployment_raw[[#This Row],[Column5]]))/I396,0),"")</f>
        <v/>
      </c>
      <c r="I396" s="69" t="str">
        <f>IF(ISNUMBER(deployment_raw[[#This Row],[Column6]]), (deployment_raw[[#This Row],[Column6]] * IF($E$2="Deployment",deployment_raw[[#This Row],[Column5]],1)),"")</f>
        <v/>
      </c>
      <c r="J396" s="79" t="str">
        <f>IF(ISNUMBER(deployment_raw[[#This Row],[Column19]]), IF(K396&lt;&gt;0,(deployment_raw[[#This Row],[Column19]]/IF(OR($E$2="Deployment",deployment_raw[[#This Row],[Column5]]=0),1,deployment_raw[[#This Row],[Column5]]))/K396,0),"")</f>
        <v/>
      </c>
      <c r="K396" s="72" t="str">
        <f>IF(ISNUMBER(deployment_raw[[#This Row],[Column8]]), (deployment_raw[[#This Row],[Column8]]  * IF($E$2="Deployment",deployment_raw[[#This Row],[Column5]],1)),"")</f>
        <v/>
      </c>
      <c r="L39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9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96" s="81" t="str">
        <f>IF(ISNUMBER(deployment_raw[[#This Row],[Column20]]), IF(O396&lt;&gt;0,deployment_raw[[#This Row],[Column20]]/IF(OR($E$2="Deployment",deployment_raw[[#This Row],[Column5]]=0),1,deployment_raw[[#This Row],[Column5]])/1048576/O396,0),"")</f>
        <v/>
      </c>
      <c r="O396" s="74" t="str">
        <f>IF(ISNUMBER(deployment_raw[[#This Row],[Column7]]), (deployment_raw[[#This Row],[Column7]] * IF($E$2="Deployment",deployment_raw[[#This Row],[Column5]],1))/1048576,"")</f>
        <v/>
      </c>
      <c r="P396" s="81" t="str">
        <f>IF(ISNUMBER(deployment_raw[[#This Row],[Column20]]), IF(Q396&lt;&gt;0,deployment_raw[[#This Row],[Column20]]/IF(OR($E$2="Deployment",deployment_raw[[#This Row],[Column5]]=0),1,deployment_raw[[#This Row],[Column5]])/1048576/Q396,0),"")</f>
        <v/>
      </c>
      <c r="Q396" s="76" t="str">
        <f>IF(ISNUMBER(deployment_raw[[#This Row],[Column9]]), (deployment_raw[[#This Row],[Column9]] * IF($E$2="Deployment",deployment_raw[[#This Row],[Column5]],1))/1048576,"")</f>
        <v/>
      </c>
      <c r="R396" s="57" t="str">
        <f>IF(ISNUMBER(deployment_raw[[#This Row],[Column10]]), (deployment_raw[[#This Row],[Column10]] * IF($E$2="Deployment",deployment_raw[[#This Row],[Column5]],1)),"")</f>
        <v/>
      </c>
      <c r="S396" s="48" t="str">
        <f>IF(ISNUMBER(deployment_raw[[#This Row],[Column11]]), (deployment_raw[[#This Row],[Column11]] * IF($E$2="Deployment",deployment_raw[[#This Row],[Column5]],1))/1048576,"")</f>
        <v/>
      </c>
      <c r="T396" s="59" t="str">
        <f>IF(ISNUMBER(deployment_raw[[#This Row],[Column8]]),IF(OR(deployment_raw[[#This Row],[Column5]] &lt;&gt; 0,$E$2 &lt;&gt; "Deployment"), MAX(V396, ($T$2 * IF($E$2="Deployment",deployment_raw[[#This Row],[Column5]],1))), 0),"")</f>
        <v/>
      </c>
      <c r="U396" s="50" t="str">
        <f>IF(ISNUMBER(deployment_raw[[#This Row],[Column9]]),IF(OR(deployment_raw[[#This Row],[Column5]] &lt;&gt; 0,$E$2&lt;&gt;"Deployment"), MAX(W396, ($U$2 * IF($E$2="Deployment",deployment_raw[[#This Row],[Column5]],1))), 0),"")</f>
        <v/>
      </c>
      <c r="V396" s="15" t="str">
        <f>IF(ISNUMBER(deployment_raw[[#This Row],[Column12]]), (deployment_raw[[#This Row],[Column12]] * IF($E$2="Deployment",deployment_raw[[#This Row],[Column5]],1)*(1+$V$2)),"")</f>
        <v/>
      </c>
      <c r="W396" s="14" t="str">
        <f>IF(ISNUMBER(deployment_raw[[#This Row],[Column13]]), (deployment_raw[[#This Row],[Column13]] * IF($E$2="Deployment",deployment_raw[[#This Row],[Column5]],1)*(1+$W$2))/1048576,"")</f>
        <v/>
      </c>
    </row>
    <row r="397" spans="1:23" ht="15.75" customHeight="1" x14ac:dyDescent="0.25">
      <c r="A397" s="5" t="str">
        <f>IF(ISNONTEXT(deployment_raw[[#This Row],[Column1]]), "", deployment_raw[[#This Row],[Column1]])</f>
        <v/>
      </c>
      <c r="B397" s="6" t="str">
        <f>IF(ISNONTEXT(deployment_raw[[#This Row],[Column2]]), "", deployment_raw[[#This Row],[Column2]])</f>
        <v/>
      </c>
      <c r="C397" s="6" t="str">
        <f>IF(ISNONTEXT(deployment_raw[[#This Row],[Column3]]), "", deployment_raw[[#This Row],[Column3]])</f>
        <v/>
      </c>
      <c r="D397" s="6" t="str">
        <f>IF(ISNONTEXT(deployment_raw[[#This Row],[Column4]]), "", deployment_raw[[#This Row],[Column4]])</f>
        <v/>
      </c>
      <c r="E397" s="7" t="str">
        <f>IF(ISNUMBER(deployment_raw[[#This Row],[Column5]]), deployment_raw[[#This Row],[Column5]],"")</f>
        <v/>
      </c>
      <c r="F397" s="32" t="str">
        <f>IF(ISNUMBER(deployment_raw[[#This Row],[Column17]]), deployment_raw[[#This Row],[Column17]]/IF(OR($E$2="Deployment",deployment_raw[[#This Row],[Column5]]=0),1,deployment_raw[[#This Row],[Column5]]),"")</f>
        <v/>
      </c>
      <c r="G397" s="42" t="str">
        <f>IF(ISNUMBER(deployment_raw[[#This Row],[Column14]]), deployment_raw[[#This Row],[Column14]]/IF(OR($E$2="Deployment",deployment_raw[[#This Row],[Column5]]=0),1,deployment_raw[[#This Row],[Column5]]),"")</f>
        <v/>
      </c>
      <c r="H397" s="79" t="str">
        <f>IF(ISNUMBER(deployment_raw[[#This Row],[Column19]]), IF(I397&lt;&gt;0,(deployment_raw[[#This Row],[Column19]]/IF(OR($E$2="Deployment",deployment_raw[[#This Row],[Column5]]=0),1,deployment_raw[[#This Row],[Column5]]))/I397,0),"")</f>
        <v/>
      </c>
      <c r="I397" s="69" t="str">
        <f>IF(ISNUMBER(deployment_raw[[#This Row],[Column6]]), (deployment_raw[[#This Row],[Column6]] * IF($E$2="Deployment",deployment_raw[[#This Row],[Column5]],1)),"")</f>
        <v/>
      </c>
      <c r="J397" s="79" t="str">
        <f>IF(ISNUMBER(deployment_raw[[#This Row],[Column19]]), IF(K397&lt;&gt;0,(deployment_raw[[#This Row],[Column19]]/IF(OR($E$2="Deployment",deployment_raw[[#This Row],[Column5]]=0),1,deployment_raw[[#This Row],[Column5]]))/K397,0),"")</f>
        <v/>
      </c>
      <c r="K397" s="72" t="str">
        <f>IF(ISNUMBER(deployment_raw[[#This Row],[Column8]]), (deployment_raw[[#This Row],[Column8]]  * IF($E$2="Deployment",deployment_raw[[#This Row],[Column5]],1)),"")</f>
        <v/>
      </c>
      <c r="L39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9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97" s="81" t="str">
        <f>IF(ISNUMBER(deployment_raw[[#This Row],[Column20]]), IF(O397&lt;&gt;0,deployment_raw[[#This Row],[Column20]]/IF(OR($E$2="Deployment",deployment_raw[[#This Row],[Column5]]=0),1,deployment_raw[[#This Row],[Column5]])/1048576/O397,0),"")</f>
        <v/>
      </c>
      <c r="O397" s="74" t="str">
        <f>IF(ISNUMBER(deployment_raw[[#This Row],[Column7]]), (deployment_raw[[#This Row],[Column7]] * IF($E$2="Deployment",deployment_raw[[#This Row],[Column5]],1))/1048576,"")</f>
        <v/>
      </c>
      <c r="P397" s="81" t="str">
        <f>IF(ISNUMBER(deployment_raw[[#This Row],[Column20]]), IF(Q397&lt;&gt;0,deployment_raw[[#This Row],[Column20]]/IF(OR($E$2="Deployment",deployment_raw[[#This Row],[Column5]]=0),1,deployment_raw[[#This Row],[Column5]])/1048576/Q397,0),"")</f>
        <v/>
      </c>
      <c r="Q397" s="76" t="str">
        <f>IF(ISNUMBER(deployment_raw[[#This Row],[Column9]]), (deployment_raw[[#This Row],[Column9]] * IF($E$2="Deployment",deployment_raw[[#This Row],[Column5]],1))/1048576,"")</f>
        <v/>
      </c>
      <c r="R397" s="57" t="str">
        <f>IF(ISNUMBER(deployment_raw[[#This Row],[Column10]]), (deployment_raw[[#This Row],[Column10]] * IF($E$2="Deployment",deployment_raw[[#This Row],[Column5]],1)),"")</f>
        <v/>
      </c>
      <c r="S397" s="48" t="str">
        <f>IF(ISNUMBER(deployment_raw[[#This Row],[Column11]]), (deployment_raw[[#This Row],[Column11]] * IF($E$2="Deployment",deployment_raw[[#This Row],[Column5]],1))/1048576,"")</f>
        <v/>
      </c>
      <c r="T397" s="59" t="str">
        <f>IF(ISNUMBER(deployment_raw[[#This Row],[Column8]]),IF(OR(deployment_raw[[#This Row],[Column5]] &lt;&gt; 0,$E$2 &lt;&gt; "Deployment"), MAX(V397, ($T$2 * IF($E$2="Deployment",deployment_raw[[#This Row],[Column5]],1))), 0),"")</f>
        <v/>
      </c>
      <c r="U397" s="50" t="str">
        <f>IF(ISNUMBER(deployment_raw[[#This Row],[Column9]]),IF(OR(deployment_raw[[#This Row],[Column5]] &lt;&gt; 0,$E$2&lt;&gt;"Deployment"), MAX(W397, ($U$2 * IF($E$2="Deployment",deployment_raw[[#This Row],[Column5]],1))), 0),"")</f>
        <v/>
      </c>
      <c r="V397" s="15" t="str">
        <f>IF(ISNUMBER(deployment_raw[[#This Row],[Column12]]), (deployment_raw[[#This Row],[Column12]] * IF($E$2="Deployment",deployment_raw[[#This Row],[Column5]],1)*(1+$V$2)),"")</f>
        <v/>
      </c>
      <c r="W397" s="14" t="str">
        <f>IF(ISNUMBER(deployment_raw[[#This Row],[Column13]]), (deployment_raw[[#This Row],[Column13]] * IF($E$2="Deployment",deployment_raw[[#This Row],[Column5]],1)*(1+$W$2))/1048576,"")</f>
        <v/>
      </c>
    </row>
    <row r="398" spans="1:23" ht="15.75" customHeight="1" x14ac:dyDescent="0.25">
      <c r="A398" s="5" t="str">
        <f>IF(ISNONTEXT(deployment_raw[[#This Row],[Column1]]), "", deployment_raw[[#This Row],[Column1]])</f>
        <v/>
      </c>
      <c r="B398" s="6" t="str">
        <f>IF(ISNONTEXT(deployment_raw[[#This Row],[Column2]]), "", deployment_raw[[#This Row],[Column2]])</f>
        <v/>
      </c>
      <c r="C398" s="6" t="str">
        <f>IF(ISNONTEXT(deployment_raw[[#This Row],[Column3]]), "", deployment_raw[[#This Row],[Column3]])</f>
        <v/>
      </c>
      <c r="D398" s="6" t="str">
        <f>IF(ISNONTEXT(deployment_raw[[#This Row],[Column4]]), "", deployment_raw[[#This Row],[Column4]])</f>
        <v/>
      </c>
      <c r="E398" s="7" t="str">
        <f>IF(ISNUMBER(deployment_raw[[#This Row],[Column5]]), deployment_raw[[#This Row],[Column5]],"")</f>
        <v/>
      </c>
      <c r="F398" s="32" t="str">
        <f>IF(ISNUMBER(deployment_raw[[#This Row],[Column17]]), deployment_raw[[#This Row],[Column17]]/IF(OR($E$2="Deployment",deployment_raw[[#This Row],[Column5]]=0),1,deployment_raw[[#This Row],[Column5]]),"")</f>
        <v/>
      </c>
      <c r="G398" s="42" t="str">
        <f>IF(ISNUMBER(deployment_raw[[#This Row],[Column14]]), deployment_raw[[#This Row],[Column14]]/IF(OR($E$2="Deployment",deployment_raw[[#This Row],[Column5]]=0),1,deployment_raw[[#This Row],[Column5]]),"")</f>
        <v/>
      </c>
      <c r="H398" s="79" t="str">
        <f>IF(ISNUMBER(deployment_raw[[#This Row],[Column19]]), IF(I398&lt;&gt;0,(deployment_raw[[#This Row],[Column19]]/IF(OR($E$2="Deployment",deployment_raw[[#This Row],[Column5]]=0),1,deployment_raw[[#This Row],[Column5]]))/I398,0),"")</f>
        <v/>
      </c>
      <c r="I398" s="69" t="str">
        <f>IF(ISNUMBER(deployment_raw[[#This Row],[Column6]]), (deployment_raw[[#This Row],[Column6]] * IF($E$2="Deployment",deployment_raw[[#This Row],[Column5]],1)),"")</f>
        <v/>
      </c>
      <c r="J398" s="79" t="str">
        <f>IF(ISNUMBER(deployment_raw[[#This Row],[Column19]]), IF(K398&lt;&gt;0,(deployment_raw[[#This Row],[Column19]]/IF(OR($E$2="Deployment",deployment_raw[[#This Row],[Column5]]=0),1,deployment_raw[[#This Row],[Column5]]))/K398,0),"")</f>
        <v/>
      </c>
      <c r="K398" s="72" t="str">
        <f>IF(ISNUMBER(deployment_raw[[#This Row],[Column8]]), (deployment_raw[[#This Row],[Column8]]  * IF($E$2="Deployment",deployment_raw[[#This Row],[Column5]],1)),"")</f>
        <v/>
      </c>
      <c r="L39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9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98" s="81" t="str">
        <f>IF(ISNUMBER(deployment_raw[[#This Row],[Column20]]), IF(O398&lt;&gt;0,deployment_raw[[#This Row],[Column20]]/IF(OR($E$2="Deployment",deployment_raw[[#This Row],[Column5]]=0),1,deployment_raw[[#This Row],[Column5]])/1048576/O398,0),"")</f>
        <v/>
      </c>
      <c r="O398" s="74" t="str">
        <f>IF(ISNUMBER(deployment_raw[[#This Row],[Column7]]), (deployment_raw[[#This Row],[Column7]] * IF($E$2="Deployment",deployment_raw[[#This Row],[Column5]],1))/1048576,"")</f>
        <v/>
      </c>
      <c r="P398" s="81" t="str">
        <f>IF(ISNUMBER(deployment_raw[[#This Row],[Column20]]), IF(Q398&lt;&gt;0,deployment_raw[[#This Row],[Column20]]/IF(OR($E$2="Deployment",deployment_raw[[#This Row],[Column5]]=0),1,deployment_raw[[#This Row],[Column5]])/1048576/Q398,0),"")</f>
        <v/>
      </c>
      <c r="Q398" s="76" t="str">
        <f>IF(ISNUMBER(deployment_raw[[#This Row],[Column9]]), (deployment_raw[[#This Row],[Column9]] * IF($E$2="Deployment",deployment_raw[[#This Row],[Column5]],1))/1048576,"")</f>
        <v/>
      </c>
      <c r="R398" s="57" t="str">
        <f>IF(ISNUMBER(deployment_raw[[#This Row],[Column10]]), (deployment_raw[[#This Row],[Column10]] * IF($E$2="Deployment",deployment_raw[[#This Row],[Column5]],1)),"")</f>
        <v/>
      </c>
      <c r="S398" s="48" t="str">
        <f>IF(ISNUMBER(deployment_raw[[#This Row],[Column11]]), (deployment_raw[[#This Row],[Column11]] * IF($E$2="Deployment",deployment_raw[[#This Row],[Column5]],1))/1048576,"")</f>
        <v/>
      </c>
      <c r="T398" s="59" t="str">
        <f>IF(ISNUMBER(deployment_raw[[#This Row],[Column8]]),IF(OR(deployment_raw[[#This Row],[Column5]] &lt;&gt; 0,$E$2 &lt;&gt; "Deployment"), MAX(V398, ($T$2 * IF($E$2="Deployment",deployment_raw[[#This Row],[Column5]],1))), 0),"")</f>
        <v/>
      </c>
      <c r="U398" s="50" t="str">
        <f>IF(ISNUMBER(deployment_raw[[#This Row],[Column9]]),IF(OR(deployment_raw[[#This Row],[Column5]] &lt;&gt; 0,$E$2&lt;&gt;"Deployment"), MAX(W398, ($U$2 * IF($E$2="Deployment",deployment_raw[[#This Row],[Column5]],1))), 0),"")</f>
        <v/>
      </c>
      <c r="V398" s="15" t="str">
        <f>IF(ISNUMBER(deployment_raw[[#This Row],[Column12]]), (deployment_raw[[#This Row],[Column12]] * IF($E$2="Deployment",deployment_raw[[#This Row],[Column5]],1)*(1+$V$2)),"")</f>
        <v/>
      </c>
      <c r="W398" s="14" t="str">
        <f>IF(ISNUMBER(deployment_raw[[#This Row],[Column13]]), (deployment_raw[[#This Row],[Column13]] * IF($E$2="Deployment",deployment_raw[[#This Row],[Column5]],1)*(1+$W$2))/1048576,"")</f>
        <v/>
      </c>
    </row>
    <row r="399" spans="1:23" ht="15.75" customHeight="1" x14ac:dyDescent="0.25">
      <c r="A399" s="5" t="str">
        <f>IF(ISNONTEXT(deployment_raw[[#This Row],[Column1]]), "", deployment_raw[[#This Row],[Column1]])</f>
        <v/>
      </c>
      <c r="B399" s="6" t="str">
        <f>IF(ISNONTEXT(deployment_raw[[#This Row],[Column2]]), "", deployment_raw[[#This Row],[Column2]])</f>
        <v/>
      </c>
      <c r="C399" s="6" t="str">
        <f>IF(ISNONTEXT(deployment_raw[[#This Row],[Column3]]), "", deployment_raw[[#This Row],[Column3]])</f>
        <v/>
      </c>
      <c r="D399" s="6" t="str">
        <f>IF(ISNONTEXT(deployment_raw[[#This Row],[Column4]]), "", deployment_raw[[#This Row],[Column4]])</f>
        <v/>
      </c>
      <c r="E399" s="7" t="str">
        <f>IF(ISNUMBER(deployment_raw[[#This Row],[Column5]]), deployment_raw[[#This Row],[Column5]],"")</f>
        <v/>
      </c>
      <c r="F399" s="32" t="str">
        <f>IF(ISNUMBER(deployment_raw[[#This Row],[Column17]]), deployment_raw[[#This Row],[Column17]]/IF(OR($E$2="Deployment",deployment_raw[[#This Row],[Column5]]=0),1,deployment_raw[[#This Row],[Column5]]),"")</f>
        <v/>
      </c>
      <c r="G399" s="42" t="str">
        <f>IF(ISNUMBER(deployment_raw[[#This Row],[Column14]]), deployment_raw[[#This Row],[Column14]]/IF(OR($E$2="Deployment",deployment_raw[[#This Row],[Column5]]=0),1,deployment_raw[[#This Row],[Column5]]),"")</f>
        <v/>
      </c>
      <c r="H399" s="79" t="str">
        <f>IF(ISNUMBER(deployment_raw[[#This Row],[Column19]]), IF(I399&lt;&gt;0,(deployment_raw[[#This Row],[Column19]]/IF(OR($E$2="Deployment",deployment_raw[[#This Row],[Column5]]=0),1,deployment_raw[[#This Row],[Column5]]))/I399,0),"")</f>
        <v/>
      </c>
      <c r="I399" s="69" t="str">
        <f>IF(ISNUMBER(deployment_raw[[#This Row],[Column6]]), (deployment_raw[[#This Row],[Column6]] * IF($E$2="Deployment",deployment_raw[[#This Row],[Column5]],1)),"")</f>
        <v/>
      </c>
      <c r="J399" s="79" t="str">
        <f>IF(ISNUMBER(deployment_raw[[#This Row],[Column19]]), IF(K399&lt;&gt;0,(deployment_raw[[#This Row],[Column19]]/IF(OR($E$2="Deployment",deployment_raw[[#This Row],[Column5]]=0),1,deployment_raw[[#This Row],[Column5]]))/K399,0),"")</f>
        <v/>
      </c>
      <c r="K399" s="72" t="str">
        <f>IF(ISNUMBER(deployment_raw[[#This Row],[Column8]]), (deployment_raw[[#This Row],[Column8]]  * IF($E$2="Deployment",deployment_raw[[#This Row],[Column5]],1)),"")</f>
        <v/>
      </c>
      <c r="L39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9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99" s="81" t="str">
        <f>IF(ISNUMBER(deployment_raw[[#This Row],[Column20]]), IF(O399&lt;&gt;0,deployment_raw[[#This Row],[Column20]]/IF(OR($E$2="Deployment",deployment_raw[[#This Row],[Column5]]=0),1,deployment_raw[[#This Row],[Column5]])/1048576/O399,0),"")</f>
        <v/>
      </c>
      <c r="O399" s="74" t="str">
        <f>IF(ISNUMBER(deployment_raw[[#This Row],[Column7]]), (deployment_raw[[#This Row],[Column7]] * IF($E$2="Deployment",deployment_raw[[#This Row],[Column5]],1))/1048576,"")</f>
        <v/>
      </c>
      <c r="P399" s="81" t="str">
        <f>IF(ISNUMBER(deployment_raw[[#This Row],[Column20]]), IF(Q399&lt;&gt;0,deployment_raw[[#This Row],[Column20]]/IF(OR($E$2="Deployment",deployment_raw[[#This Row],[Column5]]=0),1,deployment_raw[[#This Row],[Column5]])/1048576/Q399,0),"")</f>
        <v/>
      </c>
      <c r="Q399" s="76" t="str">
        <f>IF(ISNUMBER(deployment_raw[[#This Row],[Column9]]), (deployment_raw[[#This Row],[Column9]] * IF($E$2="Deployment",deployment_raw[[#This Row],[Column5]],1))/1048576,"")</f>
        <v/>
      </c>
      <c r="R399" s="57" t="str">
        <f>IF(ISNUMBER(deployment_raw[[#This Row],[Column10]]), (deployment_raw[[#This Row],[Column10]] * IF($E$2="Deployment",deployment_raw[[#This Row],[Column5]],1)),"")</f>
        <v/>
      </c>
      <c r="S399" s="48" t="str">
        <f>IF(ISNUMBER(deployment_raw[[#This Row],[Column11]]), (deployment_raw[[#This Row],[Column11]] * IF($E$2="Deployment",deployment_raw[[#This Row],[Column5]],1))/1048576,"")</f>
        <v/>
      </c>
      <c r="T399" s="59" t="str">
        <f>IF(ISNUMBER(deployment_raw[[#This Row],[Column8]]),IF(OR(deployment_raw[[#This Row],[Column5]] &lt;&gt; 0,$E$2 &lt;&gt; "Deployment"), MAX(V399, ($T$2 * IF($E$2="Deployment",deployment_raw[[#This Row],[Column5]],1))), 0),"")</f>
        <v/>
      </c>
      <c r="U399" s="50" t="str">
        <f>IF(ISNUMBER(deployment_raw[[#This Row],[Column9]]),IF(OR(deployment_raw[[#This Row],[Column5]] &lt;&gt; 0,$E$2&lt;&gt;"Deployment"), MAX(W399, ($U$2 * IF($E$2="Deployment",deployment_raw[[#This Row],[Column5]],1))), 0),"")</f>
        <v/>
      </c>
      <c r="V399" s="15" t="str">
        <f>IF(ISNUMBER(deployment_raw[[#This Row],[Column12]]), (deployment_raw[[#This Row],[Column12]] * IF($E$2="Deployment",deployment_raw[[#This Row],[Column5]],1)*(1+$V$2)),"")</f>
        <v/>
      </c>
      <c r="W399" s="14" t="str">
        <f>IF(ISNUMBER(deployment_raw[[#This Row],[Column13]]), (deployment_raw[[#This Row],[Column13]] * IF($E$2="Deployment",deployment_raw[[#This Row],[Column5]],1)*(1+$W$2))/1048576,"")</f>
        <v/>
      </c>
    </row>
    <row r="400" spans="1:23" ht="15.75" customHeight="1" x14ac:dyDescent="0.25">
      <c r="A400" s="5" t="str">
        <f>IF(ISNONTEXT(deployment_raw[[#This Row],[Column1]]), "", deployment_raw[[#This Row],[Column1]])</f>
        <v/>
      </c>
      <c r="B400" s="6" t="str">
        <f>IF(ISNONTEXT(deployment_raw[[#This Row],[Column2]]), "", deployment_raw[[#This Row],[Column2]])</f>
        <v/>
      </c>
      <c r="C400" s="6" t="str">
        <f>IF(ISNONTEXT(deployment_raw[[#This Row],[Column3]]), "", deployment_raw[[#This Row],[Column3]])</f>
        <v/>
      </c>
      <c r="D400" s="6" t="str">
        <f>IF(ISNONTEXT(deployment_raw[[#This Row],[Column4]]), "", deployment_raw[[#This Row],[Column4]])</f>
        <v/>
      </c>
      <c r="E400" s="7" t="str">
        <f>IF(ISNUMBER(deployment_raw[[#This Row],[Column5]]), deployment_raw[[#This Row],[Column5]],"")</f>
        <v/>
      </c>
      <c r="F400" s="32" t="str">
        <f>IF(ISNUMBER(deployment_raw[[#This Row],[Column17]]), deployment_raw[[#This Row],[Column17]]/IF(OR($E$2="Deployment",deployment_raw[[#This Row],[Column5]]=0),1,deployment_raw[[#This Row],[Column5]]),"")</f>
        <v/>
      </c>
      <c r="G400" s="42" t="str">
        <f>IF(ISNUMBER(deployment_raw[[#This Row],[Column14]]), deployment_raw[[#This Row],[Column14]]/IF(OR($E$2="Deployment",deployment_raw[[#This Row],[Column5]]=0),1,deployment_raw[[#This Row],[Column5]]),"")</f>
        <v/>
      </c>
      <c r="H400" s="79" t="str">
        <f>IF(ISNUMBER(deployment_raw[[#This Row],[Column19]]), IF(I400&lt;&gt;0,(deployment_raw[[#This Row],[Column19]]/IF(OR($E$2="Deployment",deployment_raw[[#This Row],[Column5]]=0),1,deployment_raw[[#This Row],[Column5]]))/I400,0),"")</f>
        <v/>
      </c>
      <c r="I400" s="69" t="str">
        <f>IF(ISNUMBER(deployment_raw[[#This Row],[Column6]]), (deployment_raw[[#This Row],[Column6]] * IF($E$2="Deployment",deployment_raw[[#This Row],[Column5]],1)),"")</f>
        <v/>
      </c>
      <c r="J400" s="79" t="str">
        <f>IF(ISNUMBER(deployment_raw[[#This Row],[Column19]]), IF(K400&lt;&gt;0,(deployment_raw[[#This Row],[Column19]]/IF(OR($E$2="Deployment",deployment_raw[[#This Row],[Column5]]=0),1,deployment_raw[[#This Row],[Column5]]))/K400,0),"")</f>
        <v/>
      </c>
      <c r="K400" s="72" t="str">
        <f>IF(ISNUMBER(deployment_raw[[#This Row],[Column8]]), (deployment_raw[[#This Row],[Column8]]  * IF($E$2="Deployment",deployment_raw[[#This Row],[Column5]],1)),"")</f>
        <v/>
      </c>
      <c r="L40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0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00" s="81" t="str">
        <f>IF(ISNUMBER(deployment_raw[[#This Row],[Column20]]), IF(O400&lt;&gt;0,deployment_raw[[#This Row],[Column20]]/IF(OR($E$2="Deployment",deployment_raw[[#This Row],[Column5]]=0),1,deployment_raw[[#This Row],[Column5]])/1048576/O400,0),"")</f>
        <v/>
      </c>
      <c r="O400" s="74" t="str">
        <f>IF(ISNUMBER(deployment_raw[[#This Row],[Column7]]), (deployment_raw[[#This Row],[Column7]] * IF($E$2="Deployment",deployment_raw[[#This Row],[Column5]],1))/1048576,"")</f>
        <v/>
      </c>
      <c r="P400" s="81" t="str">
        <f>IF(ISNUMBER(deployment_raw[[#This Row],[Column20]]), IF(Q400&lt;&gt;0,deployment_raw[[#This Row],[Column20]]/IF(OR($E$2="Deployment",deployment_raw[[#This Row],[Column5]]=0),1,deployment_raw[[#This Row],[Column5]])/1048576/Q400,0),"")</f>
        <v/>
      </c>
      <c r="Q400" s="76" t="str">
        <f>IF(ISNUMBER(deployment_raw[[#This Row],[Column9]]), (deployment_raw[[#This Row],[Column9]] * IF($E$2="Deployment",deployment_raw[[#This Row],[Column5]],1))/1048576,"")</f>
        <v/>
      </c>
      <c r="R400" s="57" t="str">
        <f>IF(ISNUMBER(deployment_raw[[#This Row],[Column10]]), (deployment_raw[[#This Row],[Column10]] * IF($E$2="Deployment",deployment_raw[[#This Row],[Column5]],1)),"")</f>
        <v/>
      </c>
      <c r="S400" s="48" t="str">
        <f>IF(ISNUMBER(deployment_raw[[#This Row],[Column11]]), (deployment_raw[[#This Row],[Column11]] * IF($E$2="Deployment",deployment_raw[[#This Row],[Column5]],1))/1048576,"")</f>
        <v/>
      </c>
      <c r="T400" s="59" t="str">
        <f>IF(ISNUMBER(deployment_raw[[#This Row],[Column8]]),IF(OR(deployment_raw[[#This Row],[Column5]] &lt;&gt; 0,$E$2 &lt;&gt; "Deployment"), MAX(V400, ($T$2 * IF($E$2="Deployment",deployment_raw[[#This Row],[Column5]],1))), 0),"")</f>
        <v/>
      </c>
      <c r="U400" s="50" t="str">
        <f>IF(ISNUMBER(deployment_raw[[#This Row],[Column9]]),IF(OR(deployment_raw[[#This Row],[Column5]] &lt;&gt; 0,$E$2&lt;&gt;"Deployment"), MAX(W400, ($U$2 * IF($E$2="Deployment",deployment_raw[[#This Row],[Column5]],1))), 0),"")</f>
        <v/>
      </c>
      <c r="V400" s="15" t="str">
        <f>IF(ISNUMBER(deployment_raw[[#This Row],[Column12]]), (deployment_raw[[#This Row],[Column12]] * IF($E$2="Deployment",deployment_raw[[#This Row],[Column5]],1)*(1+$V$2)),"")</f>
        <v/>
      </c>
      <c r="W400" s="14" t="str">
        <f>IF(ISNUMBER(deployment_raw[[#This Row],[Column13]]), (deployment_raw[[#This Row],[Column13]] * IF($E$2="Deployment",deployment_raw[[#This Row],[Column5]],1)*(1+$W$2))/1048576,"")</f>
        <v/>
      </c>
    </row>
    <row r="401" spans="1:23" ht="15.75" customHeight="1" x14ac:dyDescent="0.25">
      <c r="A401" s="5" t="str">
        <f>IF(ISNONTEXT(deployment_raw[[#This Row],[Column1]]), "", deployment_raw[[#This Row],[Column1]])</f>
        <v/>
      </c>
      <c r="B401" s="6" t="str">
        <f>IF(ISNONTEXT(deployment_raw[[#This Row],[Column2]]), "", deployment_raw[[#This Row],[Column2]])</f>
        <v/>
      </c>
      <c r="C401" s="6" t="str">
        <f>IF(ISNONTEXT(deployment_raw[[#This Row],[Column3]]), "", deployment_raw[[#This Row],[Column3]])</f>
        <v/>
      </c>
      <c r="D401" s="6" t="str">
        <f>IF(ISNONTEXT(deployment_raw[[#This Row],[Column4]]), "", deployment_raw[[#This Row],[Column4]])</f>
        <v/>
      </c>
      <c r="E401" s="7" t="str">
        <f>IF(ISNUMBER(deployment_raw[[#This Row],[Column5]]), deployment_raw[[#This Row],[Column5]],"")</f>
        <v/>
      </c>
      <c r="F401" s="32" t="str">
        <f>IF(ISNUMBER(deployment_raw[[#This Row],[Column17]]), deployment_raw[[#This Row],[Column17]]/IF(OR($E$2="Deployment",deployment_raw[[#This Row],[Column5]]=0),1,deployment_raw[[#This Row],[Column5]]),"")</f>
        <v/>
      </c>
      <c r="G401" s="42" t="str">
        <f>IF(ISNUMBER(deployment_raw[[#This Row],[Column14]]), deployment_raw[[#This Row],[Column14]]/IF(OR($E$2="Deployment",deployment_raw[[#This Row],[Column5]]=0),1,deployment_raw[[#This Row],[Column5]]),"")</f>
        <v/>
      </c>
      <c r="H401" s="79" t="str">
        <f>IF(ISNUMBER(deployment_raw[[#This Row],[Column19]]), IF(I401&lt;&gt;0,(deployment_raw[[#This Row],[Column19]]/IF(OR($E$2="Deployment",deployment_raw[[#This Row],[Column5]]=0),1,deployment_raw[[#This Row],[Column5]]))/I401,0),"")</f>
        <v/>
      </c>
      <c r="I401" s="69" t="str">
        <f>IF(ISNUMBER(deployment_raw[[#This Row],[Column6]]), (deployment_raw[[#This Row],[Column6]] * IF($E$2="Deployment",deployment_raw[[#This Row],[Column5]],1)),"")</f>
        <v/>
      </c>
      <c r="J401" s="79" t="str">
        <f>IF(ISNUMBER(deployment_raw[[#This Row],[Column19]]), IF(K401&lt;&gt;0,(deployment_raw[[#This Row],[Column19]]/IF(OR($E$2="Deployment",deployment_raw[[#This Row],[Column5]]=0),1,deployment_raw[[#This Row],[Column5]]))/K401,0),"")</f>
        <v/>
      </c>
      <c r="K401" s="72" t="str">
        <f>IF(ISNUMBER(deployment_raw[[#This Row],[Column8]]), (deployment_raw[[#This Row],[Column8]]  * IF($E$2="Deployment",deployment_raw[[#This Row],[Column5]],1)),"")</f>
        <v/>
      </c>
      <c r="L40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0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01" s="81" t="str">
        <f>IF(ISNUMBER(deployment_raw[[#This Row],[Column20]]), IF(O401&lt;&gt;0,deployment_raw[[#This Row],[Column20]]/IF(OR($E$2="Deployment",deployment_raw[[#This Row],[Column5]]=0),1,deployment_raw[[#This Row],[Column5]])/1048576/O401,0),"")</f>
        <v/>
      </c>
      <c r="O401" s="74" t="str">
        <f>IF(ISNUMBER(deployment_raw[[#This Row],[Column7]]), (deployment_raw[[#This Row],[Column7]] * IF($E$2="Deployment",deployment_raw[[#This Row],[Column5]],1))/1048576,"")</f>
        <v/>
      </c>
      <c r="P401" s="81" t="str">
        <f>IF(ISNUMBER(deployment_raw[[#This Row],[Column20]]), IF(Q401&lt;&gt;0,deployment_raw[[#This Row],[Column20]]/IF(OR($E$2="Deployment",deployment_raw[[#This Row],[Column5]]=0),1,deployment_raw[[#This Row],[Column5]])/1048576/Q401,0),"")</f>
        <v/>
      </c>
      <c r="Q401" s="76" t="str">
        <f>IF(ISNUMBER(deployment_raw[[#This Row],[Column9]]), (deployment_raw[[#This Row],[Column9]] * IF($E$2="Deployment",deployment_raw[[#This Row],[Column5]],1))/1048576,"")</f>
        <v/>
      </c>
      <c r="R401" s="57" t="str">
        <f>IF(ISNUMBER(deployment_raw[[#This Row],[Column10]]), (deployment_raw[[#This Row],[Column10]] * IF($E$2="Deployment",deployment_raw[[#This Row],[Column5]],1)),"")</f>
        <v/>
      </c>
      <c r="S401" s="48" t="str">
        <f>IF(ISNUMBER(deployment_raw[[#This Row],[Column11]]), (deployment_raw[[#This Row],[Column11]] * IF($E$2="Deployment",deployment_raw[[#This Row],[Column5]],1))/1048576,"")</f>
        <v/>
      </c>
      <c r="T401" s="59" t="str">
        <f>IF(ISNUMBER(deployment_raw[[#This Row],[Column8]]),IF(OR(deployment_raw[[#This Row],[Column5]] &lt;&gt; 0,$E$2 &lt;&gt; "Deployment"), MAX(V401, ($T$2 * IF($E$2="Deployment",deployment_raw[[#This Row],[Column5]],1))), 0),"")</f>
        <v/>
      </c>
      <c r="U401" s="50" t="str">
        <f>IF(ISNUMBER(deployment_raw[[#This Row],[Column9]]),IF(OR(deployment_raw[[#This Row],[Column5]] &lt;&gt; 0,$E$2&lt;&gt;"Deployment"), MAX(W401, ($U$2 * IF($E$2="Deployment",deployment_raw[[#This Row],[Column5]],1))), 0),"")</f>
        <v/>
      </c>
      <c r="V401" s="15" t="str">
        <f>IF(ISNUMBER(deployment_raw[[#This Row],[Column12]]), (deployment_raw[[#This Row],[Column12]] * IF($E$2="Deployment",deployment_raw[[#This Row],[Column5]],1)*(1+$V$2)),"")</f>
        <v/>
      </c>
      <c r="W401" s="14" t="str">
        <f>IF(ISNUMBER(deployment_raw[[#This Row],[Column13]]), (deployment_raw[[#This Row],[Column13]] * IF($E$2="Deployment",deployment_raw[[#This Row],[Column5]],1)*(1+$W$2))/1048576,"")</f>
        <v/>
      </c>
    </row>
    <row r="402" spans="1:23" ht="15.75" customHeight="1" x14ac:dyDescent="0.25">
      <c r="A402" s="5" t="str">
        <f>IF(ISNONTEXT(deployment_raw[[#This Row],[Column1]]), "", deployment_raw[[#This Row],[Column1]])</f>
        <v/>
      </c>
      <c r="B402" s="6" t="str">
        <f>IF(ISNONTEXT(deployment_raw[[#This Row],[Column2]]), "", deployment_raw[[#This Row],[Column2]])</f>
        <v/>
      </c>
      <c r="C402" s="6" t="str">
        <f>IF(ISNONTEXT(deployment_raw[[#This Row],[Column3]]), "", deployment_raw[[#This Row],[Column3]])</f>
        <v/>
      </c>
      <c r="D402" s="6" t="str">
        <f>IF(ISNONTEXT(deployment_raw[[#This Row],[Column4]]), "", deployment_raw[[#This Row],[Column4]])</f>
        <v/>
      </c>
      <c r="E402" s="7" t="str">
        <f>IF(ISNUMBER(deployment_raw[[#This Row],[Column5]]), deployment_raw[[#This Row],[Column5]],"")</f>
        <v/>
      </c>
      <c r="F402" s="32" t="str">
        <f>IF(ISNUMBER(deployment_raw[[#This Row],[Column17]]), deployment_raw[[#This Row],[Column17]]/IF(OR($E$2="Deployment",deployment_raw[[#This Row],[Column5]]=0),1,deployment_raw[[#This Row],[Column5]]),"")</f>
        <v/>
      </c>
      <c r="G402" s="42" t="str">
        <f>IF(ISNUMBER(deployment_raw[[#This Row],[Column14]]), deployment_raw[[#This Row],[Column14]]/IF(OR($E$2="Deployment",deployment_raw[[#This Row],[Column5]]=0),1,deployment_raw[[#This Row],[Column5]]),"")</f>
        <v/>
      </c>
      <c r="H402" s="79" t="str">
        <f>IF(ISNUMBER(deployment_raw[[#This Row],[Column19]]), IF(I402&lt;&gt;0,(deployment_raw[[#This Row],[Column19]]/IF(OR($E$2="Deployment",deployment_raw[[#This Row],[Column5]]=0),1,deployment_raw[[#This Row],[Column5]]))/I402,0),"")</f>
        <v/>
      </c>
      <c r="I402" s="69" t="str">
        <f>IF(ISNUMBER(deployment_raw[[#This Row],[Column6]]), (deployment_raw[[#This Row],[Column6]] * IF($E$2="Deployment",deployment_raw[[#This Row],[Column5]],1)),"")</f>
        <v/>
      </c>
      <c r="J402" s="79" t="str">
        <f>IF(ISNUMBER(deployment_raw[[#This Row],[Column19]]), IF(K402&lt;&gt;0,(deployment_raw[[#This Row],[Column19]]/IF(OR($E$2="Deployment",deployment_raw[[#This Row],[Column5]]=0),1,deployment_raw[[#This Row],[Column5]]))/K402,0),"")</f>
        <v/>
      </c>
      <c r="K402" s="72" t="str">
        <f>IF(ISNUMBER(deployment_raw[[#This Row],[Column8]]), (deployment_raw[[#This Row],[Column8]]  * IF($E$2="Deployment",deployment_raw[[#This Row],[Column5]],1)),"")</f>
        <v/>
      </c>
      <c r="L40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0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02" s="81" t="str">
        <f>IF(ISNUMBER(deployment_raw[[#This Row],[Column20]]), IF(O402&lt;&gt;0,deployment_raw[[#This Row],[Column20]]/IF(OR($E$2="Deployment",deployment_raw[[#This Row],[Column5]]=0),1,deployment_raw[[#This Row],[Column5]])/1048576/O402,0),"")</f>
        <v/>
      </c>
      <c r="O402" s="74" t="str">
        <f>IF(ISNUMBER(deployment_raw[[#This Row],[Column7]]), (deployment_raw[[#This Row],[Column7]] * IF($E$2="Deployment",deployment_raw[[#This Row],[Column5]],1))/1048576,"")</f>
        <v/>
      </c>
      <c r="P402" s="81" t="str">
        <f>IF(ISNUMBER(deployment_raw[[#This Row],[Column20]]), IF(Q402&lt;&gt;0,deployment_raw[[#This Row],[Column20]]/IF(OR($E$2="Deployment",deployment_raw[[#This Row],[Column5]]=0),1,deployment_raw[[#This Row],[Column5]])/1048576/Q402,0),"")</f>
        <v/>
      </c>
      <c r="Q402" s="76" t="str">
        <f>IF(ISNUMBER(deployment_raw[[#This Row],[Column9]]), (deployment_raw[[#This Row],[Column9]] * IF($E$2="Deployment",deployment_raw[[#This Row],[Column5]],1))/1048576,"")</f>
        <v/>
      </c>
      <c r="R402" s="57" t="str">
        <f>IF(ISNUMBER(deployment_raw[[#This Row],[Column10]]), (deployment_raw[[#This Row],[Column10]] * IF($E$2="Deployment",deployment_raw[[#This Row],[Column5]],1)),"")</f>
        <v/>
      </c>
      <c r="S402" s="48" t="str">
        <f>IF(ISNUMBER(deployment_raw[[#This Row],[Column11]]), (deployment_raw[[#This Row],[Column11]] * IF($E$2="Deployment",deployment_raw[[#This Row],[Column5]],1))/1048576,"")</f>
        <v/>
      </c>
      <c r="T402" s="59" t="str">
        <f>IF(ISNUMBER(deployment_raw[[#This Row],[Column8]]),IF(OR(deployment_raw[[#This Row],[Column5]] &lt;&gt; 0,$E$2 &lt;&gt; "Deployment"), MAX(V402, ($T$2 * IF($E$2="Deployment",deployment_raw[[#This Row],[Column5]],1))), 0),"")</f>
        <v/>
      </c>
      <c r="U402" s="50" t="str">
        <f>IF(ISNUMBER(deployment_raw[[#This Row],[Column9]]),IF(OR(deployment_raw[[#This Row],[Column5]] &lt;&gt; 0,$E$2&lt;&gt;"Deployment"), MAX(W402, ($U$2 * IF($E$2="Deployment",deployment_raw[[#This Row],[Column5]],1))), 0),"")</f>
        <v/>
      </c>
      <c r="V402" s="15" t="str">
        <f>IF(ISNUMBER(deployment_raw[[#This Row],[Column12]]), (deployment_raw[[#This Row],[Column12]] * IF($E$2="Deployment",deployment_raw[[#This Row],[Column5]],1)*(1+$V$2)),"")</f>
        <v/>
      </c>
      <c r="W402" s="14" t="str">
        <f>IF(ISNUMBER(deployment_raw[[#This Row],[Column13]]), (deployment_raw[[#This Row],[Column13]] * IF($E$2="Deployment",deployment_raw[[#This Row],[Column5]],1)*(1+$W$2))/1048576,"")</f>
        <v/>
      </c>
    </row>
    <row r="403" spans="1:23" ht="15.75" customHeight="1" x14ac:dyDescent="0.25">
      <c r="A403" s="5" t="str">
        <f>IF(ISNONTEXT(deployment_raw[[#This Row],[Column1]]), "", deployment_raw[[#This Row],[Column1]])</f>
        <v/>
      </c>
      <c r="B403" s="6" t="str">
        <f>IF(ISNONTEXT(deployment_raw[[#This Row],[Column2]]), "", deployment_raw[[#This Row],[Column2]])</f>
        <v/>
      </c>
      <c r="C403" s="6" t="str">
        <f>IF(ISNONTEXT(deployment_raw[[#This Row],[Column3]]), "", deployment_raw[[#This Row],[Column3]])</f>
        <v/>
      </c>
      <c r="D403" s="6" t="str">
        <f>IF(ISNONTEXT(deployment_raw[[#This Row],[Column4]]), "", deployment_raw[[#This Row],[Column4]])</f>
        <v/>
      </c>
      <c r="E403" s="7" t="str">
        <f>IF(ISNUMBER(deployment_raw[[#This Row],[Column5]]), deployment_raw[[#This Row],[Column5]],"")</f>
        <v/>
      </c>
      <c r="F403" s="32" t="str">
        <f>IF(ISNUMBER(deployment_raw[[#This Row],[Column17]]), deployment_raw[[#This Row],[Column17]]/IF(OR($E$2="Deployment",deployment_raw[[#This Row],[Column5]]=0),1,deployment_raw[[#This Row],[Column5]]),"")</f>
        <v/>
      </c>
      <c r="G403" s="42" t="str">
        <f>IF(ISNUMBER(deployment_raw[[#This Row],[Column14]]), deployment_raw[[#This Row],[Column14]]/IF(OR($E$2="Deployment",deployment_raw[[#This Row],[Column5]]=0),1,deployment_raw[[#This Row],[Column5]]),"")</f>
        <v/>
      </c>
      <c r="H403" s="79" t="str">
        <f>IF(ISNUMBER(deployment_raw[[#This Row],[Column19]]), IF(I403&lt;&gt;0,(deployment_raw[[#This Row],[Column19]]/IF(OR($E$2="Deployment",deployment_raw[[#This Row],[Column5]]=0),1,deployment_raw[[#This Row],[Column5]]))/I403,0),"")</f>
        <v/>
      </c>
      <c r="I403" s="69" t="str">
        <f>IF(ISNUMBER(deployment_raw[[#This Row],[Column6]]), (deployment_raw[[#This Row],[Column6]] * IF($E$2="Deployment",deployment_raw[[#This Row],[Column5]],1)),"")</f>
        <v/>
      </c>
      <c r="J403" s="79" t="str">
        <f>IF(ISNUMBER(deployment_raw[[#This Row],[Column19]]), IF(K403&lt;&gt;0,(deployment_raw[[#This Row],[Column19]]/IF(OR($E$2="Deployment",deployment_raw[[#This Row],[Column5]]=0),1,deployment_raw[[#This Row],[Column5]]))/K403,0),"")</f>
        <v/>
      </c>
      <c r="K403" s="72" t="str">
        <f>IF(ISNUMBER(deployment_raw[[#This Row],[Column8]]), (deployment_raw[[#This Row],[Column8]]  * IF($E$2="Deployment",deployment_raw[[#This Row],[Column5]],1)),"")</f>
        <v/>
      </c>
      <c r="L40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0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03" s="81" t="str">
        <f>IF(ISNUMBER(deployment_raw[[#This Row],[Column20]]), IF(O403&lt;&gt;0,deployment_raw[[#This Row],[Column20]]/IF(OR($E$2="Deployment",deployment_raw[[#This Row],[Column5]]=0),1,deployment_raw[[#This Row],[Column5]])/1048576/O403,0),"")</f>
        <v/>
      </c>
      <c r="O403" s="74" t="str">
        <f>IF(ISNUMBER(deployment_raw[[#This Row],[Column7]]), (deployment_raw[[#This Row],[Column7]] * IF($E$2="Deployment",deployment_raw[[#This Row],[Column5]],1))/1048576,"")</f>
        <v/>
      </c>
      <c r="P403" s="81" t="str">
        <f>IF(ISNUMBER(deployment_raw[[#This Row],[Column20]]), IF(Q403&lt;&gt;0,deployment_raw[[#This Row],[Column20]]/IF(OR($E$2="Deployment",deployment_raw[[#This Row],[Column5]]=0),1,deployment_raw[[#This Row],[Column5]])/1048576/Q403,0),"")</f>
        <v/>
      </c>
      <c r="Q403" s="76" t="str">
        <f>IF(ISNUMBER(deployment_raw[[#This Row],[Column9]]), (deployment_raw[[#This Row],[Column9]] * IF($E$2="Deployment",deployment_raw[[#This Row],[Column5]],1))/1048576,"")</f>
        <v/>
      </c>
      <c r="R403" s="57" t="str">
        <f>IF(ISNUMBER(deployment_raw[[#This Row],[Column10]]), (deployment_raw[[#This Row],[Column10]] * IF($E$2="Deployment",deployment_raw[[#This Row],[Column5]],1)),"")</f>
        <v/>
      </c>
      <c r="S403" s="48" t="str">
        <f>IF(ISNUMBER(deployment_raw[[#This Row],[Column11]]), (deployment_raw[[#This Row],[Column11]] * IF($E$2="Deployment",deployment_raw[[#This Row],[Column5]],1))/1048576,"")</f>
        <v/>
      </c>
      <c r="T403" s="59" t="str">
        <f>IF(ISNUMBER(deployment_raw[[#This Row],[Column8]]),IF(OR(deployment_raw[[#This Row],[Column5]] &lt;&gt; 0,$E$2 &lt;&gt; "Deployment"), MAX(V403, ($T$2 * IF($E$2="Deployment",deployment_raw[[#This Row],[Column5]],1))), 0),"")</f>
        <v/>
      </c>
      <c r="U403" s="50" t="str">
        <f>IF(ISNUMBER(deployment_raw[[#This Row],[Column9]]),IF(OR(deployment_raw[[#This Row],[Column5]] &lt;&gt; 0,$E$2&lt;&gt;"Deployment"), MAX(W403, ($U$2 * IF($E$2="Deployment",deployment_raw[[#This Row],[Column5]],1))), 0),"")</f>
        <v/>
      </c>
      <c r="V403" s="15" t="str">
        <f>IF(ISNUMBER(deployment_raw[[#This Row],[Column12]]), (deployment_raw[[#This Row],[Column12]] * IF($E$2="Deployment",deployment_raw[[#This Row],[Column5]],1)*(1+$V$2)),"")</f>
        <v/>
      </c>
      <c r="W403" s="14" t="str">
        <f>IF(ISNUMBER(deployment_raw[[#This Row],[Column13]]), (deployment_raw[[#This Row],[Column13]] * IF($E$2="Deployment",deployment_raw[[#This Row],[Column5]],1)*(1+$W$2))/1048576,"")</f>
        <v/>
      </c>
    </row>
    <row r="404" spans="1:23" ht="15.75" customHeight="1" x14ac:dyDescent="0.25">
      <c r="A404" s="5" t="str">
        <f>IF(ISNONTEXT(deployment_raw[[#This Row],[Column1]]), "", deployment_raw[[#This Row],[Column1]])</f>
        <v/>
      </c>
      <c r="B404" s="6" t="str">
        <f>IF(ISNONTEXT(deployment_raw[[#This Row],[Column2]]), "", deployment_raw[[#This Row],[Column2]])</f>
        <v/>
      </c>
      <c r="C404" s="6" t="str">
        <f>IF(ISNONTEXT(deployment_raw[[#This Row],[Column3]]), "", deployment_raw[[#This Row],[Column3]])</f>
        <v/>
      </c>
      <c r="D404" s="6" t="str">
        <f>IF(ISNONTEXT(deployment_raw[[#This Row],[Column4]]), "", deployment_raw[[#This Row],[Column4]])</f>
        <v/>
      </c>
      <c r="E404" s="7" t="str">
        <f>IF(ISNUMBER(deployment_raw[[#This Row],[Column5]]), deployment_raw[[#This Row],[Column5]],"")</f>
        <v/>
      </c>
      <c r="F404" s="32" t="str">
        <f>IF(ISNUMBER(deployment_raw[[#This Row],[Column17]]), deployment_raw[[#This Row],[Column17]]/IF(OR($E$2="Deployment",deployment_raw[[#This Row],[Column5]]=0),1,deployment_raw[[#This Row],[Column5]]),"")</f>
        <v/>
      </c>
      <c r="G404" s="42" t="str">
        <f>IF(ISNUMBER(deployment_raw[[#This Row],[Column14]]), deployment_raw[[#This Row],[Column14]]/IF(OR($E$2="Deployment",deployment_raw[[#This Row],[Column5]]=0),1,deployment_raw[[#This Row],[Column5]]),"")</f>
        <v/>
      </c>
      <c r="H404" s="79" t="str">
        <f>IF(ISNUMBER(deployment_raw[[#This Row],[Column19]]), IF(I404&lt;&gt;0,(deployment_raw[[#This Row],[Column19]]/IF(OR($E$2="Deployment",deployment_raw[[#This Row],[Column5]]=0),1,deployment_raw[[#This Row],[Column5]]))/I404,0),"")</f>
        <v/>
      </c>
      <c r="I404" s="69" t="str">
        <f>IF(ISNUMBER(deployment_raw[[#This Row],[Column6]]), (deployment_raw[[#This Row],[Column6]] * IF($E$2="Deployment",deployment_raw[[#This Row],[Column5]],1)),"")</f>
        <v/>
      </c>
      <c r="J404" s="79" t="str">
        <f>IF(ISNUMBER(deployment_raw[[#This Row],[Column19]]), IF(K404&lt;&gt;0,(deployment_raw[[#This Row],[Column19]]/IF(OR($E$2="Deployment",deployment_raw[[#This Row],[Column5]]=0),1,deployment_raw[[#This Row],[Column5]]))/K404,0),"")</f>
        <v/>
      </c>
      <c r="K404" s="72" t="str">
        <f>IF(ISNUMBER(deployment_raw[[#This Row],[Column8]]), (deployment_raw[[#This Row],[Column8]]  * IF($E$2="Deployment",deployment_raw[[#This Row],[Column5]],1)),"")</f>
        <v/>
      </c>
      <c r="L40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0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04" s="81" t="str">
        <f>IF(ISNUMBER(deployment_raw[[#This Row],[Column20]]), IF(O404&lt;&gt;0,deployment_raw[[#This Row],[Column20]]/IF(OR($E$2="Deployment",deployment_raw[[#This Row],[Column5]]=0),1,deployment_raw[[#This Row],[Column5]])/1048576/O404,0),"")</f>
        <v/>
      </c>
      <c r="O404" s="74" t="str">
        <f>IF(ISNUMBER(deployment_raw[[#This Row],[Column7]]), (deployment_raw[[#This Row],[Column7]] * IF($E$2="Deployment",deployment_raw[[#This Row],[Column5]],1))/1048576,"")</f>
        <v/>
      </c>
      <c r="P404" s="81" t="str">
        <f>IF(ISNUMBER(deployment_raw[[#This Row],[Column20]]), IF(Q404&lt;&gt;0,deployment_raw[[#This Row],[Column20]]/IF(OR($E$2="Deployment",deployment_raw[[#This Row],[Column5]]=0),1,deployment_raw[[#This Row],[Column5]])/1048576/Q404,0),"")</f>
        <v/>
      </c>
      <c r="Q404" s="76" t="str">
        <f>IF(ISNUMBER(deployment_raw[[#This Row],[Column9]]), (deployment_raw[[#This Row],[Column9]] * IF($E$2="Deployment",deployment_raw[[#This Row],[Column5]],1))/1048576,"")</f>
        <v/>
      </c>
      <c r="R404" s="57" t="str">
        <f>IF(ISNUMBER(deployment_raw[[#This Row],[Column10]]), (deployment_raw[[#This Row],[Column10]] * IF($E$2="Deployment",deployment_raw[[#This Row],[Column5]],1)),"")</f>
        <v/>
      </c>
      <c r="S404" s="48" t="str">
        <f>IF(ISNUMBER(deployment_raw[[#This Row],[Column11]]), (deployment_raw[[#This Row],[Column11]] * IF($E$2="Deployment",deployment_raw[[#This Row],[Column5]],1))/1048576,"")</f>
        <v/>
      </c>
      <c r="T404" s="59" t="str">
        <f>IF(ISNUMBER(deployment_raw[[#This Row],[Column8]]),IF(OR(deployment_raw[[#This Row],[Column5]] &lt;&gt; 0,$E$2 &lt;&gt; "Deployment"), MAX(V404, ($T$2 * IF($E$2="Deployment",deployment_raw[[#This Row],[Column5]],1))), 0),"")</f>
        <v/>
      </c>
      <c r="U404" s="50" t="str">
        <f>IF(ISNUMBER(deployment_raw[[#This Row],[Column9]]),IF(OR(deployment_raw[[#This Row],[Column5]] &lt;&gt; 0,$E$2&lt;&gt;"Deployment"), MAX(W404, ($U$2 * IF($E$2="Deployment",deployment_raw[[#This Row],[Column5]],1))), 0),"")</f>
        <v/>
      </c>
      <c r="V404" s="15" t="str">
        <f>IF(ISNUMBER(deployment_raw[[#This Row],[Column12]]), (deployment_raw[[#This Row],[Column12]] * IF($E$2="Deployment",deployment_raw[[#This Row],[Column5]],1)*(1+$V$2)),"")</f>
        <v/>
      </c>
      <c r="W404" s="14" t="str">
        <f>IF(ISNUMBER(deployment_raw[[#This Row],[Column13]]), (deployment_raw[[#This Row],[Column13]] * IF($E$2="Deployment",deployment_raw[[#This Row],[Column5]],1)*(1+$W$2))/1048576,"")</f>
        <v/>
      </c>
    </row>
    <row r="405" spans="1:23" ht="15.75" customHeight="1" x14ac:dyDescent="0.25">
      <c r="A405" s="5" t="str">
        <f>IF(ISNONTEXT(deployment_raw[[#This Row],[Column1]]), "", deployment_raw[[#This Row],[Column1]])</f>
        <v/>
      </c>
      <c r="B405" s="6" t="str">
        <f>IF(ISNONTEXT(deployment_raw[[#This Row],[Column2]]), "", deployment_raw[[#This Row],[Column2]])</f>
        <v/>
      </c>
      <c r="C405" s="6" t="str">
        <f>IF(ISNONTEXT(deployment_raw[[#This Row],[Column3]]), "", deployment_raw[[#This Row],[Column3]])</f>
        <v/>
      </c>
      <c r="D405" s="6" t="str">
        <f>IF(ISNONTEXT(deployment_raw[[#This Row],[Column4]]), "", deployment_raw[[#This Row],[Column4]])</f>
        <v/>
      </c>
      <c r="E405" s="7" t="str">
        <f>IF(ISNUMBER(deployment_raw[[#This Row],[Column5]]), deployment_raw[[#This Row],[Column5]],"")</f>
        <v/>
      </c>
      <c r="F405" s="32" t="str">
        <f>IF(ISNUMBER(deployment_raw[[#This Row],[Column17]]), deployment_raw[[#This Row],[Column17]]/IF(OR($E$2="Deployment",deployment_raw[[#This Row],[Column5]]=0),1,deployment_raw[[#This Row],[Column5]]),"")</f>
        <v/>
      </c>
      <c r="G405" s="42" t="str">
        <f>IF(ISNUMBER(deployment_raw[[#This Row],[Column14]]), deployment_raw[[#This Row],[Column14]]/IF(OR($E$2="Deployment",deployment_raw[[#This Row],[Column5]]=0),1,deployment_raw[[#This Row],[Column5]]),"")</f>
        <v/>
      </c>
      <c r="H405" s="79" t="str">
        <f>IF(ISNUMBER(deployment_raw[[#This Row],[Column19]]), IF(I405&lt;&gt;0,(deployment_raw[[#This Row],[Column19]]/IF(OR($E$2="Deployment",deployment_raw[[#This Row],[Column5]]=0),1,deployment_raw[[#This Row],[Column5]]))/I405,0),"")</f>
        <v/>
      </c>
      <c r="I405" s="69" t="str">
        <f>IF(ISNUMBER(deployment_raw[[#This Row],[Column6]]), (deployment_raw[[#This Row],[Column6]] * IF($E$2="Deployment",deployment_raw[[#This Row],[Column5]],1)),"")</f>
        <v/>
      </c>
      <c r="J405" s="79" t="str">
        <f>IF(ISNUMBER(deployment_raw[[#This Row],[Column19]]), IF(K405&lt;&gt;0,(deployment_raw[[#This Row],[Column19]]/IF(OR($E$2="Deployment",deployment_raw[[#This Row],[Column5]]=0),1,deployment_raw[[#This Row],[Column5]]))/K405,0),"")</f>
        <v/>
      </c>
      <c r="K405" s="72" t="str">
        <f>IF(ISNUMBER(deployment_raw[[#This Row],[Column8]]), (deployment_raw[[#This Row],[Column8]]  * IF($E$2="Deployment",deployment_raw[[#This Row],[Column5]],1)),"")</f>
        <v/>
      </c>
      <c r="L40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0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05" s="81" t="str">
        <f>IF(ISNUMBER(deployment_raw[[#This Row],[Column20]]), IF(O405&lt;&gt;0,deployment_raw[[#This Row],[Column20]]/IF(OR($E$2="Deployment",deployment_raw[[#This Row],[Column5]]=0),1,deployment_raw[[#This Row],[Column5]])/1048576/O405,0),"")</f>
        <v/>
      </c>
      <c r="O405" s="74" t="str">
        <f>IF(ISNUMBER(deployment_raw[[#This Row],[Column7]]), (deployment_raw[[#This Row],[Column7]] * IF($E$2="Deployment",deployment_raw[[#This Row],[Column5]],1))/1048576,"")</f>
        <v/>
      </c>
      <c r="P405" s="81" t="str">
        <f>IF(ISNUMBER(deployment_raw[[#This Row],[Column20]]), IF(Q405&lt;&gt;0,deployment_raw[[#This Row],[Column20]]/IF(OR($E$2="Deployment",deployment_raw[[#This Row],[Column5]]=0),1,deployment_raw[[#This Row],[Column5]])/1048576/Q405,0),"")</f>
        <v/>
      </c>
      <c r="Q405" s="76" t="str">
        <f>IF(ISNUMBER(deployment_raw[[#This Row],[Column9]]), (deployment_raw[[#This Row],[Column9]] * IF($E$2="Deployment",deployment_raw[[#This Row],[Column5]],1))/1048576,"")</f>
        <v/>
      </c>
      <c r="R405" s="57" t="str">
        <f>IF(ISNUMBER(deployment_raw[[#This Row],[Column10]]), (deployment_raw[[#This Row],[Column10]] * IF($E$2="Deployment",deployment_raw[[#This Row],[Column5]],1)),"")</f>
        <v/>
      </c>
      <c r="S405" s="48" t="str">
        <f>IF(ISNUMBER(deployment_raw[[#This Row],[Column11]]), (deployment_raw[[#This Row],[Column11]] * IF($E$2="Deployment",deployment_raw[[#This Row],[Column5]],1))/1048576,"")</f>
        <v/>
      </c>
      <c r="T405" s="59" t="str">
        <f>IF(ISNUMBER(deployment_raw[[#This Row],[Column8]]),IF(OR(deployment_raw[[#This Row],[Column5]] &lt;&gt; 0,$E$2 &lt;&gt; "Deployment"), MAX(V405, ($T$2 * IF($E$2="Deployment",deployment_raw[[#This Row],[Column5]],1))), 0),"")</f>
        <v/>
      </c>
      <c r="U405" s="50" t="str">
        <f>IF(ISNUMBER(deployment_raw[[#This Row],[Column9]]),IF(OR(deployment_raw[[#This Row],[Column5]] &lt;&gt; 0,$E$2&lt;&gt;"Deployment"), MAX(W405, ($U$2 * IF($E$2="Deployment",deployment_raw[[#This Row],[Column5]],1))), 0),"")</f>
        <v/>
      </c>
      <c r="V405" s="15" t="str">
        <f>IF(ISNUMBER(deployment_raw[[#This Row],[Column12]]), (deployment_raw[[#This Row],[Column12]] * IF($E$2="Deployment",deployment_raw[[#This Row],[Column5]],1)*(1+$V$2)),"")</f>
        <v/>
      </c>
      <c r="W405" s="14" t="str">
        <f>IF(ISNUMBER(deployment_raw[[#This Row],[Column13]]), (deployment_raw[[#This Row],[Column13]] * IF($E$2="Deployment",deployment_raw[[#This Row],[Column5]],1)*(1+$W$2))/1048576,"")</f>
        <v/>
      </c>
    </row>
    <row r="406" spans="1:23" ht="15.75" customHeight="1" x14ac:dyDescent="0.25">
      <c r="A406" s="5" t="str">
        <f>IF(ISNONTEXT(deployment_raw[[#This Row],[Column1]]), "", deployment_raw[[#This Row],[Column1]])</f>
        <v/>
      </c>
      <c r="B406" s="6" t="str">
        <f>IF(ISNONTEXT(deployment_raw[[#This Row],[Column2]]), "", deployment_raw[[#This Row],[Column2]])</f>
        <v/>
      </c>
      <c r="C406" s="6" t="str">
        <f>IF(ISNONTEXT(deployment_raw[[#This Row],[Column3]]), "", deployment_raw[[#This Row],[Column3]])</f>
        <v/>
      </c>
      <c r="D406" s="6" t="str">
        <f>IF(ISNONTEXT(deployment_raw[[#This Row],[Column4]]), "", deployment_raw[[#This Row],[Column4]])</f>
        <v/>
      </c>
      <c r="E406" s="7" t="str">
        <f>IF(ISNUMBER(deployment_raw[[#This Row],[Column5]]), deployment_raw[[#This Row],[Column5]],"")</f>
        <v/>
      </c>
      <c r="F406" s="32" t="str">
        <f>IF(ISNUMBER(deployment_raw[[#This Row],[Column17]]), deployment_raw[[#This Row],[Column17]]/IF(OR($E$2="Deployment",deployment_raw[[#This Row],[Column5]]=0),1,deployment_raw[[#This Row],[Column5]]),"")</f>
        <v/>
      </c>
      <c r="G406" s="42" t="str">
        <f>IF(ISNUMBER(deployment_raw[[#This Row],[Column14]]), deployment_raw[[#This Row],[Column14]]/IF(OR($E$2="Deployment",deployment_raw[[#This Row],[Column5]]=0),1,deployment_raw[[#This Row],[Column5]]),"")</f>
        <v/>
      </c>
      <c r="H406" s="79" t="str">
        <f>IF(ISNUMBER(deployment_raw[[#This Row],[Column19]]), IF(I406&lt;&gt;0,(deployment_raw[[#This Row],[Column19]]/IF(OR($E$2="Deployment",deployment_raw[[#This Row],[Column5]]=0),1,deployment_raw[[#This Row],[Column5]]))/I406,0),"")</f>
        <v/>
      </c>
      <c r="I406" s="69" t="str">
        <f>IF(ISNUMBER(deployment_raw[[#This Row],[Column6]]), (deployment_raw[[#This Row],[Column6]] * IF($E$2="Deployment",deployment_raw[[#This Row],[Column5]],1)),"")</f>
        <v/>
      </c>
      <c r="J406" s="79" t="str">
        <f>IF(ISNUMBER(deployment_raw[[#This Row],[Column19]]), IF(K406&lt;&gt;0,(deployment_raw[[#This Row],[Column19]]/IF(OR($E$2="Deployment",deployment_raw[[#This Row],[Column5]]=0),1,deployment_raw[[#This Row],[Column5]]))/K406,0),"")</f>
        <v/>
      </c>
      <c r="K406" s="72" t="str">
        <f>IF(ISNUMBER(deployment_raw[[#This Row],[Column8]]), (deployment_raw[[#This Row],[Column8]]  * IF($E$2="Deployment",deployment_raw[[#This Row],[Column5]],1)),"")</f>
        <v/>
      </c>
      <c r="L40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0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06" s="81" t="str">
        <f>IF(ISNUMBER(deployment_raw[[#This Row],[Column20]]), IF(O406&lt;&gt;0,deployment_raw[[#This Row],[Column20]]/IF(OR($E$2="Deployment",deployment_raw[[#This Row],[Column5]]=0),1,deployment_raw[[#This Row],[Column5]])/1048576/O406,0),"")</f>
        <v/>
      </c>
      <c r="O406" s="74" t="str">
        <f>IF(ISNUMBER(deployment_raw[[#This Row],[Column7]]), (deployment_raw[[#This Row],[Column7]] * IF($E$2="Deployment",deployment_raw[[#This Row],[Column5]],1))/1048576,"")</f>
        <v/>
      </c>
      <c r="P406" s="81" t="str">
        <f>IF(ISNUMBER(deployment_raw[[#This Row],[Column20]]), IF(Q406&lt;&gt;0,deployment_raw[[#This Row],[Column20]]/IF(OR($E$2="Deployment",deployment_raw[[#This Row],[Column5]]=0),1,deployment_raw[[#This Row],[Column5]])/1048576/Q406,0),"")</f>
        <v/>
      </c>
      <c r="Q406" s="76" t="str">
        <f>IF(ISNUMBER(deployment_raw[[#This Row],[Column9]]), (deployment_raw[[#This Row],[Column9]] * IF($E$2="Deployment",deployment_raw[[#This Row],[Column5]],1))/1048576,"")</f>
        <v/>
      </c>
      <c r="R406" s="57" t="str">
        <f>IF(ISNUMBER(deployment_raw[[#This Row],[Column10]]), (deployment_raw[[#This Row],[Column10]] * IF($E$2="Deployment",deployment_raw[[#This Row],[Column5]],1)),"")</f>
        <v/>
      </c>
      <c r="S406" s="48" t="str">
        <f>IF(ISNUMBER(deployment_raw[[#This Row],[Column11]]), (deployment_raw[[#This Row],[Column11]] * IF($E$2="Deployment",deployment_raw[[#This Row],[Column5]],1))/1048576,"")</f>
        <v/>
      </c>
      <c r="T406" s="59" t="str">
        <f>IF(ISNUMBER(deployment_raw[[#This Row],[Column8]]),IF(OR(deployment_raw[[#This Row],[Column5]] &lt;&gt; 0,$E$2 &lt;&gt; "Deployment"), MAX(V406, ($T$2 * IF($E$2="Deployment",deployment_raw[[#This Row],[Column5]],1))), 0),"")</f>
        <v/>
      </c>
      <c r="U406" s="50" t="str">
        <f>IF(ISNUMBER(deployment_raw[[#This Row],[Column9]]),IF(OR(deployment_raw[[#This Row],[Column5]] &lt;&gt; 0,$E$2&lt;&gt;"Deployment"), MAX(W406, ($U$2 * IF($E$2="Deployment",deployment_raw[[#This Row],[Column5]],1))), 0),"")</f>
        <v/>
      </c>
      <c r="V406" s="15" t="str">
        <f>IF(ISNUMBER(deployment_raw[[#This Row],[Column12]]), (deployment_raw[[#This Row],[Column12]] * IF($E$2="Deployment",deployment_raw[[#This Row],[Column5]],1)*(1+$V$2)),"")</f>
        <v/>
      </c>
      <c r="W406" s="14" t="str">
        <f>IF(ISNUMBER(deployment_raw[[#This Row],[Column13]]), (deployment_raw[[#This Row],[Column13]] * IF($E$2="Deployment",deployment_raw[[#This Row],[Column5]],1)*(1+$W$2))/1048576,"")</f>
        <v/>
      </c>
    </row>
    <row r="407" spans="1:23" ht="15.75" customHeight="1" x14ac:dyDescent="0.25">
      <c r="A407" s="5" t="str">
        <f>IF(ISNONTEXT(deployment_raw[[#This Row],[Column1]]), "", deployment_raw[[#This Row],[Column1]])</f>
        <v/>
      </c>
      <c r="B407" s="6" t="str">
        <f>IF(ISNONTEXT(deployment_raw[[#This Row],[Column2]]), "", deployment_raw[[#This Row],[Column2]])</f>
        <v/>
      </c>
      <c r="C407" s="6" t="str">
        <f>IF(ISNONTEXT(deployment_raw[[#This Row],[Column3]]), "", deployment_raw[[#This Row],[Column3]])</f>
        <v/>
      </c>
      <c r="D407" s="6" t="str">
        <f>IF(ISNONTEXT(deployment_raw[[#This Row],[Column4]]), "", deployment_raw[[#This Row],[Column4]])</f>
        <v/>
      </c>
      <c r="E407" s="7" t="str">
        <f>IF(ISNUMBER(deployment_raw[[#This Row],[Column5]]), deployment_raw[[#This Row],[Column5]],"")</f>
        <v/>
      </c>
      <c r="F407" s="32" t="str">
        <f>IF(ISNUMBER(deployment_raw[[#This Row],[Column17]]), deployment_raw[[#This Row],[Column17]]/IF(OR($E$2="Deployment",deployment_raw[[#This Row],[Column5]]=0),1,deployment_raw[[#This Row],[Column5]]),"")</f>
        <v/>
      </c>
      <c r="G407" s="42" t="str">
        <f>IF(ISNUMBER(deployment_raw[[#This Row],[Column14]]), deployment_raw[[#This Row],[Column14]]/IF(OR($E$2="Deployment",deployment_raw[[#This Row],[Column5]]=0),1,deployment_raw[[#This Row],[Column5]]),"")</f>
        <v/>
      </c>
      <c r="H407" s="79" t="str">
        <f>IF(ISNUMBER(deployment_raw[[#This Row],[Column19]]), IF(I407&lt;&gt;0,(deployment_raw[[#This Row],[Column19]]/IF(OR($E$2="Deployment",deployment_raw[[#This Row],[Column5]]=0),1,deployment_raw[[#This Row],[Column5]]))/I407,0),"")</f>
        <v/>
      </c>
      <c r="I407" s="69" t="str">
        <f>IF(ISNUMBER(deployment_raw[[#This Row],[Column6]]), (deployment_raw[[#This Row],[Column6]] * IF($E$2="Deployment",deployment_raw[[#This Row],[Column5]],1)),"")</f>
        <v/>
      </c>
      <c r="J407" s="79" t="str">
        <f>IF(ISNUMBER(deployment_raw[[#This Row],[Column19]]), IF(K407&lt;&gt;0,(deployment_raw[[#This Row],[Column19]]/IF(OR($E$2="Deployment",deployment_raw[[#This Row],[Column5]]=0),1,deployment_raw[[#This Row],[Column5]]))/K407,0),"")</f>
        <v/>
      </c>
      <c r="K407" s="72" t="str">
        <f>IF(ISNUMBER(deployment_raw[[#This Row],[Column8]]), (deployment_raw[[#This Row],[Column8]]  * IF($E$2="Deployment",deployment_raw[[#This Row],[Column5]],1)),"")</f>
        <v/>
      </c>
      <c r="L40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0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07" s="81" t="str">
        <f>IF(ISNUMBER(deployment_raw[[#This Row],[Column20]]), IF(O407&lt;&gt;0,deployment_raw[[#This Row],[Column20]]/IF(OR($E$2="Deployment",deployment_raw[[#This Row],[Column5]]=0),1,deployment_raw[[#This Row],[Column5]])/1048576/O407,0),"")</f>
        <v/>
      </c>
      <c r="O407" s="74" t="str">
        <f>IF(ISNUMBER(deployment_raw[[#This Row],[Column7]]), (deployment_raw[[#This Row],[Column7]] * IF($E$2="Deployment",deployment_raw[[#This Row],[Column5]],1))/1048576,"")</f>
        <v/>
      </c>
      <c r="P407" s="81" t="str">
        <f>IF(ISNUMBER(deployment_raw[[#This Row],[Column20]]), IF(Q407&lt;&gt;0,deployment_raw[[#This Row],[Column20]]/IF(OR($E$2="Deployment",deployment_raw[[#This Row],[Column5]]=0),1,deployment_raw[[#This Row],[Column5]])/1048576/Q407,0),"")</f>
        <v/>
      </c>
      <c r="Q407" s="76" t="str">
        <f>IF(ISNUMBER(deployment_raw[[#This Row],[Column9]]), (deployment_raw[[#This Row],[Column9]] * IF($E$2="Deployment",deployment_raw[[#This Row],[Column5]],1))/1048576,"")</f>
        <v/>
      </c>
      <c r="R407" s="57" t="str">
        <f>IF(ISNUMBER(deployment_raw[[#This Row],[Column10]]), (deployment_raw[[#This Row],[Column10]] * IF($E$2="Deployment",deployment_raw[[#This Row],[Column5]],1)),"")</f>
        <v/>
      </c>
      <c r="S407" s="48" t="str">
        <f>IF(ISNUMBER(deployment_raw[[#This Row],[Column11]]), (deployment_raw[[#This Row],[Column11]] * IF($E$2="Deployment",deployment_raw[[#This Row],[Column5]],1))/1048576,"")</f>
        <v/>
      </c>
      <c r="T407" s="59" t="str">
        <f>IF(ISNUMBER(deployment_raw[[#This Row],[Column8]]),IF(OR(deployment_raw[[#This Row],[Column5]] &lt;&gt; 0,$E$2 &lt;&gt; "Deployment"), MAX(V407, ($T$2 * IF($E$2="Deployment",deployment_raw[[#This Row],[Column5]],1))), 0),"")</f>
        <v/>
      </c>
      <c r="U407" s="50" t="str">
        <f>IF(ISNUMBER(deployment_raw[[#This Row],[Column9]]),IF(OR(deployment_raw[[#This Row],[Column5]] &lt;&gt; 0,$E$2&lt;&gt;"Deployment"), MAX(W407, ($U$2 * IF($E$2="Deployment",deployment_raw[[#This Row],[Column5]],1))), 0),"")</f>
        <v/>
      </c>
      <c r="V407" s="15" t="str">
        <f>IF(ISNUMBER(deployment_raw[[#This Row],[Column12]]), (deployment_raw[[#This Row],[Column12]] * IF($E$2="Deployment",deployment_raw[[#This Row],[Column5]],1)*(1+$V$2)),"")</f>
        <v/>
      </c>
      <c r="W407" s="14" t="str">
        <f>IF(ISNUMBER(deployment_raw[[#This Row],[Column13]]), (deployment_raw[[#This Row],[Column13]] * IF($E$2="Deployment",deployment_raw[[#This Row],[Column5]],1)*(1+$W$2))/1048576,"")</f>
        <v/>
      </c>
    </row>
    <row r="408" spans="1:23" ht="15.75" customHeight="1" x14ac:dyDescent="0.25">
      <c r="A408" s="5" t="str">
        <f>IF(ISNONTEXT(deployment_raw[[#This Row],[Column1]]), "", deployment_raw[[#This Row],[Column1]])</f>
        <v/>
      </c>
      <c r="B408" s="6" t="str">
        <f>IF(ISNONTEXT(deployment_raw[[#This Row],[Column2]]), "", deployment_raw[[#This Row],[Column2]])</f>
        <v/>
      </c>
      <c r="C408" s="6" t="str">
        <f>IF(ISNONTEXT(deployment_raw[[#This Row],[Column3]]), "", deployment_raw[[#This Row],[Column3]])</f>
        <v/>
      </c>
      <c r="D408" s="6" t="str">
        <f>IF(ISNONTEXT(deployment_raw[[#This Row],[Column4]]), "", deployment_raw[[#This Row],[Column4]])</f>
        <v/>
      </c>
      <c r="E408" s="7" t="str">
        <f>IF(ISNUMBER(deployment_raw[[#This Row],[Column5]]), deployment_raw[[#This Row],[Column5]],"")</f>
        <v/>
      </c>
      <c r="F408" s="32" t="str">
        <f>IF(ISNUMBER(deployment_raw[[#This Row],[Column17]]), deployment_raw[[#This Row],[Column17]]/IF(OR($E$2="Deployment",deployment_raw[[#This Row],[Column5]]=0),1,deployment_raw[[#This Row],[Column5]]),"")</f>
        <v/>
      </c>
      <c r="G408" s="42" t="str">
        <f>IF(ISNUMBER(deployment_raw[[#This Row],[Column14]]), deployment_raw[[#This Row],[Column14]]/IF(OR($E$2="Deployment",deployment_raw[[#This Row],[Column5]]=0),1,deployment_raw[[#This Row],[Column5]]),"")</f>
        <v/>
      </c>
      <c r="H408" s="79" t="str">
        <f>IF(ISNUMBER(deployment_raw[[#This Row],[Column19]]), IF(I408&lt;&gt;0,(deployment_raw[[#This Row],[Column19]]/IF(OR($E$2="Deployment",deployment_raw[[#This Row],[Column5]]=0),1,deployment_raw[[#This Row],[Column5]]))/I408,0),"")</f>
        <v/>
      </c>
      <c r="I408" s="69" t="str">
        <f>IF(ISNUMBER(deployment_raw[[#This Row],[Column6]]), (deployment_raw[[#This Row],[Column6]] * IF($E$2="Deployment",deployment_raw[[#This Row],[Column5]],1)),"")</f>
        <v/>
      </c>
      <c r="J408" s="79" t="str">
        <f>IF(ISNUMBER(deployment_raw[[#This Row],[Column19]]), IF(K408&lt;&gt;0,(deployment_raw[[#This Row],[Column19]]/IF(OR($E$2="Deployment",deployment_raw[[#This Row],[Column5]]=0),1,deployment_raw[[#This Row],[Column5]]))/K408,0),"")</f>
        <v/>
      </c>
      <c r="K408" s="72" t="str">
        <f>IF(ISNUMBER(deployment_raw[[#This Row],[Column8]]), (deployment_raw[[#This Row],[Column8]]  * IF($E$2="Deployment",deployment_raw[[#This Row],[Column5]],1)),"")</f>
        <v/>
      </c>
      <c r="L40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0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08" s="81" t="str">
        <f>IF(ISNUMBER(deployment_raw[[#This Row],[Column20]]), IF(O408&lt;&gt;0,deployment_raw[[#This Row],[Column20]]/IF(OR($E$2="Deployment",deployment_raw[[#This Row],[Column5]]=0),1,deployment_raw[[#This Row],[Column5]])/1048576/O408,0),"")</f>
        <v/>
      </c>
      <c r="O408" s="74" t="str">
        <f>IF(ISNUMBER(deployment_raw[[#This Row],[Column7]]), (deployment_raw[[#This Row],[Column7]] * IF($E$2="Deployment",deployment_raw[[#This Row],[Column5]],1))/1048576,"")</f>
        <v/>
      </c>
      <c r="P408" s="81" t="str">
        <f>IF(ISNUMBER(deployment_raw[[#This Row],[Column20]]), IF(Q408&lt;&gt;0,deployment_raw[[#This Row],[Column20]]/IF(OR($E$2="Deployment",deployment_raw[[#This Row],[Column5]]=0),1,deployment_raw[[#This Row],[Column5]])/1048576/Q408,0),"")</f>
        <v/>
      </c>
      <c r="Q408" s="76" t="str">
        <f>IF(ISNUMBER(deployment_raw[[#This Row],[Column9]]), (deployment_raw[[#This Row],[Column9]] * IF($E$2="Deployment",deployment_raw[[#This Row],[Column5]],1))/1048576,"")</f>
        <v/>
      </c>
      <c r="R408" s="57" t="str">
        <f>IF(ISNUMBER(deployment_raw[[#This Row],[Column10]]), (deployment_raw[[#This Row],[Column10]] * IF($E$2="Deployment",deployment_raw[[#This Row],[Column5]],1)),"")</f>
        <v/>
      </c>
      <c r="S408" s="48" t="str">
        <f>IF(ISNUMBER(deployment_raw[[#This Row],[Column11]]), (deployment_raw[[#This Row],[Column11]] * IF($E$2="Deployment",deployment_raw[[#This Row],[Column5]],1))/1048576,"")</f>
        <v/>
      </c>
      <c r="T408" s="59" t="str">
        <f>IF(ISNUMBER(deployment_raw[[#This Row],[Column8]]),IF(OR(deployment_raw[[#This Row],[Column5]] &lt;&gt; 0,$E$2 &lt;&gt; "Deployment"), MAX(V408, ($T$2 * IF($E$2="Deployment",deployment_raw[[#This Row],[Column5]],1))), 0),"")</f>
        <v/>
      </c>
      <c r="U408" s="50" t="str">
        <f>IF(ISNUMBER(deployment_raw[[#This Row],[Column9]]),IF(OR(deployment_raw[[#This Row],[Column5]] &lt;&gt; 0,$E$2&lt;&gt;"Deployment"), MAX(W408, ($U$2 * IF($E$2="Deployment",deployment_raw[[#This Row],[Column5]],1))), 0),"")</f>
        <v/>
      </c>
      <c r="V408" s="15" t="str">
        <f>IF(ISNUMBER(deployment_raw[[#This Row],[Column12]]), (deployment_raw[[#This Row],[Column12]] * IF($E$2="Deployment",deployment_raw[[#This Row],[Column5]],1)*(1+$V$2)),"")</f>
        <v/>
      </c>
      <c r="W408" s="14" t="str">
        <f>IF(ISNUMBER(deployment_raw[[#This Row],[Column13]]), (deployment_raw[[#This Row],[Column13]] * IF($E$2="Deployment",deployment_raw[[#This Row],[Column5]],1)*(1+$W$2))/1048576,"")</f>
        <v/>
      </c>
    </row>
    <row r="409" spans="1:23" ht="15.75" customHeight="1" x14ac:dyDescent="0.25">
      <c r="A409" s="5" t="str">
        <f>IF(ISNONTEXT(deployment_raw[[#This Row],[Column1]]), "", deployment_raw[[#This Row],[Column1]])</f>
        <v/>
      </c>
      <c r="B409" s="6" t="str">
        <f>IF(ISNONTEXT(deployment_raw[[#This Row],[Column2]]), "", deployment_raw[[#This Row],[Column2]])</f>
        <v/>
      </c>
      <c r="C409" s="6" t="str">
        <f>IF(ISNONTEXT(deployment_raw[[#This Row],[Column3]]), "", deployment_raw[[#This Row],[Column3]])</f>
        <v/>
      </c>
      <c r="D409" s="6" t="str">
        <f>IF(ISNONTEXT(deployment_raw[[#This Row],[Column4]]), "", deployment_raw[[#This Row],[Column4]])</f>
        <v/>
      </c>
      <c r="E409" s="7" t="str">
        <f>IF(ISNUMBER(deployment_raw[[#This Row],[Column5]]), deployment_raw[[#This Row],[Column5]],"")</f>
        <v/>
      </c>
      <c r="F409" s="32" t="str">
        <f>IF(ISNUMBER(deployment_raw[[#This Row],[Column17]]), deployment_raw[[#This Row],[Column17]]/IF(OR($E$2="Deployment",deployment_raw[[#This Row],[Column5]]=0),1,deployment_raw[[#This Row],[Column5]]),"")</f>
        <v/>
      </c>
      <c r="G409" s="42" t="str">
        <f>IF(ISNUMBER(deployment_raw[[#This Row],[Column14]]), deployment_raw[[#This Row],[Column14]]/IF(OR($E$2="Deployment",deployment_raw[[#This Row],[Column5]]=0),1,deployment_raw[[#This Row],[Column5]]),"")</f>
        <v/>
      </c>
      <c r="H409" s="79" t="str">
        <f>IF(ISNUMBER(deployment_raw[[#This Row],[Column19]]), IF(I409&lt;&gt;0,(deployment_raw[[#This Row],[Column19]]/IF(OR($E$2="Deployment",deployment_raw[[#This Row],[Column5]]=0),1,deployment_raw[[#This Row],[Column5]]))/I409,0),"")</f>
        <v/>
      </c>
      <c r="I409" s="69" t="str">
        <f>IF(ISNUMBER(deployment_raw[[#This Row],[Column6]]), (deployment_raw[[#This Row],[Column6]] * IF($E$2="Deployment",deployment_raw[[#This Row],[Column5]],1)),"")</f>
        <v/>
      </c>
      <c r="J409" s="79" t="str">
        <f>IF(ISNUMBER(deployment_raw[[#This Row],[Column19]]), IF(K409&lt;&gt;0,(deployment_raw[[#This Row],[Column19]]/IF(OR($E$2="Deployment",deployment_raw[[#This Row],[Column5]]=0),1,deployment_raw[[#This Row],[Column5]]))/K409,0),"")</f>
        <v/>
      </c>
      <c r="K409" s="72" t="str">
        <f>IF(ISNUMBER(deployment_raw[[#This Row],[Column8]]), (deployment_raw[[#This Row],[Column8]]  * IF($E$2="Deployment",deployment_raw[[#This Row],[Column5]],1)),"")</f>
        <v/>
      </c>
      <c r="L40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0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09" s="81" t="str">
        <f>IF(ISNUMBER(deployment_raw[[#This Row],[Column20]]), IF(O409&lt;&gt;0,deployment_raw[[#This Row],[Column20]]/IF(OR($E$2="Deployment",deployment_raw[[#This Row],[Column5]]=0),1,deployment_raw[[#This Row],[Column5]])/1048576/O409,0),"")</f>
        <v/>
      </c>
      <c r="O409" s="74" t="str">
        <f>IF(ISNUMBER(deployment_raw[[#This Row],[Column7]]), (deployment_raw[[#This Row],[Column7]] * IF($E$2="Deployment",deployment_raw[[#This Row],[Column5]],1))/1048576,"")</f>
        <v/>
      </c>
      <c r="P409" s="81" t="str">
        <f>IF(ISNUMBER(deployment_raw[[#This Row],[Column20]]), IF(Q409&lt;&gt;0,deployment_raw[[#This Row],[Column20]]/IF(OR($E$2="Deployment",deployment_raw[[#This Row],[Column5]]=0),1,deployment_raw[[#This Row],[Column5]])/1048576/Q409,0),"")</f>
        <v/>
      </c>
      <c r="Q409" s="76" t="str">
        <f>IF(ISNUMBER(deployment_raw[[#This Row],[Column9]]), (deployment_raw[[#This Row],[Column9]] * IF($E$2="Deployment",deployment_raw[[#This Row],[Column5]],1))/1048576,"")</f>
        <v/>
      </c>
      <c r="R409" s="57" t="str">
        <f>IF(ISNUMBER(deployment_raw[[#This Row],[Column10]]), (deployment_raw[[#This Row],[Column10]] * IF($E$2="Deployment",deployment_raw[[#This Row],[Column5]],1)),"")</f>
        <v/>
      </c>
      <c r="S409" s="48" t="str">
        <f>IF(ISNUMBER(deployment_raw[[#This Row],[Column11]]), (deployment_raw[[#This Row],[Column11]] * IF($E$2="Deployment",deployment_raw[[#This Row],[Column5]],1))/1048576,"")</f>
        <v/>
      </c>
      <c r="T409" s="59" t="str">
        <f>IF(ISNUMBER(deployment_raw[[#This Row],[Column8]]),IF(OR(deployment_raw[[#This Row],[Column5]] &lt;&gt; 0,$E$2 &lt;&gt; "Deployment"), MAX(V409, ($T$2 * IF($E$2="Deployment",deployment_raw[[#This Row],[Column5]],1))), 0),"")</f>
        <v/>
      </c>
      <c r="U409" s="50" t="str">
        <f>IF(ISNUMBER(deployment_raw[[#This Row],[Column9]]),IF(OR(deployment_raw[[#This Row],[Column5]] &lt;&gt; 0,$E$2&lt;&gt;"Deployment"), MAX(W409, ($U$2 * IF($E$2="Deployment",deployment_raw[[#This Row],[Column5]],1))), 0),"")</f>
        <v/>
      </c>
      <c r="V409" s="15" t="str">
        <f>IF(ISNUMBER(deployment_raw[[#This Row],[Column12]]), (deployment_raw[[#This Row],[Column12]] * IF($E$2="Deployment",deployment_raw[[#This Row],[Column5]],1)*(1+$V$2)),"")</f>
        <v/>
      </c>
      <c r="W409" s="14" t="str">
        <f>IF(ISNUMBER(deployment_raw[[#This Row],[Column13]]), (deployment_raw[[#This Row],[Column13]] * IF($E$2="Deployment",deployment_raw[[#This Row],[Column5]],1)*(1+$W$2))/1048576,"")</f>
        <v/>
      </c>
    </row>
    <row r="410" spans="1:23" ht="15.75" customHeight="1" x14ac:dyDescent="0.25">
      <c r="A410" s="5" t="str">
        <f>IF(ISNONTEXT(deployment_raw[[#This Row],[Column1]]), "", deployment_raw[[#This Row],[Column1]])</f>
        <v/>
      </c>
      <c r="B410" s="6" t="str">
        <f>IF(ISNONTEXT(deployment_raw[[#This Row],[Column2]]), "", deployment_raw[[#This Row],[Column2]])</f>
        <v/>
      </c>
      <c r="C410" s="6" t="str">
        <f>IF(ISNONTEXT(deployment_raw[[#This Row],[Column3]]), "", deployment_raw[[#This Row],[Column3]])</f>
        <v/>
      </c>
      <c r="D410" s="6" t="str">
        <f>IF(ISNONTEXT(deployment_raw[[#This Row],[Column4]]), "", deployment_raw[[#This Row],[Column4]])</f>
        <v/>
      </c>
      <c r="E410" s="7" t="str">
        <f>IF(ISNUMBER(deployment_raw[[#This Row],[Column5]]), deployment_raw[[#This Row],[Column5]],"")</f>
        <v/>
      </c>
      <c r="F410" s="32" t="str">
        <f>IF(ISNUMBER(deployment_raw[[#This Row],[Column17]]), deployment_raw[[#This Row],[Column17]]/IF(OR($E$2="Deployment",deployment_raw[[#This Row],[Column5]]=0),1,deployment_raw[[#This Row],[Column5]]),"")</f>
        <v/>
      </c>
      <c r="G410" s="42" t="str">
        <f>IF(ISNUMBER(deployment_raw[[#This Row],[Column14]]), deployment_raw[[#This Row],[Column14]]/IF(OR($E$2="Deployment",deployment_raw[[#This Row],[Column5]]=0),1,deployment_raw[[#This Row],[Column5]]),"")</f>
        <v/>
      </c>
      <c r="H410" s="79" t="str">
        <f>IF(ISNUMBER(deployment_raw[[#This Row],[Column19]]), IF(I410&lt;&gt;0,(deployment_raw[[#This Row],[Column19]]/IF(OR($E$2="Deployment",deployment_raw[[#This Row],[Column5]]=0),1,deployment_raw[[#This Row],[Column5]]))/I410,0),"")</f>
        <v/>
      </c>
      <c r="I410" s="69" t="str">
        <f>IF(ISNUMBER(deployment_raw[[#This Row],[Column6]]), (deployment_raw[[#This Row],[Column6]] * IF($E$2="Deployment",deployment_raw[[#This Row],[Column5]],1)),"")</f>
        <v/>
      </c>
      <c r="J410" s="79" t="str">
        <f>IF(ISNUMBER(deployment_raw[[#This Row],[Column19]]), IF(K410&lt;&gt;0,(deployment_raw[[#This Row],[Column19]]/IF(OR($E$2="Deployment",deployment_raw[[#This Row],[Column5]]=0),1,deployment_raw[[#This Row],[Column5]]))/K410,0),"")</f>
        <v/>
      </c>
      <c r="K410" s="72" t="str">
        <f>IF(ISNUMBER(deployment_raw[[#This Row],[Column8]]), (deployment_raw[[#This Row],[Column8]]  * IF($E$2="Deployment",deployment_raw[[#This Row],[Column5]],1)),"")</f>
        <v/>
      </c>
      <c r="L41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1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10" s="81" t="str">
        <f>IF(ISNUMBER(deployment_raw[[#This Row],[Column20]]), IF(O410&lt;&gt;0,deployment_raw[[#This Row],[Column20]]/IF(OR($E$2="Deployment",deployment_raw[[#This Row],[Column5]]=0),1,deployment_raw[[#This Row],[Column5]])/1048576/O410,0),"")</f>
        <v/>
      </c>
      <c r="O410" s="74" t="str">
        <f>IF(ISNUMBER(deployment_raw[[#This Row],[Column7]]), (deployment_raw[[#This Row],[Column7]] * IF($E$2="Deployment",deployment_raw[[#This Row],[Column5]],1))/1048576,"")</f>
        <v/>
      </c>
      <c r="P410" s="81" t="str">
        <f>IF(ISNUMBER(deployment_raw[[#This Row],[Column20]]), IF(Q410&lt;&gt;0,deployment_raw[[#This Row],[Column20]]/IF(OR($E$2="Deployment",deployment_raw[[#This Row],[Column5]]=0),1,deployment_raw[[#This Row],[Column5]])/1048576/Q410,0),"")</f>
        <v/>
      </c>
      <c r="Q410" s="76" t="str">
        <f>IF(ISNUMBER(deployment_raw[[#This Row],[Column9]]), (deployment_raw[[#This Row],[Column9]] * IF($E$2="Deployment",deployment_raw[[#This Row],[Column5]],1))/1048576,"")</f>
        <v/>
      </c>
      <c r="R410" s="57" t="str">
        <f>IF(ISNUMBER(deployment_raw[[#This Row],[Column10]]), (deployment_raw[[#This Row],[Column10]] * IF($E$2="Deployment",deployment_raw[[#This Row],[Column5]],1)),"")</f>
        <v/>
      </c>
      <c r="S410" s="48" t="str">
        <f>IF(ISNUMBER(deployment_raw[[#This Row],[Column11]]), (deployment_raw[[#This Row],[Column11]] * IF($E$2="Deployment",deployment_raw[[#This Row],[Column5]],1))/1048576,"")</f>
        <v/>
      </c>
      <c r="T410" s="59" t="str">
        <f>IF(ISNUMBER(deployment_raw[[#This Row],[Column8]]),IF(OR(deployment_raw[[#This Row],[Column5]] &lt;&gt; 0,$E$2 &lt;&gt; "Deployment"), MAX(V410, ($T$2 * IF($E$2="Deployment",deployment_raw[[#This Row],[Column5]],1))), 0),"")</f>
        <v/>
      </c>
      <c r="U410" s="50" t="str">
        <f>IF(ISNUMBER(deployment_raw[[#This Row],[Column9]]),IF(OR(deployment_raw[[#This Row],[Column5]] &lt;&gt; 0,$E$2&lt;&gt;"Deployment"), MAX(W410, ($U$2 * IF($E$2="Deployment",deployment_raw[[#This Row],[Column5]],1))), 0),"")</f>
        <v/>
      </c>
      <c r="V410" s="15" t="str">
        <f>IF(ISNUMBER(deployment_raw[[#This Row],[Column12]]), (deployment_raw[[#This Row],[Column12]] * IF($E$2="Deployment",deployment_raw[[#This Row],[Column5]],1)*(1+$V$2)),"")</f>
        <v/>
      </c>
      <c r="W410" s="14" t="str">
        <f>IF(ISNUMBER(deployment_raw[[#This Row],[Column13]]), (deployment_raw[[#This Row],[Column13]] * IF($E$2="Deployment",deployment_raw[[#This Row],[Column5]],1)*(1+$W$2))/1048576,"")</f>
        <v/>
      </c>
    </row>
    <row r="411" spans="1:23" ht="15.75" customHeight="1" x14ac:dyDescent="0.25">
      <c r="A411" s="5" t="str">
        <f>IF(ISNONTEXT(deployment_raw[[#This Row],[Column1]]), "", deployment_raw[[#This Row],[Column1]])</f>
        <v/>
      </c>
      <c r="B411" s="6" t="str">
        <f>IF(ISNONTEXT(deployment_raw[[#This Row],[Column2]]), "", deployment_raw[[#This Row],[Column2]])</f>
        <v/>
      </c>
      <c r="C411" s="6" t="str">
        <f>IF(ISNONTEXT(deployment_raw[[#This Row],[Column3]]), "", deployment_raw[[#This Row],[Column3]])</f>
        <v/>
      </c>
      <c r="D411" s="6" t="str">
        <f>IF(ISNONTEXT(deployment_raw[[#This Row],[Column4]]), "", deployment_raw[[#This Row],[Column4]])</f>
        <v/>
      </c>
      <c r="E411" s="7" t="str">
        <f>IF(ISNUMBER(deployment_raw[[#This Row],[Column5]]), deployment_raw[[#This Row],[Column5]],"")</f>
        <v/>
      </c>
      <c r="F411" s="32" t="str">
        <f>IF(ISNUMBER(deployment_raw[[#This Row],[Column17]]), deployment_raw[[#This Row],[Column17]]/IF(OR($E$2="Deployment",deployment_raw[[#This Row],[Column5]]=0),1,deployment_raw[[#This Row],[Column5]]),"")</f>
        <v/>
      </c>
      <c r="G411" s="42" t="str">
        <f>IF(ISNUMBER(deployment_raw[[#This Row],[Column14]]), deployment_raw[[#This Row],[Column14]]/IF(OR($E$2="Deployment",deployment_raw[[#This Row],[Column5]]=0),1,deployment_raw[[#This Row],[Column5]]),"")</f>
        <v/>
      </c>
      <c r="H411" s="79" t="str">
        <f>IF(ISNUMBER(deployment_raw[[#This Row],[Column19]]), IF(I411&lt;&gt;0,(deployment_raw[[#This Row],[Column19]]/IF(OR($E$2="Deployment",deployment_raw[[#This Row],[Column5]]=0),1,deployment_raw[[#This Row],[Column5]]))/I411,0),"")</f>
        <v/>
      </c>
      <c r="I411" s="69" t="str">
        <f>IF(ISNUMBER(deployment_raw[[#This Row],[Column6]]), (deployment_raw[[#This Row],[Column6]] * IF($E$2="Deployment",deployment_raw[[#This Row],[Column5]],1)),"")</f>
        <v/>
      </c>
      <c r="J411" s="79" t="str">
        <f>IF(ISNUMBER(deployment_raw[[#This Row],[Column19]]), IF(K411&lt;&gt;0,(deployment_raw[[#This Row],[Column19]]/IF(OR($E$2="Deployment",deployment_raw[[#This Row],[Column5]]=0),1,deployment_raw[[#This Row],[Column5]]))/K411,0),"")</f>
        <v/>
      </c>
      <c r="K411" s="72" t="str">
        <f>IF(ISNUMBER(deployment_raw[[#This Row],[Column8]]), (deployment_raw[[#This Row],[Column8]]  * IF($E$2="Deployment",deployment_raw[[#This Row],[Column5]],1)),"")</f>
        <v/>
      </c>
      <c r="L41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1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11" s="81" t="str">
        <f>IF(ISNUMBER(deployment_raw[[#This Row],[Column20]]), IF(O411&lt;&gt;0,deployment_raw[[#This Row],[Column20]]/IF(OR($E$2="Deployment",deployment_raw[[#This Row],[Column5]]=0),1,deployment_raw[[#This Row],[Column5]])/1048576/O411,0),"")</f>
        <v/>
      </c>
      <c r="O411" s="74" t="str">
        <f>IF(ISNUMBER(deployment_raw[[#This Row],[Column7]]), (deployment_raw[[#This Row],[Column7]] * IF($E$2="Deployment",deployment_raw[[#This Row],[Column5]],1))/1048576,"")</f>
        <v/>
      </c>
      <c r="P411" s="81" t="str">
        <f>IF(ISNUMBER(deployment_raw[[#This Row],[Column20]]), IF(Q411&lt;&gt;0,deployment_raw[[#This Row],[Column20]]/IF(OR($E$2="Deployment",deployment_raw[[#This Row],[Column5]]=0),1,deployment_raw[[#This Row],[Column5]])/1048576/Q411,0),"")</f>
        <v/>
      </c>
      <c r="Q411" s="76" t="str">
        <f>IF(ISNUMBER(deployment_raw[[#This Row],[Column9]]), (deployment_raw[[#This Row],[Column9]] * IF($E$2="Deployment",deployment_raw[[#This Row],[Column5]],1))/1048576,"")</f>
        <v/>
      </c>
      <c r="R411" s="57" t="str">
        <f>IF(ISNUMBER(deployment_raw[[#This Row],[Column10]]), (deployment_raw[[#This Row],[Column10]] * IF($E$2="Deployment",deployment_raw[[#This Row],[Column5]],1)),"")</f>
        <v/>
      </c>
      <c r="S411" s="48" t="str">
        <f>IF(ISNUMBER(deployment_raw[[#This Row],[Column11]]), (deployment_raw[[#This Row],[Column11]] * IF($E$2="Deployment",deployment_raw[[#This Row],[Column5]],1))/1048576,"")</f>
        <v/>
      </c>
      <c r="T411" s="59" t="str">
        <f>IF(ISNUMBER(deployment_raw[[#This Row],[Column8]]),IF(OR(deployment_raw[[#This Row],[Column5]] &lt;&gt; 0,$E$2 &lt;&gt; "Deployment"), MAX(V411, ($T$2 * IF($E$2="Deployment",deployment_raw[[#This Row],[Column5]],1))), 0),"")</f>
        <v/>
      </c>
      <c r="U411" s="50" t="str">
        <f>IF(ISNUMBER(deployment_raw[[#This Row],[Column9]]),IF(OR(deployment_raw[[#This Row],[Column5]] &lt;&gt; 0,$E$2&lt;&gt;"Deployment"), MAX(W411, ($U$2 * IF($E$2="Deployment",deployment_raw[[#This Row],[Column5]],1))), 0),"")</f>
        <v/>
      </c>
      <c r="V411" s="15" t="str">
        <f>IF(ISNUMBER(deployment_raw[[#This Row],[Column12]]), (deployment_raw[[#This Row],[Column12]] * IF($E$2="Deployment",deployment_raw[[#This Row],[Column5]],1)*(1+$V$2)),"")</f>
        <v/>
      </c>
      <c r="W411" s="14" t="str">
        <f>IF(ISNUMBER(deployment_raw[[#This Row],[Column13]]), (deployment_raw[[#This Row],[Column13]] * IF($E$2="Deployment",deployment_raw[[#This Row],[Column5]],1)*(1+$W$2))/1048576,"")</f>
        <v/>
      </c>
    </row>
    <row r="412" spans="1:23" ht="15.75" customHeight="1" x14ac:dyDescent="0.25">
      <c r="A412" s="5" t="str">
        <f>IF(ISNONTEXT(deployment_raw[[#This Row],[Column1]]), "", deployment_raw[[#This Row],[Column1]])</f>
        <v/>
      </c>
      <c r="B412" s="6" t="str">
        <f>IF(ISNONTEXT(deployment_raw[[#This Row],[Column2]]), "", deployment_raw[[#This Row],[Column2]])</f>
        <v/>
      </c>
      <c r="C412" s="6" t="str">
        <f>IF(ISNONTEXT(deployment_raw[[#This Row],[Column3]]), "", deployment_raw[[#This Row],[Column3]])</f>
        <v/>
      </c>
      <c r="D412" s="6" t="str">
        <f>IF(ISNONTEXT(deployment_raw[[#This Row],[Column4]]), "", deployment_raw[[#This Row],[Column4]])</f>
        <v/>
      </c>
      <c r="E412" s="7" t="str">
        <f>IF(ISNUMBER(deployment_raw[[#This Row],[Column5]]), deployment_raw[[#This Row],[Column5]],"")</f>
        <v/>
      </c>
      <c r="F412" s="32" t="str">
        <f>IF(ISNUMBER(deployment_raw[[#This Row],[Column17]]), deployment_raw[[#This Row],[Column17]]/IF(OR($E$2="Deployment",deployment_raw[[#This Row],[Column5]]=0),1,deployment_raw[[#This Row],[Column5]]),"")</f>
        <v/>
      </c>
      <c r="G412" s="42" t="str">
        <f>IF(ISNUMBER(deployment_raw[[#This Row],[Column14]]), deployment_raw[[#This Row],[Column14]]/IF(OR($E$2="Deployment",deployment_raw[[#This Row],[Column5]]=0),1,deployment_raw[[#This Row],[Column5]]),"")</f>
        <v/>
      </c>
      <c r="H412" s="79" t="str">
        <f>IF(ISNUMBER(deployment_raw[[#This Row],[Column19]]), IF(I412&lt;&gt;0,(deployment_raw[[#This Row],[Column19]]/IF(OR($E$2="Deployment",deployment_raw[[#This Row],[Column5]]=0),1,deployment_raw[[#This Row],[Column5]]))/I412,0),"")</f>
        <v/>
      </c>
      <c r="I412" s="69" t="str">
        <f>IF(ISNUMBER(deployment_raw[[#This Row],[Column6]]), (deployment_raw[[#This Row],[Column6]] * IF($E$2="Deployment",deployment_raw[[#This Row],[Column5]],1)),"")</f>
        <v/>
      </c>
      <c r="J412" s="79" t="str">
        <f>IF(ISNUMBER(deployment_raw[[#This Row],[Column19]]), IF(K412&lt;&gt;0,(deployment_raw[[#This Row],[Column19]]/IF(OR($E$2="Deployment",deployment_raw[[#This Row],[Column5]]=0),1,deployment_raw[[#This Row],[Column5]]))/K412,0),"")</f>
        <v/>
      </c>
      <c r="K412" s="72" t="str">
        <f>IF(ISNUMBER(deployment_raw[[#This Row],[Column8]]), (deployment_raw[[#This Row],[Column8]]  * IF($E$2="Deployment",deployment_raw[[#This Row],[Column5]],1)),"")</f>
        <v/>
      </c>
      <c r="L41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1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12" s="81" t="str">
        <f>IF(ISNUMBER(deployment_raw[[#This Row],[Column20]]), IF(O412&lt;&gt;0,deployment_raw[[#This Row],[Column20]]/IF(OR($E$2="Deployment",deployment_raw[[#This Row],[Column5]]=0),1,deployment_raw[[#This Row],[Column5]])/1048576/O412,0),"")</f>
        <v/>
      </c>
      <c r="O412" s="74" t="str">
        <f>IF(ISNUMBER(deployment_raw[[#This Row],[Column7]]), (deployment_raw[[#This Row],[Column7]] * IF($E$2="Deployment",deployment_raw[[#This Row],[Column5]],1))/1048576,"")</f>
        <v/>
      </c>
      <c r="P412" s="81" t="str">
        <f>IF(ISNUMBER(deployment_raw[[#This Row],[Column20]]), IF(Q412&lt;&gt;0,deployment_raw[[#This Row],[Column20]]/IF(OR($E$2="Deployment",deployment_raw[[#This Row],[Column5]]=0),1,deployment_raw[[#This Row],[Column5]])/1048576/Q412,0),"")</f>
        <v/>
      </c>
      <c r="Q412" s="76" t="str">
        <f>IF(ISNUMBER(deployment_raw[[#This Row],[Column9]]), (deployment_raw[[#This Row],[Column9]] * IF($E$2="Deployment",deployment_raw[[#This Row],[Column5]],1))/1048576,"")</f>
        <v/>
      </c>
      <c r="R412" s="57" t="str">
        <f>IF(ISNUMBER(deployment_raw[[#This Row],[Column10]]), (deployment_raw[[#This Row],[Column10]] * IF($E$2="Deployment",deployment_raw[[#This Row],[Column5]],1)),"")</f>
        <v/>
      </c>
      <c r="S412" s="48" t="str">
        <f>IF(ISNUMBER(deployment_raw[[#This Row],[Column11]]), (deployment_raw[[#This Row],[Column11]] * IF($E$2="Deployment",deployment_raw[[#This Row],[Column5]],1))/1048576,"")</f>
        <v/>
      </c>
      <c r="T412" s="59" t="str">
        <f>IF(ISNUMBER(deployment_raw[[#This Row],[Column8]]),IF(OR(deployment_raw[[#This Row],[Column5]] &lt;&gt; 0,$E$2 &lt;&gt; "Deployment"), MAX(V412, ($T$2 * IF($E$2="Deployment",deployment_raw[[#This Row],[Column5]],1))), 0),"")</f>
        <v/>
      </c>
      <c r="U412" s="50" t="str">
        <f>IF(ISNUMBER(deployment_raw[[#This Row],[Column9]]),IF(OR(deployment_raw[[#This Row],[Column5]] &lt;&gt; 0,$E$2&lt;&gt;"Deployment"), MAX(W412, ($U$2 * IF($E$2="Deployment",deployment_raw[[#This Row],[Column5]],1))), 0),"")</f>
        <v/>
      </c>
      <c r="V412" s="15" t="str">
        <f>IF(ISNUMBER(deployment_raw[[#This Row],[Column12]]), (deployment_raw[[#This Row],[Column12]] * IF($E$2="Deployment",deployment_raw[[#This Row],[Column5]],1)*(1+$V$2)),"")</f>
        <v/>
      </c>
      <c r="W412" s="14" t="str">
        <f>IF(ISNUMBER(deployment_raw[[#This Row],[Column13]]), (deployment_raw[[#This Row],[Column13]] * IF($E$2="Deployment",deployment_raw[[#This Row],[Column5]],1)*(1+$W$2))/1048576,"")</f>
        <v/>
      </c>
    </row>
    <row r="413" spans="1:23" ht="15.75" customHeight="1" x14ac:dyDescent="0.25">
      <c r="A413" s="5" t="str">
        <f>IF(ISNONTEXT(deployment_raw[[#This Row],[Column1]]), "", deployment_raw[[#This Row],[Column1]])</f>
        <v/>
      </c>
      <c r="B413" s="6" t="str">
        <f>IF(ISNONTEXT(deployment_raw[[#This Row],[Column2]]), "", deployment_raw[[#This Row],[Column2]])</f>
        <v/>
      </c>
      <c r="C413" s="6" t="str">
        <f>IF(ISNONTEXT(deployment_raw[[#This Row],[Column3]]), "", deployment_raw[[#This Row],[Column3]])</f>
        <v/>
      </c>
      <c r="D413" s="6" t="str">
        <f>IF(ISNONTEXT(deployment_raw[[#This Row],[Column4]]), "", deployment_raw[[#This Row],[Column4]])</f>
        <v/>
      </c>
      <c r="E413" s="7" t="str">
        <f>IF(ISNUMBER(deployment_raw[[#This Row],[Column5]]), deployment_raw[[#This Row],[Column5]],"")</f>
        <v/>
      </c>
      <c r="F413" s="32" t="str">
        <f>IF(ISNUMBER(deployment_raw[[#This Row],[Column17]]), deployment_raw[[#This Row],[Column17]]/IF(OR($E$2="Deployment",deployment_raw[[#This Row],[Column5]]=0),1,deployment_raw[[#This Row],[Column5]]),"")</f>
        <v/>
      </c>
      <c r="G413" s="42" t="str">
        <f>IF(ISNUMBER(deployment_raw[[#This Row],[Column14]]), deployment_raw[[#This Row],[Column14]]/IF(OR($E$2="Deployment",deployment_raw[[#This Row],[Column5]]=0),1,deployment_raw[[#This Row],[Column5]]),"")</f>
        <v/>
      </c>
      <c r="H413" s="79" t="str">
        <f>IF(ISNUMBER(deployment_raw[[#This Row],[Column19]]), IF(I413&lt;&gt;0,(deployment_raw[[#This Row],[Column19]]/IF(OR($E$2="Deployment",deployment_raw[[#This Row],[Column5]]=0),1,deployment_raw[[#This Row],[Column5]]))/I413,0),"")</f>
        <v/>
      </c>
      <c r="I413" s="69" t="str">
        <f>IF(ISNUMBER(deployment_raw[[#This Row],[Column6]]), (deployment_raw[[#This Row],[Column6]] * IF($E$2="Deployment",deployment_raw[[#This Row],[Column5]],1)),"")</f>
        <v/>
      </c>
      <c r="J413" s="79" t="str">
        <f>IF(ISNUMBER(deployment_raw[[#This Row],[Column19]]), IF(K413&lt;&gt;0,(deployment_raw[[#This Row],[Column19]]/IF(OR($E$2="Deployment",deployment_raw[[#This Row],[Column5]]=0),1,deployment_raw[[#This Row],[Column5]]))/K413,0),"")</f>
        <v/>
      </c>
      <c r="K413" s="72" t="str">
        <f>IF(ISNUMBER(deployment_raw[[#This Row],[Column8]]), (deployment_raw[[#This Row],[Column8]]  * IF($E$2="Deployment",deployment_raw[[#This Row],[Column5]],1)),"")</f>
        <v/>
      </c>
      <c r="L41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1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13" s="81" t="str">
        <f>IF(ISNUMBER(deployment_raw[[#This Row],[Column20]]), IF(O413&lt;&gt;0,deployment_raw[[#This Row],[Column20]]/IF(OR($E$2="Deployment",deployment_raw[[#This Row],[Column5]]=0),1,deployment_raw[[#This Row],[Column5]])/1048576/O413,0),"")</f>
        <v/>
      </c>
      <c r="O413" s="74" t="str">
        <f>IF(ISNUMBER(deployment_raw[[#This Row],[Column7]]), (deployment_raw[[#This Row],[Column7]] * IF($E$2="Deployment",deployment_raw[[#This Row],[Column5]],1))/1048576,"")</f>
        <v/>
      </c>
      <c r="P413" s="81" t="str">
        <f>IF(ISNUMBER(deployment_raw[[#This Row],[Column20]]), IF(Q413&lt;&gt;0,deployment_raw[[#This Row],[Column20]]/IF(OR($E$2="Deployment",deployment_raw[[#This Row],[Column5]]=0),1,deployment_raw[[#This Row],[Column5]])/1048576/Q413,0),"")</f>
        <v/>
      </c>
      <c r="Q413" s="76" t="str">
        <f>IF(ISNUMBER(deployment_raw[[#This Row],[Column9]]), (deployment_raw[[#This Row],[Column9]] * IF($E$2="Deployment",deployment_raw[[#This Row],[Column5]],1))/1048576,"")</f>
        <v/>
      </c>
      <c r="R413" s="57" t="str">
        <f>IF(ISNUMBER(deployment_raw[[#This Row],[Column10]]), (deployment_raw[[#This Row],[Column10]] * IF($E$2="Deployment",deployment_raw[[#This Row],[Column5]],1)),"")</f>
        <v/>
      </c>
      <c r="S413" s="48" t="str">
        <f>IF(ISNUMBER(deployment_raw[[#This Row],[Column11]]), (deployment_raw[[#This Row],[Column11]] * IF($E$2="Deployment",deployment_raw[[#This Row],[Column5]],1))/1048576,"")</f>
        <v/>
      </c>
      <c r="T413" s="59" t="str">
        <f>IF(ISNUMBER(deployment_raw[[#This Row],[Column8]]),IF(OR(deployment_raw[[#This Row],[Column5]] &lt;&gt; 0,$E$2 &lt;&gt; "Deployment"), MAX(V413, ($T$2 * IF($E$2="Deployment",deployment_raw[[#This Row],[Column5]],1))), 0),"")</f>
        <v/>
      </c>
      <c r="U413" s="50" t="str">
        <f>IF(ISNUMBER(deployment_raw[[#This Row],[Column9]]),IF(OR(deployment_raw[[#This Row],[Column5]] &lt;&gt; 0,$E$2&lt;&gt;"Deployment"), MAX(W413, ($U$2 * IF($E$2="Deployment",deployment_raw[[#This Row],[Column5]],1))), 0),"")</f>
        <v/>
      </c>
      <c r="V413" s="15" t="str">
        <f>IF(ISNUMBER(deployment_raw[[#This Row],[Column12]]), (deployment_raw[[#This Row],[Column12]] * IF($E$2="Deployment",deployment_raw[[#This Row],[Column5]],1)*(1+$V$2)),"")</f>
        <v/>
      </c>
      <c r="W413" s="14" t="str">
        <f>IF(ISNUMBER(deployment_raw[[#This Row],[Column13]]), (deployment_raw[[#This Row],[Column13]] * IF($E$2="Deployment",deployment_raw[[#This Row],[Column5]],1)*(1+$W$2))/1048576,"")</f>
        <v/>
      </c>
    </row>
    <row r="414" spans="1:23" ht="15.75" customHeight="1" x14ac:dyDescent="0.25">
      <c r="A414" s="5" t="str">
        <f>IF(ISNONTEXT(deployment_raw[[#This Row],[Column1]]), "", deployment_raw[[#This Row],[Column1]])</f>
        <v/>
      </c>
      <c r="B414" s="6" t="str">
        <f>IF(ISNONTEXT(deployment_raw[[#This Row],[Column2]]), "", deployment_raw[[#This Row],[Column2]])</f>
        <v/>
      </c>
      <c r="C414" s="6" t="str">
        <f>IF(ISNONTEXT(deployment_raw[[#This Row],[Column3]]), "", deployment_raw[[#This Row],[Column3]])</f>
        <v/>
      </c>
      <c r="D414" s="6" t="str">
        <f>IF(ISNONTEXT(deployment_raw[[#This Row],[Column4]]), "", deployment_raw[[#This Row],[Column4]])</f>
        <v/>
      </c>
      <c r="E414" s="7" t="str">
        <f>IF(ISNUMBER(deployment_raw[[#This Row],[Column5]]), deployment_raw[[#This Row],[Column5]],"")</f>
        <v/>
      </c>
      <c r="F414" s="32" t="str">
        <f>IF(ISNUMBER(deployment_raw[[#This Row],[Column17]]), deployment_raw[[#This Row],[Column17]]/IF(OR($E$2="Deployment",deployment_raw[[#This Row],[Column5]]=0),1,deployment_raw[[#This Row],[Column5]]),"")</f>
        <v/>
      </c>
      <c r="G414" s="42" t="str">
        <f>IF(ISNUMBER(deployment_raw[[#This Row],[Column14]]), deployment_raw[[#This Row],[Column14]]/IF(OR($E$2="Deployment",deployment_raw[[#This Row],[Column5]]=0),1,deployment_raw[[#This Row],[Column5]]),"")</f>
        <v/>
      </c>
      <c r="H414" s="79" t="str">
        <f>IF(ISNUMBER(deployment_raw[[#This Row],[Column19]]), IF(I414&lt;&gt;0,(deployment_raw[[#This Row],[Column19]]/IF(OR($E$2="Deployment",deployment_raw[[#This Row],[Column5]]=0),1,deployment_raw[[#This Row],[Column5]]))/I414,0),"")</f>
        <v/>
      </c>
      <c r="I414" s="69" t="str">
        <f>IF(ISNUMBER(deployment_raw[[#This Row],[Column6]]), (deployment_raw[[#This Row],[Column6]] * IF($E$2="Deployment",deployment_raw[[#This Row],[Column5]],1)),"")</f>
        <v/>
      </c>
      <c r="J414" s="79" t="str">
        <f>IF(ISNUMBER(deployment_raw[[#This Row],[Column19]]), IF(K414&lt;&gt;0,(deployment_raw[[#This Row],[Column19]]/IF(OR($E$2="Deployment",deployment_raw[[#This Row],[Column5]]=0),1,deployment_raw[[#This Row],[Column5]]))/K414,0),"")</f>
        <v/>
      </c>
      <c r="K414" s="72" t="str">
        <f>IF(ISNUMBER(deployment_raw[[#This Row],[Column8]]), (deployment_raw[[#This Row],[Column8]]  * IF($E$2="Deployment",deployment_raw[[#This Row],[Column5]],1)),"")</f>
        <v/>
      </c>
      <c r="L41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1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14" s="81" t="str">
        <f>IF(ISNUMBER(deployment_raw[[#This Row],[Column20]]), IF(O414&lt;&gt;0,deployment_raw[[#This Row],[Column20]]/IF(OR($E$2="Deployment",deployment_raw[[#This Row],[Column5]]=0),1,deployment_raw[[#This Row],[Column5]])/1048576/O414,0),"")</f>
        <v/>
      </c>
      <c r="O414" s="74" t="str">
        <f>IF(ISNUMBER(deployment_raw[[#This Row],[Column7]]), (deployment_raw[[#This Row],[Column7]] * IF($E$2="Deployment",deployment_raw[[#This Row],[Column5]],1))/1048576,"")</f>
        <v/>
      </c>
      <c r="P414" s="81" t="str">
        <f>IF(ISNUMBER(deployment_raw[[#This Row],[Column20]]), IF(Q414&lt;&gt;0,deployment_raw[[#This Row],[Column20]]/IF(OR($E$2="Deployment",deployment_raw[[#This Row],[Column5]]=0),1,deployment_raw[[#This Row],[Column5]])/1048576/Q414,0),"")</f>
        <v/>
      </c>
      <c r="Q414" s="76" t="str">
        <f>IF(ISNUMBER(deployment_raw[[#This Row],[Column9]]), (deployment_raw[[#This Row],[Column9]] * IF($E$2="Deployment",deployment_raw[[#This Row],[Column5]],1))/1048576,"")</f>
        <v/>
      </c>
      <c r="R414" s="57" t="str">
        <f>IF(ISNUMBER(deployment_raw[[#This Row],[Column10]]), (deployment_raw[[#This Row],[Column10]] * IF($E$2="Deployment",deployment_raw[[#This Row],[Column5]],1)),"")</f>
        <v/>
      </c>
      <c r="S414" s="48" t="str">
        <f>IF(ISNUMBER(deployment_raw[[#This Row],[Column11]]), (deployment_raw[[#This Row],[Column11]] * IF($E$2="Deployment",deployment_raw[[#This Row],[Column5]],1))/1048576,"")</f>
        <v/>
      </c>
      <c r="T414" s="59" t="str">
        <f>IF(ISNUMBER(deployment_raw[[#This Row],[Column8]]),IF(OR(deployment_raw[[#This Row],[Column5]] &lt;&gt; 0,$E$2 &lt;&gt; "Deployment"), MAX(V414, ($T$2 * IF($E$2="Deployment",deployment_raw[[#This Row],[Column5]],1))), 0),"")</f>
        <v/>
      </c>
      <c r="U414" s="50" t="str">
        <f>IF(ISNUMBER(deployment_raw[[#This Row],[Column9]]),IF(OR(deployment_raw[[#This Row],[Column5]] &lt;&gt; 0,$E$2&lt;&gt;"Deployment"), MAX(W414, ($U$2 * IF($E$2="Deployment",deployment_raw[[#This Row],[Column5]],1))), 0),"")</f>
        <v/>
      </c>
      <c r="V414" s="15" t="str">
        <f>IF(ISNUMBER(deployment_raw[[#This Row],[Column12]]), (deployment_raw[[#This Row],[Column12]] * IF($E$2="Deployment",deployment_raw[[#This Row],[Column5]],1)*(1+$V$2)),"")</f>
        <v/>
      </c>
      <c r="W414" s="14" t="str">
        <f>IF(ISNUMBER(deployment_raw[[#This Row],[Column13]]), (deployment_raw[[#This Row],[Column13]] * IF($E$2="Deployment",deployment_raw[[#This Row],[Column5]],1)*(1+$W$2))/1048576,"")</f>
        <v/>
      </c>
    </row>
    <row r="415" spans="1:23" ht="15.75" customHeight="1" x14ac:dyDescent="0.25">
      <c r="A415" s="5" t="str">
        <f>IF(ISNONTEXT(deployment_raw[[#This Row],[Column1]]), "", deployment_raw[[#This Row],[Column1]])</f>
        <v/>
      </c>
      <c r="B415" s="6" t="str">
        <f>IF(ISNONTEXT(deployment_raw[[#This Row],[Column2]]), "", deployment_raw[[#This Row],[Column2]])</f>
        <v/>
      </c>
      <c r="C415" s="6" t="str">
        <f>IF(ISNONTEXT(deployment_raw[[#This Row],[Column3]]), "", deployment_raw[[#This Row],[Column3]])</f>
        <v/>
      </c>
      <c r="D415" s="6" t="str">
        <f>IF(ISNONTEXT(deployment_raw[[#This Row],[Column4]]), "", deployment_raw[[#This Row],[Column4]])</f>
        <v/>
      </c>
      <c r="E415" s="7" t="str">
        <f>IF(ISNUMBER(deployment_raw[[#This Row],[Column5]]), deployment_raw[[#This Row],[Column5]],"")</f>
        <v/>
      </c>
      <c r="F415" s="32" t="str">
        <f>IF(ISNUMBER(deployment_raw[[#This Row],[Column17]]), deployment_raw[[#This Row],[Column17]]/IF(OR($E$2="Deployment",deployment_raw[[#This Row],[Column5]]=0),1,deployment_raw[[#This Row],[Column5]]),"")</f>
        <v/>
      </c>
      <c r="G415" s="42" t="str">
        <f>IF(ISNUMBER(deployment_raw[[#This Row],[Column14]]), deployment_raw[[#This Row],[Column14]]/IF(OR($E$2="Deployment",deployment_raw[[#This Row],[Column5]]=0),1,deployment_raw[[#This Row],[Column5]]),"")</f>
        <v/>
      </c>
      <c r="H415" s="79" t="str">
        <f>IF(ISNUMBER(deployment_raw[[#This Row],[Column19]]), IF(I415&lt;&gt;0,(deployment_raw[[#This Row],[Column19]]/IF(OR($E$2="Deployment",deployment_raw[[#This Row],[Column5]]=0),1,deployment_raw[[#This Row],[Column5]]))/I415,0),"")</f>
        <v/>
      </c>
      <c r="I415" s="69" t="str">
        <f>IF(ISNUMBER(deployment_raw[[#This Row],[Column6]]), (deployment_raw[[#This Row],[Column6]] * IF($E$2="Deployment",deployment_raw[[#This Row],[Column5]],1)),"")</f>
        <v/>
      </c>
      <c r="J415" s="79" t="str">
        <f>IF(ISNUMBER(deployment_raw[[#This Row],[Column19]]), IF(K415&lt;&gt;0,(deployment_raw[[#This Row],[Column19]]/IF(OR($E$2="Deployment",deployment_raw[[#This Row],[Column5]]=0),1,deployment_raw[[#This Row],[Column5]]))/K415,0),"")</f>
        <v/>
      </c>
      <c r="K415" s="72" t="str">
        <f>IF(ISNUMBER(deployment_raw[[#This Row],[Column8]]), (deployment_raw[[#This Row],[Column8]]  * IF($E$2="Deployment",deployment_raw[[#This Row],[Column5]],1)),"")</f>
        <v/>
      </c>
      <c r="L41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1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15" s="81" t="str">
        <f>IF(ISNUMBER(deployment_raw[[#This Row],[Column20]]), IF(O415&lt;&gt;0,deployment_raw[[#This Row],[Column20]]/IF(OR($E$2="Deployment",deployment_raw[[#This Row],[Column5]]=0),1,deployment_raw[[#This Row],[Column5]])/1048576/O415,0),"")</f>
        <v/>
      </c>
      <c r="O415" s="74" t="str">
        <f>IF(ISNUMBER(deployment_raw[[#This Row],[Column7]]), (deployment_raw[[#This Row],[Column7]] * IF($E$2="Deployment",deployment_raw[[#This Row],[Column5]],1))/1048576,"")</f>
        <v/>
      </c>
      <c r="P415" s="81" t="str">
        <f>IF(ISNUMBER(deployment_raw[[#This Row],[Column20]]), IF(Q415&lt;&gt;0,deployment_raw[[#This Row],[Column20]]/IF(OR($E$2="Deployment",deployment_raw[[#This Row],[Column5]]=0),1,deployment_raw[[#This Row],[Column5]])/1048576/Q415,0),"")</f>
        <v/>
      </c>
      <c r="Q415" s="76" t="str">
        <f>IF(ISNUMBER(deployment_raw[[#This Row],[Column9]]), (deployment_raw[[#This Row],[Column9]] * IF($E$2="Deployment",deployment_raw[[#This Row],[Column5]],1))/1048576,"")</f>
        <v/>
      </c>
      <c r="R415" s="57" t="str">
        <f>IF(ISNUMBER(deployment_raw[[#This Row],[Column10]]), (deployment_raw[[#This Row],[Column10]] * IF($E$2="Deployment",deployment_raw[[#This Row],[Column5]],1)),"")</f>
        <v/>
      </c>
      <c r="S415" s="48" t="str">
        <f>IF(ISNUMBER(deployment_raw[[#This Row],[Column11]]), (deployment_raw[[#This Row],[Column11]] * IF($E$2="Deployment",deployment_raw[[#This Row],[Column5]],1))/1048576,"")</f>
        <v/>
      </c>
      <c r="T415" s="59" t="str">
        <f>IF(ISNUMBER(deployment_raw[[#This Row],[Column8]]),IF(OR(deployment_raw[[#This Row],[Column5]] &lt;&gt; 0,$E$2 &lt;&gt; "Deployment"), MAX(V415, ($T$2 * IF($E$2="Deployment",deployment_raw[[#This Row],[Column5]],1))), 0),"")</f>
        <v/>
      </c>
      <c r="U415" s="50" t="str">
        <f>IF(ISNUMBER(deployment_raw[[#This Row],[Column9]]),IF(OR(deployment_raw[[#This Row],[Column5]] &lt;&gt; 0,$E$2&lt;&gt;"Deployment"), MAX(W415, ($U$2 * IF($E$2="Deployment",deployment_raw[[#This Row],[Column5]],1))), 0),"")</f>
        <v/>
      </c>
      <c r="V415" s="15" t="str">
        <f>IF(ISNUMBER(deployment_raw[[#This Row],[Column12]]), (deployment_raw[[#This Row],[Column12]] * IF($E$2="Deployment",deployment_raw[[#This Row],[Column5]],1)*(1+$V$2)),"")</f>
        <v/>
      </c>
      <c r="W415" s="14" t="str">
        <f>IF(ISNUMBER(deployment_raw[[#This Row],[Column13]]), (deployment_raw[[#This Row],[Column13]] * IF($E$2="Deployment",deployment_raw[[#This Row],[Column5]],1)*(1+$W$2))/1048576,"")</f>
        <v/>
      </c>
    </row>
    <row r="416" spans="1:23" ht="15.75" customHeight="1" x14ac:dyDescent="0.25">
      <c r="A416" s="5" t="str">
        <f>IF(ISNONTEXT(deployment_raw[[#This Row],[Column1]]), "", deployment_raw[[#This Row],[Column1]])</f>
        <v/>
      </c>
      <c r="B416" s="6" t="str">
        <f>IF(ISNONTEXT(deployment_raw[[#This Row],[Column2]]), "", deployment_raw[[#This Row],[Column2]])</f>
        <v/>
      </c>
      <c r="C416" s="6" t="str">
        <f>IF(ISNONTEXT(deployment_raw[[#This Row],[Column3]]), "", deployment_raw[[#This Row],[Column3]])</f>
        <v/>
      </c>
      <c r="D416" s="6" t="str">
        <f>IF(ISNONTEXT(deployment_raw[[#This Row],[Column4]]), "", deployment_raw[[#This Row],[Column4]])</f>
        <v/>
      </c>
      <c r="E416" s="7" t="str">
        <f>IF(ISNUMBER(deployment_raw[[#This Row],[Column5]]), deployment_raw[[#This Row],[Column5]],"")</f>
        <v/>
      </c>
      <c r="F416" s="32" t="str">
        <f>IF(ISNUMBER(deployment_raw[[#This Row],[Column17]]), deployment_raw[[#This Row],[Column17]]/IF(OR($E$2="Deployment",deployment_raw[[#This Row],[Column5]]=0),1,deployment_raw[[#This Row],[Column5]]),"")</f>
        <v/>
      </c>
      <c r="G416" s="42" t="str">
        <f>IF(ISNUMBER(deployment_raw[[#This Row],[Column14]]), deployment_raw[[#This Row],[Column14]]/IF(OR($E$2="Deployment",deployment_raw[[#This Row],[Column5]]=0),1,deployment_raw[[#This Row],[Column5]]),"")</f>
        <v/>
      </c>
      <c r="H416" s="79" t="str">
        <f>IF(ISNUMBER(deployment_raw[[#This Row],[Column19]]), IF(I416&lt;&gt;0,(deployment_raw[[#This Row],[Column19]]/IF(OR($E$2="Deployment",deployment_raw[[#This Row],[Column5]]=0),1,deployment_raw[[#This Row],[Column5]]))/I416,0),"")</f>
        <v/>
      </c>
      <c r="I416" s="69" t="str">
        <f>IF(ISNUMBER(deployment_raw[[#This Row],[Column6]]), (deployment_raw[[#This Row],[Column6]] * IF($E$2="Deployment",deployment_raw[[#This Row],[Column5]],1)),"")</f>
        <v/>
      </c>
      <c r="J416" s="79" t="str">
        <f>IF(ISNUMBER(deployment_raw[[#This Row],[Column19]]), IF(K416&lt;&gt;0,(deployment_raw[[#This Row],[Column19]]/IF(OR($E$2="Deployment",deployment_raw[[#This Row],[Column5]]=0),1,deployment_raw[[#This Row],[Column5]]))/K416,0),"")</f>
        <v/>
      </c>
      <c r="K416" s="72" t="str">
        <f>IF(ISNUMBER(deployment_raw[[#This Row],[Column8]]), (deployment_raw[[#This Row],[Column8]]  * IF($E$2="Deployment",deployment_raw[[#This Row],[Column5]],1)),"")</f>
        <v/>
      </c>
      <c r="L41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1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16" s="81" t="str">
        <f>IF(ISNUMBER(deployment_raw[[#This Row],[Column20]]), IF(O416&lt;&gt;0,deployment_raw[[#This Row],[Column20]]/IF(OR($E$2="Deployment",deployment_raw[[#This Row],[Column5]]=0),1,deployment_raw[[#This Row],[Column5]])/1048576/O416,0),"")</f>
        <v/>
      </c>
      <c r="O416" s="74" t="str">
        <f>IF(ISNUMBER(deployment_raw[[#This Row],[Column7]]), (deployment_raw[[#This Row],[Column7]] * IF($E$2="Deployment",deployment_raw[[#This Row],[Column5]],1))/1048576,"")</f>
        <v/>
      </c>
      <c r="P416" s="81" t="str">
        <f>IF(ISNUMBER(deployment_raw[[#This Row],[Column20]]), IF(Q416&lt;&gt;0,deployment_raw[[#This Row],[Column20]]/IF(OR($E$2="Deployment",deployment_raw[[#This Row],[Column5]]=0),1,deployment_raw[[#This Row],[Column5]])/1048576/Q416,0),"")</f>
        <v/>
      </c>
      <c r="Q416" s="76" t="str">
        <f>IF(ISNUMBER(deployment_raw[[#This Row],[Column9]]), (deployment_raw[[#This Row],[Column9]] * IF($E$2="Deployment",deployment_raw[[#This Row],[Column5]],1))/1048576,"")</f>
        <v/>
      </c>
      <c r="R416" s="57" t="str">
        <f>IF(ISNUMBER(deployment_raw[[#This Row],[Column10]]), (deployment_raw[[#This Row],[Column10]] * IF($E$2="Deployment",deployment_raw[[#This Row],[Column5]],1)),"")</f>
        <v/>
      </c>
      <c r="S416" s="48" t="str">
        <f>IF(ISNUMBER(deployment_raw[[#This Row],[Column11]]), (deployment_raw[[#This Row],[Column11]] * IF($E$2="Deployment",deployment_raw[[#This Row],[Column5]],1))/1048576,"")</f>
        <v/>
      </c>
      <c r="T416" s="59" t="str">
        <f>IF(ISNUMBER(deployment_raw[[#This Row],[Column8]]),IF(OR(deployment_raw[[#This Row],[Column5]] &lt;&gt; 0,$E$2 &lt;&gt; "Deployment"), MAX(V416, ($T$2 * IF($E$2="Deployment",deployment_raw[[#This Row],[Column5]],1))), 0),"")</f>
        <v/>
      </c>
      <c r="U416" s="50" t="str">
        <f>IF(ISNUMBER(deployment_raw[[#This Row],[Column9]]),IF(OR(deployment_raw[[#This Row],[Column5]] &lt;&gt; 0,$E$2&lt;&gt;"Deployment"), MAX(W416, ($U$2 * IF($E$2="Deployment",deployment_raw[[#This Row],[Column5]],1))), 0),"")</f>
        <v/>
      </c>
      <c r="V416" s="15" t="str">
        <f>IF(ISNUMBER(deployment_raw[[#This Row],[Column12]]), (deployment_raw[[#This Row],[Column12]] * IF($E$2="Deployment",deployment_raw[[#This Row],[Column5]],1)*(1+$V$2)),"")</f>
        <v/>
      </c>
      <c r="W416" s="14" t="str">
        <f>IF(ISNUMBER(deployment_raw[[#This Row],[Column13]]), (deployment_raw[[#This Row],[Column13]] * IF($E$2="Deployment",deployment_raw[[#This Row],[Column5]],1)*(1+$W$2))/1048576,"")</f>
        <v/>
      </c>
    </row>
    <row r="417" spans="1:23" ht="15.75" customHeight="1" x14ac:dyDescent="0.25">
      <c r="A417" s="5" t="str">
        <f>IF(ISNONTEXT(deployment_raw[[#This Row],[Column1]]), "", deployment_raw[[#This Row],[Column1]])</f>
        <v/>
      </c>
      <c r="B417" s="6" t="str">
        <f>IF(ISNONTEXT(deployment_raw[[#This Row],[Column2]]), "", deployment_raw[[#This Row],[Column2]])</f>
        <v/>
      </c>
      <c r="C417" s="6" t="str">
        <f>IF(ISNONTEXT(deployment_raw[[#This Row],[Column3]]), "", deployment_raw[[#This Row],[Column3]])</f>
        <v/>
      </c>
      <c r="D417" s="6" t="str">
        <f>IF(ISNONTEXT(deployment_raw[[#This Row],[Column4]]), "", deployment_raw[[#This Row],[Column4]])</f>
        <v/>
      </c>
      <c r="E417" s="7" t="str">
        <f>IF(ISNUMBER(deployment_raw[[#This Row],[Column5]]), deployment_raw[[#This Row],[Column5]],"")</f>
        <v/>
      </c>
      <c r="F417" s="32" t="str">
        <f>IF(ISNUMBER(deployment_raw[[#This Row],[Column17]]), deployment_raw[[#This Row],[Column17]]/IF(OR($E$2="Deployment",deployment_raw[[#This Row],[Column5]]=0),1,deployment_raw[[#This Row],[Column5]]),"")</f>
        <v/>
      </c>
      <c r="G417" s="42" t="str">
        <f>IF(ISNUMBER(deployment_raw[[#This Row],[Column14]]), deployment_raw[[#This Row],[Column14]]/IF(OR($E$2="Deployment",deployment_raw[[#This Row],[Column5]]=0),1,deployment_raw[[#This Row],[Column5]]),"")</f>
        <v/>
      </c>
      <c r="H417" s="79" t="str">
        <f>IF(ISNUMBER(deployment_raw[[#This Row],[Column19]]), IF(I417&lt;&gt;0,(deployment_raw[[#This Row],[Column19]]/IF(OR($E$2="Deployment",deployment_raw[[#This Row],[Column5]]=0),1,deployment_raw[[#This Row],[Column5]]))/I417,0),"")</f>
        <v/>
      </c>
      <c r="I417" s="69" t="str">
        <f>IF(ISNUMBER(deployment_raw[[#This Row],[Column6]]), (deployment_raw[[#This Row],[Column6]] * IF($E$2="Deployment",deployment_raw[[#This Row],[Column5]],1)),"")</f>
        <v/>
      </c>
      <c r="J417" s="79" t="str">
        <f>IF(ISNUMBER(deployment_raw[[#This Row],[Column19]]), IF(K417&lt;&gt;0,(deployment_raw[[#This Row],[Column19]]/IF(OR($E$2="Deployment",deployment_raw[[#This Row],[Column5]]=0),1,deployment_raw[[#This Row],[Column5]]))/K417,0),"")</f>
        <v/>
      </c>
      <c r="K417" s="72" t="str">
        <f>IF(ISNUMBER(deployment_raw[[#This Row],[Column8]]), (deployment_raw[[#This Row],[Column8]]  * IF($E$2="Deployment",deployment_raw[[#This Row],[Column5]],1)),"")</f>
        <v/>
      </c>
      <c r="L41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1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17" s="81" t="str">
        <f>IF(ISNUMBER(deployment_raw[[#This Row],[Column20]]), IF(O417&lt;&gt;0,deployment_raw[[#This Row],[Column20]]/IF(OR($E$2="Deployment",deployment_raw[[#This Row],[Column5]]=0),1,deployment_raw[[#This Row],[Column5]])/1048576/O417,0),"")</f>
        <v/>
      </c>
      <c r="O417" s="74" t="str">
        <f>IF(ISNUMBER(deployment_raw[[#This Row],[Column7]]), (deployment_raw[[#This Row],[Column7]] * IF($E$2="Deployment",deployment_raw[[#This Row],[Column5]],1))/1048576,"")</f>
        <v/>
      </c>
      <c r="P417" s="81" t="str">
        <f>IF(ISNUMBER(deployment_raw[[#This Row],[Column20]]), IF(Q417&lt;&gt;0,deployment_raw[[#This Row],[Column20]]/IF(OR($E$2="Deployment",deployment_raw[[#This Row],[Column5]]=0),1,deployment_raw[[#This Row],[Column5]])/1048576/Q417,0),"")</f>
        <v/>
      </c>
      <c r="Q417" s="76" t="str">
        <f>IF(ISNUMBER(deployment_raw[[#This Row],[Column9]]), (deployment_raw[[#This Row],[Column9]] * IF($E$2="Deployment",deployment_raw[[#This Row],[Column5]],1))/1048576,"")</f>
        <v/>
      </c>
      <c r="R417" s="57" t="str">
        <f>IF(ISNUMBER(deployment_raw[[#This Row],[Column10]]), (deployment_raw[[#This Row],[Column10]] * IF($E$2="Deployment",deployment_raw[[#This Row],[Column5]],1)),"")</f>
        <v/>
      </c>
      <c r="S417" s="48" t="str">
        <f>IF(ISNUMBER(deployment_raw[[#This Row],[Column11]]), (deployment_raw[[#This Row],[Column11]] * IF($E$2="Deployment",deployment_raw[[#This Row],[Column5]],1))/1048576,"")</f>
        <v/>
      </c>
      <c r="T417" s="59" t="str">
        <f>IF(ISNUMBER(deployment_raw[[#This Row],[Column8]]),IF(OR(deployment_raw[[#This Row],[Column5]] &lt;&gt; 0,$E$2 &lt;&gt; "Deployment"), MAX(V417, ($T$2 * IF($E$2="Deployment",deployment_raw[[#This Row],[Column5]],1))), 0),"")</f>
        <v/>
      </c>
      <c r="U417" s="50" t="str">
        <f>IF(ISNUMBER(deployment_raw[[#This Row],[Column9]]),IF(OR(deployment_raw[[#This Row],[Column5]] &lt;&gt; 0,$E$2&lt;&gt;"Deployment"), MAX(W417, ($U$2 * IF($E$2="Deployment",deployment_raw[[#This Row],[Column5]],1))), 0),"")</f>
        <v/>
      </c>
      <c r="V417" s="15" t="str">
        <f>IF(ISNUMBER(deployment_raw[[#This Row],[Column12]]), (deployment_raw[[#This Row],[Column12]] * IF($E$2="Deployment",deployment_raw[[#This Row],[Column5]],1)*(1+$V$2)),"")</f>
        <v/>
      </c>
      <c r="W417" s="14" t="str">
        <f>IF(ISNUMBER(deployment_raw[[#This Row],[Column13]]), (deployment_raw[[#This Row],[Column13]] * IF($E$2="Deployment",deployment_raw[[#This Row],[Column5]],1)*(1+$W$2))/1048576,"")</f>
        <v/>
      </c>
    </row>
    <row r="418" spans="1:23" ht="15.75" customHeight="1" x14ac:dyDescent="0.25">
      <c r="A418" s="5" t="str">
        <f>IF(ISNONTEXT(deployment_raw[[#This Row],[Column1]]), "", deployment_raw[[#This Row],[Column1]])</f>
        <v/>
      </c>
      <c r="B418" s="6" t="str">
        <f>IF(ISNONTEXT(deployment_raw[[#This Row],[Column2]]), "", deployment_raw[[#This Row],[Column2]])</f>
        <v/>
      </c>
      <c r="C418" s="6" t="str">
        <f>IF(ISNONTEXT(deployment_raw[[#This Row],[Column3]]), "", deployment_raw[[#This Row],[Column3]])</f>
        <v/>
      </c>
      <c r="D418" s="6" t="str">
        <f>IF(ISNONTEXT(deployment_raw[[#This Row],[Column4]]), "", deployment_raw[[#This Row],[Column4]])</f>
        <v/>
      </c>
      <c r="E418" s="7" t="str">
        <f>IF(ISNUMBER(deployment_raw[[#This Row],[Column5]]), deployment_raw[[#This Row],[Column5]],"")</f>
        <v/>
      </c>
      <c r="F418" s="32" t="str">
        <f>IF(ISNUMBER(deployment_raw[[#This Row],[Column17]]), deployment_raw[[#This Row],[Column17]]/IF(OR($E$2="Deployment",deployment_raw[[#This Row],[Column5]]=0),1,deployment_raw[[#This Row],[Column5]]),"")</f>
        <v/>
      </c>
      <c r="G418" s="42" t="str">
        <f>IF(ISNUMBER(deployment_raw[[#This Row],[Column14]]), deployment_raw[[#This Row],[Column14]]/IF(OR($E$2="Deployment",deployment_raw[[#This Row],[Column5]]=0),1,deployment_raw[[#This Row],[Column5]]),"")</f>
        <v/>
      </c>
      <c r="H418" s="79" t="str">
        <f>IF(ISNUMBER(deployment_raw[[#This Row],[Column19]]), IF(I418&lt;&gt;0,(deployment_raw[[#This Row],[Column19]]/IF(OR($E$2="Deployment",deployment_raw[[#This Row],[Column5]]=0),1,deployment_raw[[#This Row],[Column5]]))/I418,0),"")</f>
        <v/>
      </c>
      <c r="I418" s="69" t="str">
        <f>IF(ISNUMBER(deployment_raw[[#This Row],[Column6]]), (deployment_raw[[#This Row],[Column6]] * IF($E$2="Deployment",deployment_raw[[#This Row],[Column5]],1)),"")</f>
        <v/>
      </c>
      <c r="J418" s="79" t="str">
        <f>IF(ISNUMBER(deployment_raw[[#This Row],[Column19]]), IF(K418&lt;&gt;0,(deployment_raw[[#This Row],[Column19]]/IF(OR($E$2="Deployment",deployment_raw[[#This Row],[Column5]]=0),1,deployment_raw[[#This Row],[Column5]]))/K418,0),"")</f>
        <v/>
      </c>
      <c r="K418" s="72" t="str">
        <f>IF(ISNUMBER(deployment_raw[[#This Row],[Column8]]), (deployment_raw[[#This Row],[Column8]]  * IF($E$2="Deployment",deployment_raw[[#This Row],[Column5]],1)),"")</f>
        <v/>
      </c>
      <c r="L41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1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18" s="81" t="str">
        <f>IF(ISNUMBER(deployment_raw[[#This Row],[Column20]]), IF(O418&lt;&gt;0,deployment_raw[[#This Row],[Column20]]/IF(OR($E$2="Deployment",deployment_raw[[#This Row],[Column5]]=0),1,deployment_raw[[#This Row],[Column5]])/1048576/O418,0),"")</f>
        <v/>
      </c>
      <c r="O418" s="74" t="str">
        <f>IF(ISNUMBER(deployment_raw[[#This Row],[Column7]]), (deployment_raw[[#This Row],[Column7]] * IF($E$2="Deployment",deployment_raw[[#This Row],[Column5]],1))/1048576,"")</f>
        <v/>
      </c>
      <c r="P418" s="81" t="str">
        <f>IF(ISNUMBER(deployment_raw[[#This Row],[Column20]]), IF(Q418&lt;&gt;0,deployment_raw[[#This Row],[Column20]]/IF(OR($E$2="Deployment",deployment_raw[[#This Row],[Column5]]=0),1,deployment_raw[[#This Row],[Column5]])/1048576/Q418,0),"")</f>
        <v/>
      </c>
      <c r="Q418" s="76" t="str">
        <f>IF(ISNUMBER(deployment_raw[[#This Row],[Column9]]), (deployment_raw[[#This Row],[Column9]] * IF($E$2="Deployment",deployment_raw[[#This Row],[Column5]],1))/1048576,"")</f>
        <v/>
      </c>
      <c r="R418" s="57" t="str">
        <f>IF(ISNUMBER(deployment_raw[[#This Row],[Column10]]), (deployment_raw[[#This Row],[Column10]] * IF($E$2="Deployment",deployment_raw[[#This Row],[Column5]],1)),"")</f>
        <v/>
      </c>
      <c r="S418" s="48" t="str">
        <f>IF(ISNUMBER(deployment_raw[[#This Row],[Column11]]), (deployment_raw[[#This Row],[Column11]] * IF($E$2="Deployment",deployment_raw[[#This Row],[Column5]],1))/1048576,"")</f>
        <v/>
      </c>
      <c r="T418" s="59" t="str">
        <f>IF(ISNUMBER(deployment_raw[[#This Row],[Column8]]),IF(OR(deployment_raw[[#This Row],[Column5]] &lt;&gt; 0,$E$2 &lt;&gt; "Deployment"), MAX(V418, ($T$2 * IF($E$2="Deployment",deployment_raw[[#This Row],[Column5]],1))), 0),"")</f>
        <v/>
      </c>
      <c r="U418" s="50" t="str">
        <f>IF(ISNUMBER(deployment_raw[[#This Row],[Column9]]),IF(OR(deployment_raw[[#This Row],[Column5]] &lt;&gt; 0,$E$2&lt;&gt;"Deployment"), MAX(W418, ($U$2 * IF($E$2="Deployment",deployment_raw[[#This Row],[Column5]],1))), 0),"")</f>
        <v/>
      </c>
      <c r="V418" s="15" t="str">
        <f>IF(ISNUMBER(deployment_raw[[#This Row],[Column12]]), (deployment_raw[[#This Row],[Column12]] * IF($E$2="Deployment",deployment_raw[[#This Row],[Column5]],1)*(1+$V$2)),"")</f>
        <v/>
      </c>
      <c r="W418" s="14" t="str">
        <f>IF(ISNUMBER(deployment_raw[[#This Row],[Column13]]), (deployment_raw[[#This Row],[Column13]] * IF($E$2="Deployment",deployment_raw[[#This Row],[Column5]],1)*(1+$W$2))/1048576,"")</f>
        <v/>
      </c>
    </row>
    <row r="419" spans="1:23" ht="15.75" customHeight="1" x14ac:dyDescent="0.25">
      <c r="A419" s="5" t="str">
        <f>IF(ISNONTEXT(deployment_raw[[#This Row],[Column1]]), "", deployment_raw[[#This Row],[Column1]])</f>
        <v/>
      </c>
      <c r="B419" s="6" t="str">
        <f>IF(ISNONTEXT(deployment_raw[[#This Row],[Column2]]), "", deployment_raw[[#This Row],[Column2]])</f>
        <v/>
      </c>
      <c r="C419" s="6" t="str">
        <f>IF(ISNONTEXT(deployment_raw[[#This Row],[Column3]]), "", deployment_raw[[#This Row],[Column3]])</f>
        <v/>
      </c>
      <c r="D419" s="6" t="str">
        <f>IF(ISNONTEXT(deployment_raw[[#This Row],[Column4]]), "", deployment_raw[[#This Row],[Column4]])</f>
        <v/>
      </c>
      <c r="E419" s="7" t="str">
        <f>IF(ISNUMBER(deployment_raw[[#This Row],[Column5]]), deployment_raw[[#This Row],[Column5]],"")</f>
        <v/>
      </c>
      <c r="F419" s="32" t="str">
        <f>IF(ISNUMBER(deployment_raw[[#This Row],[Column17]]), deployment_raw[[#This Row],[Column17]]/IF(OR($E$2="Deployment",deployment_raw[[#This Row],[Column5]]=0),1,deployment_raw[[#This Row],[Column5]]),"")</f>
        <v/>
      </c>
      <c r="G419" s="42" t="str">
        <f>IF(ISNUMBER(deployment_raw[[#This Row],[Column14]]), deployment_raw[[#This Row],[Column14]]/IF(OR($E$2="Deployment",deployment_raw[[#This Row],[Column5]]=0),1,deployment_raw[[#This Row],[Column5]]),"")</f>
        <v/>
      </c>
      <c r="H419" s="79" t="str">
        <f>IF(ISNUMBER(deployment_raw[[#This Row],[Column19]]), IF(I419&lt;&gt;0,(deployment_raw[[#This Row],[Column19]]/IF(OR($E$2="Deployment",deployment_raw[[#This Row],[Column5]]=0),1,deployment_raw[[#This Row],[Column5]]))/I419,0),"")</f>
        <v/>
      </c>
      <c r="I419" s="69" t="str">
        <f>IF(ISNUMBER(deployment_raw[[#This Row],[Column6]]), (deployment_raw[[#This Row],[Column6]] * IF($E$2="Deployment",deployment_raw[[#This Row],[Column5]],1)),"")</f>
        <v/>
      </c>
      <c r="J419" s="79" t="str">
        <f>IF(ISNUMBER(deployment_raw[[#This Row],[Column19]]), IF(K419&lt;&gt;0,(deployment_raw[[#This Row],[Column19]]/IF(OR($E$2="Deployment",deployment_raw[[#This Row],[Column5]]=0),1,deployment_raw[[#This Row],[Column5]]))/K419,0),"")</f>
        <v/>
      </c>
      <c r="K419" s="72" t="str">
        <f>IF(ISNUMBER(deployment_raw[[#This Row],[Column8]]), (deployment_raw[[#This Row],[Column8]]  * IF($E$2="Deployment",deployment_raw[[#This Row],[Column5]],1)),"")</f>
        <v/>
      </c>
      <c r="L41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1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19" s="81" t="str">
        <f>IF(ISNUMBER(deployment_raw[[#This Row],[Column20]]), IF(O419&lt;&gt;0,deployment_raw[[#This Row],[Column20]]/IF(OR($E$2="Deployment",deployment_raw[[#This Row],[Column5]]=0),1,deployment_raw[[#This Row],[Column5]])/1048576/O419,0),"")</f>
        <v/>
      </c>
      <c r="O419" s="74" t="str">
        <f>IF(ISNUMBER(deployment_raw[[#This Row],[Column7]]), (deployment_raw[[#This Row],[Column7]] * IF($E$2="Deployment",deployment_raw[[#This Row],[Column5]],1))/1048576,"")</f>
        <v/>
      </c>
      <c r="P419" s="81" t="str">
        <f>IF(ISNUMBER(deployment_raw[[#This Row],[Column20]]), IF(Q419&lt;&gt;0,deployment_raw[[#This Row],[Column20]]/IF(OR($E$2="Deployment",deployment_raw[[#This Row],[Column5]]=0),1,deployment_raw[[#This Row],[Column5]])/1048576/Q419,0),"")</f>
        <v/>
      </c>
      <c r="Q419" s="76" t="str">
        <f>IF(ISNUMBER(deployment_raw[[#This Row],[Column9]]), (deployment_raw[[#This Row],[Column9]] * IF($E$2="Deployment",deployment_raw[[#This Row],[Column5]],1))/1048576,"")</f>
        <v/>
      </c>
      <c r="R419" s="57" t="str">
        <f>IF(ISNUMBER(deployment_raw[[#This Row],[Column10]]), (deployment_raw[[#This Row],[Column10]] * IF($E$2="Deployment",deployment_raw[[#This Row],[Column5]],1)),"")</f>
        <v/>
      </c>
      <c r="S419" s="48" t="str">
        <f>IF(ISNUMBER(deployment_raw[[#This Row],[Column11]]), (deployment_raw[[#This Row],[Column11]] * IF($E$2="Deployment",deployment_raw[[#This Row],[Column5]],1))/1048576,"")</f>
        <v/>
      </c>
      <c r="T419" s="59" t="str">
        <f>IF(ISNUMBER(deployment_raw[[#This Row],[Column8]]),IF(OR(deployment_raw[[#This Row],[Column5]] &lt;&gt; 0,$E$2 &lt;&gt; "Deployment"), MAX(V419, ($T$2 * IF($E$2="Deployment",deployment_raw[[#This Row],[Column5]],1))), 0),"")</f>
        <v/>
      </c>
      <c r="U419" s="50" t="str">
        <f>IF(ISNUMBER(deployment_raw[[#This Row],[Column9]]),IF(OR(deployment_raw[[#This Row],[Column5]] &lt;&gt; 0,$E$2&lt;&gt;"Deployment"), MAX(W419, ($U$2 * IF($E$2="Deployment",deployment_raw[[#This Row],[Column5]],1))), 0),"")</f>
        <v/>
      </c>
      <c r="V419" s="15" t="str">
        <f>IF(ISNUMBER(deployment_raw[[#This Row],[Column12]]), (deployment_raw[[#This Row],[Column12]] * IF($E$2="Deployment",deployment_raw[[#This Row],[Column5]],1)*(1+$V$2)),"")</f>
        <v/>
      </c>
      <c r="W419" s="14" t="str">
        <f>IF(ISNUMBER(deployment_raw[[#This Row],[Column13]]), (deployment_raw[[#This Row],[Column13]] * IF($E$2="Deployment",deployment_raw[[#This Row],[Column5]],1)*(1+$W$2))/1048576,"")</f>
        <v/>
      </c>
    </row>
    <row r="420" spans="1:23" ht="15.75" customHeight="1" x14ac:dyDescent="0.25">
      <c r="A420" s="5" t="str">
        <f>IF(ISNONTEXT(deployment_raw[[#This Row],[Column1]]), "", deployment_raw[[#This Row],[Column1]])</f>
        <v/>
      </c>
      <c r="B420" s="6" t="str">
        <f>IF(ISNONTEXT(deployment_raw[[#This Row],[Column2]]), "", deployment_raw[[#This Row],[Column2]])</f>
        <v/>
      </c>
      <c r="C420" s="6" t="str">
        <f>IF(ISNONTEXT(deployment_raw[[#This Row],[Column3]]), "", deployment_raw[[#This Row],[Column3]])</f>
        <v/>
      </c>
      <c r="D420" s="6" t="str">
        <f>IF(ISNONTEXT(deployment_raw[[#This Row],[Column4]]), "", deployment_raw[[#This Row],[Column4]])</f>
        <v/>
      </c>
      <c r="E420" s="7" t="str">
        <f>IF(ISNUMBER(deployment_raw[[#This Row],[Column5]]), deployment_raw[[#This Row],[Column5]],"")</f>
        <v/>
      </c>
      <c r="F420" s="32" t="str">
        <f>IF(ISNUMBER(deployment_raw[[#This Row],[Column17]]), deployment_raw[[#This Row],[Column17]]/IF(OR($E$2="Deployment",deployment_raw[[#This Row],[Column5]]=0),1,deployment_raw[[#This Row],[Column5]]),"")</f>
        <v/>
      </c>
      <c r="G420" s="42" t="str">
        <f>IF(ISNUMBER(deployment_raw[[#This Row],[Column14]]), deployment_raw[[#This Row],[Column14]]/IF(OR($E$2="Deployment",deployment_raw[[#This Row],[Column5]]=0),1,deployment_raw[[#This Row],[Column5]]),"")</f>
        <v/>
      </c>
      <c r="H420" s="79" t="str">
        <f>IF(ISNUMBER(deployment_raw[[#This Row],[Column19]]), IF(I420&lt;&gt;0,(deployment_raw[[#This Row],[Column19]]/IF(OR($E$2="Deployment",deployment_raw[[#This Row],[Column5]]=0),1,deployment_raw[[#This Row],[Column5]]))/I420,0),"")</f>
        <v/>
      </c>
      <c r="I420" s="69" t="str">
        <f>IF(ISNUMBER(deployment_raw[[#This Row],[Column6]]), (deployment_raw[[#This Row],[Column6]] * IF($E$2="Deployment",deployment_raw[[#This Row],[Column5]],1)),"")</f>
        <v/>
      </c>
      <c r="J420" s="79" t="str">
        <f>IF(ISNUMBER(deployment_raw[[#This Row],[Column19]]), IF(K420&lt;&gt;0,(deployment_raw[[#This Row],[Column19]]/IF(OR($E$2="Deployment",deployment_raw[[#This Row],[Column5]]=0),1,deployment_raw[[#This Row],[Column5]]))/K420,0),"")</f>
        <v/>
      </c>
      <c r="K420" s="72" t="str">
        <f>IF(ISNUMBER(deployment_raw[[#This Row],[Column8]]), (deployment_raw[[#This Row],[Column8]]  * IF($E$2="Deployment",deployment_raw[[#This Row],[Column5]],1)),"")</f>
        <v/>
      </c>
      <c r="L42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2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20" s="81" t="str">
        <f>IF(ISNUMBER(deployment_raw[[#This Row],[Column20]]), IF(O420&lt;&gt;0,deployment_raw[[#This Row],[Column20]]/IF(OR($E$2="Deployment",deployment_raw[[#This Row],[Column5]]=0),1,deployment_raw[[#This Row],[Column5]])/1048576/O420,0),"")</f>
        <v/>
      </c>
      <c r="O420" s="74" t="str">
        <f>IF(ISNUMBER(deployment_raw[[#This Row],[Column7]]), (deployment_raw[[#This Row],[Column7]] * IF($E$2="Deployment",deployment_raw[[#This Row],[Column5]],1))/1048576,"")</f>
        <v/>
      </c>
      <c r="P420" s="81" t="str">
        <f>IF(ISNUMBER(deployment_raw[[#This Row],[Column20]]), IF(Q420&lt;&gt;0,deployment_raw[[#This Row],[Column20]]/IF(OR($E$2="Deployment",deployment_raw[[#This Row],[Column5]]=0),1,deployment_raw[[#This Row],[Column5]])/1048576/Q420,0),"")</f>
        <v/>
      </c>
      <c r="Q420" s="76" t="str">
        <f>IF(ISNUMBER(deployment_raw[[#This Row],[Column9]]), (deployment_raw[[#This Row],[Column9]] * IF($E$2="Deployment",deployment_raw[[#This Row],[Column5]],1))/1048576,"")</f>
        <v/>
      </c>
      <c r="R420" s="57" t="str">
        <f>IF(ISNUMBER(deployment_raw[[#This Row],[Column10]]), (deployment_raw[[#This Row],[Column10]] * IF($E$2="Deployment",deployment_raw[[#This Row],[Column5]],1)),"")</f>
        <v/>
      </c>
      <c r="S420" s="48" t="str">
        <f>IF(ISNUMBER(deployment_raw[[#This Row],[Column11]]), (deployment_raw[[#This Row],[Column11]] * IF($E$2="Deployment",deployment_raw[[#This Row],[Column5]],1))/1048576,"")</f>
        <v/>
      </c>
      <c r="T420" s="59" t="str">
        <f>IF(ISNUMBER(deployment_raw[[#This Row],[Column8]]),IF(OR(deployment_raw[[#This Row],[Column5]] &lt;&gt; 0,$E$2 &lt;&gt; "Deployment"), MAX(V420, ($T$2 * IF($E$2="Deployment",deployment_raw[[#This Row],[Column5]],1))), 0),"")</f>
        <v/>
      </c>
      <c r="U420" s="50" t="str">
        <f>IF(ISNUMBER(deployment_raw[[#This Row],[Column9]]),IF(OR(deployment_raw[[#This Row],[Column5]] &lt;&gt; 0,$E$2&lt;&gt;"Deployment"), MAX(W420, ($U$2 * IF($E$2="Deployment",deployment_raw[[#This Row],[Column5]],1))), 0),"")</f>
        <v/>
      </c>
      <c r="V420" s="15" t="str">
        <f>IF(ISNUMBER(deployment_raw[[#This Row],[Column12]]), (deployment_raw[[#This Row],[Column12]] * IF($E$2="Deployment",deployment_raw[[#This Row],[Column5]],1)*(1+$V$2)),"")</f>
        <v/>
      </c>
      <c r="W420" s="14" t="str">
        <f>IF(ISNUMBER(deployment_raw[[#This Row],[Column13]]), (deployment_raw[[#This Row],[Column13]] * IF($E$2="Deployment",deployment_raw[[#This Row],[Column5]],1)*(1+$W$2))/1048576,"")</f>
        <v/>
      </c>
    </row>
    <row r="421" spans="1:23" ht="15.75" customHeight="1" x14ac:dyDescent="0.25">
      <c r="A421" s="5" t="str">
        <f>IF(ISNONTEXT(deployment_raw[[#This Row],[Column1]]), "", deployment_raw[[#This Row],[Column1]])</f>
        <v/>
      </c>
      <c r="B421" s="6" t="str">
        <f>IF(ISNONTEXT(deployment_raw[[#This Row],[Column2]]), "", deployment_raw[[#This Row],[Column2]])</f>
        <v/>
      </c>
      <c r="C421" s="6" t="str">
        <f>IF(ISNONTEXT(deployment_raw[[#This Row],[Column3]]), "", deployment_raw[[#This Row],[Column3]])</f>
        <v/>
      </c>
      <c r="D421" s="6" t="str">
        <f>IF(ISNONTEXT(deployment_raw[[#This Row],[Column4]]), "", deployment_raw[[#This Row],[Column4]])</f>
        <v/>
      </c>
      <c r="E421" s="7" t="str">
        <f>IF(ISNUMBER(deployment_raw[[#This Row],[Column5]]), deployment_raw[[#This Row],[Column5]],"")</f>
        <v/>
      </c>
      <c r="F421" s="32" t="str">
        <f>IF(ISNUMBER(deployment_raw[[#This Row],[Column17]]), deployment_raw[[#This Row],[Column17]]/IF(OR($E$2="Deployment",deployment_raw[[#This Row],[Column5]]=0),1,deployment_raw[[#This Row],[Column5]]),"")</f>
        <v/>
      </c>
      <c r="G421" s="42" t="str">
        <f>IF(ISNUMBER(deployment_raw[[#This Row],[Column14]]), deployment_raw[[#This Row],[Column14]]/IF(OR($E$2="Deployment",deployment_raw[[#This Row],[Column5]]=0),1,deployment_raw[[#This Row],[Column5]]),"")</f>
        <v/>
      </c>
      <c r="H421" s="79" t="str">
        <f>IF(ISNUMBER(deployment_raw[[#This Row],[Column19]]), IF(I421&lt;&gt;0,(deployment_raw[[#This Row],[Column19]]/IF(OR($E$2="Deployment",deployment_raw[[#This Row],[Column5]]=0),1,deployment_raw[[#This Row],[Column5]]))/I421,0),"")</f>
        <v/>
      </c>
      <c r="I421" s="69" t="str">
        <f>IF(ISNUMBER(deployment_raw[[#This Row],[Column6]]), (deployment_raw[[#This Row],[Column6]] * IF($E$2="Deployment",deployment_raw[[#This Row],[Column5]],1)),"")</f>
        <v/>
      </c>
      <c r="J421" s="79" t="str">
        <f>IF(ISNUMBER(deployment_raw[[#This Row],[Column19]]), IF(K421&lt;&gt;0,(deployment_raw[[#This Row],[Column19]]/IF(OR($E$2="Deployment",deployment_raw[[#This Row],[Column5]]=0),1,deployment_raw[[#This Row],[Column5]]))/K421,0),"")</f>
        <v/>
      </c>
      <c r="K421" s="72" t="str">
        <f>IF(ISNUMBER(deployment_raw[[#This Row],[Column8]]), (deployment_raw[[#This Row],[Column8]]  * IF($E$2="Deployment",deployment_raw[[#This Row],[Column5]],1)),"")</f>
        <v/>
      </c>
      <c r="L42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2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21" s="81" t="str">
        <f>IF(ISNUMBER(deployment_raw[[#This Row],[Column20]]), IF(O421&lt;&gt;0,deployment_raw[[#This Row],[Column20]]/IF(OR($E$2="Deployment",deployment_raw[[#This Row],[Column5]]=0),1,deployment_raw[[#This Row],[Column5]])/1048576/O421,0),"")</f>
        <v/>
      </c>
      <c r="O421" s="74" t="str">
        <f>IF(ISNUMBER(deployment_raw[[#This Row],[Column7]]), (deployment_raw[[#This Row],[Column7]] * IF($E$2="Deployment",deployment_raw[[#This Row],[Column5]],1))/1048576,"")</f>
        <v/>
      </c>
      <c r="P421" s="81" t="str">
        <f>IF(ISNUMBER(deployment_raw[[#This Row],[Column20]]), IF(Q421&lt;&gt;0,deployment_raw[[#This Row],[Column20]]/IF(OR($E$2="Deployment",deployment_raw[[#This Row],[Column5]]=0),1,deployment_raw[[#This Row],[Column5]])/1048576/Q421,0),"")</f>
        <v/>
      </c>
      <c r="Q421" s="76" t="str">
        <f>IF(ISNUMBER(deployment_raw[[#This Row],[Column9]]), (deployment_raw[[#This Row],[Column9]] * IF($E$2="Deployment",deployment_raw[[#This Row],[Column5]],1))/1048576,"")</f>
        <v/>
      </c>
      <c r="R421" s="57" t="str">
        <f>IF(ISNUMBER(deployment_raw[[#This Row],[Column10]]), (deployment_raw[[#This Row],[Column10]] * IF($E$2="Deployment",deployment_raw[[#This Row],[Column5]],1)),"")</f>
        <v/>
      </c>
      <c r="S421" s="48" t="str">
        <f>IF(ISNUMBER(deployment_raw[[#This Row],[Column11]]), (deployment_raw[[#This Row],[Column11]] * IF($E$2="Deployment",deployment_raw[[#This Row],[Column5]],1))/1048576,"")</f>
        <v/>
      </c>
      <c r="T421" s="59" t="str">
        <f>IF(ISNUMBER(deployment_raw[[#This Row],[Column8]]),IF(OR(deployment_raw[[#This Row],[Column5]] &lt;&gt; 0,$E$2 &lt;&gt; "Deployment"), MAX(V421, ($T$2 * IF($E$2="Deployment",deployment_raw[[#This Row],[Column5]],1))), 0),"")</f>
        <v/>
      </c>
      <c r="U421" s="50" t="str">
        <f>IF(ISNUMBER(deployment_raw[[#This Row],[Column9]]),IF(OR(deployment_raw[[#This Row],[Column5]] &lt;&gt; 0,$E$2&lt;&gt;"Deployment"), MAX(W421, ($U$2 * IF($E$2="Deployment",deployment_raw[[#This Row],[Column5]],1))), 0),"")</f>
        <v/>
      </c>
      <c r="V421" s="15" t="str">
        <f>IF(ISNUMBER(deployment_raw[[#This Row],[Column12]]), (deployment_raw[[#This Row],[Column12]] * IF($E$2="Deployment",deployment_raw[[#This Row],[Column5]],1)*(1+$V$2)),"")</f>
        <v/>
      </c>
      <c r="W421" s="14" t="str">
        <f>IF(ISNUMBER(deployment_raw[[#This Row],[Column13]]), (deployment_raw[[#This Row],[Column13]] * IF($E$2="Deployment",deployment_raw[[#This Row],[Column5]],1)*(1+$W$2))/1048576,"")</f>
        <v/>
      </c>
    </row>
    <row r="422" spans="1:23" ht="15.75" customHeight="1" x14ac:dyDescent="0.25">
      <c r="A422" s="5" t="str">
        <f>IF(ISNONTEXT(deployment_raw[[#This Row],[Column1]]), "", deployment_raw[[#This Row],[Column1]])</f>
        <v/>
      </c>
      <c r="B422" s="6" t="str">
        <f>IF(ISNONTEXT(deployment_raw[[#This Row],[Column2]]), "", deployment_raw[[#This Row],[Column2]])</f>
        <v/>
      </c>
      <c r="C422" s="6" t="str">
        <f>IF(ISNONTEXT(deployment_raw[[#This Row],[Column3]]), "", deployment_raw[[#This Row],[Column3]])</f>
        <v/>
      </c>
      <c r="D422" s="6" t="str">
        <f>IF(ISNONTEXT(deployment_raw[[#This Row],[Column4]]), "", deployment_raw[[#This Row],[Column4]])</f>
        <v/>
      </c>
      <c r="E422" s="7" t="str">
        <f>IF(ISNUMBER(deployment_raw[[#This Row],[Column5]]), deployment_raw[[#This Row],[Column5]],"")</f>
        <v/>
      </c>
      <c r="F422" s="32" t="str">
        <f>IF(ISNUMBER(deployment_raw[[#This Row],[Column17]]), deployment_raw[[#This Row],[Column17]]/IF(OR($E$2="Deployment",deployment_raw[[#This Row],[Column5]]=0),1,deployment_raw[[#This Row],[Column5]]),"")</f>
        <v/>
      </c>
      <c r="G422" s="42" t="str">
        <f>IF(ISNUMBER(deployment_raw[[#This Row],[Column14]]), deployment_raw[[#This Row],[Column14]]/IF(OR($E$2="Deployment",deployment_raw[[#This Row],[Column5]]=0),1,deployment_raw[[#This Row],[Column5]]),"")</f>
        <v/>
      </c>
      <c r="H422" s="79" t="str">
        <f>IF(ISNUMBER(deployment_raw[[#This Row],[Column19]]), IF(I422&lt;&gt;0,(deployment_raw[[#This Row],[Column19]]/IF(OR($E$2="Deployment",deployment_raw[[#This Row],[Column5]]=0),1,deployment_raw[[#This Row],[Column5]]))/I422,0),"")</f>
        <v/>
      </c>
      <c r="I422" s="69" t="str">
        <f>IF(ISNUMBER(deployment_raw[[#This Row],[Column6]]), (deployment_raw[[#This Row],[Column6]] * IF($E$2="Deployment",deployment_raw[[#This Row],[Column5]],1)),"")</f>
        <v/>
      </c>
      <c r="J422" s="79" t="str">
        <f>IF(ISNUMBER(deployment_raw[[#This Row],[Column19]]), IF(K422&lt;&gt;0,(deployment_raw[[#This Row],[Column19]]/IF(OR($E$2="Deployment",deployment_raw[[#This Row],[Column5]]=0),1,deployment_raw[[#This Row],[Column5]]))/K422,0),"")</f>
        <v/>
      </c>
      <c r="K422" s="72" t="str">
        <f>IF(ISNUMBER(deployment_raw[[#This Row],[Column8]]), (deployment_raw[[#This Row],[Column8]]  * IF($E$2="Deployment",deployment_raw[[#This Row],[Column5]],1)),"")</f>
        <v/>
      </c>
      <c r="L42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2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22" s="81" t="str">
        <f>IF(ISNUMBER(deployment_raw[[#This Row],[Column20]]), IF(O422&lt;&gt;0,deployment_raw[[#This Row],[Column20]]/IF(OR($E$2="Deployment",deployment_raw[[#This Row],[Column5]]=0),1,deployment_raw[[#This Row],[Column5]])/1048576/O422,0),"")</f>
        <v/>
      </c>
      <c r="O422" s="74" t="str">
        <f>IF(ISNUMBER(deployment_raw[[#This Row],[Column7]]), (deployment_raw[[#This Row],[Column7]] * IF($E$2="Deployment",deployment_raw[[#This Row],[Column5]],1))/1048576,"")</f>
        <v/>
      </c>
      <c r="P422" s="81" t="str">
        <f>IF(ISNUMBER(deployment_raw[[#This Row],[Column20]]), IF(Q422&lt;&gt;0,deployment_raw[[#This Row],[Column20]]/IF(OR($E$2="Deployment",deployment_raw[[#This Row],[Column5]]=0),1,deployment_raw[[#This Row],[Column5]])/1048576/Q422,0),"")</f>
        <v/>
      </c>
      <c r="Q422" s="76" t="str">
        <f>IF(ISNUMBER(deployment_raw[[#This Row],[Column9]]), (deployment_raw[[#This Row],[Column9]] * IF($E$2="Deployment",deployment_raw[[#This Row],[Column5]],1))/1048576,"")</f>
        <v/>
      </c>
      <c r="R422" s="57" t="str">
        <f>IF(ISNUMBER(deployment_raw[[#This Row],[Column10]]), (deployment_raw[[#This Row],[Column10]] * IF($E$2="Deployment",deployment_raw[[#This Row],[Column5]],1)),"")</f>
        <v/>
      </c>
      <c r="S422" s="48" t="str">
        <f>IF(ISNUMBER(deployment_raw[[#This Row],[Column11]]), (deployment_raw[[#This Row],[Column11]] * IF($E$2="Deployment",deployment_raw[[#This Row],[Column5]],1))/1048576,"")</f>
        <v/>
      </c>
      <c r="T422" s="59" t="str">
        <f>IF(ISNUMBER(deployment_raw[[#This Row],[Column8]]),IF(OR(deployment_raw[[#This Row],[Column5]] &lt;&gt; 0,$E$2 &lt;&gt; "Deployment"), MAX(V422, ($T$2 * IF($E$2="Deployment",deployment_raw[[#This Row],[Column5]],1))), 0),"")</f>
        <v/>
      </c>
      <c r="U422" s="50" t="str">
        <f>IF(ISNUMBER(deployment_raw[[#This Row],[Column9]]),IF(OR(deployment_raw[[#This Row],[Column5]] &lt;&gt; 0,$E$2&lt;&gt;"Deployment"), MAX(W422, ($U$2 * IF($E$2="Deployment",deployment_raw[[#This Row],[Column5]],1))), 0),"")</f>
        <v/>
      </c>
      <c r="V422" s="15" t="str">
        <f>IF(ISNUMBER(deployment_raw[[#This Row],[Column12]]), (deployment_raw[[#This Row],[Column12]] * IF($E$2="Deployment",deployment_raw[[#This Row],[Column5]],1)*(1+$V$2)),"")</f>
        <v/>
      </c>
      <c r="W422" s="14" t="str">
        <f>IF(ISNUMBER(deployment_raw[[#This Row],[Column13]]), (deployment_raw[[#This Row],[Column13]] * IF($E$2="Deployment",deployment_raw[[#This Row],[Column5]],1)*(1+$W$2))/1048576,"")</f>
        <v/>
      </c>
    </row>
    <row r="423" spans="1:23" ht="15.75" customHeight="1" x14ac:dyDescent="0.25">
      <c r="A423" s="5" t="str">
        <f>IF(ISNONTEXT(deployment_raw[[#This Row],[Column1]]), "", deployment_raw[[#This Row],[Column1]])</f>
        <v/>
      </c>
      <c r="B423" s="6" t="str">
        <f>IF(ISNONTEXT(deployment_raw[[#This Row],[Column2]]), "", deployment_raw[[#This Row],[Column2]])</f>
        <v/>
      </c>
      <c r="C423" s="6" t="str">
        <f>IF(ISNONTEXT(deployment_raw[[#This Row],[Column3]]), "", deployment_raw[[#This Row],[Column3]])</f>
        <v/>
      </c>
      <c r="D423" s="6" t="str">
        <f>IF(ISNONTEXT(deployment_raw[[#This Row],[Column4]]), "", deployment_raw[[#This Row],[Column4]])</f>
        <v/>
      </c>
      <c r="E423" s="7" t="str">
        <f>IF(ISNUMBER(deployment_raw[[#This Row],[Column5]]), deployment_raw[[#This Row],[Column5]],"")</f>
        <v/>
      </c>
      <c r="F423" s="32" t="str">
        <f>IF(ISNUMBER(deployment_raw[[#This Row],[Column17]]), deployment_raw[[#This Row],[Column17]]/IF(OR($E$2="Deployment",deployment_raw[[#This Row],[Column5]]=0),1,deployment_raw[[#This Row],[Column5]]),"")</f>
        <v/>
      </c>
      <c r="G423" s="42" t="str">
        <f>IF(ISNUMBER(deployment_raw[[#This Row],[Column14]]), deployment_raw[[#This Row],[Column14]]/IF(OR($E$2="Deployment",deployment_raw[[#This Row],[Column5]]=0),1,deployment_raw[[#This Row],[Column5]]),"")</f>
        <v/>
      </c>
      <c r="H423" s="79" t="str">
        <f>IF(ISNUMBER(deployment_raw[[#This Row],[Column19]]), IF(I423&lt;&gt;0,(deployment_raw[[#This Row],[Column19]]/IF(OR($E$2="Deployment",deployment_raw[[#This Row],[Column5]]=0),1,deployment_raw[[#This Row],[Column5]]))/I423,0),"")</f>
        <v/>
      </c>
      <c r="I423" s="69" t="str">
        <f>IF(ISNUMBER(deployment_raw[[#This Row],[Column6]]), (deployment_raw[[#This Row],[Column6]] * IF($E$2="Deployment",deployment_raw[[#This Row],[Column5]],1)),"")</f>
        <v/>
      </c>
      <c r="J423" s="79" t="str">
        <f>IF(ISNUMBER(deployment_raw[[#This Row],[Column19]]), IF(K423&lt;&gt;0,(deployment_raw[[#This Row],[Column19]]/IF(OR($E$2="Deployment",deployment_raw[[#This Row],[Column5]]=0),1,deployment_raw[[#This Row],[Column5]]))/K423,0),"")</f>
        <v/>
      </c>
      <c r="K423" s="72" t="str">
        <f>IF(ISNUMBER(deployment_raw[[#This Row],[Column8]]), (deployment_raw[[#This Row],[Column8]]  * IF($E$2="Deployment",deployment_raw[[#This Row],[Column5]],1)),"")</f>
        <v/>
      </c>
      <c r="L42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2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23" s="81" t="str">
        <f>IF(ISNUMBER(deployment_raw[[#This Row],[Column20]]), IF(O423&lt;&gt;0,deployment_raw[[#This Row],[Column20]]/IF(OR($E$2="Deployment",deployment_raw[[#This Row],[Column5]]=0),1,deployment_raw[[#This Row],[Column5]])/1048576/O423,0),"")</f>
        <v/>
      </c>
      <c r="O423" s="74" t="str">
        <f>IF(ISNUMBER(deployment_raw[[#This Row],[Column7]]), (deployment_raw[[#This Row],[Column7]] * IF($E$2="Deployment",deployment_raw[[#This Row],[Column5]],1))/1048576,"")</f>
        <v/>
      </c>
      <c r="P423" s="81" t="str">
        <f>IF(ISNUMBER(deployment_raw[[#This Row],[Column20]]), IF(Q423&lt;&gt;0,deployment_raw[[#This Row],[Column20]]/IF(OR($E$2="Deployment",deployment_raw[[#This Row],[Column5]]=0),1,deployment_raw[[#This Row],[Column5]])/1048576/Q423,0),"")</f>
        <v/>
      </c>
      <c r="Q423" s="76" t="str">
        <f>IF(ISNUMBER(deployment_raw[[#This Row],[Column9]]), (deployment_raw[[#This Row],[Column9]] * IF($E$2="Deployment",deployment_raw[[#This Row],[Column5]],1))/1048576,"")</f>
        <v/>
      </c>
      <c r="R423" s="57" t="str">
        <f>IF(ISNUMBER(deployment_raw[[#This Row],[Column10]]), (deployment_raw[[#This Row],[Column10]] * IF($E$2="Deployment",deployment_raw[[#This Row],[Column5]],1)),"")</f>
        <v/>
      </c>
      <c r="S423" s="48" t="str">
        <f>IF(ISNUMBER(deployment_raw[[#This Row],[Column11]]), (deployment_raw[[#This Row],[Column11]] * IF($E$2="Deployment",deployment_raw[[#This Row],[Column5]],1))/1048576,"")</f>
        <v/>
      </c>
      <c r="T423" s="59" t="str">
        <f>IF(ISNUMBER(deployment_raw[[#This Row],[Column8]]),IF(OR(deployment_raw[[#This Row],[Column5]] &lt;&gt; 0,$E$2 &lt;&gt; "Deployment"), MAX(V423, ($T$2 * IF($E$2="Deployment",deployment_raw[[#This Row],[Column5]],1))), 0),"")</f>
        <v/>
      </c>
      <c r="U423" s="50" t="str">
        <f>IF(ISNUMBER(deployment_raw[[#This Row],[Column9]]),IF(OR(deployment_raw[[#This Row],[Column5]] &lt;&gt; 0,$E$2&lt;&gt;"Deployment"), MAX(W423, ($U$2 * IF($E$2="Deployment",deployment_raw[[#This Row],[Column5]],1))), 0),"")</f>
        <v/>
      </c>
      <c r="V423" s="15" t="str">
        <f>IF(ISNUMBER(deployment_raw[[#This Row],[Column12]]), (deployment_raw[[#This Row],[Column12]] * IF($E$2="Deployment",deployment_raw[[#This Row],[Column5]],1)*(1+$V$2)),"")</f>
        <v/>
      </c>
      <c r="W423" s="14" t="str">
        <f>IF(ISNUMBER(deployment_raw[[#This Row],[Column13]]), (deployment_raw[[#This Row],[Column13]] * IF($E$2="Deployment",deployment_raw[[#This Row],[Column5]],1)*(1+$W$2))/1048576,"")</f>
        <v/>
      </c>
    </row>
    <row r="424" spans="1:23" ht="15.75" customHeight="1" x14ac:dyDescent="0.25">
      <c r="A424" s="5" t="str">
        <f>IF(ISNONTEXT(deployment_raw[[#This Row],[Column1]]), "", deployment_raw[[#This Row],[Column1]])</f>
        <v/>
      </c>
      <c r="B424" s="6" t="str">
        <f>IF(ISNONTEXT(deployment_raw[[#This Row],[Column2]]), "", deployment_raw[[#This Row],[Column2]])</f>
        <v/>
      </c>
      <c r="C424" s="6" t="str">
        <f>IF(ISNONTEXT(deployment_raw[[#This Row],[Column3]]), "", deployment_raw[[#This Row],[Column3]])</f>
        <v/>
      </c>
      <c r="D424" s="6" t="str">
        <f>IF(ISNONTEXT(deployment_raw[[#This Row],[Column4]]), "", deployment_raw[[#This Row],[Column4]])</f>
        <v/>
      </c>
      <c r="E424" s="7" t="str">
        <f>IF(ISNUMBER(deployment_raw[[#This Row],[Column5]]), deployment_raw[[#This Row],[Column5]],"")</f>
        <v/>
      </c>
      <c r="F424" s="32" t="str">
        <f>IF(ISNUMBER(deployment_raw[[#This Row],[Column17]]), deployment_raw[[#This Row],[Column17]]/IF(OR($E$2="Deployment",deployment_raw[[#This Row],[Column5]]=0),1,deployment_raw[[#This Row],[Column5]]),"")</f>
        <v/>
      </c>
      <c r="G424" s="42" t="str">
        <f>IF(ISNUMBER(deployment_raw[[#This Row],[Column14]]), deployment_raw[[#This Row],[Column14]]/IF(OR($E$2="Deployment",deployment_raw[[#This Row],[Column5]]=0),1,deployment_raw[[#This Row],[Column5]]),"")</f>
        <v/>
      </c>
      <c r="H424" s="79" t="str">
        <f>IF(ISNUMBER(deployment_raw[[#This Row],[Column19]]), IF(I424&lt;&gt;0,(deployment_raw[[#This Row],[Column19]]/IF(OR($E$2="Deployment",deployment_raw[[#This Row],[Column5]]=0),1,deployment_raw[[#This Row],[Column5]]))/I424,0),"")</f>
        <v/>
      </c>
      <c r="I424" s="69" t="str">
        <f>IF(ISNUMBER(deployment_raw[[#This Row],[Column6]]), (deployment_raw[[#This Row],[Column6]] * IF($E$2="Deployment",deployment_raw[[#This Row],[Column5]],1)),"")</f>
        <v/>
      </c>
      <c r="J424" s="79" t="str">
        <f>IF(ISNUMBER(deployment_raw[[#This Row],[Column19]]), IF(K424&lt;&gt;0,(deployment_raw[[#This Row],[Column19]]/IF(OR($E$2="Deployment",deployment_raw[[#This Row],[Column5]]=0),1,deployment_raw[[#This Row],[Column5]]))/K424,0),"")</f>
        <v/>
      </c>
      <c r="K424" s="72" t="str">
        <f>IF(ISNUMBER(deployment_raw[[#This Row],[Column8]]), (deployment_raw[[#This Row],[Column8]]  * IF($E$2="Deployment",deployment_raw[[#This Row],[Column5]],1)),"")</f>
        <v/>
      </c>
      <c r="L42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2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24" s="81" t="str">
        <f>IF(ISNUMBER(deployment_raw[[#This Row],[Column20]]), IF(O424&lt;&gt;0,deployment_raw[[#This Row],[Column20]]/IF(OR($E$2="Deployment",deployment_raw[[#This Row],[Column5]]=0),1,deployment_raw[[#This Row],[Column5]])/1048576/O424,0),"")</f>
        <v/>
      </c>
      <c r="O424" s="74" t="str">
        <f>IF(ISNUMBER(deployment_raw[[#This Row],[Column7]]), (deployment_raw[[#This Row],[Column7]] * IF($E$2="Deployment",deployment_raw[[#This Row],[Column5]],1))/1048576,"")</f>
        <v/>
      </c>
      <c r="P424" s="81" t="str">
        <f>IF(ISNUMBER(deployment_raw[[#This Row],[Column20]]), IF(Q424&lt;&gt;0,deployment_raw[[#This Row],[Column20]]/IF(OR($E$2="Deployment",deployment_raw[[#This Row],[Column5]]=0),1,deployment_raw[[#This Row],[Column5]])/1048576/Q424,0),"")</f>
        <v/>
      </c>
      <c r="Q424" s="76" t="str">
        <f>IF(ISNUMBER(deployment_raw[[#This Row],[Column9]]), (deployment_raw[[#This Row],[Column9]] * IF($E$2="Deployment",deployment_raw[[#This Row],[Column5]],1))/1048576,"")</f>
        <v/>
      </c>
      <c r="R424" s="57" t="str">
        <f>IF(ISNUMBER(deployment_raw[[#This Row],[Column10]]), (deployment_raw[[#This Row],[Column10]] * IF($E$2="Deployment",deployment_raw[[#This Row],[Column5]],1)),"")</f>
        <v/>
      </c>
      <c r="S424" s="48" t="str">
        <f>IF(ISNUMBER(deployment_raw[[#This Row],[Column11]]), (deployment_raw[[#This Row],[Column11]] * IF($E$2="Deployment",deployment_raw[[#This Row],[Column5]],1))/1048576,"")</f>
        <v/>
      </c>
      <c r="T424" s="59" t="str">
        <f>IF(ISNUMBER(deployment_raw[[#This Row],[Column8]]),IF(OR(deployment_raw[[#This Row],[Column5]] &lt;&gt; 0,$E$2 &lt;&gt; "Deployment"), MAX(V424, ($T$2 * IF($E$2="Deployment",deployment_raw[[#This Row],[Column5]],1))), 0),"")</f>
        <v/>
      </c>
      <c r="U424" s="50" t="str">
        <f>IF(ISNUMBER(deployment_raw[[#This Row],[Column9]]),IF(OR(deployment_raw[[#This Row],[Column5]] &lt;&gt; 0,$E$2&lt;&gt;"Deployment"), MAX(W424, ($U$2 * IF($E$2="Deployment",deployment_raw[[#This Row],[Column5]],1))), 0),"")</f>
        <v/>
      </c>
      <c r="V424" s="15" t="str">
        <f>IF(ISNUMBER(deployment_raw[[#This Row],[Column12]]), (deployment_raw[[#This Row],[Column12]] * IF($E$2="Deployment",deployment_raw[[#This Row],[Column5]],1)*(1+$V$2)),"")</f>
        <v/>
      </c>
      <c r="W424" s="14" t="str">
        <f>IF(ISNUMBER(deployment_raw[[#This Row],[Column13]]), (deployment_raw[[#This Row],[Column13]] * IF($E$2="Deployment",deployment_raw[[#This Row],[Column5]],1)*(1+$W$2))/1048576,"")</f>
        <v/>
      </c>
    </row>
    <row r="425" spans="1:23" ht="15.75" customHeight="1" x14ac:dyDescent="0.25">
      <c r="A425" s="5" t="str">
        <f>IF(ISNONTEXT(deployment_raw[[#This Row],[Column1]]), "", deployment_raw[[#This Row],[Column1]])</f>
        <v/>
      </c>
      <c r="B425" s="6" t="str">
        <f>IF(ISNONTEXT(deployment_raw[[#This Row],[Column2]]), "", deployment_raw[[#This Row],[Column2]])</f>
        <v/>
      </c>
      <c r="C425" s="6" t="str">
        <f>IF(ISNONTEXT(deployment_raw[[#This Row],[Column3]]), "", deployment_raw[[#This Row],[Column3]])</f>
        <v/>
      </c>
      <c r="D425" s="6" t="str">
        <f>IF(ISNONTEXT(deployment_raw[[#This Row],[Column4]]), "", deployment_raw[[#This Row],[Column4]])</f>
        <v/>
      </c>
      <c r="E425" s="7" t="str">
        <f>IF(ISNUMBER(deployment_raw[[#This Row],[Column5]]), deployment_raw[[#This Row],[Column5]],"")</f>
        <v/>
      </c>
      <c r="F425" s="32" t="str">
        <f>IF(ISNUMBER(deployment_raw[[#This Row],[Column17]]), deployment_raw[[#This Row],[Column17]]/IF(OR($E$2="Deployment",deployment_raw[[#This Row],[Column5]]=0),1,deployment_raw[[#This Row],[Column5]]),"")</f>
        <v/>
      </c>
      <c r="G425" s="42" t="str">
        <f>IF(ISNUMBER(deployment_raw[[#This Row],[Column14]]), deployment_raw[[#This Row],[Column14]]/IF(OR($E$2="Deployment",deployment_raw[[#This Row],[Column5]]=0),1,deployment_raw[[#This Row],[Column5]]),"")</f>
        <v/>
      </c>
      <c r="H425" s="79" t="str">
        <f>IF(ISNUMBER(deployment_raw[[#This Row],[Column19]]), IF(I425&lt;&gt;0,(deployment_raw[[#This Row],[Column19]]/IF(OR($E$2="Deployment",deployment_raw[[#This Row],[Column5]]=0),1,deployment_raw[[#This Row],[Column5]]))/I425,0),"")</f>
        <v/>
      </c>
      <c r="I425" s="69" t="str">
        <f>IF(ISNUMBER(deployment_raw[[#This Row],[Column6]]), (deployment_raw[[#This Row],[Column6]] * IF($E$2="Deployment",deployment_raw[[#This Row],[Column5]],1)),"")</f>
        <v/>
      </c>
      <c r="J425" s="79" t="str">
        <f>IF(ISNUMBER(deployment_raw[[#This Row],[Column19]]), IF(K425&lt;&gt;0,(deployment_raw[[#This Row],[Column19]]/IF(OR($E$2="Deployment",deployment_raw[[#This Row],[Column5]]=0),1,deployment_raw[[#This Row],[Column5]]))/K425,0),"")</f>
        <v/>
      </c>
      <c r="K425" s="72" t="str">
        <f>IF(ISNUMBER(deployment_raw[[#This Row],[Column8]]), (deployment_raw[[#This Row],[Column8]]  * IF($E$2="Deployment",deployment_raw[[#This Row],[Column5]],1)),"")</f>
        <v/>
      </c>
      <c r="L42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2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25" s="81" t="str">
        <f>IF(ISNUMBER(deployment_raw[[#This Row],[Column20]]), IF(O425&lt;&gt;0,deployment_raw[[#This Row],[Column20]]/IF(OR($E$2="Deployment",deployment_raw[[#This Row],[Column5]]=0),1,deployment_raw[[#This Row],[Column5]])/1048576/O425,0),"")</f>
        <v/>
      </c>
      <c r="O425" s="74" t="str">
        <f>IF(ISNUMBER(deployment_raw[[#This Row],[Column7]]), (deployment_raw[[#This Row],[Column7]] * IF($E$2="Deployment",deployment_raw[[#This Row],[Column5]],1))/1048576,"")</f>
        <v/>
      </c>
      <c r="P425" s="81" t="str">
        <f>IF(ISNUMBER(deployment_raw[[#This Row],[Column20]]), IF(Q425&lt;&gt;0,deployment_raw[[#This Row],[Column20]]/IF(OR($E$2="Deployment",deployment_raw[[#This Row],[Column5]]=0),1,deployment_raw[[#This Row],[Column5]])/1048576/Q425,0),"")</f>
        <v/>
      </c>
      <c r="Q425" s="76" t="str">
        <f>IF(ISNUMBER(deployment_raw[[#This Row],[Column9]]), (deployment_raw[[#This Row],[Column9]] * IF($E$2="Deployment",deployment_raw[[#This Row],[Column5]],1))/1048576,"")</f>
        <v/>
      </c>
      <c r="R425" s="57" t="str">
        <f>IF(ISNUMBER(deployment_raw[[#This Row],[Column10]]), (deployment_raw[[#This Row],[Column10]] * IF($E$2="Deployment",deployment_raw[[#This Row],[Column5]],1)),"")</f>
        <v/>
      </c>
      <c r="S425" s="48" t="str">
        <f>IF(ISNUMBER(deployment_raw[[#This Row],[Column11]]), (deployment_raw[[#This Row],[Column11]] * IF($E$2="Deployment",deployment_raw[[#This Row],[Column5]],1))/1048576,"")</f>
        <v/>
      </c>
      <c r="T425" s="59" t="str">
        <f>IF(ISNUMBER(deployment_raw[[#This Row],[Column8]]),IF(OR(deployment_raw[[#This Row],[Column5]] &lt;&gt; 0,$E$2 &lt;&gt; "Deployment"), MAX(V425, ($T$2 * IF($E$2="Deployment",deployment_raw[[#This Row],[Column5]],1))), 0),"")</f>
        <v/>
      </c>
      <c r="U425" s="50" t="str">
        <f>IF(ISNUMBER(deployment_raw[[#This Row],[Column9]]),IF(OR(deployment_raw[[#This Row],[Column5]] &lt;&gt; 0,$E$2&lt;&gt;"Deployment"), MAX(W425, ($U$2 * IF($E$2="Deployment",deployment_raw[[#This Row],[Column5]],1))), 0),"")</f>
        <v/>
      </c>
      <c r="V425" s="15" t="str">
        <f>IF(ISNUMBER(deployment_raw[[#This Row],[Column12]]), (deployment_raw[[#This Row],[Column12]] * IF($E$2="Deployment",deployment_raw[[#This Row],[Column5]],1)*(1+$V$2)),"")</f>
        <v/>
      </c>
      <c r="W425" s="14" t="str">
        <f>IF(ISNUMBER(deployment_raw[[#This Row],[Column13]]), (deployment_raw[[#This Row],[Column13]] * IF($E$2="Deployment",deployment_raw[[#This Row],[Column5]],1)*(1+$W$2))/1048576,"")</f>
        <v/>
      </c>
    </row>
    <row r="426" spans="1:23" ht="15.75" customHeight="1" x14ac:dyDescent="0.25">
      <c r="A426" s="5" t="str">
        <f>IF(ISNONTEXT(deployment_raw[[#This Row],[Column1]]), "", deployment_raw[[#This Row],[Column1]])</f>
        <v/>
      </c>
      <c r="B426" s="6" t="str">
        <f>IF(ISNONTEXT(deployment_raw[[#This Row],[Column2]]), "", deployment_raw[[#This Row],[Column2]])</f>
        <v/>
      </c>
      <c r="C426" s="6" t="str">
        <f>IF(ISNONTEXT(deployment_raw[[#This Row],[Column3]]), "", deployment_raw[[#This Row],[Column3]])</f>
        <v/>
      </c>
      <c r="D426" s="6" t="str">
        <f>IF(ISNONTEXT(deployment_raw[[#This Row],[Column4]]), "", deployment_raw[[#This Row],[Column4]])</f>
        <v/>
      </c>
      <c r="E426" s="7" t="str">
        <f>IF(ISNUMBER(deployment_raw[[#This Row],[Column5]]), deployment_raw[[#This Row],[Column5]],"")</f>
        <v/>
      </c>
      <c r="F426" s="32" t="str">
        <f>IF(ISNUMBER(deployment_raw[[#This Row],[Column17]]), deployment_raw[[#This Row],[Column17]]/IF(OR($E$2="Deployment",deployment_raw[[#This Row],[Column5]]=0),1,deployment_raw[[#This Row],[Column5]]),"")</f>
        <v/>
      </c>
      <c r="G426" s="42" t="str">
        <f>IF(ISNUMBER(deployment_raw[[#This Row],[Column14]]), deployment_raw[[#This Row],[Column14]]/IF(OR($E$2="Deployment",deployment_raw[[#This Row],[Column5]]=0),1,deployment_raw[[#This Row],[Column5]]),"")</f>
        <v/>
      </c>
      <c r="H426" s="79" t="str">
        <f>IF(ISNUMBER(deployment_raw[[#This Row],[Column19]]), IF(I426&lt;&gt;0,(deployment_raw[[#This Row],[Column19]]/IF(OR($E$2="Deployment",deployment_raw[[#This Row],[Column5]]=0),1,deployment_raw[[#This Row],[Column5]]))/I426,0),"")</f>
        <v/>
      </c>
      <c r="I426" s="69" t="str">
        <f>IF(ISNUMBER(deployment_raw[[#This Row],[Column6]]), (deployment_raw[[#This Row],[Column6]] * IF($E$2="Deployment",deployment_raw[[#This Row],[Column5]],1)),"")</f>
        <v/>
      </c>
      <c r="J426" s="79" t="str">
        <f>IF(ISNUMBER(deployment_raw[[#This Row],[Column19]]), IF(K426&lt;&gt;0,(deployment_raw[[#This Row],[Column19]]/IF(OR($E$2="Deployment",deployment_raw[[#This Row],[Column5]]=0),1,deployment_raw[[#This Row],[Column5]]))/K426,0),"")</f>
        <v/>
      </c>
      <c r="K426" s="72" t="str">
        <f>IF(ISNUMBER(deployment_raw[[#This Row],[Column8]]), (deployment_raw[[#This Row],[Column8]]  * IF($E$2="Deployment",deployment_raw[[#This Row],[Column5]],1)),"")</f>
        <v/>
      </c>
      <c r="L42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2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26" s="81" t="str">
        <f>IF(ISNUMBER(deployment_raw[[#This Row],[Column20]]), IF(O426&lt;&gt;0,deployment_raw[[#This Row],[Column20]]/IF(OR($E$2="Deployment",deployment_raw[[#This Row],[Column5]]=0),1,deployment_raw[[#This Row],[Column5]])/1048576/O426,0),"")</f>
        <v/>
      </c>
      <c r="O426" s="74" t="str">
        <f>IF(ISNUMBER(deployment_raw[[#This Row],[Column7]]), (deployment_raw[[#This Row],[Column7]] * IF($E$2="Deployment",deployment_raw[[#This Row],[Column5]],1))/1048576,"")</f>
        <v/>
      </c>
      <c r="P426" s="81" t="str">
        <f>IF(ISNUMBER(deployment_raw[[#This Row],[Column20]]), IF(Q426&lt;&gt;0,deployment_raw[[#This Row],[Column20]]/IF(OR($E$2="Deployment",deployment_raw[[#This Row],[Column5]]=0),1,deployment_raw[[#This Row],[Column5]])/1048576/Q426,0),"")</f>
        <v/>
      </c>
      <c r="Q426" s="76" t="str">
        <f>IF(ISNUMBER(deployment_raw[[#This Row],[Column9]]), (deployment_raw[[#This Row],[Column9]] * IF($E$2="Deployment",deployment_raw[[#This Row],[Column5]],1))/1048576,"")</f>
        <v/>
      </c>
      <c r="R426" s="57" t="str">
        <f>IF(ISNUMBER(deployment_raw[[#This Row],[Column10]]), (deployment_raw[[#This Row],[Column10]] * IF($E$2="Deployment",deployment_raw[[#This Row],[Column5]],1)),"")</f>
        <v/>
      </c>
      <c r="S426" s="48" t="str">
        <f>IF(ISNUMBER(deployment_raw[[#This Row],[Column11]]), (deployment_raw[[#This Row],[Column11]] * IF($E$2="Deployment",deployment_raw[[#This Row],[Column5]],1))/1048576,"")</f>
        <v/>
      </c>
      <c r="T426" s="59" t="str">
        <f>IF(ISNUMBER(deployment_raw[[#This Row],[Column8]]),IF(OR(deployment_raw[[#This Row],[Column5]] &lt;&gt; 0,$E$2 &lt;&gt; "Deployment"), MAX(V426, ($T$2 * IF($E$2="Deployment",deployment_raw[[#This Row],[Column5]],1))), 0),"")</f>
        <v/>
      </c>
      <c r="U426" s="50" t="str">
        <f>IF(ISNUMBER(deployment_raw[[#This Row],[Column9]]),IF(OR(deployment_raw[[#This Row],[Column5]] &lt;&gt; 0,$E$2&lt;&gt;"Deployment"), MAX(W426, ($U$2 * IF($E$2="Deployment",deployment_raw[[#This Row],[Column5]],1))), 0),"")</f>
        <v/>
      </c>
      <c r="V426" s="15" t="str">
        <f>IF(ISNUMBER(deployment_raw[[#This Row],[Column12]]), (deployment_raw[[#This Row],[Column12]] * IF($E$2="Deployment",deployment_raw[[#This Row],[Column5]],1)*(1+$V$2)),"")</f>
        <v/>
      </c>
      <c r="W426" s="14" t="str">
        <f>IF(ISNUMBER(deployment_raw[[#This Row],[Column13]]), (deployment_raw[[#This Row],[Column13]] * IF($E$2="Deployment",deployment_raw[[#This Row],[Column5]],1)*(1+$W$2))/1048576,"")</f>
        <v/>
      </c>
    </row>
    <row r="427" spans="1:23" ht="15.75" customHeight="1" x14ac:dyDescent="0.25">
      <c r="A427" s="5" t="str">
        <f>IF(ISNONTEXT(deployment_raw[[#This Row],[Column1]]), "", deployment_raw[[#This Row],[Column1]])</f>
        <v/>
      </c>
      <c r="B427" s="6" t="str">
        <f>IF(ISNONTEXT(deployment_raw[[#This Row],[Column2]]), "", deployment_raw[[#This Row],[Column2]])</f>
        <v/>
      </c>
      <c r="C427" s="6" t="str">
        <f>IF(ISNONTEXT(deployment_raw[[#This Row],[Column3]]), "", deployment_raw[[#This Row],[Column3]])</f>
        <v/>
      </c>
      <c r="D427" s="6" t="str">
        <f>IF(ISNONTEXT(deployment_raw[[#This Row],[Column4]]), "", deployment_raw[[#This Row],[Column4]])</f>
        <v/>
      </c>
      <c r="E427" s="7" t="str">
        <f>IF(ISNUMBER(deployment_raw[[#This Row],[Column5]]), deployment_raw[[#This Row],[Column5]],"")</f>
        <v/>
      </c>
      <c r="F427" s="32" t="str">
        <f>IF(ISNUMBER(deployment_raw[[#This Row],[Column17]]), deployment_raw[[#This Row],[Column17]]/IF(OR($E$2="Deployment",deployment_raw[[#This Row],[Column5]]=0),1,deployment_raw[[#This Row],[Column5]]),"")</f>
        <v/>
      </c>
      <c r="G427" s="42" t="str">
        <f>IF(ISNUMBER(deployment_raw[[#This Row],[Column14]]), deployment_raw[[#This Row],[Column14]]/IF(OR($E$2="Deployment",deployment_raw[[#This Row],[Column5]]=0),1,deployment_raw[[#This Row],[Column5]]),"")</f>
        <v/>
      </c>
      <c r="H427" s="79" t="str">
        <f>IF(ISNUMBER(deployment_raw[[#This Row],[Column19]]), IF(I427&lt;&gt;0,(deployment_raw[[#This Row],[Column19]]/IF(OR($E$2="Deployment",deployment_raw[[#This Row],[Column5]]=0),1,deployment_raw[[#This Row],[Column5]]))/I427,0),"")</f>
        <v/>
      </c>
      <c r="I427" s="69" t="str">
        <f>IF(ISNUMBER(deployment_raw[[#This Row],[Column6]]), (deployment_raw[[#This Row],[Column6]] * IF($E$2="Deployment",deployment_raw[[#This Row],[Column5]],1)),"")</f>
        <v/>
      </c>
      <c r="J427" s="79" t="str">
        <f>IF(ISNUMBER(deployment_raw[[#This Row],[Column19]]), IF(K427&lt;&gt;0,(deployment_raw[[#This Row],[Column19]]/IF(OR($E$2="Deployment",deployment_raw[[#This Row],[Column5]]=0),1,deployment_raw[[#This Row],[Column5]]))/K427,0),"")</f>
        <v/>
      </c>
      <c r="K427" s="72" t="str">
        <f>IF(ISNUMBER(deployment_raw[[#This Row],[Column8]]), (deployment_raw[[#This Row],[Column8]]  * IF($E$2="Deployment",deployment_raw[[#This Row],[Column5]],1)),"")</f>
        <v/>
      </c>
      <c r="L42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2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27" s="81" t="str">
        <f>IF(ISNUMBER(deployment_raw[[#This Row],[Column20]]), IF(O427&lt;&gt;0,deployment_raw[[#This Row],[Column20]]/IF(OR($E$2="Deployment",deployment_raw[[#This Row],[Column5]]=0),1,deployment_raw[[#This Row],[Column5]])/1048576/O427,0),"")</f>
        <v/>
      </c>
      <c r="O427" s="74" t="str">
        <f>IF(ISNUMBER(deployment_raw[[#This Row],[Column7]]), (deployment_raw[[#This Row],[Column7]] * IF($E$2="Deployment",deployment_raw[[#This Row],[Column5]],1))/1048576,"")</f>
        <v/>
      </c>
      <c r="P427" s="81" t="str">
        <f>IF(ISNUMBER(deployment_raw[[#This Row],[Column20]]), IF(Q427&lt;&gt;0,deployment_raw[[#This Row],[Column20]]/IF(OR($E$2="Deployment",deployment_raw[[#This Row],[Column5]]=0),1,deployment_raw[[#This Row],[Column5]])/1048576/Q427,0),"")</f>
        <v/>
      </c>
      <c r="Q427" s="76" t="str">
        <f>IF(ISNUMBER(deployment_raw[[#This Row],[Column9]]), (deployment_raw[[#This Row],[Column9]] * IF($E$2="Deployment",deployment_raw[[#This Row],[Column5]],1))/1048576,"")</f>
        <v/>
      </c>
      <c r="R427" s="57" t="str">
        <f>IF(ISNUMBER(deployment_raw[[#This Row],[Column10]]), (deployment_raw[[#This Row],[Column10]] * IF($E$2="Deployment",deployment_raw[[#This Row],[Column5]],1)),"")</f>
        <v/>
      </c>
      <c r="S427" s="48" t="str">
        <f>IF(ISNUMBER(deployment_raw[[#This Row],[Column11]]), (deployment_raw[[#This Row],[Column11]] * IF($E$2="Deployment",deployment_raw[[#This Row],[Column5]],1))/1048576,"")</f>
        <v/>
      </c>
      <c r="T427" s="59" t="str">
        <f>IF(ISNUMBER(deployment_raw[[#This Row],[Column8]]),IF(OR(deployment_raw[[#This Row],[Column5]] &lt;&gt; 0,$E$2 &lt;&gt; "Deployment"), MAX(V427, ($T$2 * IF($E$2="Deployment",deployment_raw[[#This Row],[Column5]],1))), 0),"")</f>
        <v/>
      </c>
      <c r="U427" s="50" t="str">
        <f>IF(ISNUMBER(deployment_raw[[#This Row],[Column9]]),IF(OR(deployment_raw[[#This Row],[Column5]] &lt;&gt; 0,$E$2&lt;&gt;"Deployment"), MAX(W427, ($U$2 * IF($E$2="Deployment",deployment_raw[[#This Row],[Column5]],1))), 0),"")</f>
        <v/>
      </c>
      <c r="V427" s="15" t="str">
        <f>IF(ISNUMBER(deployment_raw[[#This Row],[Column12]]), (deployment_raw[[#This Row],[Column12]] * IF($E$2="Deployment",deployment_raw[[#This Row],[Column5]],1)*(1+$V$2)),"")</f>
        <v/>
      </c>
      <c r="W427" s="14" t="str">
        <f>IF(ISNUMBER(deployment_raw[[#This Row],[Column13]]), (deployment_raw[[#This Row],[Column13]] * IF($E$2="Deployment",deployment_raw[[#This Row],[Column5]],1)*(1+$W$2))/1048576,"")</f>
        <v/>
      </c>
    </row>
    <row r="428" spans="1:23" ht="15.75" customHeight="1" x14ac:dyDescent="0.25">
      <c r="A428" s="5" t="str">
        <f>IF(ISNONTEXT(deployment_raw[[#This Row],[Column1]]), "", deployment_raw[[#This Row],[Column1]])</f>
        <v/>
      </c>
      <c r="B428" s="6" t="str">
        <f>IF(ISNONTEXT(deployment_raw[[#This Row],[Column2]]), "", deployment_raw[[#This Row],[Column2]])</f>
        <v/>
      </c>
      <c r="C428" s="6" t="str">
        <f>IF(ISNONTEXT(deployment_raw[[#This Row],[Column3]]), "", deployment_raw[[#This Row],[Column3]])</f>
        <v/>
      </c>
      <c r="D428" s="6" t="str">
        <f>IF(ISNONTEXT(deployment_raw[[#This Row],[Column4]]), "", deployment_raw[[#This Row],[Column4]])</f>
        <v/>
      </c>
      <c r="E428" s="7" t="str">
        <f>IF(ISNUMBER(deployment_raw[[#This Row],[Column5]]), deployment_raw[[#This Row],[Column5]],"")</f>
        <v/>
      </c>
      <c r="F428" s="32" t="str">
        <f>IF(ISNUMBER(deployment_raw[[#This Row],[Column17]]), deployment_raw[[#This Row],[Column17]]/IF(OR($E$2="Deployment",deployment_raw[[#This Row],[Column5]]=0),1,deployment_raw[[#This Row],[Column5]]),"")</f>
        <v/>
      </c>
      <c r="G428" s="42" t="str">
        <f>IF(ISNUMBER(deployment_raw[[#This Row],[Column14]]), deployment_raw[[#This Row],[Column14]]/IF(OR($E$2="Deployment",deployment_raw[[#This Row],[Column5]]=0),1,deployment_raw[[#This Row],[Column5]]),"")</f>
        <v/>
      </c>
      <c r="H428" s="79" t="str">
        <f>IF(ISNUMBER(deployment_raw[[#This Row],[Column19]]), IF(I428&lt;&gt;0,(deployment_raw[[#This Row],[Column19]]/IF(OR($E$2="Deployment",deployment_raw[[#This Row],[Column5]]=0),1,deployment_raw[[#This Row],[Column5]]))/I428,0),"")</f>
        <v/>
      </c>
      <c r="I428" s="69" t="str">
        <f>IF(ISNUMBER(deployment_raw[[#This Row],[Column6]]), (deployment_raw[[#This Row],[Column6]] * IF($E$2="Deployment",deployment_raw[[#This Row],[Column5]],1)),"")</f>
        <v/>
      </c>
      <c r="J428" s="79" t="str">
        <f>IF(ISNUMBER(deployment_raw[[#This Row],[Column19]]), IF(K428&lt;&gt;0,(deployment_raw[[#This Row],[Column19]]/IF(OR($E$2="Deployment",deployment_raw[[#This Row],[Column5]]=0),1,deployment_raw[[#This Row],[Column5]]))/K428,0),"")</f>
        <v/>
      </c>
      <c r="K428" s="72" t="str">
        <f>IF(ISNUMBER(deployment_raw[[#This Row],[Column8]]), (deployment_raw[[#This Row],[Column8]]  * IF($E$2="Deployment",deployment_raw[[#This Row],[Column5]],1)),"")</f>
        <v/>
      </c>
      <c r="L42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2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28" s="81" t="str">
        <f>IF(ISNUMBER(deployment_raw[[#This Row],[Column20]]), IF(O428&lt;&gt;0,deployment_raw[[#This Row],[Column20]]/IF(OR($E$2="Deployment",deployment_raw[[#This Row],[Column5]]=0),1,deployment_raw[[#This Row],[Column5]])/1048576/O428,0),"")</f>
        <v/>
      </c>
      <c r="O428" s="74" t="str">
        <f>IF(ISNUMBER(deployment_raw[[#This Row],[Column7]]), (deployment_raw[[#This Row],[Column7]] * IF($E$2="Deployment",deployment_raw[[#This Row],[Column5]],1))/1048576,"")</f>
        <v/>
      </c>
      <c r="P428" s="81" t="str">
        <f>IF(ISNUMBER(deployment_raw[[#This Row],[Column20]]), IF(Q428&lt;&gt;0,deployment_raw[[#This Row],[Column20]]/IF(OR($E$2="Deployment",deployment_raw[[#This Row],[Column5]]=0),1,deployment_raw[[#This Row],[Column5]])/1048576/Q428,0),"")</f>
        <v/>
      </c>
      <c r="Q428" s="76" t="str">
        <f>IF(ISNUMBER(deployment_raw[[#This Row],[Column9]]), (deployment_raw[[#This Row],[Column9]] * IF($E$2="Deployment",deployment_raw[[#This Row],[Column5]],1))/1048576,"")</f>
        <v/>
      </c>
      <c r="R428" s="57" t="str">
        <f>IF(ISNUMBER(deployment_raw[[#This Row],[Column10]]), (deployment_raw[[#This Row],[Column10]] * IF($E$2="Deployment",deployment_raw[[#This Row],[Column5]],1)),"")</f>
        <v/>
      </c>
      <c r="S428" s="48" t="str">
        <f>IF(ISNUMBER(deployment_raw[[#This Row],[Column11]]), (deployment_raw[[#This Row],[Column11]] * IF($E$2="Deployment",deployment_raw[[#This Row],[Column5]],1))/1048576,"")</f>
        <v/>
      </c>
      <c r="T428" s="59" t="str">
        <f>IF(ISNUMBER(deployment_raw[[#This Row],[Column8]]),IF(OR(deployment_raw[[#This Row],[Column5]] &lt;&gt; 0,$E$2 &lt;&gt; "Deployment"), MAX(V428, ($T$2 * IF($E$2="Deployment",deployment_raw[[#This Row],[Column5]],1))), 0),"")</f>
        <v/>
      </c>
      <c r="U428" s="50" t="str">
        <f>IF(ISNUMBER(deployment_raw[[#This Row],[Column9]]),IF(OR(deployment_raw[[#This Row],[Column5]] &lt;&gt; 0,$E$2&lt;&gt;"Deployment"), MAX(W428, ($U$2 * IF($E$2="Deployment",deployment_raw[[#This Row],[Column5]],1))), 0),"")</f>
        <v/>
      </c>
      <c r="V428" s="15" t="str">
        <f>IF(ISNUMBER(deployment_raw[[#This Row],[Column12]]), (deployment_raw[[#This Row],[Column12]] * IF($E$2="Deployment",deployment_raw[[#This Row],[Column5]],1)*(1+$V$2)),"")</f>
        <v/>
      </c>
      <c r="W428" s="14" t="str">
        <f>IF(ISNUMBER(deployment_raw[[#This Row],[Column13]]), (deployment_raw[[#This Row],[Column13]] * IF($E$2="Deployment",deployment_raw[[#This Row],[Column5]],1)*(1+$W$2))/1048576,"")</f>
        <v/>
      </c>
    </row>
    <row r="429" spans="1:23" ht="15.75" customHeight="1" x14ac:dyDescent="0.25">
      <c r="A429" s="5" t="str">
        <f>IF(ISNONTEXT(deployment_raw[[#This Row],[Column1]]), "", deployment_raw[[#This Row],[Column1]])</f>
        <v/>
      </c>
      <c r="B429" s="6" t="str">
        <f>IF(ISNONTEXT(deployment_raw[[#This Row],[Column2]]), "", deployment_raw[[#This Row],[Column2]])</f>
        <v/>
      </c>
      <c r="C429" s="6" t="str">
        <f>IF(ISNONTEXT(deployment_raw[[#This Row],[Column3]]), "", deployment_raw[[#This Row],[Column3]])</f>
        <v/>
      </c>
      <c r="D429" s="6" t="str">
        <f>IF(ISNONTEXT(deployment_raw[[#This Row],[Column4]]), "", deployment_raw[[#This Row],[Column4]])</f>
        <v/>
      </c>
      <c r="E429" s="7" t="str">
        <f>IF(ISNUMBER(deployment_raw[[#This Row],[Column5]]), deployment_raw[[#This Row],[Column5]],"")</f>
        <v/>
      </c>
      <c r="F429" s="32" t="str">
        <f>IF(ISNUMBER(deployment_raw[[#This Row],[Column17]]), deployment_raw[[#This Row],[Column17]]/IF(OR($E$2="Deployment",deployment_raw[[#This Row],[Column5]]=0),1,deployment_raw[[#This Row],[Column5]]),"")</f>
        <v/>
      </c>
      <c r="G429" s="42" t="str">
        <f>IF(ISNUMBER(deployment_raw[[#This Row],[Column14]]), deployment_raw[[#This Row],[Column14]]/IF(OR($E$2="Deployment",deployment_raw[[#This Row],[Column5]]=0),1,deployment_raw[[#This Row],[Column5]]),"")</f>
        <v/>
      </c>
      <c r="H429" s="79" t="str">
        <f>IF(ISNUMBER(deployment_raw[[#This Row],[Column19]]), IF(I429&lt;&gt;0,(deployment_raw[[#This Row],[Column19]]/IF(OR($E$2="Deployment",deployment_raw[[#This Row],[Column5]]=0),1,deployment_raw[[#This Row],[Column5]]))/I429,0),"")</f>
        <v/>
      </c>
      <c r="I429" s="69" t="str">
        <f>IF(ISNUMBER(deployment_raw[[#This Row],[Column6]]), (deployment_raw[[#This Row],[Column6]] * IF($E$2="Deployment",deployment_raw[[#This Row],[Column5]],1)),"")</f>
        <v/>
      </c>
      <c r="J429" s="79" t="str">
        <f>IF(ISNUMBER(deployment_raw[[#This Row],[Column19]]), IF(K429&lt;&gt;0,(deployment_raw[[#This Row],[Column19]]/IF(OR($E$2="Deployment",deployment_raw[[#This Row],[Column5]]=0),1,deployment_raw[[#This Row],[Column5]]))/K429,0),"")</f>
        <v/>
      </c>
      <c r="K429" s="72" t="str">
        <f>IF(ISNUMBER(deployment_raw[[#This Row],[Column8]]), (deployment_raw[[#This Row],[Column8]]  * IF($E$2="Deployment",deployment_raw[[#This Row],[Column5]],1)),"")</f>
        <v/>
      </c>
      <c r="L42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2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29" s="81" t="str">
        <f>IF(ISNUMBER(deployment_raw[[#This Row],[Column20]]), IF(O429&lt;&gt;0,deployment_raw[[#This Row],[Column20]]/IF(OR($E$2="Deployment",deployment_raw[[#This Row],[Column5]]=0),1,deployment_raw[[#This Row],[Column5]])/1048576/O429,0),"")</f>
        <v/>
      </c>
      <c r="O429" s="74" t="str">
        <f>IF(ISNUMBER(deployment_raw[[#This Row],[Column7]]), (deployment_raw[[#This Row],[Column7]] * IF($E$2="Deployment",deployment_raw[[#This Row],[Column5]],1))/1048576,"")</f>
        <v/>
      </c>
      <c r="P429" s="81" t="str">
        <f>IF(ISNUMBER(deployment_raw[[#This Row],[Column20]]), IF(Q429&lt;&gt;0,deployment_raw[[#This Row],[Column20]]/IF(OR($E$2="Deployment",deployment_raw[[#This Row],[Column5]]=0),1,deployment_raw[[#This Row],[Column5]])/1048576/Q429,0),"")</f>
        <v/>
      </c>
      <c r="Q429" s="76" t="str">
        <f>IF(ISNUMBER(deployment_raw[[#This Row],[Column9]]), (deployment_raw[[#This Row],[Column9]] * IF($E$2="Deployment",deployment_raw[[#This Row],[Column5]],1))/1048576,"")</f>
        <v/>
      </c>
      <c r="R429" s="57" t="str">
        <f>IF(ISNUMBER(deployment_raw[[#This Row],[Column10]]), (deployment_raw[[#This Row],[Column10]] * IF($E$2="Deployment",deployment_raw[[#This Row],[Column5]],1)),"")</f>
        <v/>
      </c>
      <c r="S429" s="48" t="str">
        <f>IF(ISNUMBER(deployment_raw[[#This Row],[Column11]]), (deployment_raw[[#This Row],[Column11]] * IF($E$2="Deployment",deployment_raw[[#This Row],[Column5]],1))/1048576,"")</f>
        <v/>
      </c>
      <c r="T429" s="59" t="str">
        <f>IF(ISNUMBER(deployment_raw[[#This Row],[Column8]]),IF(OR(deployment_raw[[#This Row],[Column5]] &lt;&gt; 0,$E$2 &lt;&gt; "Deployment"), MAX(V429, ($T$2 * IF($E$2="Deployment",deployment_raw[[#This Row],[Column5]],1))), 0),"")</f>
        <v/>
      </c>
      <c r="U429" s="50" t="str">
        <f>IF(ISNUMBER(deployment_raw[[#This Row],[Column9]]),IF(OR(deployment_raw[[#This Row],[Column5]] &lt;&gt; 0,$E$2&lt;&gt;"Deployment"), MAX(W429, ($U$2 * IF($E$2="Deployment",deployment_raw[[#This Row],[Column5]],1))), 0),"")</f>
        <v/>
      </c>
      <c r="V429" s="15" t="str">
        <f>IF(ISNUMBER(deployment_raw[[#This Row],[Column12]]), (deployment_raw[[#This Row],[Column12]] * IF($E$2="Deployment",deployment_raw[[#This Row],[Column5]],1)*(1+$V$2)),"")</f>
        <v/>
      </c>
      <c r="W429" s="14" t="str">
        <f>IF(ISNUMBER(deployment_raw[[#This Row],[Column13]]), (deployment_raw[[#This Row],[Column13]] * IF($E$2="Deployment",deployment_raw[[#This Row],[Column5]],1)*(1+$W$2))/1048576,"")</f>
        <v/>
      </c>
    </row>
    <row r="430" spans="1:23" ht="15.75" customHeight="1" x14ac:dyDescent="0.25">
      <c r="A430" s="5" t="str">
        <f>IF(ISNONTEXT(deployment_raw[[#This Row],[Column1]]), "", deployment_raw[[#This Row],[Column1]])</f>
        <v/>
      </c>
      <c r="B430" s="6" t="str">
        <f>IF(ISNONTEXT(deployment_raw[[#This Row],[Column2]]), "", deployment_raw[[#This Row],[Column2]])</f>
        <v/>
      </c>
      <c r="C430" s="6" t="str">
        <f>IF(ISNONTEXT(deployment_raw[[#This Row],[Column3]]), "", deployment_raw[[#This Row],[Column3]])</f>
        <v/>
      </c>
      <c r="D430" s="6" t="str">
        <f>IF(ISNONTEXT(deployment_raw[[#This Row],[Column4]]), "", deployment_raw[[#This Row],[Column4]])</f>
        <v/>
      </c>
      <c r="E430" s="7" t="str">
        <f>IF(ISNUMBER(deployment_raw[[#This Row],[Column5]]), deployment_raw[[#This Row],[Column5]],"")</f>
        <v/>
      </c>
      <c r="F430" s="32" t="str">
        <f>IF(ISNUMBER(deployment_raw[[#This Row],[Column17]]), deployment_raw[[#This Row],[Column17]]/IF(OR($E$2="Deployment",deployment_raw[[#This Row],[Column5]]=0),1,deployment_raw[[#This Row],[Column5]]),"")</f>
        <v/>
      </c>
      <c r="G430" s="42" t="str">
        <f>IF(ISNUMBER(deployment_raw[[#This Row],[Column14]]), deployment_raw[[#This Row],[Column14]]/IF(OR($E$2="Deployment",deployment_raw[[#This Row],[Column5]]=0),1,deployment_raw[[#This Row],[Column5]]),"")</f>
        <v/>
      </c>
      <c r="H430" s="79" t="str">
        <f>IF(ISNUMBER(deployment_raw[[#This Row],[Column19]]), IF(I430&lt;&gt;0,(deployment_raw[[#This Row],[Column19]]/IF(OR($E$2="Deployment",deployment_raw[[#This Row],[Column5]]=0),1,deployment_raw[[#This Row],[Column5]]))/I430,0),"")</f>
        <v/>
      </c>
      <c r="I430" s="69" t="str">
        <f>IF(ISNUMBER(deployment_raw[[#This Row],[Column6]]), (deployment_raw[[#This Row],[Column6]] * IF($E$2="Deployment",deployment_raw[[#This Row],[Column5]],1)),"")</f>
        <v/>
      </c>
      <c r="J430" s="79" t="str">
        <f>IF(ISNUMBER(deployment_raw[[#This Row],[Column19]]), IF(K430&lt;&gt;0,(deployment_raw[[#This Row],[Column19]]/IF(OR($E$2="Deployment",deployment_raw[[#This Row],[Column5]]=0),1,deployment_raw[[#This Row],[Column5]]))/K430,0),"")</f>
        <v/>
      </c>
      <c r="K430" s="72" t="str">
        <f>IF(ISNUMBER(deployment_raw[[#This Row],[Column8]]), (deployment_raw[[#This Row],[Column8]]  * IF($E$2="Deployment",deployment_raw[[#This Row],[Column5]],1)),"")</f>
        <v/>
      </c>
      <c r="L43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3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30" s="81" t="str">
        <f>IF(ISNUMBER(deployment_raw[[#This Row],[Column20]]), IF(O430&lt;&gt;0,deployment_raw[[#This Row],[Column20]]/IF(OR($E$2="Deployment",deployment_raw[[#This Row],[Column5]]=0),1,deployment_raw[[#This Row],[Column5]])/1048576/O430,0),"")</f>
        <v/>
      </c>
      <c r="O430" s="74" t="str">
        <f>IF(ISNUMBER(deployment_raw[[#This Row],[Column7]]), (deployment_raw[[#This Row],[Column7]] * IF($E$2="Deployment",deployment_raw[[#This Row],[Column5]],1))/1048576,"")</f>
        <v/>
      </c>
      <c r="P430" s="81" t="str">
        <f>IF(ISNUMBER(deployment_raw[[#This Row],[Column20]]), IF(Q430&lt;&gt;0,deployment_raw[[#This Row],[Column20]]/IF(OR($E$2="Deployment",deployment_raw[[#This Row],[Column5]]=0),1,deployment_raw[[#This Row],[Column5]])/1048576/Q430,0),"")</f>
        <v/>
      </c>
      <c r="Q430" s="76" t="str">
        <f>IF(ISNUMBER(deployment_raw[[#This Row],[Column9]]), (deployment_raw[[#This Row],[Column9]] * IF($E$2="Deployment",deployment_raw[[#This Row],[Column5]],1))/1048576,"")</f>
        <v/>
      </c>
      <c r="R430" s="57" t="str">
        <f>IF(ISNUMBER(deployment_raw[[#This Row],[Column10]]), (deployment_raw[[#This Row],[Column10]] * IF($E$2="Deployment",deployment_raw[[#This Row],[Column5]],1)),"")</f>
        <v/>
      </c>
      <c r="S430" s="48" t="str">
        <f>IF(ISNUMBER(deployment_raw[[#This Row],[Column11]]), (deployment_raw[[#This Row],[Column11]] * IF($E$2="Deployment",deployment_raw[[#This Row],[Column5]],1))/1048576,"")</f>
        <v/>
      </c>
      <c r="T430" s="59" t="str">
        <f>IF(ISNUMBER(deployment_raw[[#This Row],[Column8]]),IF(OR(deployment_raw[[#This Row],[Column5]] &lt;&gt; 0,$E$2 &lt;&gt; "Deployment"), MAX(V430, ($T$2 * IF($E$2="Deployment",deployment_raw[[#This Row],[Column5]],1))), 0),"")</f>
        <v/>
      </c>
      <c r="U430" s="50" t="str">
        <f>IF(ISNUMBER(deployment_raw[[#This Row],[Column9]]),IF(OR(deployment_raw[[#This Row],[Column5]] &lt;&gt; 0,$E$2&lt;&gt;"Deployment"), MAX(W430, ($U$2 * IF($E$2="Deployment",deployment_raw[[#This Row],[Column5]],1))), 0),"")</f>
        <v/>
      </c>
      <c r="V430" s="15" t="str">
        <f>IF(ISNUMBER(deployment_raw[[#This Row],[Column12]]), (deployment_raw[[#This Row],[Column12]] * IF($E$2="Deployment",deployment_raw[[#This Row],[Column5]],1)*(1+$V$2)),"")</f>
        <v/>
      </c>
      <c r="W430" s="14" t="str">
        <f>IF(ISNUMBER(deployment_raw[[#This Row],[Column13]]), (deployment_raw[[#This Row],[Column13]] * IF($E$2="Deployment",deployment_raw[[#This Row],[Column5]],1)*(1+$W$2))/1048576,"")</f>
        <v/>
      </c>
    </row>
    <row r="431" spans="1:23" ht="15.75" customHeight="1" x14ac:dyDescent="0.25">
      <c r="A431" s="5" t="str">
        <f>IF(ISNONTEXT(deployment_raw[[#This Row],[Column1]]), "", deployment_raw[[#This Row],[Column1]])</f>
        <v/>
      </c>
      <c r="B431" s="6" t="str">
        <f>IF(ISNONTEXT(deployment_raw[[#This Row],[Column2]]), "", deployment_raw[[#This Row],[Column2]])</f>
        <v/>
      </c>
      <c r="C431" s="6" t="str">
        <f>IF(ISNONTEXT(deployment_raw[[#This Row],[Column3]]), "", deployment_raw[[#This Row],[Column3]])</f>
        <v/>
      </c>
      <c r="D431" s="6" t="str">
        <f>IF(ISNONTEXT(deployment_raw[[#This Row],[Column4]]), "", deployment_raw[[#This Row],[Column4]])</f>
        <v/>
      </c>
      <c r="E431" s="7" t="str">
        <f>IF(ISNUMBER(deployment_raw[[#This Row],[Column5]]), deployment_raw[[#This Row],[Column5]],"")</f>
        <v/>
      </c>
      <c r="F431" s="32" t="str">
        <f>IF(ISNUMBER(deployment_raw[[#This Row],[Column17]]), deployment_raw[[#This Row],[Column17]]/IF(OR($E$2="Deployment",deployment_raw[[#This Row],[Column5]]=0),1,deployment_raw[[#This Row],[Column5]]),"")</f>
        <v/>
      </c>
      <c r="G431" s="42" t="str">
        <f>IF(ISNUMBER(deployment_raw[[#This Row],[Column14]]), deployment_raw[[#This Row],[Column14]]/IF(OR($E$2="Deployment",deployment_raw[[#This Row],[Column5]]=0),1,deployment_raw[[#This Row],[Column5]]),"")</f>
        <v/>
      </c>
      <c r="H431" s="79" t="str">
        <f>IF(ISNUMBER(deployment_raw[[#This Row],[Column19]]), IF(I431&lt;&gt;0,(deployment_raw[[#This Row],[Column19]]/IF(OR($E$2="Deployment",deployment_raw[[#This Row],[Column5]]=0),1,deployment_raw[[#This Row],[Column5]]))/I431,0),"")</f>
        <v/>
      </c>
      <c r="I431" s="69" t="str">
        <f>IF(ISNUMBER(deployment_raw[[#This Row],[Column6]]), (deployment_raw[[#This Row],[Column6]] * IF($E$2="Deployment",deployment_raw[[#This Row],[Column5]],1)),"")</f>
        <v/>
      </c>
      <c r="J431" s="79" t="str">
        <f>IF(ISNUMBER(deployment_raw[[#This Row],[Column19]]), IF(K431&lt;&gt;0,(deployment_raw[[#This Row],[Column19]]/IF(OR($E$2="Deployment",deployment_raw[[#This Row],[Column5]]=0),1,deployment_raw[[#This Row],[Column5]]))/K431,0),"")</f>
        <v/>
      </c>
      <c r="K431" s="72" t="str">
        <f>IF(ISNUMBER(deployment_raw[[#This Row],[Column8]]), (deployment_raw[[#This Row],[Column8]]  * IF($E$2="Deployment",deployment_raw[[#This Row],[Column5]],1)),"")</f>
        <v/>
      </c>
      <c r="L43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3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31" s="81" t="str">
        <f>IF(ISNUMBER(deployment_raw[[#This Row],[Column20]]), IF(O431&lt;&gt;0,deployment_raw[[#This Row],[Column20]]/IF(OR($E$2="Deployment",deployment_raw[[#This Row],[Column5]]=0),1,deployment_raw[[#This Row],[Column5]])/1048576/O431,0),"")</f>
        <v/>
      </c>
      <c r="O431" s="74" t="str">
        <f>IF(ISNUMBER(deployment_raw[[#This Row],[Column7]]), (deployment_raw[[#This Row],[Column7]] * IF($E$2="Deployment",deployment_raw[[#This Row],[Column5]],1))/1048576,"")</f>
        <v/>
      </c>
      <c r="P431" s="81" t="str">
        <f>IF(ISNUMBER(deployment_raw[[#This Row],[Column20]]), IF(Q431&lt;&gt;0,deployment_raw[[#This Row],[Column20]]/IF(OR($E$2="Deployment",deployment_raw[[#This Row],[Column5]]=0),1,deployment_raw[[#This Row],[Column5]])/1048576/Q431,0),"")</f>
        <v/>
      </c>
      <c r="Q431" s="76" t="str">
        <f>IF(ISNUMBER(deployment_raw[[#This Row],[Column9]]), (deployment_raw[[#This Row],[Column9]] * IF($E$2="Deployment",deployment_raw[[#This Row],[Column5]],1))/1048576,"")</f>
        <v/>
      </c>
      <c r="R431" s="57" t="str">
        <f>IF(ISNUMBER(deployment_raw[[#This Row],[Column10]]), (deployment_raw[[#This Row],[Column10]] * IF($E$2="Deployment",deployment_raw[[#This Row],[Column5]],1)),"")</f>
        <v/>
      </c>
      <c r="S431" s="48" t="str">
        <f>IF(ISNUMBER(deployment_raw[[#This Row],[Column11]]), (deployment_raw[[#This Row],[Column11]] * IF($E$2="Deployment",deployment_raw[[#This Row],[Column5]],1))/1048576,"")</f>
        <v/>
      </c>
      <c r="T431" s="59" t="str">
        <f>IF(ISNUMBER(deployment_raw[[#This Row],[Column8]]),IF(OR(deployment_raw[[#This Row],[Column5]] &lt;&gt; 0,$E$2 &lt;&gt; "Deployment"), MAX(V431, ($T$2 * IF($E$2="Deployment",deployment_raw[[#This Row],[Column5]],1))), 0),"")</f>
        <v/>
      </c>
      <c r="U431" s="50" t="str">
        <f>IF(ISNUMBER(deployment_raw[[#This Row],[Column9]]),IF(OR(deployment_raw[[#This Row],[Column5]] &lt;&gt; 0,$E$2&lt;&gt;"Deployment"), MAX(W431, ($U$2 * IF($E$2="Deployment",deployment_raw[[#This Row],[Column5]],1))), 0),"")</f>
        <v/>
      </c>
      <c r="V431" s="15" t="str">
        <f>IF(ISNUMBER(deployment_raw[[#This Row],[Column12]]), (deployment_raw[[#This Row],[Column12]] * IF($E$2="Deployment",deployment_raw[[#This Row],[Column5]],1)*(1+$V$2)),"")</f>
        <v/>
      </c>
      <c r="W431" s="14" t="str">
        <f>IF(ISNUMBER(deployment_raw[[#This Row],[Column13]]), (deployment_raw[[#This Row],[Column13]] * IF($E$2="Deployment",deployment_raw[[#This Row],[Column5]],1)*(1+$W$2))/1048576,"")</f>
        <v/>
      </c>
    </row>
    <row r="432" spans="1:23" ht="15.75" customHeight="1" x14ac:dyDescent="0.25">
      <c r="A432" s="5" t="str">
        <f>IF(ISNONTEXT(deployment_raw[[#This Row],[Column1]]), "", deployment_raw[[#This Row],[Column1]])</f>
        <v/>
      </c>
      <c r="B432" s="6" t="str">
        <f>IF(ISNONTEXT(deployment_raw[[#This Row],[Column2]]), "", deployment_raw[[#This Row],[Column2]])</f>
        <v/>
      </c>
      <c r="C432" s="6" t="str">
        <f>IF(ISNONTEXT(deployment_raw[[#This Row],[Column3]]), "", deployment_raw[[#This Row],[Column3]])</f>
        <v/>
      </c>
      <c r="D432" s="6" t="str">
        <f>IF(ISNONTEXT(deployment_raw[[#This Row],[Column4]]), "", deployment_raw[[#This Row],[Column4]])</f>
        <v/>
      </c>
      <c r="E432" s="7" t="str">
        <f>IF(ISNUMBER(deployment_raw[[#This Row],[Column5]]), deployment_raw[[#This Row],[Column5]],"")</f>
        <v/>
      </c>
      <c r="F432" s="32" t="str">
        <f>IF(ISNUMBER(deployment_raw[[#This Row],[Column17]]), deployment_raw[[#This Row],[Column17]]/IF(OR($E$2="Deployment",deployment_raw[[#This Row],[Column5]]=0),1,deployment_raw[[#This Row],[Column5]]),"")</f>
        <v/>
      </c>
      <c r="G432" s="42" t="str">
        <f>IF(ISNUMBER(deployment_raw[[#This Row],[Column14]]), deployment_raw[[#This Row],[Column14]]/IF(OR($E$2="Deployment",deployment_raw[[#This Row],[Column5]]=0),1,deployment_raw[[#This Row],[Column5]]),"")</f>
        <v/>
      </c>
      <c r="H432" s="79" t="str">
        <f>IF(ISNUMBER(deployment_raw[[#This Row],[Column19]]), IF(I432&lt;&gt;0,(deployment_raw[[#This Row],[Column19]]/IF(OR($E$2="Deployment",deployment_raw[[#This Row],[Column5]]=0),1,deployment_raw[[#This Row],[Column5]]))/I432,0),"")</f>
        <v/>
      </c>
      <c r="I432" s="69" t="str">
        <f>IF(ISNUMBER(deployment_raw[[#This Row],[Column6]]), (deployment_raw[[#This Row],[Column6]] * IF($E$2="Deployment",deployment_raw[[#This Row],[Column5]],1)),"")</f>
        <v/>
      </c>
      <c r="J432" s="79" t="str">
        <f>IF(ISNUMBER(deployment_raw[[#This Row],[Column19]]), IF(K432&lt;&gt;0,(deployment_raw[[#This Row],[Column19]]/IF(OR($E$2="Deployment",deployment_raw[[#This Row],[Column5]]=0),1,deployment_raw[[#This Row],[Column5]]))/K432,0),"")</f>
        <v/>
      </c>
      <c r="K432" s="72" t="str">
        <f>IF(ISNUMBER(deployment_raw[[#This Row],[Column8]]), (deployment_raw[[#This Row],[Column8]]  * IF($E$2="Deployment",deployment_raw[[#This Row],[Column5]],1)),"")</f>
        <v/>
      </c>
      <c r="L43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3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32" s="81" t="str">
        <f>IF(ISNUMBER(deployment_raw[[#This Row],[Column20]]), IF(O432&lt;&gt;0,deployment_raw[[#This Row],[Column20]]/IF(OR($E$2="Deployment",deployment_raw[[#This Row],[Column5]]=0),1,deployment_raw[[#This Row],[Column5]])/1048576/O432,0),"")</f>
        <v/>
      </c>
      <c r="O432" s="74" t="str">
        <f>IF(ISNUMBER(deployment_raw[[#This Row],[Column7]]), (deployment_raw[[#This Row],[Column7]] * IF($E$2="Deployment",deployment_raw[[#This Row],[Column5]],1))/1048576,"")</f>
        <v/>
      </c>
      <c r="P432" s="81" t="str">
        <f>IF(ISNUMBER(deployment_raw[[#This Row],[Column20]]), IF(Q432&lt;&gt;0,deployment_raw[[#This Row],[Column20]]/IF(OR($E$2="Deployment",deployment_raw[[#This Row],[Column5]]=0),1,deployment_raw[[#This Row],[Column5]])/1048576/Q432,0),"")</f>
        <v/>
      </c>
      <c r="Q432" s="76" t="str">
        <f>IF(ISNUMBER(deployment_raw[[#This Row],[Column9]]), (deployment_raw[[#This Row],[Column9]] * IF($E$2="Deployment",deployment_raw[[#This Row],[Column5]],1))/1048576,"")</f>
        <v/>
      </c>
      <c r="R432" s="57" t="str">
        <f>IF(ISNUMBER(deployment_raw[[#This Row],[Column10]]), (deployment_raw[[#This Row],[Column10]] * IF($E$2="Deployment",deployment_raw[[#This Row],[Column5]],1)),"")</f>
        <v/>
      </c>
      <c r="S432" s="48" t="str">
        <f>IF(ISNUMBER(deployment_raw[[#This Row],[Column11]]), (deployment_raw[[#This Row],[Column11]] * IF($E$2="Deployment",deployment_raw[[#This Row],[Column5]],1))/1048576,"")</f>
        <v/>
      </c>
      <c r="T432" s="59" t="str">
        <f>IF(ISNUMBER(deployment_raw[[#This Row],[Column8]]),IF(OR(deployment_raw[[#This Row],[Column5]] &lt;&gt; 0,$E$2 &lt;&gt; "Deployment"), MAX(V432, ($T$2 * IF($E$2="Deployment",deployment_raw[[#This Row],[Column5]],1))), 0),"")</f>
        <v/>
      </c>
      <c r="U432" s="50" t="str">
        <f>IF(ISNUMBER(deployment_raw[[#This Row],[Column9]]),IF(OR(deployment_raw[[#This Row],[Column5]] &lt;&gt; 0,$E$2&lt;&gt;"Deployment"), MAX(W432, ($U$2 * IF($E$2="Deployment",deployment_raw[[#This Row],[Column5]],1))), 0),"")</f>
        <v/>
      </c>
      <c r="V432" s="15" t="str">
        <f>IF(ISNUMBER(deployment_raw[[#This Row],[Column12]]), (deployment_raw[[#This Row],[Column12]] * IF($E$2="Deployment",deployment_raw[[#This Row],[Column5]],1)*(1+$V$2)),"")</f>
        <v/>
      </c>
      <c r="W432" s="14" t="str">
        <f>IF(ISNUMBER(deployment_raw[[#This Row],[Column13]]), (deployment_raw[[#This Row],[Column13]] * IF($E$2="Deployment",deployment_raw[[#This Row],[Column5]],1)*(1+$W$2))/1048576,"")</f>
        <v/>
      </c>
    </row>
    <row r="433" spans="1:23" ht="15.75" customHeight="1" x14ac:dyDescent="0.25">
      <c r="A433" s="5" t="str">
        <f>IF(ISNONTEXT(deployment_raw[[#This Row],[Column1]]), "", deployment_raw[[#This Row],[Column1]])</f>
        <v/>
      </c>
      <c r="B433" s="6" t="str">
        <f>IF(ISNONTEXT(deployment_raw[[#This Row],[Column2]]), "", deployment_raw[[#This Row],[Column2]])</f>
        <v/>
      </c>
      <c r="C433" s="6" t="str">
        <f>IF(ISNONTEXT(deployment_raw[[#This Row],[Column3]]), "", deployment_raw[[#This Row],[Column3]])</f>
        <v/>
      </c>
      <c r="D433" s="6" t="str">
        <f>IF(ISNONTEXT(deployment_raw[[#This Row],[Column4]]), "", deployment_raw[[#This Row],[Column4]])</f>
        <v/>
      </c>
      <c r="E433" s="7" t="str">
        <f>IF(ISNUMBER(deployment_raw[[#This Row],[Column5]]), deployment_raw[[#This Row],[Column5]],"")</f>
        <v/>
      </c>
      <c r="F433" s="32" t="str">
        <f>IF(ISNUMBER(deployment_raw[[#This Row],[Column17]]), deployment_raw[[#This Row],[Column17]]/IF(OR($E$2="Deployment",deployment_raw[[#This Row],[Column5]]=0),1,deployment_raw[[#This Row],[Column5]]),"")</f>
        <v/>
      </c>
      <c r="G433" s="42" t="str">
        <f>IF(ISNUMBER(deployment_raw[[#This Row],[Column14]]), deployment_raw[[#This Row],[Column14]]/IF(OR($E$2="Deployment",deployment_raw[[#This Row],[Column5]]=0),1,deployment_raw[[#This Row],[Column5]]),"")</f>
        <v/>
      </c>
      <c r="H433" s="79" t="str">
        <f>IF(ISNUMBER(deployment_raw[[#This Row],[Column19]]), IF(I433&lt;&gt;0,(deployment_raw[[#This Row],[Column19]]/IF(OR($E$2="Deployment",deployment_raw[[#This Row],[Column5]]=0),1,deployment_raw[[#This Row],[Column5]]))/I433,0),"")</f>
        <v/>
      </c>
      <c r="I433" s="69" t="str">
        <f>IF(ISNUMBER(deployment_raw[[#This Row],[Column6]]), (deployment_raw[[#This Row],[Column6]] * IF($E$2="Deployment",deployment_raw[[#This Row],[Column5]],1)),"")</f>
        <v/>
      </c>
      <c r="J433" s="79" t="str">
        <f>IF(ISNUMBER(deployment_raw[[#This Row],[Column19]]), IF(K433&lt;&gt;0,(deployment_raw[[#This Row],[Column19]]/IF(OR($E$2="Deployment",deployment_raw[[#This Row],[Column5]]=0),1,deployment_raw[[#This Row],[Column5]]))/K433,0),"")</f>
        <v/>
      </c>
      <c r="K433" s="72" t="str">
        <f>IF(ISNUMBER(deployment_raw[[#This Row],[Column8]]), (deployment_raw[[#This Row],[Column8]]  * IF($E$2="Deployment",deployment_raw[[#This Row],[Column5]],1)),"")</f>
        <v/>
      </c>
      <c r="L43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3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33" s="81" t="str">
        <f>IF(ISNUMBER(deployment_raw[[#This Row],[Column20]]), IF(O433&lt;&gt;0,deployment_raw[[#This Row],[Column20]]/IF(OR($E$2="Deployment",deployment_raw[[#This Row],[Column5]]=0),1,deployment_raw[[#This Row],[Column5]])/1048576/O433,0),"")</f>
        <v/>
      </c>
      <c r="O433" s="74" t="str">
        <f>IF(ISNUMBER(deployment_raw[[#This Row],[Column7]]), (deployment_raw[[#This Row],[Column7]] * IF($E$2="Deployment",deployment_raw[[#This Row],[Column5]],1))/1048576,"")</f>
        <v/>
      </c>
      <c r="P433" s="81" t="str">
        <f>IF(ISNUMBER(deployment_raw[[#This Row],[Column20]]), IF(Q433&lt;&gt;0,deployment_raw[[#This Row],[Column20]]/IF(OR($E$2="Deployment",deployment_raw[[#This Row],[Column5]]=0),1,deployment_raw[[#This Row],[Column5]])/1048576/Q433,0),"")</f>
        <v/>
      </c>
      <c r="Q433" s="76" t="str">
        <f>IF(ISNUMBER(deployment_raw[[#This Row],[Column9]]), (deployment_raw[[#This Row],[Column9]] * IF($E$2="Deployment",deployment_raw[[#This Row],[Column5]],1))/1048576,"")</f>
        <v/>
      </c>
      <c r="R433" s="57" t="str">
        <f>IF(ISNUMBER(deployment_raw[[#This Row],[Column10]]), (deployment_raw[[#This Row],[Column10]] * IF($E$2="Deployment",deployment_raw[[#This Row],[Column5]],1)),"")</f>
        <v/>
      </c>
      <c r="S433" s="48" t="str">
        <f>IF(ISNUMBER(deployment_raw[[#This Row],[Column11]]), (deployment_raw[[#This Row],[Column11]] * IF($E$2="Deployment",deployment_raw[[#This Row],[Column5]],1))/1048576,"")</f>
        <v/>
      </c>
      <c r="T433" s="59" t="str">
        <f>IF(ISNUMBER(deployment_raw[[#This Row],[Column8]]),IF(OR(deployment_raw[[#This Row],[Column5]] &lt;&gt; 0,$E$2 &lt;&gt; "Deployment"), MAX(V433, ($T$2 * IF($E$2="Deployment",deployment_raw[[#This Row],[Column5]],1))), 0),"")</f>
        <v/>
      </c>
      <c r="U433" s="50" t="str">
        <f>IF(ISNUMBER(deployment_raw[[#This Row],[Column9]]),IF(OR(deployment_raw[[#This Row],[Column5]] &lt;&gt; 0,$E$2&lt;&gt;"Deployment"), MAX(W433, ($U$2 * IF($E$2="Deployment",deployment_raw[[#This Row],[Column5]],1))), 0),"")</f>
        <v/>
      </c>
      <c r="V433" s="15" t="str">
        <f>IF(ISNUMBER(deployment_raw[[#This Row],[Column12]]), (deployment_raw[[#This Row],[Column12]] * IF($E$2="Deployment",deployment_raw[[#This Row],[Column5]],1)*(1+$V$2)),"")</f>
        <v/>
      </c>
      <c r="W433" s="14" t="str">
        <f>IF(ISNUMBER(deployment_raw[[#This Row],[Column13]]), (deployment_raw[[#This Row],[Column13]] * IF($E$2="Deployment",deployment_raw[[#This Row],[Column5]],1)*(1+$W$2))/1048576,"")</f>
        <v/>
      </c>
    </row>
    <row r="434" spans="1:23" ht="15.75" customHeight="1" x14ac:dyDescent="0.25">
      <c r="A434" s="5" t="str">
        <f>IF(ISNONTEXT(deployment_raw[[#This Row],[Column1]]), "", deployment_raw[[#This Row],[Column1]])</f>
        <v/>
      </c>
      <c r="B434" s="6" t="str">
        <f>IF(ISNONTEXT(deployment_raw[[#This Row],[Column2]]), "", deployment_raw[[#This Row],[Column2]])</f>
        <v/>
      </c>
      <c r="C434" s="6" t="str">
        <f>IF(ISNONTEXT(deployment_raw[[#This Row],[Column3]]), "", deployment_raw[[#This Row],[Column3]])</f>
        <v/>
      </c>
      <c r="D434" s="6" t="str">
        <f>IF(ISNONTEXT(deployment_raw[[#This Row],[Column4]]), "", deployment_raw[[#This Row],[Column4]])</f>
        <v/>
      </c>
      <c r="E434" s="7" t="str">
        <f>IF(ISNUMBER(deployment_raw[[#This Row],[Column5]]), deployment_raw[[#This Row],[Column5]],"")</f>
        <v/>
      </c>
      <c r="F434" s="32" t="str">
        <f>IF(ISNUMBER(deployment_raw[[#This Row],[Column17]]), deployment_raw[[#This Row],[Column17]]/IF(OR($E$2="Deployment",deployment_raw[[#This Row],[Column5]]=0),1,deployment_raw[[#This Row],[Column5]]),"")</f>
        <v/>
      </c>
      <c r="G434" s="42" t="str">
        <f>IF(ISNUMBER(deployment_raw[[#This Row],[Column14]]), deployment_raw[[#This Row],[Column14]]/IF(OR($E$2="Deployment",deployment_raw[[#This Row],[Column5]]=0),1,deployment_raw[[#This Row],[Column5]]),"")</f>
        <v/>
      </c>
      <c r="H434" s="79" t="str">
        <f>IF(ISNUMBER(deployment_raw[[#This Row],[Column19]]), IF(I434&lt;&gt;0,(deployment_raw[[#This Row],[Column19]]/IF(OR($E$2="Deployment",deployment_raw[[#This Row],[Column5]]=0),1,deployment_raw[[#This Row],[Column5]]))/I434,0),"")</f>
        <v/>
      </c>
      <c r="I434" s="69" t="str">
        <f>IF(ISNUMBER(deployment_raw[[#This Row],[Column6]]), (deployment_raw[[#This Row],[Column6]] * IF($E$2="Deployment",deployment_raw[[#This Row],[Column5]],1)),"")</f>
        <v/>
      </c>
      <c r="J434" s="79" t="str">
        <f>IF(ISNUMBER(deployment_raw[[#This Row],[Column19]]), IF(K434&lt;&gt;0,(deployment_raw[[#This Row],[Column19]]/IF(OR($E$2="Deployment",deployment_raw[[#This Row],[Column5]]=0),1,deployment_raw[[#This Row],[Column5]]))/K434,0),"")</f>
        <v/>
      </c>
      <c r="K434" s="72" t="str">
        <f>IF(ISNUMBER(deployment_raw[[#This Row],[Column8]]), (deployment_raw[[#This Row],[Column8]]  * IF($E$2="Deployment",deployment_raw[[#This Row],[Column5]],1)),"")</f>
        <v/>
      </c>
      <c r="L43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3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34" s="81" t="str">
        <f>IF(ISNUMBER(deployment_raw[[#This Row],[Column20]]), IF(O434&lt;&gt;0,deployment_raw[[#This Row],[Column20]]/IF(OR($E$2="Deployment",deployment_raw[[#This Row],[Column5]]=0),1,deployment_raw[[#This Row],[Column5]])/1048576/O434,0),"")</f>
        <v/>
      </c>
      <c r="O434" s="74" t="str">
        <f>IF(ISNUMBER(deployment_raw[[#This Row],[Column7]]), (deployment_raw[[#This Row],[Column7]] * IF($E$2="Deployment",deployment_raw[[#This Row],[Column5]],1))/1048576,"")</f>
        <v/>
      </c>
      <c r="P434" s="81" t="str">
        <f>IF(ISNUMBER(deployment_raw[[#This Row],[Column20]]), IF(Q434&lt;&gt;0,deployment_raw[[#This Row],[Column20]]/IF(OR($E$2="Deployment",deployment_raw[[#This Row],[Column5]]=0),1,deployment_raw[[#This Row],[Column5]])/1048576/Q434,0),"")</f>
        <v/>
      </c>
      <c r="Q434" s="76" t="str">
        <f>IF(ISNUMBER(deployment_raw[[#This Row],[Column9]]), (deployment_raw[[#This Row],[Column9]] * IF($E$2="Deployment",deployment_raw[[#This Row],[Column5]],1))/1048576,"")</f>
        <v/>
      </c>
      <c r="R434" s="57" t="str">
        <f>IF(ISNUMBER(deployment_raw[[#This Row],[Column10]]), (deployment_raw[[#This Row],[Column10]] * IF($E$2="Deployment",deployment_raw[[#This Row],[Column5]],1)),"")</f>
        <v/>
      </c>
      <c r="S434" s="48" t="str">
        <f>IF(ISNUMBER(deployment_raw[[#This Row],[Column11]]), (deployment_raw[[#This Row],[Column11]] * IF($E$2="Deployment",deployment_raw[[#This Row],[Column5]],1))/1048576,"")</f>
        <v/>
      </c>
      <c r="T434" s="59" t="str">
        <f>IF(ISNUMBER(deployment_raw[[#This Row],[Column8]]),IF(OR(deployment_raw[[#This Row],[Column5]] &lt;&gt; 0,$E$2 &lt;&gt; "Deployment"), MAX(V434, ($T$2 * IF($E$2="Deployment",deployment_raw[[#This Row],[Column5]],1))), 0),"")</f>
        <v/>
      </c>
      <c r="U434" s="50" t="str">
        <f>IF(ISNUMBER(deployment_raw[[#This Row],[Column9]]),IF(OR(deployment_raw[[#This Row],[Column5]] &lt;&gt; 0,$E$2&lt;&gt;"Deployment"), MAX(W434, ($U$2 * IF($E$2="Deployment",deployment_raw[[#This Row],[Column5]],1))), 0),"")</f>
        <v/>
      </c>
      <c r="V434" s="15" t="str">
        <f>IF(ISNUMBER(deployment_raw[[#This Row],[Column12]]), (deployment_raw[[#This Row],[Column12]] * IF($E$2="Deployment",deployment_raw[[#This Row],[Column5]],1)*(1+$V$2)),"")</f>
        <v/>
      </c>
      <c r="W434" s="14" t="str">
        <f>IF(ISNUMBER(deployment_raw[[#This Row],[Column13]]), (deployment_raw[[#This Row],[Column13]] * IF($E$2="Deployment",deployment_raw[[#This Row],[Column5]],1)*(1+$W$2))/1048576,"")</f>
        <v/>
      </c>
    </row>
    <row r="435" spans="1:23" ht="15.75" customHeight="1" x14ac:dyDescent="0.25">
      <c r="A435" s="5" t="str">
        <f>IF(ISNONTEXT(deployment_raw[[#This Row],[Column1]]), "", deployment_raw[[#This Row],[Column1]])</f>
        <v/>
      </c>
      <c r="B435" s="6" t="str">
        <f>IF(ISNONTEXT(deployment_raw[[#This Row],[Column2]]), "", deployment_raw[[#This Row],[Column2]])</f>
        <v/>
      </c>
      <c r="C435" s="6" t="str">
        <f>IF(ISNONTEXT(deployment_raw[[#This Row],[Column3]]), "", deployment_raw[[#This Row],[Column3]])</f>
        <v/>
      </c>
      <c r="D435" s="6" t="str">
        <f>IF(ISNONTEXT(deployment_raw[[#This Row],[Column4]]), "", deployment_raw[[#This Row],[Column4]])</f>
        <v/>
      </c>
      <c r="E435" s="7" t="str">
        <f>IF(ISNUMBER(deployment_raw[[#This Row],[Column5]]), deployment_raw[[#This Row],[Column5]],"")</f>
        <v/>
      </c>
      <c r="F435" s="32" t="str">
        <f>IF(ISNUMBER(deployment_raw[[#This Row],[Column17]]), deployment_raw[[#This Row],[Column17]]/IF(OR($E$2="Deployment",deployment_raw[[#This Row],[Column5]]=0),1,deployment_raw[[#This Row],[Column5]]),"")</f>
        <v/>
      </c>
      <c r="G435" s="42" t="str">
        <f>IF(ISNUMBER(deployment_raw[[#This Row],[Column14]]), deployment_raw[[#This Row],[Column14]]/IF(OR($E$2="Deployment",deployment_raw[[#This Row],[Column5]]=0),1,deployment_raw[[#This Row],[Column5]]),"")</f>
        <v/>
      </c>
      <c r="H435" s="79" t="str">
        <f>IF(ISNUMBER(deployment_raw[[#This Row],[Column19]]), IF(I435&lt;&gt;0,(deployment_raw[[#This Row],[Column19]]/IF(OR($E$2="Deployment",deployment_raw[[#This Row],[Column5]]=0),1,deployment_raw[[#This Row],[Column5]]))/I435,0),"")</f>
        <v/>
      </c>
      <c r="I435" s="69" t="str">
        <f>IF(ISNUMBER(deployment_raw[[#This Row],[Column6]]), (deployment_raw[[#This Row],[Column6]] * IF($E$2="Deployment",deployment_raw[[#This Row],[Column5]],1)),"")</f>
        <v/>
      </c>
      <c r="J435" s="79" t="str">
        <f>IF(ISNUMBER(deployment_raw[[#This Row],[Column19]]), IF(K435&lt;&gt;0,(deployment_raw[[#This Row],[Column19]]/IF(OR($E$2="Deployment",deployment_raw[[#This Row],[Column5]]=0),1,deployment_raw[[#This Row],[Column5]]))/K435,0),"")</f>
        <v/>
      </c>
      <c r="K435" s="72" t="str">
        <f>IF(ISNUMBER(deployment_raw[[#This Row],[Column8]]), (deployment_raw[[#This Row],[Column8]]  * IF($E$2="Deployment",deployment_raw[[#This Row],[Column5]],1)),"")</f>
        <v/>
      </c>
      <c r="L43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3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35" s="81" t="str">
        <f>IF(ISNUMBER(deployment_raw[[#This Row],[Column20]]), IF(O435&lt;&gt;0,deployment_raw[[#This Row],[Column20]]/IF(OR($E$2="Deployment",deployment_raw[[#This Row],[Column5]]=0),1,deployment_raw[[#This Row],[Column5]])/1048576/O435,0),"")</f>
        <v/>
      </c>
      <c r="O435" s="74" t="str">
        <f>IF(ISNUMBER(deployment_raw[[#This Row],[Column7]]), (deployment_raw[[#This Row],[Column7]] * IF($E$2="Deployment",deployment_raw[[#This Row],[Column5]],1))/1048576,"")</f>
        <v/>
      </c>
      <c r="P435" s="81" t="str">
        <f>IF(ISNUMBER(deployment_raw[[#This Row],[Column20]]), IF(Q435&lt;&gt;0,deployment_raw[[#This Row],[Column20]]/IF(OR($E$2="Deployment",deployment_raw[[#This Row],[Column5]]=0),1,deployment_raw[[#This Row],[Column5]])/1048576/Q435,0),"")</f>
        <v/>
      </c>
      <c r="Q435" s="76" t="str">
        <f>IF(ISNUMBER(deployment_raw[[#This Row],[Column9]]), (deployment_raw[[#This Row],[Column9]] * IF($E$2="Deployment",deployment_raw[[#This Row],[Column5]],1))/1048576,"")</f>
        <v/>
      </c>
      <c r="R435" s="57" t="str">
        <f>IF(ISNUMBER(deployment_raw[[#This Row],[Column10]]), (deployment_raw[[#This Row],[Column10]] * IF($E$2="Deployment",deployment_raw[[#This Row],[Column5]],1)),"")</f>
        <v/>
      </c>
      <c r="S435" s="48" t="str">
        <f>IF(ISNUMBER(deployment_raw[[#This Row],[Column11]]), (deployment_raw[[#This Row],[Column11]] * IF($E$2="Deployment",deployment_raw[[#This Row],[Column5]],1))/1048576,"")</f>
        <v/>
      </c>
      <c r="T435" s="59" t="str">
        <f>IF(ISNUMBER(deployment_raw[[#This Row],[Column8]]),IF(OR(deployment_raw[[#This Row],[Column5]] &lt;&gt; 0,$E$2 &lt;&gt; "Deployment"), MAX(V435, ($T$2 * IF($E$2="Deployment",deployment_raw[[#This Row],[Column5]],1))), 0),"")</f>
        <v/>
      </c>
      <c r="U435" s="50" t="str">
        <f>IF(ISNUMBER(deployment_raw[[#This Row],[Column9]]),IF(OR(deployment_raw[[#This Row],[Column5]] &lt;&gt; 0,$E$2&lt;&gt;"Deployment"), MAX(W435, ($U$2 * IF($E$2="Deployment",deployment_raw[[#This Row],[Column5]],1))), 0),"")</f>
        <v/>
      </c>
      <c r="V435" s="15" t="str">
        <f>IF(ISNUMBER(deployment_raw[[#This Row],[Column12]]), (deployment_raw[[#This Row],[Column12]] * IF($E$2="Deployment",deployment_raw[[#This Row],[Column5]],1)*(1+$V$2)),"")</f>
        <v/>
      </c>
      <c r="W435" s="14" t="str">
        <f>IF(ISNUMBER(deployment_raw[[#This Row],[Column13]]), (deployment_raw[[#This Row],[Column13]] * IF($E$2="Deployment",deployment_raw[[#This Row],[Column5]],1)*(1+$W$2))/1048576,"")</f>
        <v/>
      </c>
    </row>
    <row r="436" spans="1:23" ht="15.75" customHeight="1" x14ac:dyDescent="0.25">
      <c r="A436" s="5" t="str">
        <f>IF(ISNONTEXT(deployment_raw[[#This Row],[Column1]]), "", deployment_raw[[#This Row],[Column1]])</f>
        <v/>
      </c>
      <c r="B436" s="6" t="str">
        <f>IF(ISNONTEXT(deployment_raw[[#This Row],[Column2]]), "", deployment_raw[[#This Row],[Column2]])</f>
        <v/>
      </c>
      <c r="C436" s="6" t="str">
        <f>IF(ISNONTEXT(deployment_raw[[#This Row],[Column3]]), "", deployment_raw[[#This Row],[Column3]])</f>
        <v/>
      </c>
      <c r="D436" s="6" t="str">
        <f>IF(ISNONTEXT(deployment_raw[[#This Row],[Column4]]), "", deployment_raw[[#This Row],[Column4]])</f>
        <v/>
      </c>
      <c r="E436" s="7" t="str">
        <f>IF(ISNUMBER(deployment_raw[[#This Row],[Column5]]), deployment_raw[[#This Row],[Column5]],"")</f>
        <v/>
      </c>
      <c r="F436" s="32" t="str">
        <f>IF(ISNUMBER(deployment_raw[[#This Row],[Column17]]), deployment_raw[[#This Row],[Column17]]/IF(OR($E$2="Deployment",deployment_raw[[#This Row],[Column5]]=0),1,deployment_raw[[#This Row],[Column5]]),"")</f>
        <v/>
      </c>
      <c r="G436" s="42" t="str">
        <f>IF(ISNUMBER(deployment_raw[[#This Row],[Column14]]), deployment_raw[[#This Row],[Column14]]/IF(OR($E$2="Deployment",deployment_raw[[#This Row],[Column5]]=0),1,deployment_raw[[#This Row],[Column5]]),"")</f>
        <v/>
      </c>
      <c r="H436" s="79" t="str">
        <f>IF(ISNUMBER(deployment_raw[[#This Row],[Column19]]), IF(I436&lt;&gt;0,(deployment_raw[[#This Row],[Column19]]/IF(OR($E$2="Deployment",deployment_raw[[#This Row],[Column5]]=0),1,deployment_raw[[#This Row],[Column5]]))/I436,0),"")</f>
        <v/>
      </c>
      <c r="I436" s="69" t="str">
        <f>IF(ISNUMBER(deployment_raw[[#This Row],[Column6]]), (deployment_raw[[#This Row],[Column6]] * IF($E$2="Deployment",deployment_raw[[#This Row],[Column5]],1)),"")</f>
        <v/>
      </c>
      <c r="J436" s="79" t="str">
        <f>IF(ISNUMBER(deployment_raw[[#This Row],[Column19]]), IF(K436&lt;&gt;0,(deployment_raw[[#This Row],[Column19]]/IF(OR($E$2="Deployment",deployment_raw[[#This Row],[Column5]]=0),1,deployment_raw[[#This Row],[Column5]]))/K436,0),"")</f>
        <v/>
      </c>
      <c r="K436" s="72" t="str">
        <f>IF(ISNUMBER(deployment_raw[[#This Row],[Column8]]), (deployment_raw[[#This Row],[Column8]]  * IF($E$2="Deployment",deployment_raw[[#This Row],[Column5]],1)),"")</f>
        <v/>
      </c>
      <c r="L43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3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36" s="81" t="str">
        <f>IF(ISNUMBER(deployment_raw[[#This Row],[Column20]]), IF(O436&lt;&gt;0,deployment_raw[[#This Row],[Column20]]/IF(OR($E$2="Deployment",deployment_raw[[#This Row],[Column5]]=0),1,deployment_raw[[#This Row],[Column5]])/1048576/O436,0),"")</f>
        <v/>
      </c>
      <c r="O436" s="74" t="str">
        <f>IF(ISNUMBER(deployment_raw[[#This Row],[Column7]]), (deployment_raw[[#This Row],[Column7]] * IF($E$2="Deployment",deployment_raw[[#This Row],[Column5]],1))/1048576,"")</f>
        <v/>
      </c>
      <c r="P436" s="81" t="str">
        <f>IF(ISNUMBER(deployment_raw[[#This Row],[Column20]]), IF(Q436&lt;&gt;0,deployment_raw[[#This Row],[Column20]]/IF(OR($E$2="Deployment",deployment_raw[[#This Row],[Column5]]=0),1,deployment_raw[[#This Row],[Column5]])/1048576/Q436,0),"")</f>
        <v/>
      </c>
      <c r="Q436" s="76" t="str">
        <f>IF(ISNUMBER(deployment_raw[[#This Row],[Column9]]), (deployment_raw[[#This Row],[Column9]] * IF($E$2="Deployment",deployment_raw[[#This Row],[Column5]],1))/1048576,"")</f>
        <v/>
      </c>
      <c r="R436" s="57" t="str">
        <f>IF(ISNUMBER(deployment_raw[[#This Row],[Column10]]), (deployment_raw[[#This Row],[Column10]] * IF($E$2="Deployment",deployment_raw[[#This Row],[Column5]],1)),"")</f>
        <v/>
      </c>
      <c r="S436" s="48" t="str">
        <f>IF(ISNUMBER(deployment_raw[[#This Row],[Column11]]), (deployment_raw[[#This Row],[Column11]] * IF($E$2="Deployment",deployment_raw[[#This Row],[Column5]],1))/1048576,"")</f>
        <v/>
      </c>
      <c r="T436" s="59" t="str">
        <f>IF(ISNUMBER(deployment_raw[[#This Row],[Column8]]),IF(OR(deployment_raw[[#This Row],[Column5]] &lt;&gt; 0,$E$2 &lt;&gt; "Deployment"), MAX(V436, ($T$2 * IF($E$2="Deployment",deployment_raw[[#This Row],[Column5]],1))), 0),"")</f>
        <v/>
      </c>
      <c r="U436" s="50" t="str">
        <f>IF(ISNUMBER(deployment_raw[[#This Row],[Column9]]),IF(OR(deployment_raw[[#This Row],[Column5]] &lt;&gt; 0,$E$2&lt;&gt;"Deployment"), MAX(W436, ($U$2 * IF($E$2="Deployment",deployment_raw[[#This Row],[Column5]],1))), 0),"")</f>
        <v/>
      </c>
      <c r="V436" s="15" t="str">
        <f>IF(ISNUMBER(deployment_raw[[#This Row],[Column12]]), (deployment_raw[[#This Row],[Column12]] * IF($E$2="Deployment",deployment_raw[[#This Row],[Column5]],1)*(1+$V$2)),"")</f>
        <v/>
      </c>
      <c r="W436" s="14" t="str">
        <f>IF(ISNUMBER(deployment_raw[[#This Row],[Column13]]), (deployment_raw[[#This Row],[Column13]] * IF($E$2="Deployment",deployment_raw[[#This Row],[Column5]],1)*(1+$W$2))/1048576,"")</f>
        <v/>
      </c>
    </row>
    <row r="437" spans="1:23" ht="15.75" customHeight="1" x14ac:dyDescent="0.25">
      <c r="A437" s="5" t="str">
        <f>IF(ISNONTEXT(deployment_raw[[#This Row],[Column1]]), "", deployment_raw[[#This Row],[Column1]])</f>
        <v/>
      </c>
      <c r="B437" s="6" t="str">
        <f>IF(ISNONTEXT(deployment_raw[[#This Row],[Column2]]), "", deployment_raw[[#This Row],[Column2]])</f>
        <v/>
      </c>
      <c r="C437" s="6" t="str">
        <f>IF(ISNONTEXT(deployment_raw[[#This Row],[Column3]]), "", deployment_raw[[#This Row],[Column3]])</f>
        <v/>
      </c>
      <c r="D437" s="6" t="str">
        <f>IF(ISNONTEXT(deployment_raw[[#This Row],[Column4]]), "", deployment_raw[[#This Row],[Column4]])</f>
        <v/>
      </c>
      <c r="E437" s="7" t="str">
        <f>IF(ISNUMBER(deployment_raw[[#This Row],[Column5]]), deployment_raw[[#This Row],[Column5]],"")</f>
        <v/>
      </c>
      <c r="F437" s="32" t="str">
        <f>IF(ISNUMBER(deployment_raw[[#This Row],[Column17]]), deployment_raw[[#This Row],[Column17]]/IF(OR($E$2="Deployment",deployment_raw[[#This Row],[Column5]]=0),1,deployment_raw[[#This Row],[Column5]]),"")</f>
        <v/>
      </c>
      <c r="G437" s="42" t="str">
        <f>IF(ISNUMBER(deployment_raw[[#This Row],[Column14]]), deployment_raw[[#This Row],[Column14]]/IF(OR($E$2="Deployment",deployment_raw[[#This Row],[Column5]]=0),1,deployment_raw[[#This Row],[Column5]]),"")</f>
        <v/>
      </c>
      <c r="H437" s="79" t="str">
        <f>IF(ISNUMBER(deployment_raw[[#This Row],[Column19]]), IF(I437&lt;&gt;0,(deployment_raw[[#This Row],[Column19]]/IF(OR($E$2="Deployment",deployment_raw[[#This Row],[Column5]]=0),1,deployment_raw[[#This Row],[Column5]]))/I437,0),"")</f>
        <v/>
      </c>
      <c r="I437" s="69" t="str">
        <f>IF(ISNUMBER(deployment_raw[[#This Row],[Column6]]), (deployment_raw[[#This Row],[Column6]] * IF($E$2="Deployment",deployment_raw[[#This Row],[Column5]],1)),"")</f>
        <v/>
      </c>
      <c r="J437" s="79" t="str">
        <f>IF(ISNUMBER(deployment_raw[[#This Row],[Column19]]), IF(K437&lt;&gt;0,(deployment_raw[[#This Row],[Column19]]/IF(OR($E$2="Deployment",deployment_raw[[#This Row],[Column5]]=0),1,deployment_raw[[#This Row],[Column5]]))/K437,0),"")</f>
        <v/>
      </c>
      <c r="K437" s="72" t="str">
        <f>IF(ISNUMBER(deployment_raw[[#This Row],[Column8]]), (deployment_raw[[#This Row],[Column8]]  * IF($E$2="Deployment",deployment_raw[[#This Row],[Column5]],1)),"")</f>
        <v/>
      </c>
      <c r="L43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3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37" s="81" t="str">
        <f>IF(ISNUMBER(deployment_raw[[#This Row],[Column20]]), IF(O437&lt;&gt;0,deployment_raw[[#This Row],[Column20]]/IF(OR($E$2="Deployment",deployment_raw[[#This Row],[Column5]]=0),1,deployment_raw[[#This Row],[Column5]])/1048576/O437,0),"")</f>
        <v/>
      </c>
      <c r="O437" s="74" t="str">
        <f>IF(ISNUMBER(deployment_raw[[#This Row],[Column7]]), (deployment_raw[[#This Row],[Column7]] * IF($E$2="Deployment",deployment_raw[[#This Row],[Column5]],1))/1048576,"")</f>
        <v/>
      </c>
      <c r="P437" s="81" t="str">
        <f>IF(ISNUMBER(deployment_raw[[#This Row],[Column20]]), IF(Q437&lt;&gt;0,deployment_raw[[#This Row],[Column20]]/IF(OR($E$2="Deployment",deployment_raw[[#This Row],[Column5]]=0),1,deployment_raw[[#This Row],[Column5]])/1048576/Q437,0),"")</f>
        <v/>
      </c>
      <c r="Q437" s="76" t="str">
        <f>IF(ISNUMBER(deployment_raw[[#This Row],[Column9]]), (deployment_raw[[#This Row],[Column9]] * IF($E$2="Deployment",deployment_raw[[#This Row],[Column5]],1))/1048576,"")</f>
        <v/>
      </c>
      <c r="R437" s="57" t="str">
        <f>IF(ISNUMBER(deployment_raw[[#This Row],[Column10]]), (deployment_raw[[#This Row],[Column10]] * IF($E$2="Deployment",deployment_raw[[#This Row],[Column5]],1)),"")</f>
        <v/>
      </c>
      <c r="S437" s="48" t="str">
        <f>IF(ISNUMBER(deployment_raw[[#This Row],[Column11]]), (deployment_raw[[#This Row],[Column11]] * IF($E$2="Deployment",deployment_raw[[#This Row],[Column5]],1))/1048576,"")</f>
        <v/>
      </c>
      <c r="T437" s="59" t="str">
        <f>IF(ISNUMBER(deployment_raw[[#This Row],[Column8]]),IF(OR(deployment_raw[[#This Row],[Column5]] &lt;&gt; 0,$E$2 &lt;&gt; "Deployment"), MAX(V437, ($T$2 * IF($E$2="Deployment",deployment_raw[[#This Row],[Column5]],1))), 0),"")</f>
        <v/>
      </c>
      <c r="U437" s="50" t="str">
        <f>IF(ISNUMBER(deployment_raw[[#This Row],[Column9]]),IF(OR(deployment_raw[[#This Row],[Column5]] &lt;&gt; 0,$E$2&lt;&gt;"Deployment"), MAX(W437, ($U$2 * IF($E$2="Deployment",deployment_raw[[#This Row],[Column5]],1))), 0),"")</f>
        <v/>
      </c>
      <c r="V437" s="15" t="str">
        <f>IF(ISNUMBER(deployment_raw[[#This Row],[Column12]]), (deployment_raw[[#This Row],[Column12]] * IF($E$2="Deployment",deployment_raw[[#This Row],[Column5]],1)*(1+$V$2)),"")</f>
        <v/>
      </c>
      <c r="W437" s="14" t="str">
        <f>IF(ISNUMBER(deployment_raw[[#This Row],[Column13]]), (deployment_raw[[#This Row],[Column13]] * IF($E$2="Deployment",deployment_raw[[#This Row],[Column5]],1)*(1+$W$2))/1048576,"")</f>
        <v/>
      </c>
    </row>
    <row r="438" spans="1:23" ht="15.75" customHeight="1" x14ac:dyDescent="0.25">
      <c r="A438" s="5" t="str">
        <f>IF(ISNONTEXT(deployment_raw[[#This Row],[Column1]]), "", deployment_raw[[#This Row],[Column1]])</f>
        <v/>
      </c>
      <c r="B438" s="6" t="str">
        <f>IF(ISNONTEXT(deployment_raw[[#This Row],[Column2]]), "", deployment_raw[[#This Row],[Column2]])</f>
        <v/>
      </c>
      <c r="C438" s="6" t="str">
        <f>IF(ISNONTEXT(deployment_raw[[#This Row],[Column3]]), "", deployment_raw[[#This Row],[Column3]])</f>
        <v/>
      </c>
      <c r="D438" s="6" t="str">
        <f>IF(ISNONTEXT(deployment_raw[[#This Row],[Column4]]), "", deployment_raw[[#This Row],[Column4]])</f>
        <v/>
      </c>
      <c r="E438" s="7" t="str">
        <f>IF(ISNUMBER(deployment_raw[[#This Row],[Column5]]), deployment_raw[[#This Row],[Column5]],"")</f>
        <v/>
      </c>
      <c r="F438" s="32" t="str">
        <f>IF(ISNUMBER(deployment_raw[[#This Row],[Column17]]), deployment_raw[[#This Row],[Column17]]/IF(OR($E$2="Deployment",deployment_raw[[#This Row],[Column5]]=0),1,deployment_raw[[#This Row],[Column5]]),"")</f>
        <v/>
      </c>
      <c r="G438" s="42" t="str">
        <f>IF(ISNUMBER(deployment_raw[[#This Row],[Column14]]), deployment_raw[[#This Row],[Column14]]/IF(OR($E$2="Deployment",deployment_raw[[#This Row],[Column5]]=0),1,deployment_raw[[#This Row],[Column5]]),"")</f>
        <v/>
      </c>
      <c r="H438" s="79" t="str">
        <f>IF(ISNUMBER(deployment_raw[[#This Row],[Column19]]), IF(I438&lt;&gt;0,(deployment_raw[[#This Row],[Column19]]/IF(OR($E$2="Deployment",deployment_raw[[#This Row],[Column5]]=0),1,deployment_raw[[#This Row],[Column5]]))/I438,0),"")</f>
        <v/>
      </c>
      <c r="I438" s="69" t="str">
        <f>IF(ISNUMBER(deployment_raw[[#This Row],[Column6]]), (deployment_raw[[#This Row],[Column6]] * IF($E$2="Deployment",deployment_raw[[#This Row],[Column5]],1)),"")</f>
        <v/>
      </c>
      <c r="J438" s="79" t="str">
        <f>IF(ISNUMBER(deployment_raw[[#This Row],[Column19]]), IF(K438&lt;&gt;0,(deployment_raw[[#This Row],[Column19]]/IF(OR($E$2="Deployment",deployment_raw[[#This Row],[Column5]]=0),1,deployment_raw[[#This Row],[Column5]]))/K438,0),"")</f>
        <v/>
      </c>
      <c r="K438" s="72" t="str">
        <f>IF(ISNUMBER(deployment_raw[[#This Row],[Column8]]), (deployment_raw[[#This Row],[Column8]]  * IF($E$2="Deployment",deployment_raw[[#This Row],[Column5]],1)),"")</f>
        <v/>
      </c>
      <c r="L43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3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38" s="81" t="str">
        <f>IF(ISNUMBER(deployment_raw[[#This Row],[Column20]]), IF(O438&lt;&gt;0,deployment_raw[[#This Row],[Column20]]/IF(OR($E$2="Deployment",deployment_raw[[#This Row],[Column5]]=0),1,deployment_raw[[#This Row],[Column5]])/1048576/O438,0),"")</f>
        <v/>
      </c>
      <c r="O438" s="74" t="str">
        <f>IF(ISNUMBER(deployment_raw[[#This Row],[Column7]]), (deployment_raw[[#This Row],[Column7]] * IF($E$2="Deployment",deployment_raw[[#This Row],[Column5]],1))/1048576,"")</f>
        <v/>
      </c>
      <c r="P438" s="81" t="str">
        <f>IF(ISNUMBER(deployment_raw[[#This Row],[Column20]]), IF(Q438&lt;&gt;0,deployment_raw[[#This Row],[Column20]]/IF(OR($E$2="Deployment",deployment_raw[[#This Row],[Column5]]=0),1,deployment_raw[[#This Row],[Column5]])/1048576/Q438,0),"")</f>
        <v/>
      </c>
      <c r="Q438" s="76" t="str">
        <f>IF(ISNUMBER(deployment_raw[[#This Row],[Column9]]), (deployment_raw[[#This Row],[Column9]] * IF($E$2="Deployment",deployment_raw[[#This Row],[Column5]],1))/1048576,"")</f>
        <v/>
      </c>
      <c r="R438" s="57" t="str">
        <f>IF(ISNUMBER(deployment_raw[[#This Row],[Column10]]), (deployment_raw[[#This Row],[Column10]] * IF($E$2="Deployment",deployment_raw[[#This Row],[Column5]],1)),"")</f>
        <v/>
      </c>
      <c r="S438" s="48" t="str">
        <f>IF(ISNUMBER(deployment_raw[[#This Row],[Column11]]), (deployment_raw[[#This Row],[Column11]] * IF($E$2="Deployment",deployment_raw[[#This Row],[Column5]],1))/1048576,"")</f>
        <v/>
      </c>
      <c r="T438" s="59" t="str">
        <f>IF(ISNUMBER(deployment_raw[[#This Row],[Column8]]),IF(OR(deployment_raw[[#This Row],[Column5]] &lt;&gt; 0,$E$2 &lt;&gt; "Deployment"), MAX(V438, ($T$2 * IF($E$2="Deployment",deployment_raw[[#This Row],[Column5]],1))), 0),"")</f>
        <v/>
      </c>
      <c r="U438" s="50" t="str">
        <f>IF(ISNUMBER(deployment_raw[[#This Row],[Column9]]),IF(OR(deployment_raw[[#This Row],[Column5]] &lt;&gt; 0,$E$2&lt;&gt;"Deployment"), MAX(W438, ($U$2 * IF($E$2="Deployment",deployment_raw[[#This Row],[Column5]],1))), 0),"")</f>
        <v/>
      </c>
      <c r="V438" s="15" t="str">
        <f>IF(ISNUMBER(deployment_raw[[#This Row],[Column12]]), (deployment_raw[[#This Row],[Column12]] * IF($E$2="Deployment",deployment_raw[[#This Row],[Column5]],1)*(1+$V$2)),"")</f>
        <v/>
      </c>
      <c r="W438" s="14" t="str">
        <f>IF(ISNUMBER(deployment_raw[[#This Row],[Column13]]), (deployment_raw[[#This Row],[Column13]] * IF($E$2="Deployment",deployment_raw[[#This Row],[Column5]],1)*(1+$W$2))/1048576,"")</f>
        <v/>
      </c>
    </row>
    <row r="439" spans="1:23" ht="15.75" customHeight="1" x14ac:dyDescent="0.25">
      <c r="A439" s="5" t="str">
        <f>IF(ISNONTEXT(deployment_raw[[#This Row],[Column1]]), "", deployment_raw[[#This Row],[Column1]])</f>
        <v/>
      </c>
      <c r="B439" s="6" t="str">
        <f>IF(ISNONTEXT(deployment_raw[[#This Row],[Column2]]), "", deployment_raw[[#This Row],[Column2]])</f>
        <v/>
      </c>
      <c r="C439" s="6" t="str">
        <f>IF(ISNONTEXT(deployment_raw[[#This Row],[Column3]]), "", deployment_raw[[#This Row],[Column3]])</f>
        <v/>
      </c>
      <c r="D439" s="6" t="str">
        <f>IF(ISNONTEXT(deployment_raw[[#This Row],[Column4]]), "", deployment_raw[[#This Row],[Column4]])</f>
        <v/>
      </c>
      <c r="E439" s="7" t="str">
        <f>IF(ISNUMBER(deployment_raw[[#This Row],[Column5]]), deployment_raw[[#This Row],[Column5]],"")</f>
        <v/>
      </c>
      <c r="F439" s="32" t="str">
        <f>IF(ISNUMBER(deployment_raw[[#This Row],[Column17]]), deployment_raw[[#This Row],[Column17]]/IF(OR($E$2="Deployment",deployment_raw[[#This Row],[Column5]]=0),1,deployment_raw[[#This Row],[Column5]]),"")</f>
        <v/>
      </c>
      <c r="G439" s="42" t="str">
        <f>IF(ISNUMBER(deployment_raw[[#This Row],[Column14]]), deployment_raw[[#This Row],[Column14]]/IF(OR($E$2="Deployment",deployment_raw[[#This Row],[Column5]]=0),1,deployment_raw[[#This Row],[Column5]]),"")</f>
        <v/>
      </c>
      <c r="H439" s="79" t="str">
        <f>IF(ISNUMBER(deployment_raw[[#This Row],[Column19]]), IF(I439&lt;&gt;0,(deployment_raw[[#This Row],[Column19]]/IF(OR($E$2="Deployment",deployment_raw[[#This Row],[Column5]]=0),1,deployment_raw[[#This Row],[Column5]]))/I439,0),"")</f>
        <v/>
      </c>
      <c r="I439" s="69" t="str">
        <f>IF(ISNUMBER(deployment_raw[[#This Row],[Column6]]), (deployment_raw[[#This Row],[Column6]] * IF($E$2="Deployment",deployment_raw[[#This Row],[Column5]],1)),"")</f>
        <v/>
      </c>
      <c r="J439" s="79" t="str">
        <f>IF(ISNUMBER(deployment_raw[[#This Row],[Column19]]), IF(K439&lt;&gt;0,(deployment_raw[[#This Row],[Column19]]/IF(OR($E$2="Deployment",deployment_raw[[#This Row],[Column5]]=0),1,deployment_raw[[#This Row],[Column5]]))/K439,0),"")</f>
        <v/>
      </c>
      <c r="K439" s="72" t="str">
        <f>IF(ISNUMBER(deployment_raw[[#This Row],[Column8]]), (deployment_raw[[#This Row],[Column8]]  * IF($E$2="Deployment",deployment_raw[[#This Row],[Column5]],1)),"")</f>
        <v/>
      </c>
      <c r="L43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3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39" s="81" t="str">
        <f>IF(ISNUMBER(deployment_raw[[#This Row],[Column20]]), IF(O439&lt;&gt;0,deployment_raw[[#This Row],[Column20]]/IF(OR($E$2="Deployment",deployment_raw[[#This Row],[Column5]]=0),1,deployment_raw[[#This Row],[Column5]])/1048576/O439,0),"")</f>
        <v/>
      </c>
      <c r="O439" s="74" t="str">
        <f>IF(ISNUMBER(deployment_raw[[#This Row],[Column7]]), (deployment_raw[[#This Row],[Column7]] * IF($E$2="Deployment",deployment_raw[[#This Row],[Column5]],1))/1048576,"")</f>
        <v/>
      </c>
      <c r="P439" s="81" t="str">
        <f>IF(ISNUMBER(deployment_raw[[#This Row],[Column20]]), IF(Q439&lt;&gt;0,deployment_raw[[#This Row],[Column20]]/IF(OR($E$2="Deployment",deployment_raw[[#This Row],[Column5]]=0),1,deployment_raw[[#This Row],[Column5]])/1048576/Q439,0),"")</f>
        <v/>
      </c>
      <c r="Q439" s="76" t="str">
        <f>IF(ISNUMBER(deployment_raw[[#This Row],[Column9]]), (deployment_raw[[#This Row],[Column9]] * IF($E$2="Deployment",deployment_raw[[#This Row],[Column5]],1))/1048576,"")</f>
        <v/>
      </c>
      <c r="R439" s="57" t="str">
        <f>IF(ISNUMBER(deployment_raw[[#This Row],[Column10]]), (deployment_raw[[#This Row],[Column10]] * IF($E$2="Deployment",deployment_raw[[#This Row],[Column5]],1)),"")</f>
        <v/>
      </c>
      <c r="S439" s="48" t="str">
        <f>IF(ISNUMBER(deployment_raw[[#This Row],[Column11]]), (deployment_raw[[#This Row],[Column11]] * IF($E$2="Deployment",deployment_raw[[#This Row],[Column5]],1))/1048576,"")</f>
        <v/>
      </c>
      <c r="T439" s="59" t="str">
        <f>IF(ISNUMBER(deployment_raw[[#This Row],[Column8]]),IF(OR(deployment_raw[[#This Row],[Column5]] &lt;&gt; 0,$E$2 &lt;&gt; "Deployment"), MAX(V439, ($T$2 * IF($E$2="Deployment",deployment_raw[[#This Row],[Column5]],1))), 0),"")</f>
        <v/>
      </c>
      <c r="U439" s="50" t="str">
        <f>IF(ISNUMBER(deployment_raw[[#This Row],[Column9]]),IF(OR(deployment_raw[[#This Row],[Column5]] &lt;&gt; 0,$E$2&lt;&gt;"Deployment"), MAX(W439, ($U$2 * IF($E$2="Deployment",deployment_raw[[#This Row],[Column5]],1))), 0),"")</f>
        <v/>
      </c>
      <c r="V439" s="15" t="str">
        <f>IF(ISNUMBER(deployment_raw[[#This Row],[Column12]]), (deployment_raw[[#This Row],[Column12]] * IF($E$2="Deployment",deployment_raw[[#This Row],[Column5]],1)*(1+$V$2)),"")</f>
        <v/>
      </c>
      <c r="W439" s="14" t="str">
        <f>IF(ISNUMBER(deployment_raw[[#This Row],[Column13]]), (deployment_raw[[#This Row],[Column13]] * IF($E$2="Deployment",deployment_raw[[#This Row],[Column5]],1)*(1+$W$2))/1048576,"")</f>
        <v/>
      </c>
    </row>
    <row r="440" spans="1:23" ht="15.75" customHeight="1" x14ac:dyDescent="0.25">
      <c r="A440" s="5" t="str">
        <f>IF(ISNONTEXT(deployment_raw[[#This Row],[Column1]]), "", deployment_raw[[#This Row],[Column1]])</f>
        <v/>
      </c>
      <c r="B440" s="6" t="str">
        <f>IF(ISNONTEXT(deployment_raw[[#This Row],[Column2]]), "", deployment_raw[[#This Row],[Column2]])</f>
        <v/>
      </c>
      <c r="C440" s="6" t="str">
        <f>IF(ISNONTEXT(deployment_raw[[#This Row],[Column3]]), "", deployment_raw[[#This Row],[Column3]])</f>
        <v/>
      </c>
      <c r="D440" s="6" t="str">
        <f>IF(ISNONTEXT(deployment_raw[[#This Row],[Column4]]), "", deployment_raw[[#This Row],[Column4]])</f>
        <v/>
      </c>
      <c r="E440" s="7" t="str">
        <f>IF(ISNUMBER(deployment_raw[[#This Row],[Column5]]), deployment_raw[[#This Row],[Column5]],"")</f>
        <v/>
      </c>
      <c r="F440" s="32" t="str">
        <f>IF(ISNUMBER(deployment_raw[[#This Row],[Column17]]), deployment_raw[[#This Row],[Column17]]/IF(OR($E$2="Deployment",deployment_raw[[#This Row],[Column5]]=0),1,deployment_raw[[#This Row],[Column5]]),"")</f>
        <v/>
      </c>
      <c r="G440" s="42" t="str">
        <f>IF(ISNUMBER(deployment_raw[[#This Row],[Column14]]), deployment_raw[[#This Row],[Column14]]/IF(OR($E$2="Deployment",deployment_raw[[#This Row],[Column5]]=0),1,deployment_raw[[#This Row],[Column5]]),"")</f>
        <v/>
      </c>
      <c r="H440" s="79" t="str">
        <f>IF(ISNUMBER(deployment_raw[[#This Row],[Column19]]), IF(I440&lt;&gt;0,(deployment_raw[[#This Row],[Column19]]/IF(OR($E$2="Deployment",deployment_raw[[#This Row],[Column5]]=0),1,deployment_raw[[#This Row],[Column5]]))/I440,0),"")</f>
        <v/>
      </c>
      <c r="I440" s="69" t="str">
        <f>IF(ISNUMBER(deployment_raw[[#This Row],[Column6]]), (deployment_raw[[#This Row],[Column6]] * IF($E$2="Deployment",deployment_raw[[#This Row],[Column5]],1)),"")</f>
        <v/>
      </c>
      <c r="J440" s="79" t="str">
        <f>IF(ISNUMBER(deployment_raw[[#This Row],[Column19]]), IF(K440&lt;&gt;0,(deployment_raw[[#This Row],[Column19]]/IF(OR($E$2="Deployment",deployment_raw[[#This Row],[Column5]]=0),1,deployment_raw[[#This Row],[Column5]]))/K440,0),"")</f>
        <v/>
      </c>
      <c r="K440" s="72" t="str">
        <f>IF(ISNUMBER(deployment_raw[[#This Row],[Column8]]), (deployment_raw[[#This Row],[Column8]]  * IF($E$2="Deployment",deployment_raw[[#This Row],[Column5]],1)),"")</f>
        <v/>
      </c>
      <c r="L44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4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40" s="81" t="str">
        <f>IF(ISNUMBER(deployment_raw[[#This Row],[Column20]]), IF(O440&lt;&gt;0,deployment_raw[[#This Row],[Column20]]/IF(OR($E$2="Deployment",deployment_raw[[#This Row],[Column5]]=0),1,deployment_raw[[#This Row],[Column5]])/1048576/O440,0),"")</f>
        <v/>
      </c>
      <c r="O440" s="74" t="str">
        <f>IF(ISNUMBER(deployment_raw[[#This Row],[Column7]]), (deployment_raw[[#This Row],[Column7]] * IF($E$2="Deployment",deployment_raw[[#This Row],[Column5]],1))/1048576,"")</f>
        <v/>
      </c>
      <c r="P440" s="81" t="str">
        <f>IF(ISNUMBER(deployment_raw[[#This Row],[Column20]]), IF(Q440&lt;&gt;0,deployment_raw[[#This Row],[Column20]]/IF(OR($E$2="Deployment",deployment_raw[[#This Row],[Column5]]=0),1,deployment_raw[[#This Row],[Column5]])/1048576/Q440,0),"")</f>
        <v/>
      </c>
      <c r="Q440" s="76" t="str">
        <f>IF(ISNUMBER(deployment_raw[[#This Row],[Column9]]), (deployment_raw[[#This Row],[Column9]] * IF($E$2="Deployment",deployment_raw[[#This Row],[Column5]],1))/1048576,"")</f>
        <v/>
      </c>
      <c r="R440" s="57" t="str">
        <f>IF(ISNUMBER(deployment_raw[[#This Row],[Column10]]), (deployment_raw[[#This Row],[Column10]] * IF($E$2="Deployment",deployment_raw[[#This Row],[Column5]],1)),"")</f>
        <v/>
      </c>
      <c r="S440" s="48" t="str">
        <f>IF(ISNUMBER(deployment_raw[[#This Row],[Column11]]), (deployment_raw[[#This Row],[Column11]] * IF($E$2="Deployment",deployment_raw[[#This Row],[Column5]],1))/1048576,"")</f>
        <v/>
      </c>
      <c r="T440" s="59" t="str">
        <f>IF(ISNUMBER(deployment_raw[[#This Row],[Column8]]),IF(OR(deployment_raw[[#This Row],[Column5]] &lt;&gt; 0,$E$2 &lt;&gt; "Deployment"), MAX(V440, ($T$2 * IF($E$2="Deployment",deployment_raw[[#This Row],[Column5]],1))), 0),"")</f>
        <v/>
      </c>
      <c r="U440" s="50" t="str">
        <f>IF(ISNUMBER(deployment_raw[[#This Row],[Column9]]),IF(OR(deployment_raw[[#This Row],[Column5]] &lt;&gt; 0,$E$2&lt;&gt;"Deployment"), MAX(W440, ($U$2 * IF($E$2="Deployment",deployment_raw[[#This Row],[Column5]],1))), 0),"")</f>
        <v/>
      </c>
      <c r="V440" s="15" t="str">
        <f>IF(ISNUMBER(deployment_raw[[#This Row],[Column12]]), (deployment_raw[[#This Row],[Column12]] * IF($E$2="Deployment",deployment_raw[[#This Row],[Column5]],1)*(1+$V$2)),"")</f>
        <v/>
      </c>
      <c r="W440" s="14" t="str">
        <f>IF(ISNUMBER(deployment_raw[[#This Row],[Column13]]), (deployment_raw[[#This Row],[Column13]] * IF($E$2="Deployment",deployment_raw[[#This Row],[Column5]],1)*(1+$W$2))/1048576,"")</f>
        <v/>
      </c>
    </row>
    <row r="441" spans="1:23" ht="15.75" customHeight="1" x14ac:dyDescent="0.25">
      <c r="A441" s="5" t="str">
        <f>IF(ISNONTEXT(deployment_raw[[#This Row],[Column1]]), "", deployment_raw[[#This Row],[Column1]])</f>
        <v/>
      </c>
      <c r="B441" s="6" t="str">
        <f>IF(ISNONTEXT(deployment_raw[[#This Row],[Column2]]), "", deployment_raw[[#This Row],[Column2]])</f>
        <v/>
      </c>
      <c r="C441" s="6" t="str">
        <f>IF(ISNONTEXT(deployment_raw[[#This Row],[Column3]]), "", deployment_raw[[#This Row],[Column3]])</f>
        <v/>
      </c>
      <c r="D441" s="6" t="str">
        <f>IF(ISNONTEXT(deployment_raw[[#This Row],[Column4]]), "", deployment_raw[[#This Row],[Column4]])</f>
        <v/>
      </c>
      <c r="E441" s="7" t="str">
        <f>IF(ISNUMBER(deployment_raw[[#This Row],[Column5]]), deployment_raw[[#This Row],[Column5]],"")</f>
        <v/>
      </c>
      <c r="F441" s="32" t="str">
        <f>IF(ISNUMBER(deployment_raw[[#This Row],[Column17]]), deployment_raw[[#This Row],[Column17]]/IF(OR($E$2="Deployment",deployment_raw[[#This Row],[Column5]]=0),1,deployment_raw[[#This Row],[Column5]]),"")</f>
        <v/>
      </c>
      <c r="G441" s="42" t="str">
        <f>IF(ISNUMBER(deployment_raw[[#This Row],[Column14]]), deployment_raw[[#This Row],[Column14]]/IF(OR($E$2="Deployment",deployment_raw[[#This Row],[Column5]]=0),1,deployment_raw[[#This Row],[Column5]]),"")</f>
        <v/>
      </c>
      <c r="H441" s="79" t="str">
        <f>IF(ISNUMBER(deployment_raw[[#This Row],[Column19]]), IF(I441&lt;&gt;0,(deployment_raw[[#This Row],[Column19]]/IF(OR($E$2="Deployment",deployment_raw[[#This Row],[Column5]]=0),1,deployment_raw[[#This Row],[Column5]]))/I441,0),"")</f>
        <v/>
      </c>
      <c r="I441" s="69" t="str">
        <f>IF(ISNUMBER(deployment_raw[[#This Row],[Column6]]), (deployment_raw[[#This Row],[Column6]] * IF($E$2="Deployment",deployment_raw[[#This Row],[Column5]],1)),"")</f>
        <v/>
      </c>
      <c r="J441" s="79" t="str">
        <f>IF(ISNUMBER(deployment_raw[[#This Row],[Column19]]), IF(K441&lt;&gt;0,(deployment_raw[[#This Row],[Column19]]/IF(OR($E$2="Deployment",deployment_raw[[#This Row],[Column5]]=0),1,deployment_raw[[#This Row],[Column5]]))/K441,0),"")</f>
        <v/>
      </c>
      <c r="K441" s="72" t="str">
        <f>IF(ISNUMBER(deployment_raw[[#This Row],[Column8]]), (deployment_raw[[#This Row],[Column8]]  * IF($E$2="Deployment",deployment_raw[[#This Row],[Column5]],1)),"")</f>
        <v/>
      </c>
      <c r="L44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4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41" s="81" t="str">
        <f>IF(ISNUMBER(deployment_raw[[#This Row],[Column20]]), IF(O441&lt;&gt;0,deployment_raw[[#This Row],[Column20]]/IF(OR($E$2="Deployment",deployment_raw[[#This Row],[Column5]]=0),1,deployment_raw[[#This Row],[Column5]])/1048576/O441,0),"")</f>
        <v/>
      </c>
      <c r="O441" s="74" t="str">
        <f>IF(ISNUMBER(deployment_raw[[#This Row],[Column7]]), (deployment_raw[[#This Row],[Column7]] * IF($E$2="Deployment",deployment_raw[[#This Row],[Column5]],1))/1048576,"")</f>
        <v/>
      </c>
      <c r="P441" s="81" t="str">
        <f>IF(ISNUMBER(deployment_raw[[#This Row],[Column20]]), IF(Q441&lt;&gt;0,deployment_raw[[#This Row],[Column20]]/IF(OR($E$2="Deployment",deployment_raw[[#This Row],[Column5]]=0),1,deployment_raw[[#This Row],[Column5]])/1048576/Q441,0),"")</f>
        <v/>
      </c>
      <c r="Q441" s="76" t="str">
        <f>IF(ISNUMBER(deployment_raw[[#This Row],[Column9]]), (deployment_raw[[#This Row],[Column9]] * IF($E$2="Deployment",deployment_raw[[#This Row],[Column5]],1))/1048576,"")</f>
        <v/>
      </c>
      <c r="R441" s="57" t="str">
        <f>IF(ISNUMBER(deployment_raw[[#This Row],[Column10]]), (deployment_raw[[#This Row],[Column10]] * IF($E$2="Deployment",deployment_raw[[#This Row],[Column5]],1)),"")</f>
        <v/>
      </c>
      <c r="S441" s="48" t="str">
        <f>IF(ISNUMBER(deployment_raw[[#This Row],[Column11]]), (deployment_raw[[#This Row],[Column11]] * IF($E$2="Deployment",deployment_raw[[#This Row],[Column5]],1))/1048576,"")</f>
        <v/>
      </c>
      <c r="T441" s="59" t="str">
        <f>IF(ISNUMBER(deployment_raw[[#This Row],[Column8]]),IF(OR(deployment_raw[[#This Row],[Column5]] &lt;&gt; 0,$E$2 &lt;&gt; "Deployment"), MAX(V441, ($T$2 * IF($E$2="Deployment",deployment_raw[[#This Row],[Column5]],1))), 0),"")</f>
        <v/>
      </c>
      <c r="U441" s="50" t="str">
        <f>IF(ISNUMBER(deployment_raw[[#This Row],[Column9]]),IF(OR(deployment_raw[[#This Row],[Column5]] &lt;&gt; 0,$E$2&lt;&gt;"Deployment"), MAX(W441, ($U$2 * IF($E$2="Deployment",deployment_raw[[#This Row],[Column5]],1))), 0),"")</f>
        <v/>
      </c>
      <c r="V441" s="15" t="str">
        <f>IF(ISNUMBER(deployment_raw[[#This Row],[Column12]]), (deployment_raw[[#This Row],[Column12]] * IF($E$2="Deployment",deployment_raw[[#This Row],[Column5]],1)*(1+$V$2)),"")</f>
        <v/>
      </c>
      <c r="W441" s="14" t="str">
        <f>IF(ISNUMBER(deployment_raw[[#This Row],[Column13]]), (deployment_raw[[#This Row],[Column13]] * IF($E$2="Deployment",deployment_raw[[#This Row],[Column5]],1)*(1+$W$2))/1048576,"")</f>
        <v/>
      </c>
    </row>
    <row r="442" spans="1:23" ht="15.75" customHeight="1" x14ac:dyDescent="0.25">
      <c r="A442" s="5" t="str">
        <f>IF(ISNONTEXT(deployment_raw[[#This Row],[Column1]]), "", deployment_raw[[#This Row],[Column1]])</f>
        <v/>
      </c>
      <c r="B442" s="6" t="str">
        <f>IF(ISNONTEXT(deployment_raw[[#This Row],[Column2]]), "", deployment_raw[[#This Row],[Column2]])</f>
        <v/>
      </c>
      <c r="C442" s="6" t="str">
        <f>IF(ISNONTEXT(deployment_raw[[#This Row],[Column3]]), "", deployment_raw[[#This Row],[Column3]])</f>
        <v/>
      </c>
      <c r="D442" s="6" t="str">
        <f>IF(ISNONTEXT(deployment_raw[[#This Row],[Column4]]), "", deployment_raw[[#This Row],[Column4]])</f>
        <v/>
      </c>
      <c r="E442" s="7" t="str">
        <f>IF(ISNUMBER(deployment_raw[[#This Row],[Column5]]), deployment_raw[[#This Row],[Column5]],"")</f>
        <v/>
      </c>
      <c r="F442" s="32" t="str">
        <f>IF(ISNUMBER(deployment_raw[[#This Row],[Column17]]), deployment_raw[[#This Row],[Column17]]/IF(OR($E$2="Deployment",deployment_raw[[#This Row],[Column5]]=0),1,deployment_raw[[#This Row],[Column5]]),"")</f>
        <v/>
      </c>
      <c r="G442" s="42" t="str">
        <f>IF(ISNUMBER(deployment_raw[[#This Row],[Column14]]), deployment_raw[[#This Row],[Column14]]/IF(OR($E$2="Deployment",deployment_raw[[#This Row],[Column5]]=0),1,deployment_raw[[#This Row],[Column5]]),"")</f>
        <v/>
      </c>
      <c r="H442" s="79" t="str">
        <f>IF(ISNUMBER(deployment_raw[[#This Row],[Column19]]), IF(I442&lt;&gt;0,(deployment_raw[[#This Row],[Column19]]/IF(OR($E$2="Deployment",deployment_raw[[#This Row],[Column5]]=0),1,deployment_raw[[#This Row],[Column5]]))/I442,0),"")</f>
        <v/>
      </c>
      <c r="I442" s="69" t="str">
        <f>IF(ISNUMBER(deployment_raw[[#This Row],[Column6]]), (deployment_raw[[#This Row],[Column6]] * IF($E$2="Deployment",deployment_raw[[#This Row],[Column5]],1)),"")</f>
        <v/>
      </c>
      <c r="J442" s="79" t="str">
        <f>IF(ISNUMBER(deployment_raw[[#This Row],[Column19]]), IF(K442&lt;&gt;0,(deployment_raw[[#This Row],[Column19]]/IF(OR($E$2="Deployment",deployment_raw[[#This Row],[Column5]]=0),1,deployment_raw[[#This Row],[Column5]]))/K442,0),"")</f>
        <v/>
      </c>
      <c r="K442" s="72" t="str">
        <f>IF(ISNUMBER(deployment_raw[[#This Row],[Column8]]), (deployment_raw[[#This Row],[Column8]]  * IF($E$2="Deployment",deployment_raw[[#This Row],[Column5]],1)),"")</f>
        <v/>
      </c>
      <c r="L44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4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42" s="81" t="str">
        <f>IF(ISNUMBER(deployment_raw[[#This Row],[Column20]]), IF(O442&lt;&gt;0,deployment_raw[[#This Row],[Column20]]/IF(OR($E$2="Deployment",deployment_raw[[#This Row],[Column5]]=0),1,deployment_raw[[#This Row],[Column5]])/1048576/O442,0),"")</f>
        <v/>
      </c>
      <c r="O442" s="74" t="str">
        <f>IF(ISNUMBER(deployment_raw[[#This Row],[Column7]]), (deployment_raw[[#This Row],[Column7]] * IF($E$2="Deployment",deployment_raw[[#This Row],[Column5]],1))/1048576,"")</f>
        <v/>
      </c>
      <c r="P442" s="81" t="str">
        <f>IF(ISNUMBER(deployment_raw[[#This Row],[Column20]]), IF(Q442&lt;&gt;0,deployment_raw[[#This Row],[Column20]]/IF(OR($E$2="Deployment",deployment_raw[[#This Row],[Column5]]=0),1,deployment_raw[[#This Row],[Column5]])/1048576/Q442,0),"")</f>
        <v/>
      </c>
      <c r="Q442" s="76" t="str">
        <f>IF(ISNUMBER(deployment_raw[[#This Row],[Column9]]), (deployment_raw[[#This Row],[Column9]] * IF($E$2="Deployment",deployment_raw[[#This Row],[Column5]],1))/1048576,"")</f>
        <v/>
      </c>
      <c r="R442" s="57" t="str">
        <f>IF(ISNUMBER(deployment_raw[[#This Row],[Column10]]), (deployment_raw[[#This Row],[Column10]] * IF($E$2="Deployment",deployment_raw[[#This Row],[Column5]],1)),"")</f>
        <v/>
      </c>
      <c r="S442" s="48" t="str">
        <f>IF(ISNUMBER(deployment_raw[[#This Row],[Column11]]), (deployment_raw[[#This Row],[Column11]] * IF($E$2="Deployment",deployment_raw[[#This Row],[Column5]],1))/1048576,"")</f>
        <v/>
      </c>
      <c r="T442" s="59" t="str">
        <f>IF(ISNUMBER(deployment_raw[[#This Row],[Column8]]),IF(OR(deployment_raw[[#This Row],[Column5]] &lt;&gt; 0,$E$2 &lt;&gt; "Deployment"), MAX(V442, ($T$2 * IF($E$2="Deployment",deployment_raw[[#This Row],[Column5]],1))), 0),"")</f>
        <v/>
      </c>
      <c r="U442" s="50" t="str">
        <f>IF(ISNUMBER(deployment_raw[[#This Row],[Column9]]),IF(OR(deployment_raw[[#This Row],[Column5]] &lt;&gt; 0,$E$2&lt;&gt;"Deployment"), MAX(W442, ($U$2 * IF($E$2="Deployment",deployment_raw[[#This Row],[Column5]],1))), 0),"")</f>
        <v/>
      </c>
      <c r="V442" s="15" t="str">
        <f>IF(ISNUMBER(deployment_raw[[#This Row],[Column12]]), (deployment_raw[[#This Row],[Column12]] * IF($E$2="Deployment",deployment_raw[[#This Row],[Column5]],1)*(1+$V$2)),"")</f>
        <v/>
      </c>
      <c r="W442" s="14" t="str">
        <f>IF(ISNUMBER(deployment_raw[[#This Row],[Column13]]), (deployment_raw[[#This Row],[Column13]] * IF($E$2="Deployment",deployment_raw[[#This Row],[Column5]],1)*(1+$W$2))/1048576,"")</f>
        <v/>
      </c>
    </row>
    <row r="443" spans="1:23" ht="15.75" customHeight="1" x14ac:dyDescent="0.25">
      <c r="A443" s="5" t="str">
        <f>IF(ISNONTEXT(deployment_raw[[#This Row],[Column1]]), "", deployment_raw[[#This Row],[Column1]])</f>
        <v/>
      </c>
      <c r="B443" s="6" t="str">
        <f>IF(ISNONTEXT(deployment_raw[[#This Row],[Column2]]), "", deployment_raw[[#This Row],[Column2]])</f>
        <v/>
      </c>
      <c r="C443" s="6" t="str">
        <f>IF(ISNONTEXT(deployment_raw[[#This Row],[Column3]]), "", deployment_raw[[#This Row],[Column3]])</f>
        <v/>
      </c>
      <c r="D443" s="6" t="str">
        <f>IF(ISNONTEXT(deployment_raw[[#This Row],[Column4]]), "", deployment_raw[[#This Row],[Column4]])</f>
        <v/>
      </c>
      <c r="E443" s="7" t="str">
        <f>IF(ISNUMBER(deployment_raw[[#This Row],[Column5]]), deployment_raw[[#This Row],[Column5]],"")</f>
        <v/>
      </c>
      <c r="F443" s="32" t="str">
        <f>IF(ISNUMBER(deployment_raw[[#This Row],[Column17]]), deployment_raw[[#This Row],[Column17]]/IF(OR($E$2="Deployment",deployment_raw[[#This Row],[Column5]]=0),1,deployment_raw[[#This Row],[Column5]]),"")</f>
        <v/>
      </c>
      <c r="G443" s="42" t="str">
        <f>IF(ISNUMBER(deployment_raw[[#This Row],[Column14]]), deployment_raw[[#This Row],[Column14]]/IF(OR($E$2="Deployment",deployment_raw[[#This Row],[Column5]]=0),1,deployment_raw[[#This Row],[Column5]]),"")</f>
        <v/>
      </c>
      <c r="H443" s="79" t="str">
        <f>IF(ISNUMBER(deployment_raw[[#This Row],[Column19]]), IF(I443&lt;&gt;0,(deployment_raw[[#This Row],[Column19]]/IF(OR($E$2="Deployment",deployment_raw[[#This Row],[Column5]]=0),1,deployment_raw[[#This Row],[Column5]]))/I443,0),"")</f>
        <v/>
      </c>
      <c r="I443" s="69" t="str">
        <f>IF(ISNUMBER(deployment_raw[[#This Row],[Column6]]), (deployment_raw[[#This Row],[Column6]] * IF($E$2="Deployment",deployment_raw[[#This Row],[Column5]],1)),"")</f>
        <v/>
      </c>
      <c r="J443" s="79" t="str">
        <f>IF(ISNUMBER(deployment_raw[[#This Row],[Column19]]), IF(K443&lt;&gt;0,(deployment_raw[[#This Row],[Column19]]/IF(OR($E$2="Deployment",deployment_raw[[#This Row],[Column5]]=0),1,deployment_raw[[#This Row],[Column5]]))/K443,0),"")</f>
        <v/>
      </c>
      <c r="K443" s="72" t="str">
        <f>IF(ISNUMBER(deployment_raw[[#This Row],[Column8]]), (deployment_raw[[#This Row],[Column8]]  * IF($E$2="Deployment",deployment_raw[[#This Row],[Column5]],1)),"")</f>
        <v/>
      </c>
      <c r="L44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4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43" s="81" t="str">
        <f>IF(ISNUMBER(deployment_raw[[#This Row],[Column20]]), IF(O443&lt;&gt;0,deployment_raw[[#This Row],[Column20]]/IF(OR($E$2="Deployment",deployment_raw[[#This Row],[Column5]]=0),1,deployment_raw[[#This Row],[Column5]])/1048576/O443,0),"")</f>
        <v/>
      </c>
      <c r="O443" s="74" t="str">
        <f>IF(ISNUMBER(deployment_raw[[#This Row],[Column7]]), (deployment_raw[[#This Row],[Column7]] * IF($E$2="Deployment",deployment_raw[[#This Row],[Column5]],1))/1048576,"")</f>
        <v/>
      </c>
      <c r="P443" s="81" t="str">
        <f>IF(ISNUMBER(deployment_raw[[#This Row],[Column20]]), IF(Q443&lt;&gt;0,deployment_raw[[#This Row],[Column20]]/IF(OR($E$2="Deployment",deployment_raw[[#This Row],[Column5]]=0),1,deployment_raw[[#This Row],[Column5]])/1048576/Q443,0),"")</f>
        <v/>
      </c>
      <c r="Q443" s="76" t="str">
        <f>IF(ISNUMBER(deployment_raw[[#This Row],[Column9]]), (deployment_raw[[#This Row],[Column9]] * IF($E$2="Deployment",deployment_raw[[#This Row],[Column5]],1))/1048576,"")</f>
        <v/>
      </c>
      <c r="R443" s="57" t="str">
        <f>IF(ISNUMBER(deployment_raw[[#This Row],[Column10]]), (deployment_raw[[#This Row],[Column10]] * IF($E$2="Deployment",deployment_raw[[#This Row],[Column5]],1)),"")</f>
        <v/>
      </c>
      <c r="S443" s="48" t="str">
        <f>IF(ISNUMBER(deployment_raw[[#This Row],[Column11]]), (deployment_raw[[#This Row],[Column11]] * IF($E$2="Deployment",deployment_raw[[#This Row],[Column5]],1))/1048576,"")</f>
        <v/>
      </c>
      <c r="T443" s="59" t="str">
        <f>IF(ISNUMBER(deployment_raw[[#This Row],[Column8]]),IF(OR(deployment_raw[[#This Row],[Column5]] &lt;&gt; 0,$E$2 &lt;&gt; "Deployment"), MAX(V443, ($T$2 * IF($E$2="Deployment",deployment_raw[[#This Row],[Column5]],1))), 0),"")</f>
        <v/>
      </c>
      <c r="U443" s="50" t="str">
        <f>IF(ISNUMBER(deployment_raw[[#This Row],[Column9]]),IF(OR(deployment_raw[[#This Row],[Column5]] &lt;&gt; 0,$E$2&lt;&gt;"Deployment"), MAX(W443, ($U$2 * IF($E$2="Deployment",deployment_raw[[#This Row],[Column5]],1))), 0),"")</f>
        <v/>
      </c>
      <c r="V443" s="15" t="str">
        <f>IF(ISNUMBER(deployment_raw[[#This Row],[Column12]]), (deployment_raw[[#This Row],[Column12]] * IF($E$2="Deployment",deployment_raw[[#This Row],[Column5]],1)*(1+$V$2)),"")</f>
        <v/>
      </c>
      <c r="W443" s="14" t="str">
        <f>IF(ISNUMBER(deployment_raw[[#This Row],[Column13]]), (deployment_raw[[#This Row],[Column13]] * IF($E$2="Deployment",deployment_raw[[#This Row],[Column5]],1)*(1+$W$2))/1048576,"")</f>
        <v/>
      </c>
    </row>
    <row r="444" spans="1:23" ht="15.75" customHeight="1" x14ac:dyDescent="0.25">
      <c r="A444" s="5" t="str">
        <f>IF(ISNONTEXT(deployment_raw[[#This Row],[Column1]]), "", deployment_raw[[#This Row],[Column1]])</f>
        <v/>
      </c>
      <c r="B444" s="6" t="str">
        <f>IF(ISNONTEXT(deployment_raw[[#This Row],[Column2]]), "", deployment_raw[[#This Row],[Column2]])</f>
        <v/>
      </c>
      <c r="C444" s="6" t="str">
        <f>IF(ISNONTEXT(deployment_raw[[#This Row],[Column3]]), "", deployment_raw[[#This Row],[Column3]])</f>
        <v/>
      </c>
      <c r="D444" s="6" t="str">
        <f>IF(ISNONTEXT(deployment_raw[[#This Row],[Column4]]), "", deployment_raw[[#This Row],[Column4]])</f>
        <v/>
      </c>
      <c r="E444" s="7" t="str">
        <f>IF(ISNUMBER(deployment_raw[[#This Row],[Column5]]), deployment_raw[[#This Row],[Column5]],"")</f>
        <v/>
      </c>
      <c r="F444" s="32" t="str">
        <f>IF(ISNUMBER(deployment_raw[[#This Row],[Column17]]), deployment_raw[[#This Row],[Column17]]/IF(OR($E$2="Deployment",deployment_raw[[#This Row],[Column5]]=0),1,deployment_raw[[#This Row],[Column5]]),"")</f>
        <v/>
      </c>
      <c r="G444" s="42" t="str">
        <f>IF(ISNUMBER(deployment_raw[[#This Row],[Column14]]), deployment_raw[[#This Row],[Column14]]/IF(OR($E$2="Deployment",deployment_raw[[#This Row],[Column5]]=0),1,deployment_raw[[#This Row],[Column5]]),"")</f>
        <v/>
      </c>
      <c r="H444" s="79" t="str">
        <f>IF(ISNUMBER(deployment_raw[[#This Row],[Column19]]), IF(I444&lt;&gt;0,(deployment_raw[[#This Row],[Column19]]/IF(OR($E$2="Deployment",deployment_raw[[#This Row],[Column5]]=0),1,deployment_raw[[#This Row],[Column5]]))/I444,0),"")</f>
        <v/>
      </c>
      <c r="I444" s="69" t="str">
        <f>IF(ISNUMBER(deployment_raw[[#This Row],[Column6]]), (deployment_raw[[#This Row],[Column6]] * IF($E$2="Deployment",deployment_raw[[#This Row],[Column5]],1)),"")</f>
        <v/>
      </c>
      <c r="J444" s="79" t="str">
        <f>IF(ISNUMBER(deployment_raw[[#This Row],[Column19]]), IF(K444&lt;&gt;0,(deployment_raw[[#This Row],[Column19]]/IF(OR($E$2="Deployment",deployment_raw[[#This Row],[Column5]]=0),1,deployment_raw[[#This Row],[Column5]]))/K444,0),"")</f>
        <v/>
      </c>
      <c r="K444" s="72" t="str">
        <f>IF(ISNUMBER(deployment_raw[[#This Row],[Column8]]), (deployment_raw[[#This Row],[Column8]]  * IF($E$2="Deployment",deployment_raw[[#This Row],[Column5]],1)),"")</f>
        <v/>
      </c>
      <c r="L44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4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44" s="81" t="str">
        <f>IF(ISNUMBER(deployment_raw[[#This Row],[Column20]]), IF(O444&lt;&gt;0,deployment_raw[[#This Row],[Column20]]/IF(OR($E$2="Deployment",deployment_raw[[#This Row],[Column5]]=0),1,deployment_raw[[#This Row],[Column5]])/1048576/O444,0),"")</f>
        <v/>
      </c>
      <c r="O444" s="74" t="str">
        <f>IF(ISNUMBER(deployment_raw[[#This Row],[Column7]]), (deployment_raw[[#This Row],[Column7]] * IF($E$2="Deployment",deployment_raw[[#This Row],[Column5]],1))/1048576,"")</f>
        <v/>
      </c>
      <c r="P444" s="81" t="str">
        <f>IF(ISNUMBER(deployment_raw[[#This Row],[Column20]]), IF(Q444&lt;&gt;0,deployment_raw[[#This Row],[Column20]]/IF(OR($E$2="Deployment",deployment_raw[[#This Row],[Column5]]=0),1,deployment_raw[[#This Row],[Column5]])/1048576/Q444,0),"")</f>
        <v/>
      </c>
      <c r="Q444" s="76" t="str">
        <f>IF(ISNUMBER(deployment_raw[[#This Row],[Column9]]), (deployment_raw[[#This Row],[Column9]] * IF($E$2="Deployment",deployment_raw[[#This Row],[Column5]],1))/1048576,"")</f>
        <v/>
      </c>
      <c r="R444" s="57" t="str">
        <f>IF(ISNUMBER(deployment_raw[[#This Row],[Column10]]), (deployment_raw[[#This Row],[Column10]] * IF($E$2="Deployment",deployment_raw[[#This Row],[Column5]],1)),"")</f>
        <v/>
      </c>
      <c r="S444" s="48" t="str">
        <f>IF(ISNUMBER(deployment_raw[[#This Row],[Column11]]), (deployment_raw[[#This Row],[Column11]] * IF($E$2="Deployment",deployment_raw[[#This Row],[Column5]],1))/1048576,"")</f>
        <v/>
      </c>
      <c r="T444" s="59" t="str">
        <f>IF(ISNUMBER(deployment_raw[[#This Row],[Column8]]),IF(OR(deployment_raw[[#This Row],[Column5]] &lt;&gt; 0,$E$2 &lt;&gt; "Deployment"), MAX(V444, ($T$2 * IF($E$2="Deployment",deployment_raw[[#This Row],[Column5]],1))), 0),"")</f>
        <v/>
      </c>
      <c r="U444" s="50" t="str">
        <f>IF(ISNUMBER(deployment_raw[[#This Row],[Column9]]),IF(OR(deployment_raw[[#This Row],[Column5]] &lt;&gt; 0,$E$2&lt;&gt;"Deployment"), MAX(W444, ($U$2 * IF($E$2="Deployment",deployment_raw[[#This Row],[Column5]],1))), 0),"")</f>
        <v/>
      </c>
      <c r="V444" s="15" t="str">
        <f>IF(ISNUMBER(deployment_raw[[#This Row],[Column12]]), (deployment_raw[[#This Row],[Column12]] * IF($E$2="Deployment",deployment_raw[[#This Row],[Column5]],1)*(1+$V$2)),"")</f>
        <v/>
      </c>
      <c r="W444" s="14" t="str">
        <f>IF(ISNUMBER(deployment_raw[[#This Row],[Column13]]), (deployment_raw[[#This Row],[Column13]] * IF($E$2="Deployment",deployment_raw[[#This Row],[Column5]],1)*(1+$W$2))/1048576,"")</f>
        <v/>
      </c>
    </row>
    <row r="445" spans="1:23" ht="15.75" customHeight="1" x14ac:dyDescent="0.25">
      <c r="A445" s="5" t="str">
        <f>IF(ISNONTEXT(deployment_raw[[#This Row],[Column1]]), "", deployment_raw[[#This Row],[Column1]])</f>
        <v/>
      </c>
      <c r="B445" s="6" t="str">
        <f>IF(ISNONTEXT(deployment_raw[[#This Row],[Column2]]), "", deployment_raw[[#This Row],[Column2]])</f>
        <v/>
      </c>
      <c r="C445" s="6" t="str">
        <f>IF(ISNONTEXT(deployment_raw[[#This Row],[Column3]]), "", deployment_raw[[#This Row],[Column3]])</f>
        <v/>
      </c>
      <c r="D445" s="6" t="str">
        <f>IF(ISNONTEXT(deployment_raw[[#This Row],[Column4]]), "", deployment_raw[[#This Row],[Column4]])</f>
        <v/>
      </c>
      <c r="E445" s="7" t="str">
        <f>IF(ISNUMBER(deployment_raw[[#This Row],[Column5]]), deployment_raw[[#This Row],[Column5]],"")</f>
        <v/>
      </c>
      <c r="F445" s="32" t="str">
        <f>IF(ISNUMBER(deployment_raw[[#This Row],[Column17]]), deployment_raw[[#This Row],[Column17]]/IF(OR($E$2="Deployment",deployment_raw[[#This Row],[Column5]]=0),1,deployment_raw[[#This Row],[Column5]]),"")</f>
        <v/>
      </c>
      <c r="G445" s="42" t="str">
        <f>IF(ISNUMBER(deployment_raw[[#This Row],[Column14]]), deployment_raw[[#This Row],[Column14]]/IF(OR($E$2="Deployment",deployment_raw[[#This Row],[Column5]]=0),1,deployment_raw[[#This Row],[Column5]]),"")</f>
        <v/>
      </c>
      <c r="H445" s="79" t="str">
        <f>IF(ISNUMBER(deployment_raw[[#This Row],[Column19]]), IF(I445&lt;&gt;0,(deployment_raw[[#This Row],[Column19]]/IF(OR($E$2="Deployment",deployment_raw[[#This Row],[Column5]]=0),1,deployment_raw[[#This Row],[Column5]]))/I445,0),"")</f>
        <v/>
      </c>
      <c r="I445" s="69" t="str">
        <f>IF(ISNUMBER(deployment_raw[[#This Row],[Column6]]), (deployment_raw[[#This Row],[Column6]] * IF($E$2="Deployment",deployment_raw[[#This Row],[Column5]],1)),"")</f>
        <v/>
      </c>
      <c r="J445" s="79" t="str">
        <f>IF(ISNUMBER(deployment_raw[[#This Row],[Column19]]), IF(K445&lt;&gt;0,(deployment_raw[[#This Row],[Column19]]/IF(OR($E$2="Deployment",deployment_raw[[#This Row],[Column5]]=0),1,deployment_raw[[#This Row],[Column5]]))/K445,0),"")</f>
        <v/>
      </c>
      <c r="K445" s="72" t="str">
        <f>IF(ISNUMBER(deployment_raw[[#This Row],[Column8]]), (deployment_raw[[#This Row],[Column8]]  * IF($E$2="Deployment",deployment_raw[[#This Row],[Column5]],1)),"")</f>
        <v/>
      </c>
      <c r="L44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4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45" s="81" t="str">
        <f>IF(ISNUMBER(deployment_raw[[#This Row],[Column20]]), IF(O445&lt;&gt;0,deployment_raw[[#This Row],[Column20]]/IF(OR($E$2="Deployment",deployment_raw[[#This Row],[Column5]]=0),1,deployment_raw[[#This Row],[Column5]])/1048576/O445,0),"")</f>
        <v/>
      </c>
      <c r="O445" s="74" t="str">
        <f>IF(ISNUMBER(deployment_raw[[#This Row],[Column7]]), (deployment_raw[[#This Row],[Column7]] * IF($E$2="Deployment",deployment_raw[[#This Row],[Column5]],1))/1048576,"")</f>
        <v/>
      </c>
      <c r="P445" s="81" t="str">
        <f>IF(ISNUMBER(deployment_raw[[#This Row],[Column20]]), IF(Q445&lt;&gt;0,deployment_raw[[#This Row],[Column20]]/IF(OR($E$2="Deployment",deployment_raw[[#This Row],[Column5]]=0),1,deployment_raw[[#This Row],[Column5]])/1048576/Q445,0),"")</f>
        <v/>
      </c>
      <c r="Q445" s="76" t="str">
        <f>IF(ISNUMBER(deployment_raw[[#This Row],[Column9]]), (deployment_raw[[#This Row],[Column9]] * IF($E$2="Deployment",deployment_raw[[#This Row],[Column5]],1))/1048576,"")</f>
        <v/>
      </c>
      <c r="R445" s="57" t="str">
        <f>IF(ISNUMBER(deployment_raw[[#This Row],[Column10]]), (deployment_raw[[#This Row],[Column10]] * IF($E$2="Deployment",deployment_raw[[#This Row],[Column5]],1)),"")</f>
        <v/>
      </c>
      <c r="S445" s="48" t="str">
        <f>IF(ISNUMBER(deployment_raw[[#This Row],[Column11]]), (deployment_raw[[#This Row],[Column11]] * IF($E$2="Deployment",deployment_raw[[#This Row],[Column5]],1))/1048576,"")</f>
        <v/>
      </c>
      <c r="T445" s="59" t="str">
        <f>IF(ISNUMBER(deployment_raw[[#This Row],[Column8]]),IF(OR(deployment_raw[[#This Row],[Column5]] &lt;&gt; 0,$E$2 &lt;&gt; "Deployment"), MAX(V445, ($T$2 * IF($E$2="Deployment",deployment_raw[[#This Row],[Column5]],1))), 0),"")</f>
        <v/>
      </c>
      <c r="U445" s="50" t="str">
        <f>IF(ISNUMBER(deployment_raw[[#This Row],[Column9]]),IF(OR(deployment_raw[[#This Row],[Column5]] &lt;&gt; 0,$E$2&lt;&gt;"Deployment"), MAX(W445, ($U$2 * IF($E$2="Deployment",deployment_raw[[#This Row],[Column5]],1))), 0),"")</f>
        <v/>
      </c>
      <c r="V445" s="15" t="str">
        <f>IF(ISNUMBER(deployment_raw[[#This Row],[Column12]]), (deployment_raw[[#This Row],[Column12]] * IF($E$2="Deployment",deployment_raw[[#This Row],[Column5]],1)*(1+$V$2)),"")</f>
        <v/>
      </c>
      <c r="W445" s="14" t="str">
        <f>IF(ISNUMBER(deployment_raw[[#This Row],[Column13]]), (deployment_raw[[#This Row],[Column13]] * IF($E$2="Deployment",deployment_raw[[#This Row],[Column5]],1)*(1+$W$2))/1048576,"")</f>
        <v/>
      </c>
    </row>
    <row r="446" spans="1:23" ht="15.75" customHeight="1" x14ac:dyDescent="0.25">
      <c r="A446" s="5" t="str">
        <f>IF(ISNONTEXT(deployment_raw[[#This Row],[Column1]]), "", deployment_raw[[#This Row],[Column1]])</f>
        <v/>
      </c>
      <c r="B446" s="6" t="str">
        <f>IF(ISNONTEXT(deployment_raw[[#This Row],[Column2]]), "", deployment_raw[[#This Row],[Column2]])</f>
        <v/>
      </c>
      <c r="C446" s="6" t="str">
        <f>IF(ISNONTEXT(deployment_raw[[#This Row],[Column3]]), "", deployment_raw[[#This Row],[Column3]])</f>
        <v/>
      </c>
      <c r="D446" s="6" t="str">
        <f>IF(ISNONTEXT(deployment_raw[[#This Row],[Column4]]), "", deployment_raw[[#This Row],[Column4]])</f>
        <v/>
      </c>
      <c r="E446" s="7" t="str">
        <f>IF(ISNUMBER(deployment_raw[[#This Row],[Column5]]), deployment_raw[[#This Row],[Column5]],"")</f>
        <v/>
      </c>
      <c r="F446" s="32" t="str">
        <f>IF(ISNUMBER(deployment_raw[[#This Row],[Column17]]), deployment_raw[[#This Row],[Column17]]/IF(OR($E$2="Deployment",deployment_raw[[#This Row],[Column5]]=0),1,deployment_raw[[#This Row],[Column5]]),"")</f>
        <v/>
      </c>
      <c r="G446" s="42" t="str">
        <f>IF(ISNUMBER(deployment_raw[[#This Row],[Column14]]), deployment_raw[[#This Row],[Column14]]/IF(OR($E$2="Deployment",deployment_raw[[#This Row],[Column5]]=0),1,deployment_raw[[#This Row],[Column5]]),"")</f>
        <v/>
      </c>
      <c r="H446" s="79" t="str">
        <f>IF(ISNUMBER(deployment_raw[[#This Row],[Column19]]), IF(I446&lt;&gt;0,(deployment_raw[[#This Row],[Column19]]/IF(OR($E$2="Deployment",deployment_raw[[#This Row],[Column5]]=0),1,deployment_raw[[#This Row],[Column5]]))/I446,0),"")</f>
        <v/>
      </c>
      <c r="I446" s="69" t="str">
        <f>IF(ISNUMBER(deployment_raw[[#This Row],[Column6]]), (deployment_raw[[#This Row],[Column6]] * IF($E$2="Deployment",deployment_raw[[#This Row],[Column5]],1)),"")</f>
        <v/>
      </c>
      <c r="J446" s="79" t="str">
        <f>IF(ISNUMBER(deployment_raw[[#This Row],[Column19]]), IF(K446&lt;&gt;0,(deployment_raw[[#This Row],[Column19]]/IF(OR($E$2="Deployment",deployment_raw[[#This Row],[Column5]]=0),1,deployment_raw[[#This Row],[Column5]]))/K446,0),"")</f>
        <v/>
      </c>
      <c r="K446" s="72" t="str">
        <f>IF(ISNUMBER(deployment_raw[[#This Row],[Column8]]), (deployment_raw[[#This Row],[Column8]]  * IF($E$2="Deployment",deployment_raw[[#This Row],[Column5]],1)),"")</f>
        <v/>
      </c>
      <c r="L44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4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46" s="81" t="str">
        <f>IF(ISNUMBER(deployment_raw[[#This Row],[Column20]]), IF(O446&lt;&gt;0,deployment_raw[[#This Row],[Column20]]/IF(OR($E$2="Deployment",deployment_raw[[#This Row],[Column5]]=0),1,deployment_raw[[#This Row],[Column5]])/1048576/O446,0),"")</f>
        <v/>
      </c>
      <c r="O446" s="74" t="str">
        <f>IF(ISNUMBER(deployment_raw[[#This Row],[Column7]]), (deployment_raw[[#This Row],[Column7]] * IF($E$2="Deployment",deployment_raw[[#This Row],[Column5]],1))/1048576,"")</f>
        <v/>
      </c>
      <c r="P446" s="81" t="str">
        <f>IF(ISNUMBER(deployment_raw[[#This Row],[Column20]]), IF(Q446&lt;&gt;0,deployment_raw[[#This Row],[Column20]]/IF(OR($E$2="Deployment",deployment_raw[[#This Row],[Column5]]=0),1,deployment_raw[[#This Row],[Column5]])/1048576/Q446,0),"")</f>
        <v/>
      </c>
      <c r="Q446" s="76" t="str">
        <f>IF(ISNUMBER(deployment_raw[[#This Row],[Column9]]), (deployment_raw[[#This Row],[Column9]] * IF($E$2="Deployment",deployment_raw[[#This Row],[Column5]],1))/1048576,"")</f>
        <v/>
      </c>
      <c r="R446" s="57" t="str">
        <f>IF(ISNUMBER(deployment_raw[[#This Row],[Column10]]), (deployment_raw[[#This Row],[Column10]] * IF($E$2="Deployment",deployment_raw[[#This Row],[Column5]],1)),"")</f>
        <v/>
      </c>
      <c r="S446" s="48" t="str">
        <f>IF(ISNUMBER(deployment_raw[[#This Row],[Column11]]), (deployment_raw[[#This Row],[Column11]] * IF($E$2="Deployment",deployment_raw[[#This Row],[Column5]],1))/1048576,"")</f>
        <v/>
      </c>
      <c r="T446" s="59" t="str">
        <f>IF(ISNUMBER(deployment_raw[[#This Row],[Column8]]),IF(OR(deployment_raw[[#This Row],[Column5]] &lt;&gt; 0,$E$2 &lt;&gt; "Deployment"), MAX(V446, ($T$2 * IF($E$2="Deployment",deployment_raw[[#This Row],[Column5]],1))), 0),"")</f>
        <v/>
      </c>
      <c r="U446" s="50" t="str">
        <f>IF(ISNUMBER(deployment_raw[[#This Row],[Column9]]),IF(OR(deployment_raw[[#This Row],[Column5]] &lt;&gt; 0,$E$2&lt;&gt;"Deployment"), MAX(W446, ($U$2 * IF($E$2="Deployment",deployment_raw[[#This Row],[Column5]],1))), 0),"")</f>
        <v/>
      </c>
      <c r="V446" s="15" t="str">
        <f>IF(ISNUMBER(deployment_raw[[#This Row],[Column12]]), (deployment_raw[[#This Row],[Column12]] * IF($E$2="Deployment",deployment_raw[[#This Row],[Column5]],1)*(1+$V$2)),"")</f>
        <v/>
      </c>
      <c r="W446" s="14" t="str">
        <f>IF(ISNUMBER(deployment_raw[[#This Row],[Column13]]), (deployment_raw[[#This Row],[Column13]] * IF($E$2="Deployment",deployment_raw[[#This Row],[Column5]],1)*(1+$W$2))/1048576,"")</f>
        <v/>
      </c>
    </row>
    <row r="447" spans="1:23" ht="15.75" customHeight="1" x14ac:dyDescent="0.25">
      <c r="A447" s="5" t="str">
        <f>IF(ISNONTEXT(deployment_raw[[#This Row],[Column1]]), "", deployment_raw[[#This Row],[Column1]])</f>
        <v/>
      </c>
      <c r="B447" s="6" t="str">
        <f>IF(ISNONTEXT(deployment_raw[[#This Row],[Column2]]), "", deployment_raw[[#This Row],[Column2]])</f>
        <v/>
      </c>
      <c r="C447" s="6" t="str">
        <f>IF(ISNONTEXT(deployment_raw[[#This Row],[Column3]]), "", deployment_raw[[#This Row],[Column3]])</f>
        <v/>
      </c>
      <c r="D447" s="6" t="str">
        <f>IF(ISNONTEXT(deployment_raw[[#This Row],[Column4]]), "", deployment_raw[[#This Row],[Column4]])</f>
        <v/>
      </c>
      <c r="E447" s="7" t="str">
        <f>IF(ISNUMBER(deployment_raw[[#This Row],[Column5]]), deployment_raw[[#This Row],[Column5]],"")</f>
        <v/>
      </c>
      <c r="F447" s="32" t="str">
        <f>IF(ISNUMBER(deployment_raw[[#This Row],[Column17]]), deployment_raw[[#This Row],[Column17]]/IF(OR($E$2="Deployment",deployment_raw[[#This Row],[Column5]]=0),1,deployment_raw[[#This Row],[Column5]]),"")</f>
        <v/>
      </c>
      <c r="G447" s="42" t="str">
        <f>IF(ISNUMBER(deployment_raw[[#This Row],[Column14]]), deployment_raw[[#This Row],[Column14]]/IF(OR($E$2="Deployment",deployment_raw[[#This Row],[Column5]]=0),1,deployment_raw[[#This Row],[Column5]]),"")</f>
        <v/>
      </c>
      <c r="H447" s="79" t="str">
        <f>IF(ISNUMBER(deployment_raw[[#This Row],[Column19]]), IF(I447&lt;&gt;0,(deployment_raw[[#This Row],[Column19]]/IF(OR($E$2="Deployment",deployment_raw[[#This Row],[Column5]]=0),1,deployment_raw[[#This Row],[Column5]]))/I447,0),"")</f>
        <v/>
      </c>
      <c r="I447" s="69" t="str">
        <f>IF(ISNUMBER(deployment_raw[[#This Row],[Column6]]), (deployment_raw[[#This Row],[Column6]] * IF($E$2="Deployment",deployment_raw[[#This Row],[Column5]],1)),"")</f>
        <v/>
      </c>
      <c r="J447" s="79" t="str">
        <f>IF(ISNUMBER(deployment_raw[[#This Row],[Column19]]), IF(K447&lt;&gt;0,(deployment_raw[[#This Row],[Column19]]/IF(OR($E$2="Deployment",deployment_raw[[#This Row],[Column5]]=0),1,deployment_raw[[#This Row],[Column5]]))/K447,0),"")</f>
        <v/>
      </c>
      <c r="K447" s="72" t="str">
        <f>IF(ISNUMBER(deployment_raw[[#This Row],[Column8]]), (deployment_raw[[#This Row],[Column8]]  * IF($E$2="Deployment",deployment_raw[[#This Row],[Column5]],1)),"")</f>
        <v/>
      </c>
      <c r="L44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4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47" s="81" t="str">
        <f>IF(ISNUMBER(deployment_raw[[#This Row],[Column20]]), IF(O447&lt;&gt;0,deployment_raw[[#This Row],[Column20]]/IF(OR($E$2="Deployment",deployment_raw[[#This Row],[Column5]]=0),1,deployment_raw[[#This Row],[Column5]])/1048576/O447,0),"")</f>
        <v/>
      </c>
      <c r="O447" s="74" t="str">
        <f>IF(ISNUMBER(deployment_raw[[#This Row],[Column7]]), (deployment_raw[[#This Row],[Column7]] * IF($E$2="Deployment",deployment_raw[[#This Row],[Column5]],1))/1048576,"")</f>
        <v/>
      </c>
      <c r="P447" s="81" t="str">
        <f>IF(ISNUMBER(deployment_raw[[#This Row],[Column20]]), IF(Q447&lt;&gt;0,deployment_raw[[#This Row],[Column20]]/IF(OR($E$2="Deployment",deployment_raw[[#This Row],[Column5]]=0),1,deployment_raw[[#This Row],[Column5]])/1048576/Q447,0),"")</f>
        <v/>
      </c>
      <c r="Q447" s="76" t="str">
        <f>IF(ISNUMBER(deployment_raw[[#This Row],[Column9]]), (deployment_raw[[#This Row],[Column9]] * IF($E$2="Deployment",deployment_raw[[#This Row],[Column5]],1))/1048576,"")</f>
        <v/>
      </c>
      <c r="R447" s="57" t="str">
        <f>IF(ISNUMBER(deployment_raw[[#This Row],[Column10]]), (deployment_raw[[#This Row],[Column10]] * IF($E$2="Deployment",deployment_raw[[#This Row],[Column5]],1)),"")</f>
        <v/>
      </c>
      <c r="S447" s="48" t="str">
        <f>IF(ISNUMBER(deployment_raw[[#This Row],[Column11]]), (deployment_raw[[#This Row],[Column11]] * IF($E$2="Deployment",deployment_raw[[#This Row],[Column5]],1))/1048576,"")</f>
        <v/>
      </c>
      <c r="T447" s="59" t="str">
        <f>IF(ISNUMBER(deployment_raw[[#This Row],[Column8]]),IF(OR(deployment_raw[[#This Row],[Column5]] &lt;&gt; 0,$E$2 &lt;&gt; "Deployment"), MAX(V447, ($T$2 * IF($E$2="Deployment",deployment_raw[[#This Row],[Column5]],1))), 0),"")</f>
        <v/>
      </c>
      <c r="U447" s="50" t="str">
        <f>IF(ISNUMBER(deployment_raw[[#This Row],[Column9]]),IF(OR(deployment_raw[[#This Row],[Column5]] &lt;&gt; 0,$E$2&lt;&gt;"Deployment"), MAX(W447, ($U$2 * IF($E$2="Deployment",deployment_raw[[#This Row],[Column5]],1))), 0),"")</f>
        <v/>
      </c>
      <c r="V447" s="15" t="str">
        <f>IF(ISNUMBER(deployment_raw[[#This Row],[Column12]]), (deployment_raw[[#This Row],[Column12]] * IF($E$2="Deployment",deployment_raw[[#This Row],[Column5]],1)*(1+$V$2)),"")</f>
        <v/>
      </c>
      <c r="W447" s="14" t="str">
        <f>IF(ISNUMBER(deployment_raw[[#This Row],[Column13]]), (deployment_raw[[#This Row],[Column13]] * IF($E$2="Deployment",deployment_raw[[#This Row],[Column5]],1)*(1+$W$2))/1048576,"")</f>
        <v/>
      </c>
    </row>
    <row r="448" spans="1:23" ht="15.75" customHeight="1" x14ac:dyDescent="0.25">
      <c r="A448" s="5" t="str">
        <f>IF(ISNONTEXT(deployment_raw[[#This Row],[Column1]]), "", deployment_raw[[#This Row],[Column1]])</f>
        <v/>
      </c>
      <c r="B448" s="6" t="str">
        <f>IF(ISNONTEXT(deployment_raw[[#This Row],[Column2]]), "", deployment_raw[[#This Row],[Column2]])</f>
        <v/>
      </c>
      <c r="C448" s="6" t="str">
        <f>IF(ISNONTEXT(deployment_raw[[#This Row],[Column3]]), "", deployment_raw[[#This Row],[Column3]])</f>
        <v/>
      </c>
      <c r="D448" s="6" t="str">
        <f>IF(ISNONTEXT(deployment_raw[[#This Row],[Column4]]), "", deployment_raw[[#This Row],[Column4]])</f>
        <v/>
      </c>
      <c r="E448" s="7" t="str">
        <f>IF(ISNUMBER(deployment_raw[[#This Row],[Column5]]), deployment_raw[[#This Row],[Column5]],"")</f>
        <v/>
      </c>
      <c r="F448" s="32" t="str">
        <f>IF(ISNUMBER(deployment_raw[[#This Row],[Column17]]), deployment_raw[[#This Row],[Column17]]/IF(OR($E$2="Deployment",deployment_raw[[#This Row],[Column5]]=0),1,deployment_raw[[#This Row],[Column5]]),"")</f>
        <v/>
      </c>
      <c r="G448" s="42" t="str">
        <f>IF(ISNUMBER(deployment_raw[[#This Row],[Column14]]), deployment_raw[[#This Row],[Column14]]/IF(OR($E$2="Deployment",deployment_raw[[#This Row],[Column5]]=0),1,deployment_raw[[#This Row],[Column5]]),"")</f>
        <v/>
      </c>
      <c r="H448" s="79" t="str">
        <f>IF(ISNUMBER(deployment_raw[[#This Row],[Column19]]), IF(I448&lt;&gt;0,(deployment_raw[[#This Row],[Column19]]/IF(OR($E$2="Deployment",deployment_raw[[#This Row],[Column5]]=0),1,deployment_raw[[#This Row],[Column5]]))/I448,0),"")</f>
        <v/>
      </c>
      <c r="I448" s="69" t="str">
        <f>IF(ISNUMBER(deployment_raw[[#This Row],[Column6]]), (deployment_raw[[#This Row],[Column6]] * IF($E$2="Deployment",deployment_raw[[#This Row],[Column5]],1)),"")</f>
        <v/>
      </c>
      <c r="J448" s="79" t="str">
        <f>IF(ISNUMBER(deployment_raw[[#This Row],[Column19]]), IF(K448&lt;&gt;0,(deployment_raw[[#This Row],[Column19]]/IF(OR($E$2="Deployment",deployment_raw[[#This Row],[Column5]]=0),1,deployment_raw[[#This Row],[Column5]]))/K448,0),"")</f>
        <v/>
      </c>
      <c r="K448" s="72" t="str">
        <f>IF(ISNUMBER(deployment_raw[[#This Row],[Column8]]), (deployment_raw[[#This Row],[Column8]]  * IF($E$2="Deployment",deployment_raw[[#This Row],[Column5]],1)),"")</f>
        <v/>
      </c>
      <c r="L44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4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48" s="81" t="str">
        <f>IF(ISNUMBER(deployment_raw[[#This Row],[Column20]]), IF(O448&lt;&gt;0,deployment_raw[[#This Row],[Column20]]/IF(OR($E$2="Deployment",deployment_raw[[#This Row],[Column5]]=0),1,deployment_raw[[#This Row],[Column5]])/1048576/O448,0),"")</f>
        <v/>
      </c>
      <c r="O448" s="74" t="str">
        <f>IF(ISNUMBER(deployment_raw[[#This Row],[Column7]]), (deployment_raw[[#This Row],[Column7]] * IF($E$2="Deployment",deployment_raw[[#This Row],[Column5]],1))/1048576,"")</f>
        <v/>
      </c>
      <c r="P448" s="81" t="str">
        <f>IF(ISNUMBER(deployment_raw[[#This Row],[Column20]]), IF(Q448&lt;&gt;0,deployment_raw[[#This Row],[Column20]]/IF(OR($E$2="Deployment",deployment_raw[[#This Row],[Column5]]=0),1,deployment_raw[[#This Row],[Column5]])/1048576/Q448,0),"")</f>
        <v/>
      </c>
      <c r="Q448" s="76" t="str">
        <f>IF(ISNUMBER(deployment_raw[[#This Row],[Column9]]), (deployment_raw[[#This Row],[Column9]] * IF($E$2="Deployment",deployment_raw[[#This Row],[Column5]],1))/1048576,"")</f>
        <v/>
      </c>
      <c r="R448" s="57" t="str">
        <f>IF(ISNUMBER(deployment_raw[[#This Row],[Column10]]), (deployment_raw[[#This Row],[Column10]] * IF($E$2="Deployment",deployment_raw[[#This Row],[Column5]],1)),"")</f>
        <v/>
      </c>
      <c r="S448" s="48" t="str">
        <f>IF(ISNUMBER(deployment_raw[[#This Row],[Column11]]), (deployment_raw[[#This Row],[Column11]] * IF($E$2="Deployment",deployment_raw[[#This Row],[Column5]],1))/1048576,"")</f>
        <v/>
      </c>
      <c r="T448" s="59" t="str">
        <f>IF(ISNUMBER(deployment_raw[[#This Row],[Column8]]),IF(OR(deployment_raw[[#This Row],[Column5]] &lt;&gt; 0,$E$2 &lt;&gt; "Deployment"), MAX(V448, ($T$2 * IF($E$2="Deployment",deployment_raw[[#This Row],[Column5]],1))), 0),"")</f>
        <v/>
      </c>
      <c r="U448" s="50" t="str">
        <f>IF(ISNUMBER(deployment_raw[[#This Row],[Column9]]),IF(OR(deployment_raw[[#This Row],[Column5]] &lt;&gt; 0,$E$2&lt;&gt;"Deployment"), MAX(W448, ($U$2 * IF($E$2="Deployment",deployment_raw[[#This Row],[Column5]],1))), 0),"")</f>
        <v/>
      </c>
      <c r="V448" s="15" t="str">
        <f>IF(ISNUMBER(deployment_raw[[#This Row],[Column12]]), (deployment_raw[[#This Row],[Column12]] * IF($E$2="Deployment",deployment_raw[[#This Row],[Column5]],1)*(1+$V$2)),"")</f>
        <v/>
      </c>
      <c r="W448" s="14" t="str">
        <f>IF(ISNUMBER(deployment_raw[[#This Row],[Column13]]), (deployment_raw[[#This Row],[Column13]] * IF($E$2="Deployment",deployment_raw[[#This Row],[Column5]],1)*(1+$W$2))/1048576,"")</f>
        <v/>
      </c>
    </row>
    <row r="449" spans="1:23" ht="15.75" customHeight="1" x14ac:dyDescent="0.25">
      <c r="A449" s="5" t="str">
        <f>IF(ISNONTEXT(deployment_raw[[#This Row],[Column1]]), "", deployment_raw[[#This Row],[Column1]])</f>
        <v/>
      </c>
      <c r="B449" s="6" t="str">
        <f>IF(ISNONTEXT(deployment_raw[[#This Row],[Column2]]), "", deployment_raw[[#This Row],[Column2]])</f>
        <v/>
      </c>
      <c r="C449" s="6" t="str">
        <f>IF(ISNONTEXT(deployment_raw[[#This Row],[Column3]]), "", deployment_raw[[#This Row],[Column3]])</f>
        <v/>
      </c>
      <c r="D449" s="6" t="str">
        <f>IF(ISNONTEXT(deployment_raw[[#This Row],[Column4]]), "", deployment_raw[[#This Row],[Column4]])</f>
        <v/>
      </c>
      <c r="E449" s="7" t="str">
        <f>IF(ISNUMBER(deployment_raw[[#This Row],[Column5]]), deployment_raw[[#This Row],[Column5]],"")</f>
        <v/>
      </c>
      <c r="F449" s="32" t="str">
        <f>IF(ISNUMBER(deployment_raw[[#This Row],[Column17]]), deployment_raw[[#This Row],[Column17]]/IF(OR($E$2="Deployment",deployment_raw[[#This Row],[Column5]]=0),1,deployment_raw[[#This Row],[Column5]]),"")</f>
        <v/>
      </c>
      <c r="G449" s="42" t="str">
        <f>IF(ISNUMBER(deployment_raw[[#This Row],[Column14]]), deployment_raw[[#This Row],[Column14]]/IF(OR($E$2="Deployment",deployment_raw[[#This Row],[Column5]]=0),1,deployment_raw[[#This Row],[Column5]]),"")</f>
        <v/>
      </c>
      <c r="H449" s="79" t="str">
        <f>IF(ISNUMBER(deployment_raw[[#This Row],[Column19]]), IF(I449&lt;&gt;0,(deployment_raw[[#This Row],[Column19]]/IF(OR($E$2="Deployment",deployment_raw[[#This Row],[Column5]]=0),1,deployment_raw[[#This Row],[Column5]]))/I449,0),"")</f>
        <v/>
      </c>
      <c r="I449" s="69" t="str">
        <f>IF(ISNUMBER(deployment_raw[[#This Row],[Column6]]), (deployment_raw[[#This Row],[Column6]] * IF($E$2="Deployment",deployment_raw[[#This Row],[Column5]],1)),"")</f>
        <v/>
      </c>
      <c r="J449" s="79" t="str">
        <f>IF(ISNUMBER(deployment_raw[[#This Row],[Column19]]), IF(K449&lt;&gt;0,(deployment_raw[[#This Row],[Column19]]/IF(OR($E$2="Deployment",deployment_raw[[#This Row],[Column5]]=0),1,deployment_raw[[#This Row],[Column5]]))/K449,0),"")</f>
        <v/>
      </c>
      <c r="K449" s="72" t="str">
        <f>IF(ISNUMBER(deployment_raw[[#This Row],[Column8]]), (deployment_raw[[#This Row],[Column8]]  * IF($E$2="Deployment",deployment_raw[[#This Row],[Column5]],1)),"")</f>
        <v/>
      </c>
      <c r="L44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4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49" s="81" t="str">
        <f>IF(ISNUMBER(deployment_raw[[#This Row],[Column20]]), IF(O449&lt;&gt;0,deployment_raw[[#This Row],[Column20]]/IF(OR($E$2="Deployment",deployment_raw[[#This Row],[Column5]]=0),1,deployment_raw[[#This Row],[Column5]])/1048576/O449,0),"")</f>
        <v/>
      </c>
      <c r="O449" s="74" t="str">
        <f>IF(ISNUMBER(deployment_raw[[#This Row],[Column7]]), (deployment_raw[[#This Row],[Column7]] * IF($E$2="Deployment",deployment_raw[[#This Row],[Column5]],1))/1048576,"")</f>
        <v/>
      </c>
      <c r="P449" s="81" t="str">
        <f>IF(ISNUMBER(deployment_raw[[#This Row],[Column20]]), IF(Q449&lt;&gt;0,deployment_raw[[#This Row],[Column20]]/IF(OR($E$2="Deployment",deployment_raw[[#This Row],[Column5]]=0),1,deployment_raw[[#This Row],[Column5]])/1048576/Q449,0),"")</f>
        <v/>
      </c>
      <c r="Q449" s="76" t="str">
        <f>IF(ISNUMBER(deployment_raw[[#This Row],[Column9]]), (deployment_raw[[#This Row],[Column9]] * IF($E$2="Deployment",deployment_raw[[#This Row],[Column5]],1))/1048576,"")</f>
        <v/>
      </c>
      <c r="R449" s="57" t="str">
        <f>IF(ISNUMBER(deployment_raw[[#This Row],[Column10]]), (deployment_raw[[#This Row],[Column10]] * IF($E$2="Deployment",deployment_raw[[#This Row],[Column5]],1)),"")</f>
        <v/>
      </c>
      <c r="S449" s="48" t="str">
        <f>IF(ISNUMBER(deployment_raw[[#This Row],[Column11]]), (deployment_raw[[#This Row],[Column11]] * IF($E$2="Deployment",deployment_raw[[#This Row],[Column5]],1))/1048576,"")</f>
        <v/>
      </c>
      <c r="T449" s="59" t="str">
        <f>IF(ISNUMBER(deployment_raw[[#This Row],[Column8]]),IF(OR(deployment_raw[[#This Row],[Column5]] &lt;&gt; 0,$E$2 &lt;&gt; "Deployment"), MAX(V449, ($T$2 * IF($E$2="Deployment",deployment_raw[[#This Row],[Column5]],1))), 0),"")</f>
        <v/>
      </c>
      <c r="U449" s="50" t="str">
        <f>IF(ISNUMBER(deployment_raw[[#This Row],[Column9]]),IF(OR(deployment_raw[[#This Row],[Column5]] &lt;&gt; 0,$E$2&lt;&gt;"Deployment"), MAX(W449, ($U$2 * IF($E$2="Deployment",deployment_raw[[#This Row],[Column5]],1))), 0),"")</f>
        <v/>
      </c>
      <c r="V449" s="15" t="str">
        <f>IF(ISNUMBER(deployment_raw[[#This Row],[Column12]]), (deployment_raw[[#This Row],[Column12]] * IF($E$2="Deployment",deployment_raw[[#This Row],[Column5]],1)*(1+$V$2)),"")</f>
        <v/>
      </c>
      <c r="W449" s="14" t="str">
        <f>IF(ISNUMBER(deployment_raw[[#This Row],[Column13]]), (deployment_raw[[#This Row],[Column13]] * IF($E$2="Deployment",deployment_raw[[#This Row],[Column5]],1)*(1+$W$2))/1048576,"")</f>
        <v/>
      </c>
    </row>
    <row r="450" spans="1:23" ht="15.75" customHeight="1" x14ac:dyDescent="0.25">
      <c r="A450" s="5" t="str">
        <f>IF(ISNONTEXT(deployment_raw[[#This Row],[Column1]]), "", deployment_raw[[#This Row],[Column1]])</f>
        <v/>
      </c>
      <c r="B450" s="6" t="str">
        <f>IF(ISNONTEXT(deployment_raw[[#This Row],[Column2]]), "", deployment_raw[[#This Row],[Column2]])</f>
        <v/>
      </c>
      <c r="C450" s="6" t="str">
        <f>IF(ISNONTEXT(deployment_raw[[#This Row],[Column3]]), "", deployment_raw[[#This Row],[Column3]])</f>
        <v/>
      </c>
      <c r="D450" s="6" t="str">
        <f>IF(ISNONTEXT(deployment_raw[[#This Row],[Column4]]), "", deployment_raw[[#This Row],[Column4]])</f>
        <v/>
      </c>
      <c r="E450" s="7" t="str">
        <f>IF(ISNUMBER(deployment_raw[[#This Row],[Column5]]), deployment_raw[[#This Row],[Column5]],"")</f>
        <v/>
      </c>
      <c r="F450" s="32" t="str">
        <f>IF(ISNUMBER(deployment_raw[[#This Row],[Column17]]), deployment_raw[[#This Row],[Column17]]/IF(OR($E$2="Deployment",deployment_raw[[#This Row],[Column5]]=0),1,deployment_raw[[#This Row],[Column5]]),"")</f>
        <v/>
      </c>
      <c r="G450" s="42" t="str">
        <f>IF(ISNUMBER(deployment_raw[[#This Row],[Column14]]), deployment_raw[[#This Row],[Column14]]/IF(OR($E$2="Deployment",deployment_raw[[#This Row],[Column5]]=0),1,deployment_raw[[#This Row],[Column5]]),"")</f>
        <v/>
      </c>
      <c r="H450" s="79" t="str">
        <f>IF(ISNUMBER(deployment_raw[[#This Row],[Column19]]), IF(I450&lt;&gt;0,(deployment_raw[[#This Row],[Column19]]/IF(OR($E$2="Deployment",deployment_raw[[#This Row],[Column5]]=0),1,deployment_raw[[#This Row],[Column5]]))/I450,0),"")</f>
        <v/>
      </c>
      <c r="I450" s="69" t="str">
        <f>IF(ISNUMBER(deployment_raw[[#This Row],[Column6]]), (deployment_raw[[#This Row],[Column6]] * IF($E$2="Deployment",deployment_raw[[#This Row],[Column5]],1)),"")</f>
        <v/>
      </c>
      <c r="J450" s="79" t="str">
        <f>IF(ISNUMBER(deployment_raw[[#This Row],[Column19]]), IF(K450&lt;&gt;0,(deployment_raw[[#This Row],[Column19]]/IF(OR($E$2="Deployment",deployment_raw[[#This Row],[Column5]]=0),1,deployment_raw[[#This Row],[Column5]]))/K450,0),"")</f>
        <v/>
      </c>
      <c r="K450" s="72" t="str">
        <f>IF(ISNUMBER(deployment_raw[[#This Row],[Column8]]), (deployment_raw[[#This Row],[Column8]]  * IF($E$2="Deployment",deployment_raw[[#This Row],[Column5]],1)),"")</f>
        <v/>
      </c>
      <c r="L45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5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50" s="81" t="str">
        <f>IF(ISNUMBER(deployment_raw[[#This Row],[Column20]]), IF(O450&lt;&gt;0,deployment_raw[[#This Row],[Column20]]/IF(OR($E$2="Deployment",deployment_raw[[#This Row],[Column5]]=0),1,deployment_raw[[#This Row],[Column5]])/1048576/O450,0),"")</f>
        <v/>
      </c>
      <c r="O450" s="74" t="str">
        <f>IF(ISNUMBER(deployment_raw[[#This Row],[Column7]]), (deployment_raw[[#This Row],[Column7]] * IF($E$2="Deployment",deployment_raw[[#This Row],[Column5]],1))/1048576,"")</f>
        <v/>
      </c>
      <c r="P450" s="81" t="str">
        <f>IF(ISNUMBER(deployment_raw[[#This Row],[Column20]]), IF(Q450&lt;&gt;0,deployment_raw[[#This Row],[Column20]]/IF(OR($E$2="Deployment",deployment_raw[[#This Row],[Column5]]=0),1,deployment_raw[[#This Row],[Column5]])/1048576/Q450,0),"")</f>
        <v/>
      </c>
      <c r="Q450" s="76" t="str">
        <f>IF(ISNUMBER(deployment_raw[[#This Row],[Column9]]), (deployment_raw[[#This Row],[Column9]] * IF($E$2="Deployment",deployment_raw[[#This Row],[Column5]],1))/1048576,"")</f>
        <v/>
      </c>
      <c r="R450" s="57" t="str">
        <f>IF(ISNUMBER(deployment_raw[[#This Row],[Column10]]), (deployment_raw[[#This Row],[Column10]] * IF($E$2="Deployment",deployment_raw[[#This Row],[Column5]],1)),"")</f>
        <v/>
      </c>
      <c r="S450" s="48" t="str">
        <f>IF(ISNUMBER(deployment_raw[[#This Row],[Column11]]), (deployment_raw[[#This Row],[Column11]] * IF($E$2="Deployment",deployment_raw[[#This Row],[Column5]],1))/1048576,"")</f>
        <v/>
      </c>
      <c r="T450" s="59" t="str">
        <f>IF(ISNUMBER(deployment_raw[[#This Row],[Column8]]),IF(OR(deployment_raw[[#This Row],[Column5]] &lt;&gt; 0,$E$2 &lt;&gt; "Deployment"), MAX(V450, ($T$2 * IF($E$2="Deployment",deployment_raw[[#This Row],[Column5]],1))), 0),"")</f>
        <v/>
      </c>
      <c r="U450" s="50" t="str">
        <f>IF(ISNUMBER(deployment_raw[[#This Row],[Column9]]),IF(OR(deployment_raw[[#This Row],[Column5]] &lt;&gt; 0,$E$2&lt;&gt;"Deployment"), MAX(W450, ($U$2 * IF($E$2="Deployment",deployment_raw[[#This Row],[Column5]],1))), 0),"")</f>
        <v/>
      </c>
      <c r="V450" s="15" t="str">
        <f>IF(ISNUMBER(deployment_raw[[#This Row],[Column12]]), (deployment_raw[[#This Row],[Column12]] * IF($E$2="Deployment",deployment_raw[[#This Row],[Column5]],1)*(1+$V$2)),"")</f>
        <v/>
      </c>
      <c r="W450" s="14" t="str">
        <f>IF(ISNUMBER(deployment_raw[[#This Row],[Column13]]), (deployment_raw[[#This Row],[Column13]] * IF($E$2="Deployment",deployment_raw[[#This Row],[Column5]],1)*(1+$W$2))/1048576,"")</f>
        <v/>
      </c>
    </row>
    <row r="451" spans="1:23" ht="15.75" customHeight="1" x14ac:dyDescent="0.25">
      <c r="A451" s="5" t="str">
        <f>IF(ISNONTEXT(deployment_raw[[#This Row],[Column1]]), "", deployment_raw[[#This Row],[Column1]])</f>
        <v/>
      </c>
      <c r="B451" s="6" t="str">
        <f>IF(ISNONTEXT(deployment_raw[[#This Row],[Column2]]), "", deployment_raw[[#This Row],[Column2]])</f>
        <v/>
      </c>
      <c r="C451" s="6" t="str">
        <f>IF(ISNONTEXT(deployment_raw[[#This Row],[Column3]]), "", deployment_raw[[#This Row],[Column3]])</f>
        <v/>
      </c>
      <c r="D451" s="6" t="str">
        <f>IF(ISNONTEXT(deployment_raw[[#This Row],[Column4]]), "", deployment_raw[[#This Row],[Column4]])</f>
        <v/>
      </c>
      <c r="E451" s="7" t="str">
        <f>IF(ISNUMBER(deployment_raw[[#This Row],[Column5]]), deployment_raw[[#This Row],[Column5]],"")</f>
        <v/>
      </c>
      <c r="F451" s="32" t="str">
        <f>IF(ISNUMBER(deployment_raw[[#This Row],[Column17]]), deployment_raw[[#This Row],[Column17]]/IF(OR($E$2="Deployment",deployment_raw[[#This Row],[Column5]]=0),1,deployment_raw[[#This Row],[Column5]]),"")</f>
        <v/>
      </c>
      <c r="G451" s="42" t="str">
        <f>IF(ISNUMBER(deployment_raw[[#This Row],[Column14]]), deployment_raw[[#This Row],[Column14]]/IF(OR($E$2="Deployment",deployment_raw[[#This Row],[Column5]]=0),1,deployment_raw[[#This Row],[Column5]]),"")</f>
        <v/>
      </c>
      <c r="H451" s="79" t="str">
        <f>IF(ISNUMBER(deployment_raw[[#This Row],[Column19]]), IF(I451&lt;&gt;0,(deployment_raw[[#This Row],[Column19]]/IF(OR($E$2="Deployment",deployment_raw[[#This Row],[Column5]]=0),1,deployment_raw[[#This Row],[Column5]]))/I451,0),"")</f>
        <v/>
      </c>
      <c r="I451" s="69" t="str">
        <f>IF(ISNUMBER(deployment_raw[[#This Row],[Column6]]), (deployment_raw[[#This Row],[Column6]] * IF($E$2="Deployment",deployment_raw[[#This Row],[Column5]],1)),"")</f>
        <v/>
      </c>
      <c r="J451" s="79" t="str">
        <f>IF(ISNUMBER(deployment_raw[[#This Row],[Column19]]), IF(K451&lt;&gt;0,(deployment_raw[[#This Row],[Column19]]/IF(OR($E$2="Deployment",deployment_raw[[#This Row],[Column5]]=0),1,deployment_raw[[#This Row],[Column5]]))/K451,0),"")</f>
        <v/>
      </c>
      <c r="K451" s="72" t="str">
        <f>IF(ISNUMBER(deployment_raw[[#This Row],[Column8]]), (deployment_raw[[#This Row],[Column8]]  * IF($E$2="Deployment",deployment_raw[[#This Row],[Column5]],1)),"")</f>
        <v/>
      </c>
      <c r="L45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5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51" s="81" t="str">
        <f>IF(ISNUMBER(deployment_raw[[#This Row],[Column20]]), IF(O451&lt;&gt;0,deployment_raw[[#This Row],[Column20]]/IF(OR($E$2="Deployment",deployment_raw[[#This Row],[Column5]]=0),1,deployment_raw[[#This Row],[Column5]])/1048576/O451,0),"")</f>
        <v/>
      </c>
      <c r="O451" s="74" t="str">
        <f>IF(ISNUMBER(deployment_raw[[#This Row],[Column7]]), (deployment_raw[[#This Row],[Column7]] * IF($E$2="Deployment",deployment_raw[[#This Row],[Column5]],1))/1048576,"")</f>
        <v/>
      </c>
      <c r="P451" s="81" t="str">
        <f>IF(ISNUMBER(deployment_raw[[#This Row],[Column20]]), IF(Q451&lt;&gt;0,deployment_raw[[#This Row],[Column20]]/IF(OR($E$2="Deployment",deployment_raw[[#This Row],[Column5]]=0),1,deployment_raw[[#This Row],[Column5]])/1048576/Q451,0),"")</f>
        <v/>
      </c>
      <c r="Q451" s="76" t="str">
        <f>IF(ISNUMBER(deployment_raw[[#This Row],[Column9]]), (deployment_raw[[#This Row],[Column9]] * IF($E$2="Deployment",deployment_raw[[#This Row],[Column5]],1))/1048576,"")</f>
        <v/>
      </c>
      <c r="R451" s="57" t="str">
        <f>IF(ISNUMBER(deployment_raw[[#This Row],[Column10]]), (deployment_raw[[#This Row],[Column10]] * IF($E$2="Deployment",deployment_raw[[#This Row],[Column5]],1)),"")</f>
        <v/>
      </c>
      <c r="S451" s="48" t="str">
        <f>IF(ISNUMBER(deployment_raw[[#This Row],[Column11]]), (deployment_raw[[#This Row],[Column11]] * IF($E$2="Deployment",deployment_raw[[#This Row],[Column5]],1))/1048576,"")</f>
        <v/>
      </c>
      <c r="T451" s="59" t="str">
        <f>IF(ISNUMBER(deployment_raw[[#This Row],[Column8]]),IF(OR(deployment_raw[[#This Row],[Column5]] &lt;&gt; 0,$E$2 &lt;&gt; "Deployment"), MAX(V451, ($T$2 * IF($E$2="Deployment",deployment_raw[[#This Row],[Column5]],1))), 0),"")</f>
        <v/>
      </c>
      <c r="U451" s="50" t="str">
        <f>IF(ISNUMBER(deployment_raw[[#This Row],[Column9]]),IF(OR(deployment_raw[[#This Row],[Column5]] &lt;&gt; 0,$E$2&lt;&gt;"Deployment"), MAX(W451, ($U$2 * IF($E$2="Deployment",deployment_raw[[#This Row],[Column5]],1))), 0),"")</f>
        <v/>
      </c>
      <c r="V451" s="15" t="str">
        <f>IF(ISNUMBER(deployment_raw[[#This Row],[Column12]]), (deployment_raw[[#This Row],[Column12]] * IF($E$2="Deployment",deployment_raw[[#This Row],[Column5]],1)*(1+$V$2)),"")</f>
        <v/>
      </c>
      <c r="W451" s="14" t="str">
        <f>IF(ISNUMBER(deployment_raw[[#This Row],[Column13]]), (deployment_raw[[#This Row],[Column13]] * IF($E$2="Deployment",deployment_raw[[#This Row],[Column5]],1)*(1+$W$2))/1048576,"")</f>
        <v/>
      </c>
    </row>
    <row r="452" spans="1:23" ht="15.75" customHeight="1" x14ac:dyDescent="0.25">
      <c r="A452" s="5" t="str">
        <f>IF(ISNONTEXT(deployment_raw[[#This Row],[Column1]]), "", deployment_raw[[#This Row],[Column1]])</f>
        <v/>
      </c>
      <c r="B452" s="6" t="str">
        <f>IF(ISNONTEXT(deployment_raw[[#This Row],[Column2]]), "", deployment_raw[[#This Row],[Column2]])</f>
        <v/>
      </c>
      <c r="C452" s="6" t="str">
        <f>IF(ISNONTEXT(deployment_raw[[#This Row],[Column3]]), "", deployment_raw[[#This Row],[Column3]])</f>
        <v/>
      </c>
      <c r="D452" s="6" t="str">
        <f>IF(ISNONTEXT(deployment_raw[[#This Row],[Column4]]), "", deployment_raw[[#This Row],[Column4]])</f>
        <v/>
      </c>
      <c r="E452" s="7" t="str">
        <f>IF(ISNUMBER(deployment_raw[[#This Row],[Column5]]), deployment_raw[[#This Row],[Column5]],"")</f>
        <v/>
      </c>
      <c r="F452" s="32" t="str">
        <f>IF(ISNUMBER(deployment_raw[[#This Row],[Column17]]), deployment_raw[[#This Row],[Column17]]/IF(OR($E$2="Deployment",deployment_raw[[#This Row],[Column5]]=0),1,deployment_raw[[#This Row],[Column5]]),"")</f>
        <v/>
      </c>
      <c r="G452" s="42" t="str">
        <f>IF(ISNUMBER(deployment_raw[[#This Row],[Column14]]), deployment_raw[[#This Row],[Column14]]/IF(OR($E$2="Deployment",deployment_raw[[#This Row],[Column5]]=0),1,deployment_raw[[#This Row],[Column5]]),"")</f>
        <v/>
      </c>
      <c r="H452" s="79" t="str">
        <f>IF(ISNUMBER(deployment_raw[[#This Row],[Column19]]), IF(I452&lt;&gt;0,(deployment_raw[[#This Row],[Column19]]/IF(OR($E$2="Deployment",deployment_raw[[#This Row],[Column5]]=0),1,deployment_raw[[#This Row],[Column5]]))/I452,0),"")</f>
        <v/>
      </c>
      <c r="I452" s="69" t="str">
        <f>IF(ISNUMBER(deployment_raw[[#This Row],[Column6]]), (deployment_raw[[#This Row],[Column6]] * IF($E$2="Deployment",deployment_raw[[#This Row],[Column5]],1)),"")</f>
        <v/>
      </c>
      <c r="J452" s="79" t="str">
        <f>IF(ISNUMBER(deployment_raw[[#This Row],[Column19]]), IF(K452&lt;&gt;0,(deployment_raw[[#This Row],[Column19]]/IF(OR($E$2="Deployment",deployment_raw[[#This Row],[Column5]]=0),1,deployment_raw[[#This Row],[Column5]]))/K452,0),"")</f>
        <v/>
      </c>
      <c r="K452" s="72" t="str">
        <f>IF(ISNUMBER(deployment_raw[[#This Row],[Column8]]), (deployment_raw[[#This Row],[Column8]]  * IF($E$2="Deployment",deployment_raw[[#This Row],[Column5]],1)),"")</f>
        <v/>
      </c>
      <c r="L45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5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52" s="81" t="str">
        <f>IF(ISNUMBER(deployment_raw[[#This Row],[Column20]]), IF(O452&lt;&gt;0,deployment_raw[[#This Row],[Column20]]/IF(OR($E$2="Deployment",deployment_raw[[#This Row],[Column5]]=0),1,deployment_raw[[#This Row],[Column5]])/1048576/O452,0),"")</f>
        <v/>
      </c>
      <c r="O452" s="74" t="str">
        <f>IF(ISNUMBER(deployment_raw[[#This Row],[Column7]]), (deployment_raw[[#This Row],[Column7]] * IF($E$2="Deployment",deployment_raw[[#This Row],[Column5]],1))/1048576,"")</f>
        <v/>
      </c>
      <c r="P452" s="81" t="str">
        <f>IF(ISNUMBER(deployment_raw[[#This Row],[Column20]]), IF(Q452&lt;&gt;0,deployment_raw[[#This Row],[Column20]]/IF(OR($E$2="Deployment",deployment_raw[[#This Row],[Column5]]=0),1,deployment_raw[[#This Row],[Column5]])/1048576/Q452,0),"")</f>
        <v/>
      </c>
      <c r="Q452" s="76" t="str">
        <f>IF(ISNUMBER(deployment_raw[[#This Row],[Column9]]), (deployment_raw[[#This Row],[Column9]] * IF($E$2="Deployment",deployment_raw[[#This Row],[Column5]],1))/1048576,"")</f>
        <v/>
      </c>
      <c r="R452" s="57" t="str">
        <f>IF(ISNUMBER(deployment_raw[[#This Row],[Column10]]), (deployment_raw[[#This Row],[Column10]] * IF($E$2="Deployment",deployment_raw[[#This Row],[Column5]],1)),"")</f>
        <v/>
      </c>
      <c r="S452" s="48" t="str">
        <f>IF(ISNUMBER(deployment_raw[[#This Row],[Column11]]), (deployment_raw[[#This Row],[Column11]] * IF($E$2="Deployment",deployment_raw[[#This Row],[Column5]],1))/1048576,"")</f>
        <v/>
      </c>
      <c r="T452" s="59" t="str">
        <f>IF(ISNUMBER(deployment_raw[[#This Row],[Column8]]),IF(OR(deployment_raw[[#This Row],[Column5]] &lt;&gt; 0,$E$2 &lt;&gt; "Deployment"), MAX(V452, ($T$2 * IF($E$2="Deployment",deployment_raw[[#This Row],[Column5]],1))), 0),"")</f>
        <v/>
      </c>
      <c r="U452" s="50" t="str">
        <f>IF(ISNUMBER(deployment_raw[[#This Row],[Column9]]),IF(OR(deployment_raw[[#This Row],[Column5]] &lt;&gt; 0,$E$2&lt;&gt;"Deployment"), MAX(W452, ($U$2 * IF($E$2="Deployment",deployment_raw[[#This Row],[Column5]],1))), 0),"")</f>
        <v/>
      </c>
      <c r="V452" s="15" t="str">
        <f>IF(ISNUMBER(deployment_raw[[#This Row],[Column12]]), (deployment_raw[[#This Row],[Column12]] * IF($E$2="Deployment",deployment_raw[[#This Row],[Column5]],1)*(1+$V$2)),"")</f>
        <v/>
      </c>
      <c r="W452" s="14" t="str">
        <f>IF(ISNUMBER(deployment_raw[[#This Row],[Column13]]), (deployment_raw[[#This Row],[Column13]] * IF($E$2="Deployment",deployment_raw[[#This Row],[Column5]],1)*(1+$W$2))/1048576,"")</f>
        <v/>
      </c>
    </row>
    <row r="453" spans="1:23" ht="15.75" customHeight="1" x14ac:dyDescent="0.25">
      <c r="A453" s="5" t="str">
        <f>IF(ISNONTEXT(deployment_raw[[#This Row],[Column1]]), "", deployment_raw[[#This Row],[Column1]])</f>
        <v/>
      </c>
      <c r="B453" s="6" t="str">
        <f>IF(ISNONTEXT(deployment_raw[[#This Row],[Column2]]), "", deployment_raw[[#This Row],[Column2]])</f>
        <v/>
      </c>
      <c r="C453" s="6" t="str">
        <f>IF(ISNONTEXT(deployment_raw[[#This Row],[Column3]]), "", deployment_raw[[#This Row],[Column3]])</f>
        <v/>
      </c>
      <c r="D453" s="6" t="str">
        <f>IF(ISNONTEXT(deployment_raw[[#This Row],[Column4]]), "", deployment_raw[[#This Row],[Column4]])</f>
        <v/>
      </c>
      <c r="E453" s="7" t="str">
        <f>IF(ISNUMBER(deployment_raw[[#This Row],[Column5]]), deployment_raw[[#This Row],[Column5]],"")</f>
        <v/>
      </c>
      <c r="F453" s="32" t="str">
        <f>IF(ISNUMBER(deployment_raw[[#This Row],[Column17]]), deployment_raw[[#This Row],[Column17]]/IF(OR($E$2="Deployment",deployment_raw[[#This Row],[Column5]]=0),1,deployment_raw[[#This Row],[Column5]]),"")</f>
        <v/>
      </c>
      <c r="G453" s="42" t="str">
        <f>IF(ISNUMBER(deployment_raw[[#This Row],[Column14]]), deployment_raw[[#This Row],[Column14]]/IF(OR($E$2="Deployment",deployment_raw[[#This Row],[Column5]]=0),1,deployment_raw[[#This Row],[Column5]]),"")</f>
        <v/>
      </c>
      <c r="H453" s="79" t="str">
        <f>IF(ISNUMBER(deployment_raw[[#This Row],[Column19]]), IF(I453&lt;&gt;0,(deployment_raw[[#This Row],[Column19]]/IF(OR($E$2="Deployment",deployment_raw[[#This Row],[Column5]]=0),1,deployment_raw[[#This Row],[Column5]]))/I453,0),"")</f>
        <v/>
      </c>
      <c r="I453" s="69" t="str">
        <f>IF(ISNUMBER(deployment_raw[[#This Row],[Column6]]), (deployment_raw[[#This Row],[Column6]] * IF($E$2="Deployment",deployment_raw[[#This Row],[Column5]],1)),"")</f>
        <v/>
      </c>
      <c r="J453" s="79" t="str">
        <f>IF(ISNUMBER(deployment_raw[[#This Row],[Column19]]), IF(K453&lt;&gt;0,(deployment_raw[[#This Row],[Column19]]/IF(OR($E$2="Deployment",deployment_raw[[#This Row],[Column5]]=0),1,deployment_raw[[#This Row],[Column5]]))/K453,0),"")</f>
        <v/>
      </c>
      <c r="K453" s="72" t="str">
        <f>IF(ISNUMBER(deployment_raw[[#This Row],[Column8]]), (deployment_raw[[#This Row],[Column8]]  * IF($E$2="Deployment",deployment_raw[[#This Row],[Column5]],1)),"")</f>
        <v/>
      </c>
      <c r="L45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5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53" s="81" t="str">
        <f>IF(ISNUMBER(deployment_raw[[#This Row],[Column20]]), IF(O453&lt;&gt;0,deployment_raw[[#This Row],[Column20]]/IF(OR($E$2="Deployment",deployment_raw[[#This Row],[Column5]]=0),1,deployment_raw[[#This Row],[Column5]])/1048576/O453,0),"")</f>
        <v/>
      </c>
      <c r="O453" s="74" t="str">
        <f>IF(ISNUMBER(deployment_raw[[#This Row],[Column7]]), (deployment_raw[[#This Row],[Column7]] * IF($E$2="Deployment",deployment_raw[[#This Row],[Column5]],1))/1048576,"")</f>
        <v/>
      </c>
      <c r="P453" s="81" t="str">
        <f>IF(ISNUMBER(deployment_raw[[#This Row],[Column20]]), IF(Q453&lt;&gt;0,deployment_raw[[#This Row],[Column20]]/IF(OR($E$2="Deployment",deployment_raw[[#This Row],[Column5]]=0),1,deployment_raw[[#This Row],[Column5]])/1048576/Q453,0),"")</f>
        <v/>
      </c>
      <c r="Q453" s="76" t="str">
        <f>IF(ISNUMBER(deployment_raw[[#This Row],[Column9]]), (deployment_raw[[#This Row],[Column9]] * IF($E$2="Deployment",deployment_raw[[#This Row],[Column5]],1))/1048576,"")</f>
        <v/>
      </c>
      <c r="R453" s="57" t="str">
        <f>IF(ISNUMBER(deployment_raw[[#This Row],[Column10]]), (deployment_raw[[#This Row],[Column10]] * IF($E$2="Deployment",deployment_raw[[#This Row],[Column5]],1)),"")</f>
        <v/>
      </c>
      <c r="S453" s="48" t="str">
        <f>IF(ISNUMBER(deployment_raw[[#This Row],[Column11]]), (deployment_raw[[#This Row],[Column11]] * IF($E$2="Deployment",deployment_raw[[#This Row],[Column5]],1))/1048576,"")</f>
        <v/>
      </c>
      <c r="T453" s="59" t="str">
        <f>IF(ISNUMBER(deployment_raw[[#This Row],[Column8]]),IF(OR(deployment_raw[[#This Row],[Column5]] &lt;&gt; 0,$E$2 &lt;&gt; "Deployment"), MAX(V453, ($T$2 * IF($E$2="Deployment",deployment_raw[[#This Row],[Column5]],1))), 0),"")</f>
        <v/>
      </c>
      <c r="U453" s="50" t="str">
        <f>IF(ISNUMBER(deployment_raw[[#This Row],[Column9]]),IF(OR(deployment_raw[[#This Row],[Column5]] &lt;&gt; 0,$E$2&lt;&gt;"Deployment"), MAX(W453, ($U$2 * IF($E$2="Deployment",deployment_raw[[#This Row],[Column5]],1))), 0),"")</f>
        <v/>
      </c>
      <c r="V453" s="15" t="str">
        <f>IF(ISNUMBER(deployment_raw[[#This Row],[Column12]]), (deployment_raw[[#This Row],[Column12]] * IF($E$2="Deployment",deployment_raw[[#This Row],[Column5]],1)*(1+$V$2)),"")</f>
        <v/>
      </c>
      <c r="W453" s="14" t="str">
        <f>IF(ISNUMBER(deployment_raw[[#This Row],[Column13]]), (deployment_raw[[#This Row],[Column13]] * IF($E$2="Deployment",deployment_raw[[#This Row],[Column5]],1)*(1+$W$2))/1048576,"")</f>
        <v/>
      </c>
    </row>
    <row r="454" spans="1:23" ht="15.75" customHeight="1" x14ac:dyDescent="0.25">
      <c r="A454" s="5" t="str">
        <f>IF(ISNONTEXT(deployment_raw[[#This Row],[Column1]]), "", deployment_raw[[#This Row],[Column1]])</f>
        <v/>
      </c>
      <c r="B454" s="6" t="str">
        <f>IF(ISNONTEXT(deployment_raw[[#This Row],[Column2]]), "", deployment_raw[[#This Row],[Column2]])</f>
        <v/>
      </c>
      <c r="C454" s="6" t="str">
        <f>IF(ISNONTEXT(deployment_raw[[#This Row],[Column3]]), "", deployment_raw[[#This Row],[Column3]])</f>
        <v/>
      </c>
      <c r="D454" s="6" t="str">
        <f>IF(ISNONTEXT(deployment_raw[[#This Row],[Column4]]), "", deployment_raw[[#This Row],[Column4]])</f>
        <v/>
      </c>
      <c r="E454" s="7" t="str">
        <f>IF(ISNUMBER(deployment_raw[[#This Row],[Column5]]), deployment_raw[[#This Row],[Column5]],"")</f>
        <v/>
      </c>
      <c r="F454" s="32" t="str">
        <f>IF(ISNUMBER(deployment_raw[[#This Row],[Column17]]), deployment_raw[[#This Row],[Column17]]/IF(OR($E$2="Deployment",deployment_raw[[#This Row],[Column5]]=0),1,deployment_raw[[#This Row],[Column5]]),"")</f>
        <v/>
      </c>
      <c r="G454" s="42" t="str">
        <f>IF(ISNUMBER(deployment_raw[[#This Row],[Column14]]), deployment_raw[[#This Row],[Column14]]/IF(OR($E$2="Deployment",deployment_raw[[#This Row],[Column5]]=0),1,deployment_raw[[#This Row],[Column5]]),"")</f>
        <v/>
      </c>
      <c r="H454" s="79" t="str">
        <f>IF(ISNUMBER(deployment_raw[[#This Row],[Column19]]), IF(I454&lt;&gt;0,(deployment_raw[[#This Row],[Column19]]/IF(OR($E$2="Deployment",deployment_raw[[#This Row],[Column5]]=0),1,deployment_raw[[#This Row],[Column5]]))/I454,0),"")</f>
        <v/>
      </c>
      <c r="I454" s="69" t="str">
        <f>IF(ISNUMBER(deployment_raw[[#This Row],[Column6]]), (deployment_raw[[#This Row],[Column6]] * IF($E$2="Deployment",deployment_raw[[#This Row],[Column5]],1)),"")</f>
        <v/>
      </c>
      <c r="J454" s="79" t="str">
        <f>IF(ISNUMBER(deployment_raw[[#This Row],[Column19]]), IF(K454&lt;&gt;0,(deployment_raw[[#This Row],[Column19]]/IF(OR($E$2="Deployment",deployment_raw[[#This Row],[Column5]]=0),1,deployment_raw[[#This Row],[Column5]]))/K454,0),"")</f>
        <v/>
      </c>
      <c r="K454" s="72" t="str">
        <f>IF(ISNUMBER(deployment_raw[[#This Row],[Column8]]), (deployment_raw[[#This Row],[Column8]]  * IF($E$2="Deployment",deployment_raw[[#This Row],[Column5]],1)),"")</f>
        <v/>
      </c>
      <c r="L45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5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54" s="81" t="str">
        <f>IF(ISNUMBER(deployment_raw[[#This Row],[Column20]]), IF(O454&lt;&gt;0,deployment_raw[[#This Row],[Column20]]/IF(OR($E$2="Deployment",deployment_raw[[#This Row],[Column5]]=0),1,deployment_raw[[#This Row],[Column5]])/1048576/O454,0),"")</f>
        <v/>
      </c>
      <c r="O454" s="74" t="str">
        <f>IF(ISNUMBER(deployment_raw[[#This Row],[Column7]]), (deployment_raw[[#This Row],[Column7]] * IF($E$2="Deployment",deployment_raw[[#This Row],[Column5]],1))/1048576,"")</f>
        <v/>
      </c>
      <c r="P454" s="81" t="str">
        <f>IF(ISNUMBER(deployment_raw[[#This Row],[Column20]]), IF(Q454&lt;&gt;0,deployment_raw[[#This Row],[Column20]]/IF(OR($E$2="Deployment",deployment_raw[[#This Row],[Column5]]=0),1,deployment_raw[[#This Row],[Column5]])/1048576/Q454,0),"")</f>
        <v/>
      </c>
      <c r="Q454" s="76" t="str">
        <f>IF(ISNUMBER(deployment_raw[[#This Row],[Column9]]), (deployment_raw[[#This Row],[Column9]] * IF($E$2="Deployment",deployment_raw[[#This Row],[Column5]],1))/1048576,"")</f>
        <v/>
      </c>
      <c r="R454" s="57" t="str">
        <f>IF(ISNUMBER(deployment_raw[[#This Row],[Column10]]), (deployment_raw[[#This Row],[Column10]] * IF($E$2="Deployment",deployment_raw[[#This Row],[Column5]],1)),"")</f>
        <v/>
      </c>
      <c r="S454" s="48" t="str">
        <f>IF(ISNUMBER(deployment_raw[[#This Row],[Column11]]), (deployment_raw[[#This Row],[Column11]] * IF($E$2="Deployment",deployment_raw[[#This Row],[Column5]],1))/1048576,"")</f>
        <v/>
      </c>
      <c r="T454" s="59" t="str">
        <f>IF(ISNUMBER(deployment_raw[[#This Row],[Column8]]),IF(OR(deployment_raw[[#This Row],[Column5]] &lt;&gt; 0,$E$2 &lt;&gt; "Deployment"), MAX(V454, ($T$2 * IF($E$2="Deployment",deployment_raw[[#This Row],[Column5]],1))), 0),"")</f>
        <v/>
      </c>
      <c r="U454" s="50" t="str">
        <f>IF(ISNUMBER(deployment_raw[[#This Row],[Column9]]),IF(OR(deployment_raw[[#This Row],[Column5]] &lt;&gt; 0,$E$2&lt;&gt;"Deployment"), MAX(W454, ($U$2 * IF($E$2="Deployment",deployment_raw[[#This Row],[Column5]],1))), 0),"")</f>
        <v/>
      </c>
      <c r="V454" s="15" t="str">
        <f>IF(ISNUMBER(deployment_raw[[#This Row],[Column12]]), (deployment_raw[[#This Row],[Column12]] * IF($E$2="Deployment",deployment_raw[[#This Row],[Column5]],1)*(1+$V$2)),"")</f>
        <v/>
      </c>
      <c r="W454" s="14" t="str">
        <f>IF(ISNUMBER(deployment_raw[[#This Row],[Column13]]), (deployment_raw[[#This Row],[Column13]] * IF($E$2="Deployment",deployment_raw[[#This Row],[Column5]],1)*(1+$W$2))/1048576,"")</f>
        <v/>
      </c>
    </row>
    <row r="455" spans="1:23" ht="15.75" customHeight="1" x14ac:dyDescent="0.25">
      <c r="A455" s="5" t="str">
        <f>IF(ISNONTEXT(deployment_raw[[#This Row],[Column1]]), "", deployment_raw[[#This Row],[Column1]])</f>
        <v/>
      </c>
      <c r="B455" s="6" t="str">
        <f>IF(ISNONTEXT(deployment_raw[[#This Row],[Column2]]), "", deployment_raw[[#This Row],[Column2]])</f>
        <v/>
      </c>
      <c r="C455" s="6" t="str">
        <f>IF(ISNONTEXT(deployment_raw[[#This Row],[Column3]]), "", deployment_raw[[#This Row],[Column3]])</f>
        <v/>
      </c>
      <c r="D455" s="6" t="str">
        <f>IF(ISNONTEXT(deployment_raw[[#This Row],[Column4]]), "", deployment_raw[[#This Row],[Column4]])</f>
        <v/>
      </c>
      <c r="E455" s="7" t="str">
        <f>IF(ISNUMBER(deployment_raw[[#This Row],[Column5]]), deployment_raw[[#This Row],[Column5]],"")</f>
        <v/>
      </c>
      <c r="F455" s="32" t="str">
        <f>IF(ISNUMBER(deployment_raw[[#This Row],[Column17]]), deployment_raw[[#This Row],[Column17]]/IF(OR($E$2="Deployment",deployment_raw[[#This Row],[Column5]]=0),1,deployment_raw[[#This Row],[Column5]]),"")</f>
        <v/>
      </c>
      <c r="G455" s="42" t="str">
        <f>IF(ISNUMBER(deployment_raw[[#This Row],[Column14]]), deployment_raw[[#This Row],[Column14]]/IF(OR($E$2="Deployment",deployment_raw[[#This Row],[Column5]]=0),1,deployment_raw[[#This Row],[Column5]]),"")</f>
        <v/>
      </c>
      <c r="H455" s="79" t="str">
        <f>IF(ISNUMBER(deployment_raw[[#This Row],[Column19]]), IF(I455&lt;&gt;0,(deployment_raw[[#This Row],[Column19]]/IF(OR($E$2="Deployment",deployment_raw[[#This Row],[Column5]]=0),1,deployment_raw[[#This Row],[Column5]]))/I455,0),"")</f>
        <v/>
      </c>
      <c r="I455" s="69" t="str">
        <f>IF(ISNUMBER(deployment_raw[[#This Row],[Column6]]), (deployment_raw[[#This Row],[Column6]] * IF($E$2="Deployment",deployment_raw[[#This Row],[Column5]],1)),"")</f>
        <v/>
      </c>
      <c r="J455" s="79" t="str">
        <f>IF(ISNUMBER(deployment_raw[[#This Row],[Column19]]), IF(K455&lt;&gt;0,(deployment_raw[[#This Row],[Column19]]/IF(OR($E$2="Deployment",deployment_raw[[#This Row],[Column5]]=0),1,deployment_raw[[#This Row],[Column5]]))/K455,0),"")</f>
        <v/>
      </c>
      <c r="K455" s="72" t="str">
        <f>IF(ISNUMBER(deployment_raw[[#This Row],[Column8]]), (deployment_raw[[#This Row],[Column8]]  * IF($E$2="Deployment",deployment_raw[[#This Row],[Column5]],1)),"")</f>
        <v/>
      </c>
      <c r="L45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5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55" s="81" t="str">
        <f>IF(ISNUMBER(deployment_raw[[#This Row],[Column20]]), IF(O455&lt;&gt;0,deployment_raw[[#This Row],[Column20]]/IF(OR($E$2="Deployment",deployment_raw[[#This Row],[Column5]]=0),1,deployment_raw[[#This Row],[Column5]])/1048576/O455,0),"")</f>
        <v/>
      </c>
      <c r="O455" s="74" t="str">
        <f>IF(ISNUMBER(deployment_raw[[#This Row],[Column7]]), (deployment_raw[[#This Row],[Column7]] * IF($E$2="Deployment",deployment_raw[[#This Row],[Column5]],1))/1048576,"")</f>
        <v/>
      </c>
      <c r="P455" s="81" t="str">
        <f>IF(ISNUMBER(deployment_raw[[#This Row],[Column20]]), IF(Q455&lt;&gt;0,deployment_raw[[#This Row],[Column20]]/IF(OR($E$2="Deployment",deployment_raw[[#This Row],[Column5]]=0),1,deployment_raw[[#This Row],[Column5]])/1048576/Q455,0),"")</f>
        <v/>
      </c>
      <c r="Q455" s="76" t="str">
        <f>IF(ISNUMBER(deployment_raw[[#This Row],[Column9]]), (deployment_raw[[#This Row],[Column9]] * IF($E$2="Deployment",deployment_raw[[#This Row],[Column5]],1))/1048576,"")</f>
        <v/>
      </c>
      <c r="R455" s="57" t="str">
        <f>IF(ISNUMBER(deployment_raw[[#This Row],[Column10]]), (deployment_raw[[#This Row],[Column10]] * IF($E$2="Deployment",deployment_raw[[#This Row],[Column5]],1)),"")</f>
        <v/>
      </c>
      <c r="S455" s="48" t="str">
        <f>IF(ISNUMBER(deployment_raw[[#This Row],[Column11]]), (deployment_raw[[#This Row],[Column11]] * IF($E$2="Deployment",deployment_raw[[#This Row],[Column5]],1))/1048576,"")</f>
        <v/>
      </c>
      <c r="T455" s="59" t="str">
        <f>IF(ISNUMBER(deployment_raw[[#This Row],[Column8]]),IF(OR(deployment_raw[[#This Row],[Column5]] &lt;&gt; 0,$E$2 &lt;&gt; "Deployment"), MAX(V455, ($T$2 * IF($E$2="Deployment",deployment_raw[[#This Row],[Column5]],1))), 0),"")</f>
        <v/>
      </c>
      <c r="U455" s="50" t="str">
        <f>IF(ISNUMBER(deployment_raw[[#This Row],[Column9]]),IF(OR(deployment_raw[[#This Row],[Column5]] &lt;&gt; 0,$E$2&lt;&gt;"Deployment"), MAX(W455, ($U$2 * IF($E$2="Deployment",deployment_raw[[#This Row],[Column5]],1))), 0),"")</f>
        <v/>
      </c>
      <c r="V455" s="15" t="str">
        <f>IF(ISNUMBER(deployment_raw[[#This Row],[Column12]]), (deployment_raw[[#This Row],[Column12]] * IF($E$2="Deployment",deployment_raw[[#This Row],[Column5]],1)*(1+$V$2)),"")</f>
        <v/>
      </c>
      <c r="W455" s="14" t="str">
        <f>IF(ISNUMBER(deployment_raw[[#This Row],[Column13]]), (deployment_raw[[#This Row],[Column13]] * IF($E$2="Deployment",deployment_raw[[#This Row],[Column5]],1)*(1+$W$2))/1048576,"")</f>
        <v/>
      </c>
    </row>
    <row r="456" spans="1:23" ht="15.75" customHeight="1" x14ac:dyDescent="0.25">
      <c r="A456" s="5" t="str">
        <f>IF(ISNONTEXT(deployment_raw[[#This Row],[Column1]]), "", deployment_raw[[#This Row],[Column1]])</f>
        <v/>
      </c>
      <c r="B456" s="6" t="str">
        <f>IF(ISNONTEXT(deployment_raw[[#This Row],[Column2]]), "", deployment_raw[[#This Row],[Column2]])</f>
        <v/>
      </c>
      <c r="C456" s="6" t="str">
        <f>IF(ISNONTEXT(deployment_raw[[#This Row],[Column3]]), "", deployment_raw[[#This Row],[Column3]])</f>
        <v/>
      </c>
      <c r="D456" s="6" t="str">
        <f>IF(ISNONTEXT(deployment_raw[[#This Row],[Column4]]), "", deployment_raw[[#This Row],[Column4]])</f>
        <v/>
      </c>
      <c r="E456" s="7" t="str">
        <f>IF(ISNUMBER(deployment_raw[[#This Row],[Column5]]), deployment_raw[[#This Row],[Column5]],"")</f>
        <v/>
      </c>
      <c r="F456" s="32" t="str">
        <f>IF(ISNUMBER(deployment_raw[[#This Row],[Column17]]), deployment_raw[[#This Row],[Column17]]/IF(OR($E$2="Deployment",deployment_raw[[#This Row],[Column5]]=0),1,deployment_raw[[#This Row],[Column5]]),"")</f>
        <v/>
      </c>
      <c r="G456" s="42" t="str">
        <f>IF(ISNUMBER(deployment_raw[[#This Row],[Column14]]), deployment_raw[[#This Row],[Column14]]/IF(OR($E$2="Deployment",deployment_raw[[#This Row],[Column5]]=0),1,deployment_raw[[#This Row],[Column5]]),"")</f>
        <v/>
      </c>
      <c r="H456" s="79" t="str">
        <f>IF(ISNUMBER(deployment_raw[[#This Row],[Column19]]), IF(I456&lt;&gt;0,(deployment_raw[[#This Row],[Column19]]/IF(OR($E$2="Deployment",deployment_raw[[#This Row],[Column5]]=0),1,deployment_raw[[#This Row],[Column5]]))/I456,0),"")</f>
        <v/>
      </c>
      <c r="I456" s="69" t="str">
        <f>IF(ISNUMBER(deployment_raw[[#This Row],[Column6]]), (deployment_raw[[#This Row],[Column6]] * IF($E$2="Deployment",deployment_raw[[#This Row],[Column5]],1)),"")</f>
        <v/>
      </c>
      <c r="J456" s="79" t="str">
        <f>IF(ISNUMBER(deployment_raw[[#This Row],[Column19]]), IF(K456&lt;&gt;0,(deployment_raw[[#This Row],[Column19]]/IF(OR($E$2="Deployment",deployment_raw[[#This Row],[Column5]]=0),1,deployment_raw[[#This Row],[Column5]]))/K456,0),"")</f>
        <v/>
      </c>
      <c r="K456" s="72" t="str">
        <f>IF(ISNUMBER(deployment_raw[[#This Row],[Column8]]), (deployment_raw[[#This Row],[Column8]]  * IF($E$2="Deployment",deployment_raw[[#This Row],[Column5]],1)),"")</f>
        <v/>
      </c>
      <c r="L45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5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56" s="81" t="str">
        <f>IF(ISNUMBER(deployment_raw[[#This Row],[Column20]]), IF(O456&lt;&gt;0,deployment_raw[[#This Row],[Column20]]/IF(OR($E$2="Deployment",deployment_raw[[#This Row],[Column5]]=0),1,deployment_raw[[#This Row],[Column5]])/1048576/O456,0),"")</f>
        <v/>
      </c>
      <c r="O456" s="74" t="str">
        <f>IF(ISNUMBER(deployment_raw[[#This Row],[Column7]]), (deployment_raw[[#This Row],[Column7]] * IF($E$2="Deployment",deployment_raw[[#This Row],[Column5]],1))/1048576,"")</f>
        <v/>
      </c>
      <c r="P456" s="81" t="str">
        <f>IF(ISNUMBER(deployment_raw[[#This Row],[Column20]]), IF(Q456&lt;&gt;0,deployment_raw[[#This Row],[Column20]]/IF(OR($E$2="Deployment",deployment_raw[[#This Row],[Column5]]=0),1,deployment_raw[[#This Row],[Column5]])/1048576/Q456,0),"")</f>
        <v/>
      </c>
      <c r="Q456" s="76" t="str">
        <f>IF(ISNUMBER(deployment_raw[[#This Row],[Column9]]), (deployment_raw[[#This Row],[Column9]] * IF($E$2="Deployment",deployment_raw[[#This Row],[Column5]],1))/1048576,"")</f>
        <v/>
      </c>
      <c r="R456" s="57" t="str">
        <f>IF(ISNUMBER(deployment_raw[[#This Row],[Column10]]), (deployment_raw[[#This Row],[Column10]] * IF($E$2="Deployment",deployment_raw[[#This Row],[Column5]],1)),"")</f>
        <v/>
      </c>
      <c r="S456" s="48" t="str">
        <f>IF(ISNUMBER(deployment_raw[[#This Row],[Column11]]), (deployment_raw[[#This Row],[Column11]] * IF($E$2="Deployment",deployment_raw[[#This Row],[Column5]],1))/1048576,"")</f>
        <v/>
      </c>
      <c r="T456" s="59" t="str">
        <f>IF(ISNUMBER(deployment_raw[[#This Row],[Column8]]),IF(OR(deployment_raw[[#This Row],[Column5]] &lt;&gt; 0,$E$2 &lt;&gt; "Deployment"), MAX(V456, ($T$2 * IF($E$2="Deployment",deployment_raw[[#This Row],[Column5]],1))), 0),"")</f>
        <v/>
      </c>
      <c r="U456" s="50" t="str">
        <f>IF(ISNUMBER(deployment_raw[[#This Row],[Column9]]),IF(OR(deployment_raw[[#This Row],[Column5]] &lt;&gt; 0,$E$2&lt;&gt;"Deployment"), MAX(W456, ($U$2 * IF($E$2="Deployment",deployment_raw[[#This Row],[Column5]],1))), 0),"")</f>
        <v/>
      </c>
      <c r="V456" s="15" t="str">
        <f>IF(ISNUMBER(deployment_raw[[#This Row],[Column12]]), (deployment_raw[[#This Row],[Column12]] * IF($E$2="Deployment",deployment_raw[[#This Row],[Column5]],1)*(1+$V$2)),"")</f>
        <v/>
      </c>
      <c r="W456" s="14" t="str">
        <f>IF(ISNUMBER(deployment_raw[[#This Row],[Column13]]), (deployment_raw[[#This Row],[Column13]] * IF($E$2="Deployment",deployment_raw[[#This Row],[Column5]],1)*(1+$W$2))/1048576,"")</f>
        <v/>
      </c>
    </row>
    <row r="457" spans="1:23" ht="15.75" customHeight="1" x14ac:dyDescent="0.25">
      <c r="A457" s="5" t="str">
        <f>IF(ISNONTEXT(deployment_raw[[#This Row],[Column1]]), "", deployment_raw[[#This Row],[Column1]])</f>
        <v/>
      </c>
      <c r="B457" s="6" t="str">
        <f>IF(ISNONTEXT(deployment_raw[[#This Row],[Column2]]), "", deployment_raw[[#This Row],[Column2]])</f>
        <v/>
      </c>
      <c r="C457" s="6" t="str">
        <f>IF(ISNONTEXT(deployment_raw[[#This Row],[Column3]]), "", deployment_raw[[#This Row],[Column3]])</f>
        <v/>
      </c>
      <c r="D457" s="6" t="str">
        <f>IF(ISNONTEXT(deployment_raw[[#This Row],[Column4]]), "", deployment_raw[[#This Row],[Column4]])</f>
        <v/>
      </c>
      <c r="E457" s="7" t="str">
        <f>IF(ISNUMBER(deployment_raw[[#This Row],[Column5]]), deployment_raw[[#This Row],[Column5]],"")</f>
        <v/>
      </c>
      <c r="F457" s="32" t="str">
        <f>IF(ISNUMBER(deployment_raw[[#This Row],[Column17]]), deployment_raw[[#This Row],[Column17]]/IF(OR($E$2="Deployment",deployment_raw[[#This Row],[Column5]]=0),1,deployment_raw[[#This Row],[Column5]]),"")</f>
        <v/>
      </c>
      <c r="G457" s="42" t="str">
        <f>IF(ISNUMBER(deployment_raw[[#This Row],[Column14]]), deployment_raw[[#This Row],[Column14]]/IF(OR($E$2="Deployment",deployment_raw[[#This Row],[Column5]]=0),1,deployment_raw[[#This Row],[Column5]]),"")</f>
        <v/>
      </c>
      <c r="H457" s="79" t="str">
        <f>IF(ISNUMBER(deployment_raw[[#This Row],[Column19]]), IF(I457&lt;&gt;0,(deployment_raw[[#This Row],[Column19]]/IF(OR($E$2="Deployment",deployment_raw[[#This Row],[Column5]]=0),1,deployment_raw[[#This Row],[Column5]]))/I457,0),"")</f>
        <v/>
      </c>
      <c r="I457" s="69" t="str">
        <f>IF(ISNUMBER(deployment_raw[[#This Row],[Column6]]), (deployment_raw[[#This Row],[Column6]] * IF($E$2="Deployment",deployment_raw[[#This Row],[Column5]],1)),"")</f>
        <v/>
      </c>
      <c r="J457" s="79" t="str">
        <f>IF(ISNUMBER(deployment_raw[[#This Row],[Column19]]), IF(K457&lt;&gt;0,(deployment_raw[[#This Row],[Column19]]/IF(OR($E$2="Deployment",deployment_raw[[#This Row],[Column5]]=0),1,deployment_raw[[#This Row],[Column5]]))/K457,0),"")</f>
        <v/>
      </c>
      <c r="K457" s="72" t="str">
        <f>IF(ISNUMBER(deployment_raw[[#This Row],[Column8]]), (deployment_raw[[#This Row],[Column8]]  * IF($E$2="Deployment",deployment_raw[[#This Row],[Column5]],1)),"")</f>
        <v/>
      </c>
      <c r="L45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5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57" s="81" t="str">
        <f>IF(ISNUMBER(deployment_raw[[#This Row],[Column20]]), IF(O457&lt;&gt;0,deployment_raw[[#This Row],[Column20]]/IF(OR($E$2="Deployment",deployment_raw[[#This Row],[Column5]]=0),1,deployment_raw[[#This Row],[Column5]])/1048576/O457,0),"")</f>
        <v/>
      </c>
      <c r="O457" s="74" t="str">
        <f>IF(ISNUMBER(deployment_raw[[#This Row],[Column7]]), (deployment_raw[[#This Row],[Column7]] * IF($E$2="Deployment",deployment_raw[[#This Row],[Column5]],1))/1048576,"")</f>
        <v/>
      </c>
      <c r="P457" s="81" t="str">
        <f>IF(ISNUMBER(deployment_raw[[#This Row],[Column20]]), IF(Q457&lt;&gt;0,deployment_raw[[#This Row],[Column20]]/IF(OR($E$2="Deployment",deployment_raw[[#This Row],[Column5]]=0),1,deployment_raw[[#This Row],[Column5]])/1048576/Q457,0),"")</f>
        <v/>
      </c>
      <c r="Q457" s="76" t="str">
        <f>IF(ISNUMBER(deployment_raw[[#This Row],[Column9]]), (deployment_raw[[#This Row],[Column9]] * IF($E$2="Deployment",deployment_raw[[#This Row],[Column5]],1))/1048576,"")</f>
        <v/>
      </c>
      <c r="R457" s="57" t="str">
        <f>IF(ISNUMBER(deployment_raw[[#This Row],[Column10]]), (deployment_raw[[#This Row],[Column10]] * IF($E$2="Deployment",deployment_raw[[#This Row],[Column5]],1)),"")</f>
        <v/>
      </c>
      <c r="S457" s="48" t="str">
        <f>IF(ISNUMBER(deployment_raw[[#This Row],[Column11]]), (deployment_raw[[#This Row],[Column11]] * IF($E$2="Deployment",deployment_raw[[#This Row],[Column5]],1))/1048576,"")</f>
        <v/>
      </c>
      <c r="T457" s="59" t="str">
        <f>IF(ISNUMBER(deployment_raw[[#This Row],[Column8]]),IF(OR(deployment_raw[[#This Row],[Column5]] &lt;&gt; 0,$E$2 &lt;&gt; "Deployment"), MAX(V457, ($T$2 * IF($E$2="Deployment",deployment_raw[[#This Row],[Column5]],1))), 0),"")</f>
        <v/>
      </c>
      <c r="U457" s="50" t="str">
        <f>IF(ISNUMBER(deployment_raw[[#This Row],[Column9]]),IF(OR(deployment_raw[[#This Row],[Column5]] &lt;&gt; 0,$E$2&lt;&gt;"Deployment"), MAX(W457, ($U$2 * IF($E$2="Deployment",deployment_raw[[#This Row],[Column5]],1))), 0),"")</f>
        <v/>
      </c>
      <c r="V457" s="15" t="str">
        <f>IF(ISNUMBER(deployment_raw[[#This Row],[Column12]]), (deployment_raw[[#This Row],[Column12]] * IF($E$2="Deployment",deployment_raw[[#This Row],[Column5]],1)*(1+$V$2)),"")</f>
        <v/>
      </c>
      <c r="W457" s="14" t="str">
        <f>IF(ISNUMBER(deployment_raw[[#This Row],[Column13]]), (deployment_raw[[#This Row],[Column13]] * IF($E$2="Deployment",deployment_raw[[#This Row],[Column5]],1)*(1+$W$2))/1048576,"")</f>
        <v/>
      </c>
    </row>
    <row r="458" spans="1:23" ht="15.75" customHeight="1" x14ac:dyDescent="0.25">
      <c r="A458" s="5" t="str">
        <f>IF(ISNONTEXT(deployment_raw[[#This Row],[Column1]]), "", deployment_raw[[#This Row],[Column1]])</f>
        <v/>
      </c>
      <c r="B458" s="6" t="str">
        <f>IF(ISNONTEXT(deployment_raw[[#This Row],[Column2]]), "", deployment_raw[[#This Row],[Column2]])</f>
        <v/>
      </c>
      <c r="C458" s="6" t="str">
        <f>IF(ISNONTEXT(deployment_raw[[#This Row],[Column3]]), "", deployment_raw[[#This Row],[Column3]])</f>
        <v/>
      </c>
      <c r="D458" s="6" t="str">
        <f>IF(ISNONTEXT(deployment_raw[[#This Row],[Column4]]), "", deployment_raw[[#This Row],[Column4]])</f>
        <v/>
      </c>
      <c r="E458" s="7" t="str">
        <f>IF(ISNUMBER(deployment_raw[[#This Row],[Column5]]), deployment_raw[[#This Row],[Column5]],"")</f>
        <v/>
      </c>
      <c r="F458" s="32" t="str">
        <f>IF(ISNUMBER(deployment_raw[[#This Row],[Column17]]), deployment_raw[[#This Row],[Column17]]/IF(OR($E$2="Deployment",deployment_raw[[#This Row],[Column5]]=0),1,deployment_raw[[#This Row],[Column5]]),"")</f>
        <v/>
      </c>
      <c r="G458" s="42" t="str">
        <f>IF(ISNUMBER(deployment_raw[[#This Row],[Column14]]), deployment_raw[[#This Row],[Column14]]/IF(OR($E$2="Deployment",deployment_raw[[#This Row],[Column5]]=0),1,deployment_raw[[#This Row],[Column5]]),"")</f>
        <v/>
      </c>
      <c r="H458" s="79" t="str">
        <f>IF(ISNUMBER(deployment_raw[[#This Row],[Column19]]), IF(I458&lt;&gt;0,(deployment_raw[[#This Row],[Column19]]/IF(OR($E$2="Deployment",deployment_raw[[#This Row],[Column5]]=0),1,deployment_raw[[#This Row],[Column5]]))/I458,0),"")</f>
        <v/>
      </c>
      <c r="I458" s="69" t="str">
        <f>IF(ISNUMBER(deployment_raw[[#This Row],[Column6]]), (deployment_raw[[#This Row],[Column6]] * IF($E$2="Deployment",deployment_raw[[#This Row],[Column5]],1)),"")</f>
        <v/>
      </c>
      <c r="J458" s="79" t="str">
        <f>IF(ISNUMBER(deployment_raw[[#This Row],[Column19]]), IF(K458&lt;&gt;0,(deployment_raw[[#This Row],[Column19]]/IF(OR($E$2="Deployment",deployment_raw[[#This Row],[Column5]]=0),1,deployment_raw[[#This Row],[Column5]]))/K458,0),"")</f>
        <v/>
      </c>
      <c r="K458" s="72" t="str">
        <f>IF(ISNUMBER(deployment_raw[[#This Row],[Column8]]), (deployment_raw[[#This Row],[Column8]]  * IF($E$2="Deployment",deployment_raw[[#This Row],[Column5]],1)),"")</f>
        <v/>
      </c>
      <c r="L45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5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58" s="81" t="str">
        <f>IF(ISNUMBER(deployment_raw[[#This Row],[Column20]]), IF(O458&lt;&gt;0,deployment_raw[[#This Row],[Column20]]/IF(OR($E$2="Deployment",deployment_raw[[#This Row],[Column5]]=0),1,deployment_raw[[#This Row],[Column5]])/1048576/O458,0),"")</f>
        <v/>
      </c>
      <c r="O458" s="74" t="str">
        <f>IF(ISNUMBER(deployment_raw[[#This Row],[Column7]]), (deployment_raw[[#This Row],[Column7]] * IF($E$2="Deployment",deployment_raw[[#This Row],[Column5]],1))/1048576,"")</f>
        <v/>
      </c>
      <c r="P458" s="81" t="str">
        <f>IF(ISNUMBER(deployment_raw[[#This Row],[Column20]]), IF(Q458&lt;&gt;0,deployment_raw[[#This Row],[Column20]]/IF(OR($E$2="Deployment",deployment_raw[[#This Row],[Column5]]=0),1,deployment_raw[[#This Row],[Column5]])/1048576/Q458,0),"")</f>
        <v/>
      </c>
      <c r="Q458" s="76" t="str">
        <f>IF(ISNUMBER(deployment_raw[[#This Row],[Column9]]), (deployment_raw[[#This Row],[Column9]] * IF($E$2="Deployment",deployment_raw[[#This Row],[Column5]],1))/1048576,"")</f>
        <v/>
      </c>
      <c r="R458" s="57" t="str">
        <f>IF(ISNUMBER(deployment_raw[[#This Row],[Column10]]), (deployment_raw[[#This Row],[Column10]] * IF($E$2="Deployment",deployment_raw[[#This Row],[Column5]],1)),"")</f>
        <v/>
      </c>
      <c r="S458" s="48" t="str">
        <f>IF(ISNUMBER(deployment_raw[[#This Row],[Column11]]), (deployment_raw[[#This Row],[Column11]] * IF($E$2="Deployment",deployment_raw[[#This Row],[Column5]],1))/1048576,"")</f>
        <v/>
      </c>
      <c r="T458" s="59" t="str">
        <f>IF(ISNUMBER(deployment_raw[[#This Row],[Column8]]),IF(OR(deployment_raw[[#This Row],[Column5]] &lt;&gt; 0,$E$2 &lt;&gt; "Deployment"), MAX(V458, ($T$2 * IF($E$2="Deployment",deployment_raw[[#This Row],[Column5]],1))), 0),"")</f>
        <v/>
      </c>
      <c r="U458" s="50" t="str">
        <f>IF(ISNUMBER(deployment_raw[[#This Row],[Column9]]),IF(OR(deployment_raw[[#This Row],[Column5]] &lt;&gt; 0,$E$2&lt;&gt;"Deployment"), MAX(W458, ($U$2 * IF($E$2="Deployment",deployment_raw[[#This Row],[Column5]],1))), 0),"")</f>
        <v/>
      </c>
      <c r="V458" s="15" t="str">
        <f>IF(ISNUMBER(deployment_raw[[#This Row],[Column12]]), (deployment_raw[[#This Row],[Column12]] * IF($E$2="Deployment",deployment_raw[[#This Row],[Column5]],1)*(1+$V$2)),"")</f>
        <v/>
      </c>
      <c r="W458" s="14" t="str">
        <f>IF(ISNUMBER(deployment_raw[[#This Row],[Column13]]), (deployment_raw[[#This Row],[Column13]] * IF($E$2="Deployment",deployment_raw[[#This Row],[Column5]],1)*(1+$W$2))/1048576,"")</f>
        <v/>
      </c>
    </row>
    <row r="459" spans="1:23" ht="15.75" customHeight="1" x14ac:dyDescent="0.25">
      <c r="A459" s="5" t="str">
        <f>IF(ISNONTEXT(deployment_raw[[#This Row],[Column1]]), "", deployment_raw[[#This Row],[Column1]])</f>
        <v/>
      </c>
      <c r="B459" s="6" t="str">
        <f>IF(ISNONTEXT(deployment_raw[[#This Row],[Column2]]), "", deployment_raw[[#This Row],[Column2]])</f>
        <v/>
      </c>
      <c r="C459" s="6" t="str">
        <f>IF(ISNONTEXT(deployment_raw[[#This Row],[Column3]]), "", deployment_raw[[#This Row],[Column3]])</f>
        <v/>
      </c>
      <c r="D459" s="6" t="str">
        <f>IF(ISNONTEXT(deployment_raw[[#This Row],[Column4]]), "", deployment_raw[[#This Row],[Column4]])</f>
        <v/>
      </c>
      <c r="E459" s="7" t="str">
        <f>IF(ISNUMBER(deployment_raw[[#This Row],[Column5]]), deployment_raw[[#This Row],[Column5]],"")</f>
        <v/>
      </c>
      <c r="F459" s="32" t="str">
        <f>IF(ISNUMBER(deployment_raw[[#This Row],[Column17]]), deployment_raw[[#This Row],[Column17]]/IF(OR($E$2="Deployment",deployment_raw[[#This Row],[Column5]]=0),1,deployment_raw[[#This Row],[Column5]]),"")</f>
        <v/>
      </c>
      <c r="G459" s="42" t="str">
        <f>IF(ISNUMBER(deployment_raw[[#This Row],[Column14]]), deployment_raw[[#This Row],[Column14]]/IF(OR($E$2="Deployment",deployment_raw[[#This Row],[Column5]]=0),1,deployment_raw[[#This Row],[Column5]]),"")</f>
        <v/>
      </c>
      <c r="H459" s="79" t="str">
        <f>IF(ISNUMBER(deployment_raw[[#This Row],[Column19]]), IF(I459&lt;&gt;0,(deployment_raw[[#This Row],[Column19]]/IF(OR($E$2="Deployment",deployment_raw[[#This Row],[Column5]]=0),1,deployment_raw[[#This Row],[Column5]]))/I459,0),"")</f>
        <v/>
      </c>
      <c r="I459" s="69" t="str">
        <f>IF(ISNUMBER(deployment_raw[[#This Row],[Column6]]), (deployment_raw[[#This Row],[Column6]] * IF($E$2="Deployment",deployment_raw[[#This Row],[Column5]],1)),"")</f>
        <v/>
      </c>
      <c r="J459" s="79" t="str">
        <f>IF(ISNUMBER(deployment_raw[[#This Row],[Column19]]), IF(K459&lt;&gt;0,(deployment_raw[[#This Row],[Column19]]/IF(OR($E$2="Deployment",deployment_raw[[#This Row],[Column5]]=0),1,deployment_raw[[#This Row],[Column5]]))/K459,0),"")</f>
        <v/>
      </c>
      <c r="K459" s="72" t="str">
        <f>IF(ISNUMBER(deployment_raw[[#This Row],[Column8]]), (deployment_raw[[#This Row],[Column8]]  * IF($E$2="Deployment",deployment_raw[[#This Row],[Column5]],1)),"")</f>
        <v/>
      </c>
      <c r="L45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5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59" s="81" t="str">
        <f>IF(ISNUMBER(deployment_raw[[#This Row],[Column20]]), IF(O459&lt;&gt;0,deployment_raw[[#This Row],[Column20]]/IF(OR($E$2="Deployment",deployment_raw[[#This Row],[Column5]]=0),1,deployment_raw[[#This Row],[Column5]])/1048576/O459,0),"")</f>
        <v/>
      </c>
      <c r="O459" s="74" t="str">
        <f>IF(ISNUMBER(deployment_raw[[#This Row],[Column7]]), (deployment_raw[[#This Row],[Column7]] * IF($E$2="Deployment",deployment_raw[[#This Row],[Column5]],1))/1048576,"")</f>
        <v/>
      </c>
      <c r="P459" s="81" t="str">
        <f>IF(ISNUMBER(deployment_raw[[#This Row],[Column20]]), IF(Q459&lt;&gt;0,deployment_raw[[#This Row],[Column20]]/IF(OR($E$2="Deployment",deployment_raw[[#This Row],[Column5]]=0),1,deployment_raw[[#This Row],[Column5]])/1048576/Q459,0),"")</f>
        <v/>
      </c>
      <c r="Q459" s="76" t="str">
        <f>IF(ISNUMBER(deployment_raw[[#This Row],[Column9]]), (deployment_raw[[#This Row],[Column9]] * IF($E$2="Deployment",deployment_raw[[#This Row],[Column5]],1))/1048576,"")</f>
        <v/>
      </c>
      <c r="R459" s="57" t="str">
        <f>IF(ISNUMBER(deployment_raw[[#This Row],[Column10]]), (deployment_raw[[#This Row],[Column10]] * IF($E$2="Deployment",deployment_raw[[#This Row],[Column5]],1)),"")</f>
        <v/>
      </c>
      <c r="S459" s="48" t="str">
        <f>IF(ISNUMBER(deployment_raw[[#This Row],[Column11]]), (deployment_raw[[#This Row],[Column11]] * IF($E$2="Deployment",deployment_raw[[#This Row],[Column5]],1))/1048576,"")</f>
        <v/>
      </c>
      <c r="T459" s="59" t="str">
        <f>IF(ISNUMBER(deployment_raw[[#This Row],[Column8]]),IF(OR(deployment_raw[[#This Row],[Column5]] &lt;&gt; 0,$E$2 &lt;&gt; "Deployment"), MAX(V459, ($T$2 * IF($E$2="Deployment",deployment_raw[[#This Row],[Column5]],1))), 0),"")</f>
        <v/>
      </c>
      <c r="U459" s="50" t="str">
        <f>IF(ISNUMBER(deployment_raw[[#This Row],[Column9]]),IF(OR(deployment_raw[[#This Row],[Column5]] &lt;&gt; 0,$E$2&lt;&gt;"Deployment"), MAX(W459, ($U$2 * IF($E$2="Deployment",deployment_raw[[#This Row],[Column5]],1))), 0),"")</f>
        <v/>
      </c>
      <c r="V459" s="15" t="str">
        <f>IF(ISNUMBER(deployment_raw[[#This Row],[Column12]]), (deployment_raw[[#This Row],[Column12]] * IF($E$2="Deployment",deployment_raw[[#This Row],[Column5]],1)*(1+$V$2)),"")</f>
        <v/>
      </c>
      <c r="W459" s="14" t="str">
        <f>IF(ISNUMBER(deployment_raw[[#This Row],[Column13]]), (deployment_raw[[#This Row],[Column13]] * IF($E$2="Deployment",deployment_raw[[#This Row],[Column5]],1)*(1+$W$2))/1048576,"")</f>
        <v/>
      </c>
    </row>
    <row r="460" spans="1:23" ht="15.75" customHeight="1" x14ac:dyDescent="0.25">
      <c r="A460" s="5" t="str">
        <f>IF(ISNONTEXT(deployment_raw[[#This Row],[Column1]]), "", deployment_raw[[#This Row],[Column1]])</f>
        <v/>
      </c>
      <c r="B460" s="6" t="str">
        <f>IF(ISNONTEXT(deployment_raw[[#This Row],[Column2]]), "", deployment_raw[[#This Row],[Column2]])</f>
        <v/>
      </c>
      <c r="C460" s="6" t="str">
        <f>IF(ISNONTEXT(deployment_raw[[#This Row],[Column3]]), "", deployment_raw[[#This Row],[Column3]])</f>
        <v/>
      </c>
      <c r="D460" s="6" t="str">
        <f>IF(ISNONTEXT(deployment_raw[[#This Row],[Column4]]), "", deployment_raw[[#This Row],[Column4]])</f>
        <v/>
      </c>
      <c r="E460" s="7" t="str">
        <f>IF(ISNUMBER(deployment_raw[[#This Row],[Column5]]), deployment_raw[[#This Row],[Column5]],"")</f>
        <v/>
      </c>
      <c r="F460" s="32" t="str">
        <f>IF(ISNUMBER(deployment_raw[[#This Row],[Column17]]), deployment_raw[[#This Row],[Column17]]/IF(OR($E$2="Deployment",deployment_raw[[#This Row],[Column5]]=0),1,deployment_raw[[#This Row],[Column5]]),"")</f>
        <v/>
      </c>
      <c r="G460" s="42" t="str">
        <f>IF(ISNUMBER(deployment_raw[[#This Row],[Column14]]), deployment_raw[[#This Row],[Column14]]/IF(OR($E$2="Deployment",deployment_raw[[#This Row],[Column5]]=0),1,deployment_raw[[#This Row],[Column5]]),"")</f>
        <v/>
      </c>
      <c r="H460" s="79" t="str">
        <f>IF(ISNUMBER(deployment_raw[[#This Row],[Column19]]), IF(I460&lt;&gt;0,(deployment_raw[[#This Row],[Column19]]/IF(OR($E$2="Deployment",deployment_raw[[#This Row],[Column5]]=0),1,deployment_raw[[#This Row],[Column5]]))/I460,0),"")</f>
        <v/>
      </c>
      <c r="I460" s="69" t="str">
        <f>IF(ISNUMBER(deployment_raw[[#This Row],[Column6]]), (deployment_raw[[#This Row],[Column6]] * IF($E$2="Deployment",deployment_raw[[#This Row],[Column5]],1)),"")</f>
        <v/>
      </c>
      <c r="J460" s="79" t="str">
        <f>IF(ISNUMBER(deployment_raw[[#This Row],[Column19]]), IF(K460&lt;&gt;0,(deployment_raw[[#This Row],[Column19]]/IF(OR($E$2="Deployment",deployment_raw[[#This Row],[Column5]]=0),1,deployment_raw[[#This Row],[Column5]]))/K460,0),"")</f>
        <v/>
      </c>
      <c r="K460" s="72" t="str">
        <f>IF(ISNUMBER(deployment_raw[[#This Row],[Column8]]), (deployment_raw[[#This Row],[Column8]]  * IF($E$2="Deployment",deployment_raw[[#This Row],[Column5]],1)),"")</f>
        <v/>
      </c>
      <c r="L46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6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60" s="81" t="str">
        <f>IF(ISNUMBER(deployment_raw[[#This Row],[Column20]]), IF(O460&lt;&gt;0,deployment_raw[[#This Row],[Column20]]/IF(OR($E$2="Deployment",deployment_raw[[#This Row],[Column5]]=0),1,deployment_raw[[#This Row],[Column5]])/1048576/O460,0),"")</f>
        <v/>
      </c>
      <c r="O460" s="74" t="str">
        <f>IF(ISNUMBER(deployment_raw[[#This Row],[Column7]]), (deployment_raw[[#This Row],[Column7]] * IF($E$2="Deployment",deployment_raw[[#This Row],[Column5]],1))/1048576,"")</f>
        <v/>
      </c>
      <c r="P460" s="81" t="str">
        <f>IF(ISNUMBER(deployment_raw[[#This Row],[Column20]]), IF(Q460&lt;&gt;0,deployment_raw[[#This Row],[Column20]]/IF(OR($E$2="Deployment",deployment_raw[[#This Row],[Column5]]=0),1,deployment_raw[[#This Row],[Column5]])/1048576/Q460,0),"")</f>
        <v/>
      </c>
      <c r="Q460" s="76" t="str">
        <f>IF(ISNUMBER(deployment_raw[[#This Row],[Column9]]), (deployment_raw[[#This Row],[Column9]] * IF($E$2="Deployment",deployment_raw[[#This Row],[Column5]],1))/1048576,"")</f>
        <v/>
      </c>
      <c r="R460" s="57" t="str">
        <f>IF(ISNUMBER(deployment_raw[[#This Row],[Column10]]), (deployment_raw[[#This Row],[Column10]] * IF($E$2="Deployment",deployment_raw[[#This Row],[Column5]],1)),"")</f>
        <v/>
      </c>
      <c r="S460" s="48" t="str">
        <f>IF(ISNUMBER(deployment_raw[[#This Row],[Column11]]), (deployment_raw[[#This Row],[Column11]] * IF($E$2="Deployment",deployment_raw[[#This Row],[Column5]],1))/1048576,"")</f>
        <v/>
      </c>
      <c r="T460" s="59" t="str">
        <f>IF(ISNUMBER(deployment_raw[[#This Row],[Column8]]),IF(OR(deployment_raw[[#This Row],[Column5]] &lt;&gt; 0,$E$2 &lt;&gt; "Deployment"), MAX(V460, ($T$2 * IF($E$2="Deployment",deployment_raw[[#This Row],[Column5]],1))), 0),"")</f>
        <v/>
      </c>
      <c r="U460" s="50" t="str">
        <f>IF(ISNUMBER(deployment_raw[[#This Row],[Column9]]),IF(OR(deployment_raw[[#This Row],[Column5]] &lt;&gt; 0,$E$2&lt;&gt;"Deployment"), MAX(W460, ($U$2 * IF($E$2="Deployment",deployment_raw[[#This Row],[Column5]],1))), 0),"")</f>
        <v/>
      </c>
      <c r="V460" s="15" t="str">
        <f>IF(ISNUMBER(deployment_raw[[#This Row],[Column12]]), (deployment_raw[[#This Row],[Column12]] * IF($E$2="Deployment",deployment_raw[[#This Row],[Column5]],1)*(1+$V$2)),"")</f>
        <v/>
      </c>
      <c r="W460" s="14" t="str">
        <f>IF(ISNUMBER(deployment_raw[[#This Row],[Column13]]), (deployment_raw[[#This Row],[Column13]] * IF($E$2="Deployment",deployment_raw[[#This Row],[Column5]],1)*(1+$W$2))/1048576,"")</f>
        <v/>
      </c>
    </row>
    <row r="461" spans="1:23" ht="15.75" customHeight="1" x14ac:dyDescent="0.25">
      <c r="A461" s="5" t="str">
        <f>IF(ISNONTEXT(deployment_raw[[#This Row],[Column1]]), "", deployment_raw[[#This Row],[Column1]])</f>
        <v/>
      </c>
      <c r="B461" s="6" t="str">
        <f>IF(ISNONTEXT(deployment_raw[[#This Row],[Column2]]), "", deployment_raw[[#This Row],[Column2]])</f>
        <v/>
      </c>
      <c r="C461" s="6" t="str">
        <f>IF(ISNONTEXT(deployment_raw[[#This Row],[Column3]]), "", deployment_raw[[#This Row],[Column3]])</f>
        <v/>
      </c>
      <c r="D461" s="6" t="str">
        <f>IF(ISNONTEXT(deployment_raw[[#This Row],[Column4]]), "", deployment_raw[[#This Row],[Column4]])</f>
        <v/>
      </c>
      <c r="E461" s="7" t="str">
        <f>IF(ISNUMBER(deployment_raw[[#This Row],[Column5]]), deployment_raw[[#This Row],[Column5]],"")</f>
        <v/>
      </c>
      <c r="F461" s="32" t="str">
        <f>IF(ISNUMBER(deployment_raw[[#This Row],[Column17]]), deployment_raw[[#This Row],[Column17]]/IF(OR($E$2="Deployment",deployment_raw[[#This Row],[Column5]]=0),1,deployment_raw[[#This Row],[Column5]]),"")</f>
        <v/>
      </c>
      <c r="G461" s="42" t="str">
        <f>IF(ISNUMBER(deployment_raw[[#This Row],[Column14]]), deployment_raw[[#This Row],[Column14]]/IF(OR($E$2="Deployment",deployment_raw[[#This Row],[Column5]]=0),1,deployment_raw[[#This Row],[Column5]]),"")</f>
        <v/>
      </c>
      <c r="H461" s="79" t="str">
        <f>IF(ISNUMBER(deployment_raw[[#This Row],[Column19]]), IF(I461&lt;&gt;0,(deployment_raw[[#This Row],[Column19]]/IF(OR($E$2="Deployment",deployment_raw[[#This Row],[Column5]]=0),1,deployment_raw[[#This Row],[Column5]]))/I461,0),"")</f>
        <v/>
      </c>
      <c r="I461" s="69" t="str">
        <f>IF(ISNUMBER(deployment_raw[[#This Row],[Column6]]), (deployment_raw[[#This Row],[Column6]] * IF($E$2="Deployment",deployment_raw[[#This Row],[Column5]],1)),"")</f>
        <v/>
      </c>
      <c r="J461" s="79" t="str">
        <f>IF(ISNUMBER(deployment_raw[[#This Row],[Column19]]), IF(K461&lt;&gt;0,(deployment_raw[[#This Row],[Column19]]/IF(OR($E$2="Deployment",deployment_raw[[#This Row],[Column5]]=0),1,deployment_raw[[#This Row],[Column5]]))/K461,0),"")</f>
        <v/>
      </c>
      <c r="K461" s="72" t="str">
        <f>IF(ISNUMBER(deployment_raw[[#This Row],[Column8]]), (deployment_raw[[#This Row],[Column8]]  * IF($E$2="Deployment",deployment_raw[[#This Row],[Column5]],1)),"")</f>
        <v/>
      </c>
      <c r="L46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6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61" s="81" t="str">
        <f>IF(ISNUMBER(deployment_raw[[#This Row],[Column20]]), IF(O461&lt;&gt;0,deployment_raw[[#This Row],[Column20]]/IF(OR($E$2="Deployment",deployment_raw[[#This Row],[Column5]]=0),1,deployment_raw[[#This Row],[Column5]])/1048576/O461,0),"")</f>
        <v/>
      </c>
      <c r="O461" s="74" t="str">
        <f>IF(ISNUMBER(deployment_raw[[#This Row],[Column7]]), (deployment_raw[[#This Row],[Column7]] * IF($E$2="Deployment",deployment_raw[[#This Row],[Column5]],1))/1048576,"")</f>
        <v/>
      </c>
      <c r="P461" s="81" t="str">
        <f>IF(ISNUMBER(deployment_raw[[#This Row],[Column20]]), IF(Q461&lt;&gt;0,deployment_raw[[#This Row],[Column20]]/IF(OR($E$2="Deployment",deployment_raw[[#This Row],[Column5]]=0),1,deployment_raw[[#This Row],[Column5]])/1048576/Q461,0),"")</f>
        <v/>
      </c>
      <c r="Q461" s="76" t="str">
        <f>IF(ISNUMBER(deployment_raw[[#This Row],[Column9]]), (deployment_raw[[#This Row],[Column9]] * IF($E$2="Deployment",deployment_raw[[#This Row],[Column5]],1))/1048576,"")</f>
        <v/>
      </c>
      <c r="R461" s="57" t="str">
        <f>IF(ISNUMBER(deployment_raw[[#This Row],[Column10]]), (deployment_raw[[#This Row],[Column10]] * IF($E$2="Deployment",deployment_raw[[#This Row],[Column5]],1)),"")</f>
        <v/>
      </c>
      <c r="S461" s="48" t="str">
        <f>IF(ISNUMBER(deployment_raw[[#This Row],[Column11]]), (deployment_raw[[#This Row],[Column11]] * IF($E$2="Deployment",deployment_raw[[#This Row],[Column5]],1))/1048576,"")</f>
        <v/>
      </c>
      <c r="T461" s="59" t="str">
        <f>IF(ISNUMBER(deployment_raw[[#This Row],[Column8]]),IF(OR(deployment_raw[[#This Row],[Column5]] &lt;&gt; 0,$E$2 &lt;&gt; "Deployment"), MAX(V461, ($T$2 * IF($E$2="Deployment",deployment_raw[[#This Row],[Column5]],1))), 0),"")</f>
        <v/>
      </c>
      <c r="U461" s="50" t="str">
        <f>IF(ISNUMBER(deployment_raw[[#This Row],[Column9]]),IF(OR(deployment_raw[[#This Row],[Column5]] &lt;&gt; 0,$E$2&lt;&gt;"Deployment"), MAX(W461, ($U$2 * IF($E$2="Deployment",deployment_raw[[#This Row],[Column5]],1))), 0),"")</f>
        <v/>
      </c>
      <c r="V461" s="15" t="str">
        <f>IF(ISNUMBER(deployment_raw[[#This Row],[Column12]]), (deployment_raw[[#This Row],[Column12]] * IF($E$2="Deployment",deployment_raw[[#This Row],[Column5]],1)*(1+$V$2)),"")</f>
        <v/>
      </c>
      <c r="W461" s="14" t="str">
        <f>IF(ISNUMBER(deployment_raw[[#This Row],[Column13]]), (deployment_raw[[#This Row],[Column13]] * IF($E$2="Deployment",deployment_raw[[#This Row],[Column5]],1)*(1+$W$2))/1048576,"")</f>
        <v/>
      </c>
    </row>
    <row r="462" spans="1:23" ht="15.75" customHeight="1" x14ac:dyDescent="0.25">
      <c r="A462" s="5" t="str">
        <f>IF(ISNONTEXT(deployment_raw[[#This Row],[Column1]]), "", deployment_raw[[#This Row],[Column1]])</f>
        <v/>
      </c>
      <c r="B462" s="6" t="str">
        <f>IF(ISNONTEXT(deployment_raw[[#This Row],[Column2]]), "", deployment_raw[[#This Row],[Column2]])</f>
        <v/>
      </c>
      <c r="C462" s="6" t="str">
        <f>IF(ISNONTEXT(deployment_raw[[#This Row],[Column3]]), "", deployment_raw[[#This Row],[Column3]])</f>
        <v/>
      </c>
      <c r="D462" s="6" t="str">
        <f>IF(ISNONTEXT(deployment_raw[[#This Row],[Column4]]), "", deployment_raw[[#This Row],[Column4]])</f>
        <v/>
      </c>
      <c r="E462" s="7" t="str">
        <f>IF(ISNUMBER(deployment_raw[[#This Row],[Column5]]), deployment_raw[[#This Row],[Column5]],"")</f>
        <v/>
      </c>
      <c r="F462" s="32" t="str">
        <f>IF(ISNUMBER(deployment_raw[[#This Row],[Column17]]), deployment_raw[[#This Row],[Column17]]/IF(OR($E$2="Deployment",deployment_raw[[#This Row],[Column5]]=0),1,deployment_raw[[#This Row],[Column5]]),"")</f>
        <v/>
      </c>
      <c r="G462" s="42" t="str">
        <f>IF(ISNUMBER(deployment_raw[[#This Row],[Column14]]), deployment_raw[[#This Row],[Column14]]/IF(OR($E$2="Deployment",deployment_raw[[#This Row],[Column5]]=0),1,deployment_raw[[#This Row],[Column5]]),"")</f>
        <v/>
      </c>
      <c r="H462" s="79" t="str">
        <f>IF(ISNUMBER(deployment_raw[[#This Row],[Column19]]), IF(I462&lt;&gt;0,(deployment_raw[[#This Row],[Column19]]/IF(OR($E$2="Deployment",deployment_raw[[#This Row],[Column5]]=0),1,deployment_raw[[#This Row],[Column5]]))/I462,0),"")</f>
        <v/>
      </c>
      <c r="I462" s="69" t="str">
        <f>IF(ISNUMBER(deployment_raw[[#This Row],[Column6]]), (deployment_raw[[#This Row],[Column6]] * IF($E$2="Deployment",deployment_raw[[#This Row],[Column5]],1)),"")</f>
        <v/>
      </c>
      <c r="J462" s="79" t="str">
        <f>IF(ISNUMBER(deployment_raw[[#This Row],[Column19]]), IF(K462&lt;&gt;0,(deployment_raw[[#This Row],[Column19]]/IF(OR($E$2="Deployment",deployment_raw[[#This Row],[Column5]]=0),1,deployment_raw[[#This Row],[Column5]]))/K462,0),"")</f>
        <v/>
      </c>
      <c r="K462" s="72" t="str">
        <f>IF(ISNUMBER(deployment_raw[[#This Row],[Column8]]), (deployment_raw[[#This Row],[Column8]]  * IF($E$2="Deployment",deployment_raw[[#This Row],[Column5]],1)),"")</f>
        <v/>
      </c>
      <c r="L46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6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62" s="81" t="str">
        <f>IF(ISNUMBER(deployment_raw[[#This Row],[Column20]]), IF(O462&lt;&gt;0,deployment_raw[[#This Row],[Column20]]/IF(OR($E$2="Deployment",deployment_raw[[#This Row],[Column5]]=0),1,deployment_raw[[#This Row],[Column5]])/1048576/O462,0),"")</f>
        <v/>
      </c>
      <c r="O462" s="74" t="str">
        <f>IF(ISNUMBER(deployment_raw[[#This Row],[Column7]]), (deployment_raw[[#This Row],[Column7]] * IF($E$2="Deployment",deployment_raw[[#This Row],[Column5]],1))/1048576,"")</f>
        <v/>
      </c>
      <c r="P462" s="81" t="str">
        <f>IF(ISNUMBER(deployment_raw[[#This Row],[Column20]]), IF(Q462&lt;&gt;0,deployment_raw[[#This Row],[Column20]]/IF(OR($E$2="Deployment",deployment_raw[[#This Row],[Column5]]=0),1,deployment_raw[[#This Row],[Column5]])/1048576/Q462,0),"")</f>
        <v/>
      </c>
      <c r="Q462" s="76" t="str">
        <f>IF(ISNUMBER(deployment_raw[[#This Row],[Column9]]), (deployment_raw[[#This Row],[Column9]] * IF($E$2="Deployment",deployment_raw[[#This Row],[Column5]],1))/1048576,"")</f>
        <v/>
      </c>
      <c r="R462" s="57" t="str">
        <f>IF(ISNUMBER(deployment_raw[[#This Row],[Column10]]), (deployment_raw[[#This Row],[Column10]] * IF($E$2="Deployment",deployment_raw[[#This Row],[Column5]],1)),"")</f>
        <v/>
      </c>
      <c r="S462" s="48" t="str">
        <f>IF(ISNUMBER(deployment_raw[[#This Row],[Column11]]), (deployment_raw[[#This Row],[Column11]] * IF($E$2="Deployment",deployment_raw[[#This Row],[Column5]],1))/1048576,"")</f>
        <v/>
      </c>
      <c r="T462" s="59" t="str">
        <f>IF(ISNUMBER(deployment_raw[[#This Row],[Column8]]),IF(OR(deployment_raw[[#This Row],[Column5]] &lt;&gt; 0,$E$2 &lt;&gt; "Deployment"), MAX(V462, ($T$2 * IF($E$2="Deployment",deployment_raw[[#This Row],[Column5]],1))), 0),"")</f>
        <v/>
      </c>
      <c r="U462" s="50" t="str">
        <f>IF(ISNUMBER(deployment_raw[[#This Row],[Column9]]),IF(OR(deployment_raw[[#This Row],[Column5]] &lt;&gt; 0,$E$2&lt;&gt;"Deployment"), MAX(W462, ($U$2 * IF($E$2="Deployment",deployment_raw[[#This Row],[Column5]],1))), 0),"")</f>
        <v/>
      </c>
      <c r="V462" s="15" t="str">
        <f>IF(ISNUMBER(deployment_raw[[#This Row],[Column12]]), (deployment_raw[[#This Row],[Column12]] * IF($E$2="Deployment",deployment_raw[[#This Row],[Column5]],1)*(1+$V$2)),"")</f>
        <v/>
      </c>
      <c r="W462" s="14" t="str">
        <f>IF(ISNUMBER(deployment_raw[[#This Row],[Column13]]), (deployment_raw[[#This Row],[Column13]] * IF($E$2="Deployment",deployment_raw[[#This Row],[Column5]],1)*(1+$W$2))/1048576,"")</f>
        <v/>
      </c>
    </row>
    <row r="463" spans="1:23" ht="15.75" customHeight="1" x14ac:dyDescent="0.25">
      <c r="A463" s="5" t="str">
        <f>IF(ISNONTEXT(deployment_raw[[#This Row],[Column1]]), "", deployment_raw[[#This Row],[Column1]])</f>
        <v/>
      </c>
      <c r="B463" s="6" t="str">
        <f>IF(ISNONTEXT(deployment_raw[[#This Row],[Column2]]), "", deployment_raw[[#This Row],[Column2]])</f>
        <v/>
      </c>
      <c r="C463" s="6" t="str">
        <f>IF(ISNONTEXT(deployment_raw[[#This Row],[Column3]]), "", deployment_raw[[#This Row],[Column3]])</f>
        <v/>
      </c>
      <c r="D463" s="6" t="str">
        <f>IF(ISNONTEXT(deployment_raw[[#This Row],[Column4]]), "", deployment_raw[[#This Row],[Column4]])</f>
        <v/>
      </c>
      <c r="E463" s="7" t="str">
        <f>IF(ISNUMBER(deployment_raw[[#This Row],[Column5]]), deployment_raw[[#This Row],[Column5]],"")</f>
        <v/>
      </c>
      <c r="F463" s="32" t="str">
        <f>IF(ISNUMBER(deployment_raw[[#This Row],[Column17]]), deployment_raw[[#This Row],[Column17]]/IF(OR($E$2="Deployment",deployment_raw[[#This Row],[Column5]]=0),1,deployment_raw[[#This Row],[Column5]]),"")</f>
        <v/>
      </c>
      <c r="G463" s="42" t="str">
        <f>IF(ISNUMBER(deployment_raw[[#This Row],[Column14]]), deployment_raw[[#This Row],[Column14]]/IF(OR($E$2="Deployment",deployment_raw[[#This Row],[Column5]]=0),1,deployment_raw[[#This Row],[Column5]]),"")</f>
        <v/>
      </c>
      <c r="H463" s="79" t="str">
        <f>IF(ISNUMBER(deployment_raw[[#This Row],[Column19]]), IF(I463&lt;&gt;0,(deployment_raw[[#This Row],[Column19]]/IF(OR($E$2="Deployment",deployment_raw[[#This Row],[Column5]]=0),1,deployment_raw[[#This Row],[Column5]]))/I463,0),"")</f>
        <v/>
      </c>
      <c r="I463" s="69" t="str">
        <f>IF(ISNUMBER(deployment_raw[[#This Row],[Column6]]), (deployment_raw[[#This Row],[Column6]] * IF($E$2="Deployment",deployment_raw[[#This Row],[Column5]],1)),"")</f>
        <v/>
      </c>
      <c r="J463" s="79" t="str">
        <f>IF(ISNUMBER(deployment_raw[[#This Row],[Column19]]), IF(K463&lt;&gt;0,(deployment_raw[[#This Row],[Column19]]/IF(OR($E$2="Deployment",deployment_raw[[#This Row],[Column5]]=0),1,deployment_raw[[#This Row],[Column5]]))/K463,0),"")</f>
        <v/>
      </c>
      <c r="K463" s="72" t="str">
        <f>IF(ISNUMBER(deployment_raw[[#This Row],[Column8]]), (deployment_raw[[#This Row],[Column8]]  * IF($E$2="Deployment",deployment_raw[[#This Row],[Column5]],1)),"")</f>
        <v/>
      </c>
      <c r="L46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6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63" s="81" t="str">
        <f>IF(ISNUMBER(deployment_raw[[#This Row],[Column20]]), IF(O463&lt;&gt;0,deployment_raw[[#This Row],[Column20]]/IF(OR($E$2="Deployment",deployment_raw[[#This Row],[Column5]]=0),1,deployment_raw[[#This Row],[Column5]])/1048576/O463,0),"")</f>
        <v/>
      </c>
      <c r="O463" s="74" t="str">
        <f>IF(ISNUMBER(deployment_raw[[#This Row],[Column7]]), (deployment_raw[[#This Row],[Column7]] * IF($E$2="Deployment",deployment_raw[[#This Row],[Column5]],1))/1048576,"")</f>
        <v/>
      </c>
      <c r="P463" s="81" t="str">
        <f>IF(ISNUMBER(deployment_raw[[#This Row],[Column20]]), IF(Q463&lt;&gt;0,deployment_raw[[#This Row],[Column20]]/IF(OR($E$2="Deployment",deployment_raw[[#This Row],[Column5]]=0),1,deployment_raw[[#This Row],[Column5]])/1048576/Q463,0),"")</f>
        <v/>
      </c>
      <c r="Q463" s="76" t="str">
        <f>IF(ISNUMBER(deployment_raw[[#This Row],[Column9]]), (deployment_raw[[#This Row],[Column9]] * IF($E$2="Deployment",deployment_raw[[#This Row],[Column5]],1))/1048576,"")</f>
        <v/>
      </c>
      <c r="R463" s="57" t="str">
        <f>IF(ISNUMBER(deployment_raw[[#This Row],[Column10]]), (deployment_raw[[#This Row],[Column10]] * IF($E$2="Deployment",deployment_raw[[#This Row],[Column5]],1)),"")</f>
        <v/>
      </c>
      <c r="S463" s="48" t="str">
        <f>IF(ISNUMBER(deployment_raw[[#This Row],[Column11]]), (deployment_raw[[#This Row],[Column11]] * IF($E$2="Deployment",deployment_raw[[#This Row],[Column5]],1))/1048576,"")</f>
        <v/>
      </c>
      <c r="T463" s="59" t="str">
        <f>IF(ISNUMBER(deployment_raw[[#This Row],[Column8]]),IF(OR(deployment_raw[[#This Row],[Column5]] &lt;&gt; 0,$E$2 &lt;&gt; "Deployment"), MAX(V463, ($T$2 * IF($E$2="Deployment",deployment_raw[[#This Row],[Column5]],1))), 0),"")</f>
        <v/>
      </c>
      <c r="U463" s="50" t="str">
        <f>IF(ISNUMBER(deployment_raw[[#This Row],[Column9]]),IF(OR(deployment_raw[[#This Row],[Column5]] &lt;&gt; 0,$E$2&lt;&gt;"Deployment"), MAX(W463, ($U$2 * IF($E$2="Deployment",deployment_raw[[#This Row],[Column5]],1))), 0),"")</f>
        <v/>
      </c>
      <c r="V463" s="15" t="str">
        <f>IF(ISNUMBER(deployment_raw[[#This Row],[Column12]]), (deployment_raw[[#This Row],[Column12]] * IF($E$2="Deployment",deployment_raw[[#This Row],[Column5]],1)*(1+$V$2)),"")</f>
        <v/>
      </c>
      <c r="W463" s="14" t="str">
        <f>IF(ISNUMBER(deployment_raw[[#This Row],[Column13]]), (deployment_raw[[#This Row],[Column13]] * IF($E$2="Deployment",deployment_raw[[#This Row],[Column5]],1)*(1+$W$2))/1048576,"")</f>
        <v/>
      </c>
    </row>
    <row r="464" spans="1:23" ht="15.75" customHeight="1" x14ac:dyDescent="0.25">
      <c r="A464" s="5" t="str">
        <f>IF(ISNONTEXT(deployment_raw[[#This Row],[Column1]]), "", deployment_raw[[#This Row],[Column1]])</f>
        <v/>
      </c>
      <c r="B464" s="6" t="str">
        <f>IF(ISNONTEXT(deployment_raw[[#This Row],[Column2]]), "", deployment_raw[[#This Row],[Column2]])</f>
        <v/>
      </c>
      <c r="C464" s="6" t="str">
        <f>IF(ISNONTEXT(deployment_raw[[#This Row],[Column3]]), "", deployment_raw[[#This Row],[Column3]])</f>
        <v/>
      </c>
      <c r="D464" s="6" t="str">
        <f>IF(ISNONTEXT(deployment_raw[[#This Row],[Column4]]), "", deployment_raw[[#This Row],[Column4]])</f>
        <v/>
      </c>
      <c r="E464" s="7" t="str">
        <f>IF(ISNUMBER(deployment_raw[[#This Row],[Column5]]), deployment_raw[[#This Row],[Column5]],"")</f>
        <v/>
      </c>
      <c r="F464" s="32" t="str">
        <f>IF(ISNUMBER(deployment_raw[[#This Row],[Column17]]), deployment_raw[[#This Row],[Column17]]/IF(OR($E$2="Deployment",deployment_raw[[#This Row],[Column5]]=0),1,deployment_raw[[#This Row],[Column5]]),"")</f>
        <v/>
      </c>
      <c r="G464" s="42" t="str">
        <f>IF(ISNUMBER(deployment_raw[[#This Row],[Column14]]), deployment_raw[[#This Row],[Column14]]/IF(OR($E$2="Deployment",deployment_raw[[#This Row],[Column5]]=0),1,deployment_raw[[#This Row],[Column5]]),"")</f>
        <v/>
      </c>
      <c r="H464" s="79" t="str">
        <f>IF(ISNUMBER(deployment_raw[[#This Row],[Column19]]), IF(I464&lt;&gt;0,(deployment_raw[[#This Row],[Column19]]/IF(OR($E$2="Deployment",deployment_raw[[#This Row],[Column5]]=0),1,deployment_raw[[#This Row],[Column5]]))/I464,0),"")</f>
        <v/>
      </c>
      <c r="I464" s="69" t="str">
        <f>IF(ISNUMBER(deployment_raw[[#This Row],[Column6]]), (deployment_raw[[#This Row],[Column6]] * IF($E$2="Deployment",deployment_raw[[#This Row],[Column5]],1)),"")</f>
        <v/>
      </c>
      <c r="J464" s="79" t="str">
        <f>IF(ISNUMBER(deployment_raw[[#This Row],[Column19]]), IF(K464&lt;&gt;0,(deployment_raw[[#This Row],[Column19]]/IF(OR($E$2="Deployment",deployment_raw[[#This Row],[Column5]]=0),1,deployment_raw[[#This Row],[Column5]]))/K464,0),"")</f>
        <v/>
      </c>
      <c r="K464" s="72" t="str">
        <f>IF(ISNUMBER(deployment_raw[[#This Row],[Column8]]), (deployment_raw[[#This Row],[Column8]]  * IF($E$2="Deployment",deployment_raw[[#This Row],[Column5]],1)),"")</f>
        <v/>
      </c>
      <c r="L46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6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64" s="81" t="str">
        <f>IF(ISNUMBER(deployment_raw[[#This Row],[Column20]]), IF(O464&lt;&gt;0,deployment_raw[[#This Row],[Column20]]/IF(OR($E$2="Deployment",deployment_raw[[#This Row],[Column5]]=0),1,deployment_raw[[#This Row],[Column5]])/1048576/O464,0),"")</f>
        <v/>
      </c>
      <c r="O464" s="74" t="str">
        <f>IF(ISNUMBER(deployment_raw[[#This Row],[Column7]]), (deployment_raw[[#This Row],[Column7]] * IF($E$2="Deployment",deployment_raw[[#This Row],[Column5]],1))/1048576,"")</f>
        <v/>
      </c>
      <c r="P464" s="81" t="str">
        <f>IF(ISNUMBER(deployment_raw[[#This Row],[Column20]]), IF(Q464&lt;&gt;0,deployment_raw[[#This Row],[Column20]]/IF(OR($E$2="Deployment",deployment_raw[[#This Row],[Column5]]=0),1,deployment_raw[[#This Row],[Column5]])/1048576/Q464,0),"")</f>
        <v/>
      </c>
      <c r="Q464" s="76" t="str">
        <f>IF(ISNUMBER(deployment_raw[[#This Row],[Column9]]), (deployment_raw[[#This Row],[Column9]] * IF($E$2="Deployment",deployment_raw[[#This Row],[Column5]],1))/1048576,"")</f>
        <v/>
      </c>
      <c r="R464" s="57" t="str">
        <f>IF(ISNUMBER(deployment_raw[[#This Row],[Column10]]), (deployment_raw[[#This Row],[Column10]] * IF($E$2="Deployment",deployment_raw[[#This Row],[Column5]],1)),"")</f>
        <v/>
      </c>
      <c r="S464" s="48" t="str">
        <f>IF(ISNUMBER(deployment_raw[[#This Row],[Column11]]), (deployment_raw[[#This Row],[Column11]] * IF($E$2="Deployment",deployment_raw[[#This Row],[Column5]],1))/1048576,"")</f>
        <v/>
      </c>
      <c r="T464" s="59" t="str">
        <f>IF(ISNUMBER(deployment_raw[[#This Row],[Column8]]),IF(OR(deployment_raw[[#This Row],[Column5]] &lt;&gt; 0,$E$2 &lt;&gt; "Deployment"), MAX(V464, ($T$2 * IF($E$2="Deployment",deployment_raw[[#This Row],[Column5]],1))), 0),"")</f>
        <v/>
      </c>
      <c r="U464" s="50" t="str">
        <f>IF(ISNUMBER(deployment_raw[[#This Row],[Column9]]),IF(OR(deployment_raw[[#This Row],[Column5]] &lt;&gt; 0,$E$2&lt;&gt;"Deployment"), MAX(W464, ($U$2 * IF($E$2="Deployment",deployment_raw[[#This Row],[Column5]],1))), 0),"")</f>
        <v/>
      </c>
      <c r="V464" s="15" t="str">
        <f>IF(ISNUMBER(deployment_raw[[#This Row],[Column12]]), (deployment_raw[[#This Row],[Column12]] * IF($E$2="Deployment",deployment_raw[[#This Row],[Column5]],1)*(1+$V$2)),"")</f>
        <v/>
      </c>
      <c r="W464" s="14" t="str">
        <f>IF(ISNUMBER(deployment_raw[[#This Row],[Column13]]), (deployment_raw[[#This Row],[Column13]] * IF($E$2="Deployment",deployment_raw[[#This Row],[Column5]],1)*(1+$W$2))/1048576,"")</f>
        <v/>
      </c>
    </row>
    <row r="465" spans="1:23" ht="15.75" customHeight="1" x14ac:dyDescent="0.25">
      <c r="A465" s="5" t="str">
        <f>IF(ISNONTEXT(deployment_raw[[#This Row],[Column1]]), "", deployment_raw[[#This Row],[Column1]])</f>
        <v/>
      </c>
      <c r="B465" s="6" t="str">
        <f>IF(ISNONTEXT(deployment_raw[[#This Row],[Column2]]), "", deployment_raw[[#This Row],[Column2]])</f>
        <v/>
      </c>
      <c r="C465" s="6" t="str">
        <f>IF(ISNONTEXT(deployment_raw[[#This Row],[Column3]]), "", deployment_raw[[#This Row],[Column3]])</f>
        <v/>
      </c>
      <c r="D465" s="6" t="str">
        <f>IF(ISNONTEXT(deployment_raw[[#This Row],[Column4]]), "", deployment_raw[[#This Row],[Column4]])</f>
        <v/>
      </c>
      <c r="E465" s="7" t="str">
        <f>IF(ISNUMBER(deployment_raw[[#This Row],[Column5]]), deployment_raw[[#This Row],[Column5]],"")</f>
        <v/>
      </c>
      <c r="F465" s="32" t="str">
        <f>IF(ISNUMBER(deployment_raw[[#This Row],[Column17]]), deployment_raw[[#This Row],[Column17]]/IF(OR($E$2="Deployment",deployment_raw[[#This Row],[Column5]]=0),1,deployment_raw[[#This Row],[Column5]]),"")</f>
        <v/>
      </c>
      <c r="G465" s="42" t="str">
        <f>IF(ISNUMBER(deployment_raw[[#This Row],[Column14]]), deployment_raw[[#This Row],[Column14]]/IF(OR($E$2="Deployment",deployment_raw[[#This Row],[Column5]]=0),1,deployment_raw[[#This Row],[Column5]]),"")</f>
        <v/>
      </c>
      <c r="H465" s="79" t="str">
        <f>IF(ISNUMBER(deployment_raw[[#This Row],[Column19]]), IF(I465&lt;&gt;0,(deployment_raw[[#This Row],[Column19]]/IF(OR($E$2="Deployment",deployment_raw[[#This Row],[Column5]]=0),1,deployment_raw[[#This Row],[Column5]]))/I465,0),"")</f>
        <v/>
      </c>
      <c r="I465" s="69" t="str">
        <f>IF(ISNUMBER(deployment_raw[[#This Row],[Column6]]), (deployment_raw[[#This Row],[Column6]] * IF($E$2="Deployment",deployment_raw[[#This Row],[Column5]],1)),"")</f>
        <v/>
      </c>
      <c r="J465" s="79" t="str">
        <f>IF(ISNUMBER(deployment_raw[[#This Row],[Column19]]), IF(K465&lt;&gt;0,(deployment_raw[[#This Row],[Column19]]/IF(OR($E$2="Deployment",deployment_raw[[#This Row],[Column5]]=0),1,deployment_raw[[#This Row],[Column5]]))/K465,0),"")</f>
        <v/>
      </c>
      <c r="K465" s="72" t="str">
        <f>IF(ISNUMBER(deployment_raw[[#This Row],[Column8]]), (deployment_raw[[#This Row],[Column8]]  * IF($E$2="Deployment",deployment_raw[[#This Row],[Column5]],1)),"")</f>
        <v/>
      </c>
      <c r="L46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6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65" s="81" t="str">
        <f>IF(ISNUMBER(deployment_raw[[#This Row],[Column20]]), IF(O465&lt;&gt;0,deployment_raw[[#This Row],[Column20]]/IF(OR($E$2="Deployment",deployment_raw[[#This Row],[Column5]]=0),1,deployment_raw[[#This Row],[Column5]])/1048576/O465,0),"")</f>
        <v/>
      </c>
      <c r="O465" s="74" t="str">
        <f>IF(ISNUMBER(deployment_raw[[#This Row],[Column7]]), (deployment_raw[[#This Row],[Column7]] * IF($E$2="Deployment",deployment_raw[[#This Row],[Column5]],1))/1048576,"")</f>
        <v/>
      </c>
      <c r="P465" s="81" t="str">
        <f>IF(ISNUMBER(deployment_raw[[#This Row],[Column20]]), IF(Q465&lt;&gt;0,deployment_raw[[#This Row],[Column20]]/IF(OR($E$2="Deployment",deployment_raw[[#This Row],[Column5]]=0),1,deployment_raw[[#This Row],[Column5]])/1048576/Q465,0),"")</f>
        <v/>
      </c>
      <c r="Q465" s="76" t="str">
        <f>IF(ISNUMBER(deployment_raw[[#This Row],[Column9]]), (deployment_raw[[#This Row],[Column9]] * IF($E$2="Deployment",deployment_raw[[#This Row],[Column5]],1))/1048576,"")</f>
        <v/>
      </c>
      <c r="R465" s="57" t="str">
        <f>IF(ISNUMBER(deployment_raw[[#This Row],[Column10]]), (deployment_raw[[#This Row],[Column10]] * IF($E$2="Deployment",deployment_raw[[#This Row],[Column5]],1)),"")</f>
        <v/>
      </c>
      <c r="S465" s="48" t="str">
        <f>IF(ISNUMBER(deployment_raw[[#This Row],[Column11]]), (deployment_raw[[#This Row],[Column11]] * IF($E$2="Deployment",deployment_raw[[#This Row],[Column5]],1))/1048576,"")</f>
        <v/>
      </c>
      <c r="T465" s="59" t="str">
        <f>IF(ISNUMBER(deployment_raw[[#This Row],[Column8]]),IF(OR(deployment_raw[[#This Row],[Column5]] &lt;&gt; 0,$E$2 &lt;&gt; "Deployment"), MAX(V465, ($T$2 * IF($E$2="Deployment",deployment_raw[[#This Row],[Column5]],1))), 0),"")</f>
        <v/>
      </c>
      <c r="U465" s="50" t="str">
        <f>IF(ISNUMBER(deployment_raw[[#This Row],[Column9]]),IF(OR(deployment_raw[[#This Row],[Column5]] &lt;&gt; 0,$E$2&lt;&gt;"Deployment"), MAX(W465, ($U$2 * IF($E$2="Deployment",deployment_raw[[#This Row],[Column5]],1))), 0),"")</f>
        <v/>
      </c>
      <c r="V465" s="15" t="str">
        <f>IF(ISNUMBER(deployment_raw[[#This Row],[Column12]]), (deployment_raw[[#This Row],[Column12]] * IF($E$2="Deployment",deployment_raw[[#This Row],[Column5]],1)*(1+$V$2)),"")</f>
        <v/>
      </c>
      <c r="W465" s="14" t="str">
        <f>IF(ISNUMBER(deployment_raw[[#This Row],[Column13]]), (deployment_raw[[#This Row],[Column13]] * IF($E$2="Deployment",deployment_raw[[#This Row],[Column5]],1)*(1+$W$2))/1048576,"")</f>
        <v/>
      </c>
    </row>
    <row r="466" spans="1:23" ht="15.75" customHeight="1" x14ac:dyDescent="0.25">
      <c r="A466" s="5" t="str">
        <f>IF(ISNONTEXT(deployment_raw[[#This Row],[Column1]]), "", deployment_raw[[#This Row],[Column1]])</f>
        <v/>
      </c>
      <c r="B466" s="6" t="str">
        <f>IF(ISNONTEXT(deployment_raw[[#This Row],[Column2]]), "", deployment_raw[[#This Row],[Column2]])</f>
        <v/>
      </c>
      <c r="C466" s="6" t="str">
        <f>IF(ISNONTEXT(deployment_raw[[#This Row],[Column3]]), "", deployment_raw[[#This Row],[Column3]])</f>
        <v/>
      </c>
      <c r="D466" s="6" t="str">
        <f>IF(ISNONTEXT(deployment_raw[[#This Row],[Column4]]), "", deployment_raw[[#This Row],[Column4]])</f>
        <v/>
      </c>
      <c r="E466" s="7" t="str">
        <f>IF(ISNUMBER(deployment_raw[[#This Row],[Column5]]), deployment_raw[[#This Row],[Column5]],"")</f>
        <v/>
      </c>
      <c r="F466" s="32" t="str">
        <f>IF(ISNUMBER(deployment_raw[[#This Row],[Column17]]), deployment_raw[[#This Row],[Column17]]/IF(OR($E$2="Deployment",deployment_raw[[#This Row],[Column5]]=0),1,deployment_raw[[#This Row],[Column5]]),"")</f>
        <v/>
      </c>
      <c r="G466" s="42" t="str">
        <f>IF(ISNUMBER(deployment_raw[[#This Row],[Column14]]), deployment_raw[[#This Row],[Column14]]/IF(OR($E$2="Deployment",deployment_raw[[#This Row],[Column5]]=0),1,deployment_raw[[#This Row],[Column5]]),"")</f>
        <v/>
      </c>
      <c r="H466" s="79" t="str">
        <f>IF(ISNUMBER(deployment_raw[[#This Row],[Column19]]), IF(I466&lt;&gt;0,(deployment_raw[[#This Row],[Column19]]/IF(OR($E$2="Deployment",deployment_raw[[#This Row],[Column5]]=0),1,deployment_raw[[#This Row],[Column5]]))/I466,0),"")</f>
        <v/>
      </c>
      <c r="I466" s="69" t="str">
        <f>IF(ISNUMBER(deployment_raw[[#This Row],[Column6]]), (deployment_raw[[#This Row],[Column6]] * IF($E$2="Deployment",deployment_raw[[#This Row],[Column5]],1)),"")</f>
        <v/>
      </c>
      <c r="J466" s="79" t="str">
        <f>IF(ISNUMBER(deployment_raw[[#This Row],[Column19]]), IF(K466&lt;&gt;0,(deployment_raw[[#This Row],[Column19]]/IF(OR($E$2="Deployment",deployment_raw[[#This Row],[Column5]]=0),1,deployment_raw[[#This Row],[Column5]]))/K466,0),"")</f>
        <v/>
      </c>
      <c r="K466" s="72" t="str">
        <f>IF(ISNUMBER(deployment_raw[[#This Row],[Column8]]), (deployment_raw[[#This Row],[Column8]]  * IF($E$2="Deployment",deployment_raw[[#This Row],[Column5]],1)),"")</f>
        <v/>
      </c>
      <c r="L46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6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66" s="81" t="str">
        <f>IF(ISNUMBER(deployment_raw[[#This Row],[Column20]]), IF(O466&lt;&gt;0,deployment_raw[[#This Row],[Column20]]/IF(OR($E$2="Deployment",deployment_raw[[#This Row],[Column5]]=0),1,deployment_raw[[#This Row],[Column5]])/1048576/O466,0),"")</f>
        <v/>
      </c>
      <c r="O466" s="74" t="str">
        <f>IF(ISNUMBER(deployment_raw[[#This Row],[Column7]]), (deployment_raw[[#This Row],[Column7]] * IF($E$2="Deployment",deployment_raw[[#This Row],[Column5]],1))/1048576,"")</f>
        <v/>
      </c>
      <c r="P466" s="81" t="str">
        <f>IF(ISNUMBER(deployment_raw[[#This Row],[Column20]]), IF(Q466&lt;&gt;0,deployment_raw[[#This Row],[Column20]]/IF(OR($E$2="Deployment",deployment_raw[[#This Row],[Column5]]=0),1,deployment_raw[[#This Row],[Column5]])/1048576/Q466,0),"")</f>
        <v/>
      </c>
      <c r="Q466" s="76" t="str">
        <f>IF(ISNUMBER(deployment_raw[[#This Row],[Column9]]), (deployment_raw[[#This Row],[Column9]] * IF($E$2="Deployment",deployment_raw[[#This Row],[Column5]],1))/1048576,"")</f>
        <v/>
      </c>
      <c r="R466" s="57" t="str">
        <f>IF(ISNUMBER(deployment_raw[[#This Row],[Column10]]), (deployment_raw[[#This Row],[Column10]] * IF($E$2="Deployment",deployment_raw[[#This Row],[Column5]],1)),"")</f>
        <v/>
      </c>
      <c r="S466" s="48" t="str">
        <f>IF(ISNUMBER(deployment_raw[[#This Row],[Column11]]), (deployment_raw[[#This Row],[Column11]] * IF($E$2="Deployment",deployment_raw[[#This Row],[Column5]],1))/1048576,"")</f>
        <v/>
      </c>
      <c r="T466" s="59" t="str">
        <f>IF(ISNUMBER(deployment_raw[[#This Row],[Column8]]),IF(OR(deployment_raw[[#This Row],[Column5]] &lt;&gt; 0,$E$2 &lt;&gt; "Deployment"), MAX(V466, ($T$2 * IF($E$2="Deployment",deployment_raw[[#This Row],[Column5]],1))), 0),"")</f>
        <v/>
      </c>
      <c r="U466" s="50" t="str">
        <f>IF(ISNUMBER(deployment_raw[[#This Row],[Column9]]),IF(OR(deployment_raw[[#This Row],[Column5]] &lt;&gt; 0,$E$2&lt;&gt;"Deployment"), MAX(W466, ($U$2 * IF($E$2="Deployment",deployment_raw[[#This Row],[Column5]],1))), 0),"")</f>
        <v/>
      </c>
      <c r="V466" s="15" t="str">
        <f>IF(ISNUMBER(deployment_raw[[#This Row],[Column12]]), (deployment_raw[[#This Row],[Column12]] * IF($E$2="Deployment",deployment_raw[[#This Row],[Column5]],1)*(1+$V$2)),"")</f>
        <v/>
      </c>
      <c r="W466" s="14" t="str">
        <f>IF(ISNUMBER(deployment_raw[[#This Row],[Column13]]), (deployment_raw[[#This Row],[Column13]] * IF($E$2="Deployment",deployment_raw[[#This Row],[Column5]],1)*(1+$W$2))/1048576,"")</f>
        <v/>
      </c>
    </row>
    <row r="467" spans="1:23" ht="15.75" customHeight="1" x14ac:dyDescent="0.25">
      <c r="A467" s="5" t="str">
        <f>IF(ISNONTEXT(deployment_raw[[#This Row],[Column1]]), "", deployment_raw[[#This Row],[Column1]])</f>
        <v/>
      </c>
      <c r="B467" s="6" t="str">
        <f>IF(ISNONTEXT(deployment_raw[[#This Row],[Column2]]), "", deployment_raw[[#This Row],[Column2]])</f>
        <v/>
      </c>
      <c r="C467" s="6" t="str">
        <f>IF(ISNONTEXT(deployment_raw[[#This Row],[Column3]]), "", deployment_raw[[#This Row],[Column3]])</f>
        <v/>
      </c>
      <c r="D467" s="6" t="str">
        <f>IF(ISNONTEXT(deployment_raw[[#This Row],[Column4]]), "", deployment_raw[[#This Row],[Column4]])</f>
        <v/>
      </c>
      <c r="E467" s="7" t="str">
        <f>IF(ISNUMBER(deployment_raw[[#This Row],[Column5]]), deployment_raw[[#This Row],[Column5]],"")</f>
        <v/>
      </c>
      <c r="F467" s="32" t="str">
        <f>IF(ISNUMBER(deployment_raw[[#This Row],[Column17]]), deployment_raw[[#This Row],[Column17]]/IF(OR($E$2="Deployment",deployment_raw[[#This Row],[Column5]]=0),1,deployment_raw[[#This Row],[Column5]]),"")</f>
        <v/>
      </c>
      <c r="G467" s="42" t="str">
        <f>IF(ISNUMBER(deployment_raw[[#This Row],[Column14]]), deployment_raw[[#This Row],[Column14]]/IF(OR($E$2="Deployment",deployment_raw[[#This Row],[Column5]]=0),1,deployment_raw[[#This Row],[Column5]]),"")</f>
        <v/>
      </c>
      <c r="H467" s="79" t="str">
        <f>IF(ISNUMBER(deployment_raw[[#This Row],[Column19]]), IF(I467&lt;&gt;0,(deployment_raw[[#This Row],[Column19]]/IF(OR($E$2="Deployment",deployment_raw[[#This Row],[Column5]]=0),1,deployment_raw[[#This Row],[Column5]]))/I467,0),"")</f>
        <v/>
      </c>
      <c r="I467" s="69" t="str">
        <f>IF(ISNUMBER(deployment_raw[[#This Row],[Column6]]), (deployment_raw[[#This Row],[Column6]] * IF($E$2="Deployment",deployment_raw[[#This Row],[Column5]],1)),"")</f>
        <v/>
      </c>
      <c r="J467" s="79" t="str">
        <f>IF(ISNUMBER(deployment_raw[[#This Row],[Column19]]), IF(K467&lt;&gt;0,(deployment_raw[[#This Row],[Column19]]/IF(OR($E$2="Deployment",deployment_raw[[#This Row],[Column5]]=0),1,deployment_raw[[#This Row],[Column5]]))/K467,0),"")</f>
        <v/>
      </c>
      <c r="K467" s="72" t="str">
        <f>IF(ISNUMBER(deployment_raw[[#This Row],[Column8]]), (deployment_raw[[#This Row],[Column8]]  * IF($E$2="Deployment",deployment_raw[[#This Row],[Column5]],1)),"")</f>
        <v/>
      </c>
      <c r="L46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6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67" s="81" t="str">
        <f>IF(ISNUMBER(deployment_raw[[#This Row],[Column20]]), IF(O467&lt;&gt;0,deployment_raw[[#This Row],[Column20]]/IF(OR($E$2="Deployment",deployment_raw[[#This Row],[Column5]]=0),1,deployment_raw[[#This Row],[Column5]])/1048576/O467,0),"")</f>
        <v/>
      </c>
      <c r="O467" s="74" t="str">
        <f>IF(ISNUMBER(deployment_raw[[#This Row],[Column7]]), (deployment_raw[[#This Row],[Column7]] * IF($E$2="Deployment",deployment_raw[[#This Row],[Column5]],1))/1048576,"")</f>
        <v/>
      </c>
      <c r="P467" s="81" t="str">
        <f>IF(ISNUMBER(deployment_raw[[#This Row],[Column20]]), IF(Q467&lt;&gt;0,deployment_raw[[#This Row],[Column20]]/IF(OR($E$2="Deployment",deployment_raw[[#This Row],[Column5]]=0),1,deployment_raw[[#This Row],[Column5]])/1048576/Q467,0),"")</f>
        <v/>
      </c>
      <c r="Q467" s="76" t="str">
        <f>IF(ISNUMBER(deployment_raw[[#This Row],[Column9]]), (deployment_raw[[#This Row],[Column9]] * IF($E$2="Deployment",deployment_raw[[#This Row],[Column5]],1))/1048576,"")</f>
        <v/>
      </c>
      <c r="R467" s="57" t="str">
        <f>IF(ISNUMBER(deployment_raw[[#This Row],[Column10]]), (deployment_raw[[#This Row],[Column10]] * IF($E$2="Deployment",deployment_raw[[#This Row],[Column5]],1)),"")</f>
        <v/>
      </c>
      <c r="S467" s="48" t="str">
        <f>IF(ISNUMBER(deployment_raw[[#This Row],[Column11]]), (deployment_raw[[#This Row],[Column11]] * IF($E$2="Deployment",deployment_raw[[#This Row],[Column5]],1))/1048576,"")</f>
        <v/>
      </c>
      <c r="T467" s="59" t="str">
        <f>IF(ISNUMBER(deployment_raw[[#This Row],[Column8]]),IF(OR(deployment_raw[[#This Row],[Column5]] &lt;&gt; 0,$E$2 &lt;&gt; "Deployment"), MAX(V467, ($T$2 * IF($E$2="Deployment",deployment_raw[[#This Row],[Column5]],1))), 0),"")</f>
        <v/>
      </c>
      <c r="U467" s="50" t="str">
        <f>IF(ISNUMBER(deployment_raw[[#This Row],[Column9]]),IF(OR(deployment_raw[[#This Row],[Column5]] &lt;&gt; 0,$E$2&lt;&gt;"Deployment"), MAX(W467, ($U$2 * IF($E$2="Deployment",deployment_raw[[#This Row],[Column5]],1))), 0),"")</f>
        <v/>
      </c>
      <c r="V467" s="15" t="str">
        <f>IF(ISNUMBER(deployment_raw[[#This Row],[Column12]]), (deployment_raw[[#This Row],[Column12]] * IF($E$2="Deployment",deployment_raw[[#This Row],[Column5]],1)*(1+$V$2)),"")</f>
        <v/>
      </c>
      <c r="W467" s="14" t="str">
        <f>IF(ISNUMBER(deployment_raw[[#This Row],[Column13]]), (deployment_raw[[#This Row],[Column13]] * IF($E$2="Deployment",deployment_raw[[#This Row],[Column5]],1)*(1+$W$2))/1048576,"")</f>
        <v/>
      </c>
    </row>
    <row r="468" spans="1:23" ht="15.75" customHeight="1" x14ac:dyDescent="0.25">
      <c r="A468" s="5" t="str">
        <f>IF(ISNONTEXT(deployment_raw[[#This Row],[Column1]]), "", deployment_raw[[#This Row],[Column1]])</f>
        <v/>
      </c>
      <c r="B468" s="6" t="str">
        <f>IF(ISNONTEXT(deployment_raw[[#This Row],[Column2]]), "", deployment_raw[[#This Row],[Column2]])</f>
        <v/>
      </c>
      <c r="C468" s="6" t="str">
        <f>IF(ISNONTEXT(deployment_raw[[#This Row],[Column3]]), "", deployment_raw[[#This Row],[Column3]])</f>
        <v/>
      </c>
      <c r="D468" s="6" t="str">
        <f>IF(ISNONTEXT(deployment_raw[[#This Row],[Column4]]), "", deployment_raw[[#This Row],[Column4]])</f>
        <v/>
      </c>
      <c r="E468" s="7" t="str">
        <f>IF(ISNUMBER(deployment_raw[[#This Row],[Column5]]), deployment_raw[[#This Row],[Column5]],"")</f>
        <v/>
      </c>
      <c r="F468" s="32" t="str">
        <f>IF(ISNUMBER(deployment_raw[[#This Row],[Column17]]), deployment_raw[[#This Row],[Column17]]/IF(OR($E$2="Deployment",deployment_raw[[#This Row],[Column5]]=0),1,deployment_raw[[#This Row],[Column5]]),"")</f>
        <v/>
      </c>
      <c r="G468" s="42" t="str">
        <f>IF(ISNUMBER(deployment_raw[[#This Row],[Column14]]), deployment_raw[[#This Row],[Column14]]/IF(OR($E$2="Deployment",deployment_raw[[#This Row],[Column5]]=0),1,deployment_raw[[#This Row],[Column5]]),"")</f>
        <v/>
      </c>
      <c r="H468" s="79" t="str">
        <f>IF(ISNUMBER(deployment_raw[[#This Row],[Column19]]), IF(I468&lt;&gt;0,(deployment_raw[[#This Row],[Column19]]/IF(OR($E$2="Deployment",deployment_raw[[#This Row],[Column5]]=0),1,deployment_raw[[#This Row],[Column5]]))/I468,0),"")</f>
        <v/>
      </c>
      <c r="I468" s="69" t="str">
        <f>IF(ISNUMBER(deployment_raw[[#This Row],[Column6]]), (deployment_raw[[#This Row],[Column6]] * IF($E$2="Deployment",deployment_raw[[#This Row],[Column5]],1)),"")</f>
        <v/>
      </c>
      <c r="J468" s="79" t="str">
        <f>IF(ISNUMBER(deployment_raw[[#This Row],[Column19]]), IF(K468&lt;&gt;0,(deployment_raw[[#This Row],[Column19]]/IF(OR($E$2="Deployment",deployment_raw[[#This Row],[Column5]]=0),1,deployment_raw[[#This Row],[Column5]]))/K468,0),"")</f>
        <v/>
      </c>
      <c r="K468" s="72" t="str">
        <f>IF(ISNUMBER(deployment_raw[[#This Row],[Column8]]), (deployment_raw[[#This Row],[Column8]]  * IF($E$2="Deployment",deployment_raw[[#This Row],[Column5]],1)),"")</f>
        <v/>
      </c>
      <c r="L46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6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68" s="81" t="str">
        <f>IF(ISNUMBER(deployment_raw[[#This Row],[Column20]]), IF(O468&lt;&gt;0,deployment_raw[[#This Row],[Column20]]/IF(OR($E$2="Deployment",deployment_raw[[#This Row],[Column5]]=0),1,deployment_raw[[#This Row],[Column5]])/1048576/O468,0),"")</f>
        <v/>
      </c>
      <c r="O468" s="74" t="str">
        <f>IF(ISNUMBER(deployment_raw[[#This Row],[Column7]]), (deployment_raw[[#This Row],[Column7]] * IF($E$2="Deployment",deployment_raw[[#This Row],[Column5]],1))/1048576,"")</f>
        <v/>
      </c>
      <c r="P468" s="81" t="str">
        <f>IF(ISNUMBER(deployment_raw[[#This Row],[Column20]]), IF(Q468&lt;&gt;0,deployment_raw[[#This Row],[Column20]]/IF(OR($E$2="Deployment",deployment_raw[[#This Row],[Column5]]=0),1,deployment_raw[[#This Row],[Column5]])/1048576/Q468,0),"")</f>
        <v/>
      </c>
      <c r="Q468" s="76" t="str">
        <f>IF(ISNUMBER(deployment_raw[[#This Row],[Column9]]), (deployment_raw[[#This Row],[Column9]] * IF($E$2="Deployment",deployment_raw[[#This Row],[Column5]],1))/1048576,"")</f>
        <v/>
      </c>
      <c r="R468" s="57" t="str">
        <f>IF(ISNUMBER(deployment_raw[[#This Row],[Column10]]), (deployment_raw[[#This Row],[Column10]] * IF($E$2="Deployment",deployment_raw[[#This Row],[Column5]],1)),"")</f>
        <v/>
      </c>
      <c r="S468" s="48" t="str">
        <f>IF(ISNUMBER(deployment_raw[[#This Row],[Column11]]), (deployment_raw[[#This Row],[Column11]] * IF($E$2="Deployment",deployment_raw[[#This Row],[Column5]],1))/1048576,"")</f>
        <v/>
      </c>
      <c r="T468" s="59" t="str">
        <f>IF(ISNUMBER(deployment_raw[[#This Row],[Column8]]),IF(OR(deployment_raw[[#This Row],[Column5]] &lt;&gt; 0,$E$2 &lt;&gt; "Deployment"), MAX(V468, ($T$2 * IF($E$2="Deployment",deployment_raw[[#This Row],[Column5]],1))), 0),"")</f>
        <v/>
      </c>
      <c r="U468" s="50" t="str">
        <f>IF(ISNUMBER(deployment_raw[[#This Row],[Column9]]),IF(OR(deployment_raw[[#This Row],[Column5]] &lt;&gt; 0,$E$2&lt;&gt;"Deployment"), MAX(W468, ($U$2 * IF($E$2="Deployment",deployment_raw[[#This Row],[Column5]],1))), 0),"")</f>
        <v/>
      </c>
      <c r="V468" s="15" t="str">
        <f>IF(ISNUMBER(deployment_raw[[#This Row],[Column12]]), (deployment_raw[[#This Row],[Column12]] * IF($E$2="Deployment",deployment_raw[[#This Row],[Column5]],1)*(1+$V$2)),"")</f>
        <v/>
      </c>
      <c r="W468" s="14" t="str">
        <f>IF(ISNUMBER(deployment_raw[[#This Row],[Column13]]), (deployment_raw[[#This Row],[Column13]] * IF($E$2="Deployment",deployment_raw[[#This Row],[Column5]],1)*(1+$W$2))/1048576,"")</f>
        <v/>
      </c>
    </row>
    <row r="469" spans="1:23" ht="15.75" customHeight="1" x14ac:dyDescent="0.25">
      <c r="A469" s="5" t="str">
        <f>IF(ISNONTEXT(deployment_raw[[#This Row],[Column1]]), "", deployment_raw[[#This Row],[Column1]])</f>
        <v/>
      </c>
      <c r="B469" s="6" t="str">
        <f>IF(ISNONTEXT(deployment_raw[[#This Row],[Column2]]), "", deployment_raw[[#This Row],[Column2]])</f>
        <v/>
      </c>
      <c r="C469" s="6" t="str">
        <f>IF(ISNONTEXT(deployment_raw[[#This Row],[Column3]]), "", deployment_raw[[#This Row],[Column3]])</f>
        <v/>
      </c>
      <c r="D469" s="6" t="str">
        <f>IF(ISNONTEXT(deployment_raw[[#This Row],[Column4]]), "", deployment_raw[[#This Row],[Column4]])</f>
        <v/>
      </c>
      <c r="E469" s="7" t="str">
        <f>IF(ISNUMBER(deployment_raw[[#This Row],[Column5]]), deployment_raw[[#This Row],[Column5]],"")</f>
        <v/>
      </c>
      <c r="F469" s="32" t="str">
        <f>IF(ISNUMBER(deployment_raw[[#This Row],[Column17]]), deployment_raw[[#This Row],[Column17]]/IF(OR($E$2="Deployment",deployment_raw[[#This Row],[Column5]]=0),1,deployment_raw[[#This Row],[Column5]]),"")</f>
        <v/>
      </c>
      <c r="G469" s="42" t="str">
        <f>IF(ISNUMBER(deployment_raw[[#This Row],[Column14]]), deployment_raw[[#This Row],[Column14]]/IF(OR($E$2="Deployment",deployment_raw[[#This Row],[Column5]]=0),1,deployment_raw[[#This Row],[Column5]]),"")</f>
        <v/>
      </c>
      <c r="H469" s="79" t="str">
        <f>IF(ISNUMBER(deployment_raw[[#This Row],[Column19]]), IF(I469&lt;&gt;0,(deployment_raw[[#This Row],[Column19]]/IF(OR($E$2="Deployment",deployment_raw[[#This Row],[Column5]]=0),1,deployment_raw[[#This Row],[Column5]]))/I469,0),"")</f>
        <v/>
      </c>
      <c r="I469" s="69" t="str">
        <f>IF(ISNUMBER(deployment_raw[[#This Row],[Column6]]), (deployment_raw[[#This Row],[Column6]] * IF($E$2="Deployment",deployment_raw[[#This Row],[Column5]],1)),"")</f>
        <v/>
      </c>
      <c r="J469" s="79" t="str">
        <f>IF(ISNUMBER(deployment_raw[[#This Row],[Column19]]), IF(K469&lt;&gt;0,(deployment_raw[[#This Row],[Column19]]/IF(OR($E$2="Deployment",deployment_raw[[#This Row],[Column5]]=0),1,deployment_raw[[#This Row],[Column5]]))/K469,0),"")</f>
        <v/>
      </c>
      <c r="K469" s="72" t="str">
        <f>IF(ISNUMBER(deployment_raw[[#This Row],[Column8]]), (deployment_raw[[#This Row],[Column8]]  * IF($E$2="Deployment",deployment_raw[[#This Row],[Column5]],1)),"")</f>
        <v/>
      </c>
      <c r="L46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6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69" s="81" t="str">
        <f>IF(ISNUMBER(deployment_raw[[#This Row],[Column20]]), IF(O469&lt;&gt;0,deployment_raw[[#This Row],[Column20]]/IF(OR($E$2="Deployment",deployment_raw[[#This Row],[Column5]]=0),1,deployment_raw[[#This Row],[Column5]])/1048576/O469,0),"")</f>
        <v/>
      </c>
      <c r="O469" s="74" t="str">
        <f>IF(ISNUMBER(deployment_raw[[#This Row],[Column7]]), (deployment_raw[[#This Row],[Column7]] * IF($E$2="Deployment",deployment_raw[[#This Row],[Column5]],1))/1048576,"")</f>
        <v/>
      </c>
      <c r="P469" s="81" t="str">
        <f>IF(ISNUMBER(deployment_raw[[#This Row],[Column20]]), IF(Q469&lt;&gt;0,deployment_raw[[#This Row],[Column20]]/IF(OR($E$2="Deployment",deployment_raw[[#This Row],[Column5]]=0),1,deployment_raw[[#This Row],[Column5]])/1048576/Q469,0),"")</f>
        <v/>
      </c>
      <c r="Q469" s="76" t="str">
        <f>IF(ISNUMBER(deployment_raw[[#This Row],[Column9]]), (deployment_raw[[#This Row],[Column9]] * IF($E$2="Deployment",deployment_raw[[#This Row],[Column5]],1))/1048576,"")</f>
        <v/>
      </c>
      <c r="R469" s="57" t="str">
        <f>IF(ISNUMBER(deployment_raw[[#This Row],[Column10]]), (deployment_raw[[#This Row],[Column10]] * IF($E$2="Deployment",deployment_raw[[#This Row],[Column5]],1)),"")</f>
        <v/>
      </c>
      <c r="S469" s="48" t="str">
        <f>IF(ISNUMBER(deployment_raw[[#This Row],[Column11]]), (deployment_raw[[#This Row],[Column11]] * IF($E$2="Deployment",deployment_raw[[#This Row],[Column5]],1))/1048576,"")</f>
        <v/>
      </c>
      <c r="T469" s="59" t="str">
        <f>IF(ISNUMBER(deployment_raw[[#This Row],[Column8]]),IF(OR(deployment_raw[[#This Row],[Column5]] &lt;&gt; 0,$E$2 &lt;&gt; "Deployment"), MAX(V469, ($T$2 * IF($E$2="Deployment",deployment_raw[[#This Row],[Column5]],1))), 0),"")</f>
        <v/>
      </c>
      <c r="U469" s="50" t="str">
        <f>IF(ISNUMBER(deployment_raw[[#This Row],[Column9]]),IF(OR(deployment_raw[[#This Row],[Column5]] &lt;&gt; 0,$E$2&lt;&gt;"Deployment"), MAX(W469, ($U$2 * IF($E$2="Deployment",deployment_raw[[#This Row],[Column5]],1))), 0),"")</f>
        <v/>
      </c>
      <c r="V469" s="15" t="str">
        <f>IF(ISNUMBER(deployment_raw[[#This Row],[Column12]]), (deployment_raw[[#This Row],[Column12]] * IF($E$2="Deployment",deployment_raw[[#This Row],[Column5]],1)*(1+$V$2)),"")</f>
        <v/>
      </c>
      <c r="W469" s="14" t="str">
        <f>IF(ISNUMBER(deployment_raw[[#This Row],[Column13]]), (deployment_raw[[#This Row],[Column13]] * IF($E$2="Deployment",deployment_raw[[#This Row],[Column5]],1)*(1+$W$2))/1048576,"")</f>
        <v/>
      </c>
    </row>
    <row r="470" spans="1:23" ht="15.75" customHeight="1" x14ac:dyDescent="0.25">
      <c r="A470" s="5" t="str">
        <f>IF(ISNONTEXT(deployment_raw[[#This Row],[Column1]]), "", deployment_raw[[#This Row],[Column1]])</f>
        <v/>
      </c>
      <c r="B470" s="6" t="str">
        <f>IF(ISNONTEXT(deployment_raw[[#This Row],[Column2]]), "", deployment_raw[[#This Row],[Column2]])</f>
        <v/>
      </c>
      <c r="C470" s="6" t="str">
        <f>IF(ISNONTEXT(deployment_raw[[#This Row],[Column3]]), "", deployment_raw[[#This Row],[Column3]])</f>
        <v/>
      </c>
      <c r="D470" s="6" t="str">
        <f>IF(ISNONTEXT(deployment_raw[[#This Row],[Column4]]), "", deployment_raw[[#This Row],[Column4]])</f>
        <v/>
      </c>
      <c r="E470" s="7" t="str">
        <f>IF(ISNUMBER(deployment_raw[[#This Row],[Column5]]), deployment_raw[[#This Row],[Column5]],"")</f>
        <v/>
      </c>
      <c r="F470" s="32" t="str">
        <f>IF(ISNUMBER(deployment_raw[[#This Row],[Column17]]), deployment_raw[[#This Row],[Column17]]/IF(OR($E$2="Deployment",deployment_raw[[#This Row],[Column5]]=0),1,deployment_raw[[#This Row],[Column5]]),"")</f>
        <v/>
      </c>
      <c r="G470" s="42" t="str">
        <f>IF(ISNUMBER(deployment_raw[[#This Row],[Column14]]), deployment_raw[[#This Row],[Column14]]/IF(OR($E$2="Deployment",deployment_raw[[#This Row],[Column5]]=0),1,deployment_raw[[#This Row],[Column5]]),"")</f>
        <v/>
      </c>
      <c r="H470" s="79" t="str">
        <f>IF(ISNUMBER(deployment_raw[[#This Row],[Column19]]), IF(I470&lt;&gt;0,(deployment_raw[[#This Row],[Column19]]/IF(OR($E$2="Deployment",deployment_raw[[#This Row],[Column5]]=0),1,deployment_raw[[#This Row],[Column5]]))/I470,0),"")</f>
        <v/>
      </c>
      <c r="I470" s="69" t="str">
        <f>IF(ISNUMBER(deployment_raw[[#This Row],[Column6]]), (deployment_raw[[#This Row],[Column6]] * IF($E$2="Deployment",deployment_raw[[#This Row],[Column5]],1)),"")</f>
        <v/>
      </c>
      <c r="J470" s="79" t="str">
        <f>IF(ISNUMBER(deployment_raw[[#This Row],[Column19]]), IF(K470&lt;&gt;0,(deployment_raw[[#This Row],[Column19]]/IF(OR($E$2="Deployment",deployment_raw[[#This Row],[Column5]]=0),1,deployment_raw[[#This Row],[Column5]]))/K470,0),"")</f>
        <v/>
      </c>
      <c r="K470" s="72" t="str">
        <f>IF(ISNUMBER(deployment_raw[[#This Row],[Column8]]), (deployment_raw[[#This Row],[Column8]]  * IF($E$2="Deployment",deployment_raw[[#This Row],[Column5]],1)),"")</f>
        <v/>
      </c>
      <c r="L47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7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70" s="81" t="str">
        <f>IF(ISNUMBER(deployment_raw[[#This Row],[Column20]]), IF(O470&lt;&gt;0,deployment_raw[[#This Row],[Column20]]/IF(OR($E$2="Deployment",deployment_raw[[#This Row],[Column5]]=0),1,deployment_raw[[#This Row],[Column5]])/1048576/O470,0),"")</f>
        <v/>
      </c>
      <c r="O470" s="74" t="str">
        <f>IF(ISNUMBER(deployment_raw[[#This Row],[Column7]]), (deployment_raw[[#This Row],[Column7]] * IF($E$2="Deployment",deployment_raw[[#This Row],[Column5]],1))/1048576,"")</f>
        <v/>
      </c>
      <c r="P470" s="81" t="str">
        <f>IF(ISNUMBER(deployment_raw[[#This Row],[Column20]]), IF(Q470&lt;&gt;0,deployment_raw[[#This Row],[Column20]]/IF(OR($E$2="Deployment",deployment_raw[[#This Row],[Column5]]=0),1,deployment_raw[[#This Row],[Column5]])/1048576/Q470,0),"")</f>
        <v/>
      </c>
      <c r="Q470" s="76" t="str">
        <f>IF(ISNUMBER(deployment_raw[[#This Row],[Column9]]), (deployment_raw[[#This Row],[Column9]] * IF($E$2="Deployment",deployment_raw[[#This Row],[Column5]],1))/1048576,"")</f>
        <v/>
      </c>
      <c r="R470" s="57" t="str">
        <f>IF(ISNUMBER(deployment_raw[[#This Row],[Column10]]), (deployment_raw[[#This Row],[Column10]] * IF($E$2="Deployment",deployment_raw[[#This Row],[Column5]],1)),"")</f>
        <v/>
      </c>
      <c r="S470" s="48" t="str">
        <f>IF(ISNUMBER(deployment_raw[[#This Row],[Column11]]), (deployment_raw[[#This Row],[Column11]] * IF($E$2="Deployment",deployment_raw[[#This Row],[Column5]],1))/1048576,"")</f>
        <v/>
      </c>
      <c r="T470" s="59" t="str">
        <f>IF(ISNUMBER(deployment_raw[[#This Row],[Column8]]),IF(OR(deployment_raw[[#This Row],[Column5]] &lt;&gt; 0,$E$2 &lt;&gt; "Deployment"), MAX(V470, ($T$2 * IF($E$2="Deployment",deployment_raw[[#This Row],[Column5]],1))), 0),"")</f>
        <v/>
      </c>
      <c r="U470" s="50" t="str">
        <f>IF(ISNUMBER(deployment_raw[[#This Row],[Column9]]),IF(OR(deployment_raw[[#This Row],[Column5]] &lt;&gt; 0,$E$2&lt;&gt;"Deployment"), MAX(W470, ($U$2 * IF($E$2="Deployment",deployment_raw[[#This Row],[Column5]],1))), 0),"")</f>
        <v/>
      </c>
      <c r="V470" s="15" t="str">
        <f>IF(ISNUMBER(deployment_raw[[#This Row],[Column12]]), (deployment_raw[[#This Row],[Column12]] * IF($E$2="Deployment",deployment_raw[[#This Row],[Column5]],1)*(1+$V$2)),"")</f>
        <v/>
      </c>
      <c r="W470" s="14" t="str">
        <f>IF(ISNUMBER(deployment_raw[[#This Row],[Column13]]), (deployment_raw[[#This Row],[Column13]] * IF($E$2="Deployment",deployment_raw[[#This Row],[Column5]],1)*(1+$W$2))/1048576,"")</f>
        <v/>
      </c>
    </row>
    <row r="471" spans="1:23" ht="15.75" customHeight="1" x14ac:dyDescent="0.25">
      <c r="A471" s="5" t="str">
        <f>IF(ISNONTEXT(deployment_raw[[#This Row],[Column1]]), "", deployment_raw[[#This Row],[Column1]])</f>
        <v/>
      </c>
      <c r="B471" s="6" t="str">
        <f>IF(ISNONTEXT(deployment_raw[[#This Row],[Column2]]), "", deployment_raw[[#This Row],[Column2]])</f>
        <v/>
      </c>
      <c r="C471" s="6" t="str">
        <f>IF(ISNONTEXT(deployment_raw[[#This Row],[Column3]]), "", deployment_raw[[#This Row],[Column3]])</f>
        <v/>
      </c>
      <c r="D471" s="6" t="str">
        <f>IF(ISNONTEXT(deployment_raw[[#This Row],[Column4]]), "", deployment_raw[[#This Row],[Column4]])</f>
        <v/>
      </c>
      <c r="E471" s="7" t="str">
        <f>IF(ISNUMBER(deployment_raw[[#This Row],[Column5]]), deployment_raw[[#This Row],[Column5]],"")</f>
        <v/>
      </c>
      <c r="F471" s="32" t="str">
        <f>IF(ISNUMBER(deployment_raw[[#This Row],[Column17]]), deployment_raw[[#This Row],[Column17]]/IF(OR($E$2="Deployment",deployment_raw[[#This Row],[Column5]]=0),1,deployment_raw[[#This Row],[Column5]]),"")</f>
        <v/>
      </c>
      <c r="G471" s="42" t="str">
        <f>IF(ISNUMBER(deployment_raw[[#This Row],[Column14]]), deployment_raw[[#This Row],[Column14]]/IF(OR($E$2="Deployment",deployment_raw[[#This Row],[Column5]]=0),1,deployment_raw[[#This Row],[Column5]]),"")</f>
        <v/>
      </c>
      <c r="H471" s="79" t="str">
        <f>IF(ISNUMBER(deployment_raw[[#This Row],[Column19]]), IF(I471&lt;&gt;0,(deployment_raw[[#This Row],[Column19]]/IF(OR($E$2="Deployment",deployment_raw[[#This Row],[Column5]]=0),1,deployment_raw[[#This Row],[Column5]]))/I471,0),"")</f>
        <v/>
      </c>
      <c r="I471" s="69" t="str">
        <f>IF(ISNUMBER(deployment_raw[[#This Row],[Column6]]), (deployment_raw[[#This Row],[Column6]] * IF($E$2="Deployment",deployment_raw[[#This Row],[Column5]],1)),"")</f>
        <v/>
      </c>
      <c r="J471" s="79" t="str">
        <f>IF(ISNUMBER(deployment_raw[[#This Row],[Column19]]), IF(K471&lt;&gt;0,(deployment_raw[[#This Row],[Column19]]/IF(OR($E$2="Deployment",deployment_raw[[#This Row],[Column5]]=0),1,deployment_raw[[#This Row],[Column5]]))/K471,0),"")</f>
        <v/>
      </c>
      <c r="K471" s="72" t="str">
        <f>IF(ISNUMBER(deployment_raw[[#This Row],[Column8]]), (deployment_raw[[#This Row],[Column8]]  * IF($E$2="Deployment",deployment_raw[[#This Row],[Column5]],1)),"")</f>
        <v/>
      </c>
      <c r="L47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7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71" s="81" t="str">
        <f>IF(ISNUMBER(deployment_raw[[#This Row],[Column20]]), IF(O471&lt;&gt;0,deployment_raw[[#This Row],[Column20]]/IF(OR($E$2="Deployment",deployment_raw[[#This Row],[Column5]]=0),1,deployment_raw[[#This Row],[Column5]])/1048576/O471,0),"")</f>
        <v/>
      </c>
      <c r="O471" s="74" t="str">
        <f>IF(ISNUMBER(deployment_raw[[#This Row],[Column7]]), (deployment_raw[[#This Row],[Column7]] * IF($E$2="Deployment",deployment_raw[[#This Row],[Column5]],1))/1048576,"")</f>
        <v/>
      </c>
      <c r="P471" s="81" t="str">
        <f>IF(ISNUMBER(deployment_raw[[#This Row],[Column20]]), IF(Q471&lt;&gt;0,deployment_raw[[#This Row],[Column20]]/IF(OR($E$2="Deployment",deployment_raw[[#This Row],[Column5]]=0),1,deployment_raw[[#This Row],[Column5]])/1048576/Q471,0),"")</f>
        <v/>
      </c>
      <c r="Q471" s="76" t="str">
        <f>IF(ISNUMBER(deployment_raw[[#This Row],[Column9]]), (deployment_raw[[#This Row],[Column9]] * IF($E$2="Deployment",deployment_raw[[#This Row],[Column5]],1))/1048576,"")</f>
        <v/>
      </c>
      <c r="R471" s="57" t="str">
        <f>IF(ISNUMBER(deployment_raw[[#This Row],[Column10]]), (deployment_raw[[#This Row],[Column10]] * IF($E$2="Deployment",deployment_raw[[#This Row],[Column5]],1)),"")</f>
        <v/>
      </c>
      <c r="S471" s="48" t="str">
        <f>IF(ISNUMBER(deployment_raw[[#This Row],[Column11]]), (deployment_raw[[#This Row],[Column11]] * IF($E$2="Deployment",deployment_raw[[#This Row],[Column5]],1))/1048576,"")</f>
        <v/>
      </c>
      <c r="T471" s="59" t="str">
        <f>IF(ISNUMBER(deployment_raw[[#This Row],[Column8]]),IF(OR(deployment_raw[[#This Row],[Column5]] &lt;&gt; 0,$E$2 &lt;&gt; "Deployment"), MAX(V471, ($T$2 * IF($E$2="Deployment",deployment_raw[[#This Row],[Column5]],1))), 0),"")</f>
        <v/>
      </c>
      <c r="U471" s="50" t="str">
        <f>IF(ISNUMBER(deployment_raw[[#This Row],[Column9]]),IF(OR(deployment_raw[[#This Row],[Column5]] &lt;&gt; 0,$E$2&lt;&gt;"Deployment"), MAX(W471, ($U$2 * IF($E$2="Deployment",deployment_raw[[#This Row],[Column5]],1))), 0),"")</f>
        <v/>
      </c>
      <c r="V471" s="15" t="str">
        <f>IF(ISNUMBER(deployment_raw[[#This Row],[Column12]]), (deployment_raw[[#This Row],[Column12]] * IF($E$2="Deployment",deployment_raw[[#This Row],[Column5]],1)*(1+$V$2)),"")</f>
        <v/>
      </c>
      <c r="W471" s="14" t="str">
        <f>IF(ISNUMBER(deployment_raw[[#This Row],[Column13]]), (deployment_raw[[#This Row],[Column13]] * IF($E$2="Deployment",deployment_raw[[#This Row],[Column5]],1)*(1+$W$2))/1048576,"")</f>
        <v/>
      </c>
    </row>
    <row r="472" spans="1:23" ht="15.75" customHeight="1" x14ac:dyDescent="0.25">
      <c r="A472" s="5" t="str">
        <f>IF(ISNONTEXT(deployment_raw[[#This Row],[Column1]]), "", deployment_raw[[#This Row],[Column1]])</f>
        <v/>
      </c>
      <c r="B472" s="6" t="str">
        <f>IF(ISNONTEXT(deployment_raw[[#This Row],[Column2]]), "", deployment_raw[[#This Row],[Column2]])</f>
        <v/>
      </c>
      <c r="C472" s="6" t="str">
        <f>IF(ISNONTEXT(deployment_raw[[#This Row],[Column3]]), "", deployment_raw[[#This Row],[Column3]])</f>
        <v/>
      </c>
      <c r="D472" s="6" t="str">
        <f>IF(ISNONTEXT(deployment_raw[[#This Row],[Column4]]), "", deployment_raw[[#This Row],[Column4]])</f>
        <v/>
      </c>
      <c r="E472" s="7" t="str">
        <f>IF(ISNUMBER(deployment_raw[[#This Row],[Column5]]), deployment_raw[[#This Row],[Column5]],"")</f>
        <v/>
      </c>
      <c r="F472" s="32" t="str">
        <f>IF(ISNUMBER(deployment_raw[[#This Row],[Column17]]), deployment_raw[[#This Row],[Column17]]/IF(OR($E$2="Deployment",deployment_raw[[#This Row],[Column5]]=0),1,deployment_raw[[#This Row],[Column5]]),"")</f>
        <v/>
      </c>
      <c r="G472" s="42" t="str">
        <f>IF(ISNUMBER(deployment_raw[[#This Row],[Column14]]), deployment_raw[[#This Row],[Column14]]/IF(OR($E$2="Deployment",deployment_raw[[#This Row],[Column5]]=0),1,deployment_raw[[#This Row],[Column5]]),"")</f>
        <v/>
      </c>
      <c r="H472" s="79" t="str">
        <f>IF(ISNUMBER(deployment_raw[[#This Row],[Column19]]), IF(I472&lt;&gt;0,(deployment_raw[[#This Row],[Column19]]/IF(OR($E$2="Deployment",deployment_raw[[#This Row],[Column5]]=0),1,deployment_raw[[#This Row],[Column5]]))/I472,0),"")</f>
        <v/>
      </c>
      <c r="I472" s="69" t="str">
        <f>IF(ISNUMBER(deployment_raw[[#This Row],[Column6]]), (deployment_raw[[#This Row],[Column6]] * IF($E$2="Deployment",deployment_raw[[#This Row],[Column5]],1)),"")</f>
        <v/>
      </c>
      <c r="J472" s="79" t="str">
        <f>IF(ISNUMBER(deployment_raw[[#This Row],[Column19]]), IF(K472&lt;&gt;0,(deployment_raw[[#This Row],[Column19]]/IF(OR($E$2="Deployment",deployment_raw[[#This Row],[Column5]]=0),1,deployment_raw[[#This Row],[Column5]]))/K472,0),"")</f>
        <v/>
      </c>
      <c r="K472" s="72" t="str">
        <f>IF(ISNUMBER(deployment_raw[[#This Row],[Column8]]), (deployment_raw[[#This Row],[Column8]]  * IF($E$2="Deployment",deployment_raw[[#This Row],[Column5]],1)),"")</f>
        <v/>
      </c>
      <c r="L47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7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72" s="81" t="str">
        <f>IF(ISNUMBER(deployment_raw[[#This Row],[Column20]]), IF(O472&lt;&gt;0,deployment_raw[[#This Row],[Column20]]/IF(OR($E$2="Deployment",deployment_raw[[#This Row],[Column5]]=0),1,deployment_raw[[#This Row],[Column5]])/1048576/O472,0),"")</f>
        <v/>
      </c>
      <c r="O472" s="74" t="str">
        <f>IF(ISNUMBER(deployment_raw[[#This Row],[Column7]]), (deployment_raw[[#This Row],[Column7]] * IF($E$2="Deployment",deployment_raw[[#This Row],[Column5]],1))/1048576,"")</f>
        <v/>
      </c>
      <c r="P472" s="81" t="str">
        <f>IF(ISNUMBER(deployment_raw[[#This Row],[Column20]]), IF(Q472&lt;&gt;0,deployment_raw[[#This Row],[Column20]]/IF(OR($E$2="Deployment",deployment_raw[[#This Row],[Column5]]=0),1,deployment_raw[[#This Row],[Column5]])/1048576/Q472,0),"")</f>
        <v/>
      </c>
      <c r="Q472" s="76" t="str">
        <f>IF(ISNUMBER(deployment_raw[[#This Row],[Column9]]), (deployment_raw[[#This Row],[Column9]] * IF($E$2="Deployment",deployment_raw[[#This Row],[Column5]],1))/1048576,"")</f>
        <v/>
      </c>
      <c r="R472" s="57" t="str">
        <f>IF(ISNUMBER(deployment_raw[[#This Row],[Column10]]), (deployment_raw[[#This Row],[Column10]] * IF($E$2="Deployment",deployment_raw[[#This Row],[Column5]],1)),"")</f>
        <v/>
      </c>
      <c r="S472" s="48" t="str">
        <f>IF(ISNUMBER(deployment_raw[[#This Row],[Column11]]), (deployment_raw[[#This Row],[Column11]] * IF($E$2="Deployment",deployment_raw[[#This Row],[Column5]],1))/1048576,"")</f>
        <v/>
      </c>
      <c r="T472" s="59" t="str">
        <f>IF(ISNUMBER(deployment_raw[[#This Row],[Column8]]),IF(OR(deployment_raw[[#This Row],[Column5]] &lt;&gt; 0,$E$2 &lt;&gt; "Deployment"), MAX(V472, ($T$2 * IF($E$2="Deployment",deployment_raw[[#This Row],[Column5]],1))), 0),"")</f>
        <v/>
      </c>
      <c r="U472" s="50" t="str">
        <f>IF(ISNUMBER(deployment_raw[[#This Row],[Column9]]),IF(OR(deployment_raw[[#This Row],[Column5]] &lt;&gt; 0,$E$2&lt;&gt;"Deployment"), MAX(W472, ($U$2 * IF($E$2="Deployment",deployment_raw[[#This Row],[Column5]],1))), 0),"")</f>
        <v/>
      </c>
      <c r="V472" s="15" t="str">
        <f>IF(ISNUMBER(deployment_raw[[#This Row],[Column12]]), (deployment_raw[[#This Row],[Column12]] * IF($E$2="Deployment",deployment_raw[[#This Row],[Column5]],1)*(1+$V$2)),"")</f>
        <v/>
      </c>
      <c r="W472" s="14" t="str">
        <f>IF(ISNUMBER(deployment_raw[[#This Row],[Column13]]), (deployment_raw[[#This Row],[Column13]] * IF($E$2="Deployment",deployment_raw[[#This Row],[Column5]],1)*(1+$W$2))/1048576,"")</f>
        <v/>
      </c>
    </row>
    <row r="473" spans="1:23" ht="15.75" customHeight="1" x14ac:dyDescent="0.25">
      <c r="A473" s="5" t="str">
        <f>IF(ISNONTEXT(deployment_raw[[#This Row],[Column1]]), "", deployment_raw[[#This Row],[Column1]])</f>
        <v/>
      </c>
      <c r="B473" s="6" t="str">
        <f>IF(ISNONTEXT(deployment_raw[[#This Row],[Column2]]), "", deployment_raw[[#This Row],[Column2]])</f>
        <v/>
      </c>
      <c r="C473" s="6" t="str">
        <f>IF(ISNONTEXT(deployment_raw[[#This Row],[Column3]]), "", deployment_raw[[#This Row],[Column3]])</f>
        <v/>
      </c>
      <c r="D473" s="6" t="str">
        <f>IF(ISNONTEXT(deployment_raw[[#This Row],[Column4]]), "", deployment_raw[[#This Row],[Column4]])</f>
        <v/>
      </c>
      <c r="E473" s="7" t="str">
        <f>IF(ISNUMBER(deployment_raw[[#This Row],[Column5]]), deployment_raw[[#This Row],[Column5]],"")</f>
        <v/>
      </c>
      <c r="F473" s="32" t="str">
        <f>IF(ISNUMBER(deployment_raw[[#This Row],[Column17]]), deployment_raw[[#This Row],[Column17]]/IF(OR($E$2="Deployment",deployment_raw[[#This Row],[Column5]]=0),1,deployment_raw[[#This Row],[Column5]]),"")</f>
        <v/>
      </c>
      <c r="G473" s="42" t="str">
        <f>IF(ISNUMBER(deployment_raw[[#This Row],[Column14]]), deployment_raw[[#This Row],[Column14]]/IF(OR($E$2="Deployment",deployment_raw[[#This Row],[Column5]]=0),1,deployment_raw[[#This Row],[Column5]]),"")</f>
        <v/>
      </c>
      <c r="H473" s="79" t="str">
        <f>IF(ISNUMBER(deployment_raw[[#This Row],[Column19]]), IF(I473&lt;&gt;0,(deployment_raw[[#This Row],[Column19]]/IF(OR($E$2="Deployment",deployment_raw[[#This Row],[Column5]]=0),1,deployment_raw[[#This Row],[Column5]]))/I473,0),"")</f>
        <v/>
      </c>
      <c r="I473" s="69" t="str">
        <f>IF(ISNUMBER(deployment_raw[[#This Row],[Column6]]), (deployment_raw[[#This Row],[Column6]] * IF($E$2="Deployment",deployment_raw[[#This Row],[Column5]],1)),"")</f>
        <v/>
      </c>
      <c r="J473" s="79" t="str">
        <f>IF(ISNUMBER(deployment_raw[[#This Row],[Column19]]), IF(K473&lt;&gt;0,(deployment_raw[[#This Row],[Column19]]/IF(OR($E$2="Deployment",deployment_raw[[#This Row],[Column5]]=0),1,deployment_raw[[#This Row],[Column5]]))/K473,0),"")</f>
        <v/>
      </c>
      <c r="K473" s="72" t="str">
        <f>IF(ISNUMBER(deployment_raw[[#This Row],[Column8]]), (deployment_raw[[#This Row],[Column8]]  * IF($E$2="Deployment",deployment_raw[[#This Row],[Column5]],1)),"")</f>
        <v/>
      </c>
      <c r="L47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7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73" s="81" t="str">
        <f>IF(ISNUMBER(deployment_raw[[#This Row],[Column20]]), IF(O473&lt;&gt;0,deployment_raw[[#This Row],[Column20]]/IF(OR($E$2="Deployment",deployment_raw[[#This Row],[Column5]]=0),1,deployment_raw[[#This Row],[Column5]])/1048576/O473,0),"")</f>
        <v/>
      </c>
      <c r="O473" s="74" t="str">
        <f>IF(ISNUMBER(deployment_raw[[#This Row],[Column7]]), (deployment_raw[[#This Row],[Column7]] * IF($E$2="Deployment",deployment_raw[[#This Row],[Column5]],1))/1048576,"")</f>
        <v/>
      </c>
      <c r="P473" s="81" t="str">
        <f>IF(ISNUMBER(deployment_raw[[#This Row],[Column20]]), IF(Q473&lt;&gt;0,deployment_raw[[#This Row],[Column20]]/IF(OR($E$2="Deployment",deployment_raw[[#This Row],[Column5]]=0),1,deployment_raw[[#This Row],[Column5]])/1048576/Q473,0),"")</f>
        <v/>
      </c>
      <c r="Q473" s="76" t="str">
        <f>IF(ISNUMBER(deployment_raw[[#This Row],[Column9]]), (deployment_raw[[#This Row],[Column9]] * IF($E$2="Deployment",deployment_raw[[#This Row],[Column5]],1))/1048576,"")</f>
        <v/>
      </c>
      <c r="R473" s="57" t="str">
        <f>IF(ISNUMBER(deployment_raw[[#This Row],[Column10]]), (deployment_raw[[#This Row],[Column10]] * IF($E$2="Deployment",deployment_raw[[#This Row],[Column5]],1)),"")</f>
        <v/>
      </c>
      <c r="S473" s="48" t="str">
        <f>IF(ISNUMBER(deployment_raw[[#This Row],[Column11]]), (deployment_raw[[#This Row],[Column11]] * IF($E$2="Deployment",deployment_raw[[#This Row],[Column5]],1))/1048576,"")</f>
        <v/>
      </c>
      <c r="T473" s="59" t="str">
        <f>IF(ISNUMBER(deployment_raw[[#This Row],[Column8]]),IF(OR(deployment_raw[[#This Row],[Column5]] &lt;&gt; 0,$E$2 &lt;&gt; "Deployment"), MAX(V473, ($T$2 * IF($E$2="Deployment",deployment_raw[[#This Row],[Column5]],1))), 0),"")</f>
        <v/>
      </c>
      <c r="U473" s="50" t="str">
        <f>IF(ISNUMBER(deployment_raw[[#This Row],[Column9]]),IF(OR(deployment_raw[[#This Row],[Column5]] &lt;&gt; 0,$E$2&lt;&gt;"Deployment"), MAX(W473, ($U$2 * IF($E$2="Deployment",deployment_raw[[#This Row],[Column5]],1))), 0),"")</f>
        <v/>
      </c>
      <c r="V473" s="15" t="str">
        <f>IF(ISNUMBER(deployment_raw[[#This Row],[Column12]]), (deployment_raw[[#This Row],[Column12]] * IF($E$2="Deployment",deployment_raw[[#This Row],[Column5]],1)*(1+$V$2)),"")</f>
        <v/>
      </c>
      <c r="W473" s="14" t="str">
        <f>IF(ISNUMBER(deployment_raw[[#This Row],[Column13]]), (deployment_raw[[#This Row],[Column13]] * IF($E$2="Deployment",deployment_raw[[#This Row],[Column5]],1)*(1+$W$2))/1048576,"")</f>
        <v/>
      </c>
    </row>
    <row r="474" spans="1:23" ht="15.75" customHeight="1" x14ac:dyDescent="0.25">
      <c r="A474" s="5" t="str">
        <f>IF(ISNONTEXT(deployment_raw[[#This Row],[Column1]]), "", deployment_raw[[#This Row],[Column1]])</f>
        <v/>
      </c>
      <c r="B474" s="6" t="str">
        <f>IF(ISNONTEXT(deployment_raw[[#This Row],[Column2]]), "", deployment_raw[[#This Row],[Column2]])</f>
        <v/>
      </c>
      <c r="C474" s="6" t="str">
        <f>IF(ISNONTEXT(deployment_raw[[#This Row],[Column3]]), "", deployment_raw[[#This Row],[Column3]])</f>
        <v/>
      </c>
      <c r="D474" s="6" t="str">
        <f>IF(ISNONTEXT(deployment_raw[[#This Row],[Column4]]), "", deployment_raw[[#This Row],[Column4]])</f>
        <v/>
      </c>
      <c r="E474" s="7" t="str">
        <f>IF(ISNUMBER(deployment_raw[[#This Row],[Column5]]), deployment_raw[[#This Row],[Column5]],"")</f>
        <v/>
      </c>
      <c r="F474" s="32" t="str">
        <f>IF(ISNUMBER(deployment_raw[[#This Row],[Column17]]), deployment_raw[[#This Row],[Column17]]/IF(OR($E$2="Deployment",deployment_raw[[#This Row],[Column5]]=0),1,deployment_raw[[#This Row],[Column5]]),"")</f>
        <v/>
      </c>
      <c r="G474" s="42" t="str">
        <f>IF(ISNUMBER(deployment_raw[[#This Row],[Column14]]), deployment_raw[[#This Row],[Column14]]/IF(OR($E$2="Deployment",deployment_raw[[#This Row],[Column5]]=0),1,deployment_raw[[#This Row],[Column5]]),"")</f>
        <v/>
      </c>
      <c r="H474" s="79" t="str">
        <f>IF(ISNUMBER(deployment_raw[[#This Row],[Column19]]), IF(I474&lt;&gt;0,(deployment_raw[[#This Row],[Column19]]/IF(OR($E$2="Deployment",deployment_raw[[#This Row],[Column5]]=0),1,deployment_raw[[#This Row],[Column5]]))/I474,0),"")</f>
        <v/>
      </c>
      <c r="I474" s="69" t="str">
        <f>IF(ISNUMBER(deployment_raw[[#This Row],[Column6]]), (deployment_raw[[#This Row],[Column6]] * IF($E$2="Deployment",deployment_raw[[#This Row],[Column5]],1)),"")</f>
        <v/>
      </c>
      <c r="J474" s="79" t="str">
        <f>IF(ISNUMBER(deployment_raw[[#This Row],[Column19]]), IF(K474&lt;&gt;0,(deployment_raw[[#This Row],[Column19]]/IF(OR($E$2="Deployment",deployment_raw[[#This Row],[Column5]]=0),1,deployment_raw[[#This Row],[Column5]]))/K474,0),"")</f>
        <v/>
      </c>
      <c r="K474" s="72" t="str">
        <f>IF(ISNUMBER(deployment_raw[[#This Row],[Column8]]), (deployment_raw[[#This Row],[Column8]]  * IF($E$2="Deployment",deployment_raw[[#This Row],[Column5]],1)),"")</f>
        <v/>
      </c>
      <c r="L47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7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74" s="81" t="str">
        <f>IF(ISNUMBER(deployment_raw[[#This Row],[Column20]]), IF(O474&lt;&gt;0,deployment_raw[[#This Row],[Column20]]/IF(OR($E$2="Deployment",deployment_raw[[#This Row],[Column5]]=0),1,deployment_raw[[#This Row],[Column5]])/1048576/O474,0),"")</f>
        <v/>
      </c>
      <c r="O474" s="74" t="str">
        <f>IF(ISNUMBER(deployment_raw[[#This Row],[Column7]]), (deployment_raw[[#This Row],[Column7]] * IF($E$2="Deployment",deployment_raw[[#This Row],[Column5]],1))/1048576,"")</f>
        <v/>
      </c>
      <c r="P474" s="81" t="str">
        <f>IF(ISNUMBER(deployment_raw[[#This Row],[Column20]]), IF(Q474&lt;&gt;0,deployment_raw[[#This Row],[Column20]]/IF(OR($E$2="Deployment",deployment_raw[[#This Row],[Column5]]=0),1,deployment_raw[[#This Row],[Column5]])/1048576/Q474,0),"")</f>
        <v/>
      </c>
      <c r="Q474" s="76" t="str">
        <f>IF(ISNUMBER(deployment_raw[[#This Row],[Column9]]), (deployment_raw[[#This Row],[Column9]] * IF($E$2="Deployment",deployment_raw[[#This Row],[Column5]],1))/1048576,"")</f>
        <v/>
      </c>
      <c r="R474" s="57" t="str">
        <f>IF(ISNUMBER(deployment_raw[[#This Row],[Column10]]), (deployment_raw[[#This Row],[Column10]] * IF($E$2="Deployment",deployment_raw[[#This Row],[Column5]],1)),"")</f>
        <v/>
      </c>
      <c r="S474" s="48" t="str">
        <f>IF(ISNUMBER(deployment_raw[[#This Row],[Column11]]), (deployment_raw[[#This Row],[Column11]] * IF($E$2="Deployment",deployment_raw[[#This Row],[Column5]],1))/1048576,"")</f>
        <v/>
      </c>
      <c r="T474" s="59" t="str">
        <f>IF(ISNUMBER(deployment_raw[[#This Row],[Column8]]),IF(OR(deployment_raw[[#This Row],[Column5]] &lt;&gt; 0,$E$2 &lt;&gt; "Deployment"), MAX(V474, ($T$2 * IF($E$2="Deployment",deployment_raw[[#This Row],[Column5]],1))), 0),"")</f>
        <v/>
      </c>
      <c r="U474" s="50" t="str">
        <f>IF(ISNUMBER(deployment_raw[[#This Row],[Column9]]),IF(OR(deployment_raw[[#This Row],[Column5]] &lt;&gt; 0,$E$2&lt;&gt;"Deployment"), MAX(W474, ($U$2 * IF($E$2="Deployment",deployment_raw[[#This Row],[Column5]],1))), 0),"")</f>
        <v/>
      </c>
      <c r="V474" s="15" t="str">
        <f>IF(ISNUMBER(deployment_raw[[#This Row],[Column12]]), (deployment_raw[[#This Row],[Column12]] * IF($E$2="Deployment",deployment_raw[[#This Row],[Column5]],1)*(1+$V$2)),"")</f>
        <v/>
      </c>
      <c r="W474" s="14" t="str">
        <f>IF(ISNUMBER(deployment_raw[[#This Row],[Column13]]), (deployment_raw[[#This Row],[Column13]] * IF($E$2="Deployment",deployment_raw[[#This Row],[Column5]],1)*(1+$W$2))/1048576,"")</f>
        <v/>
      </c>
    </row>
    <row r="475" spans="1:23" ht="15.75" customHeight="1" x14ac:dyDescent="0.25">
      <c r="A475" s="5" t="str">
        <f>IF(ISNONTEXT(deployment_raw[[#This Row],[Column1]]), "", deployment_raw[[#This Row],[Column1]])</f>
        <v/>
      </c>
      <c r="B475" s="6" t="str">
        <f>IF(ISNONTEXT(deployment_raw[[#This Row],[Column2]]), "", deployment_raw[[#This Row],[Column2]])</f>
        <v/>
      </c>
      <c r="C475" s="6" t="str">
        <f>IF(ISNONTEXT(deployment_raw[[#This Row],[Column3]]), "", deployment_raw[[#This Row],[Column3]])</f>
        <v/>
      </c>
      <c r="D475" s="6" t="str">
        <f>IF(ISNONTEXT(deployment_raw[[#This Row],[Column4]]), "", deployment_raw[[#This Row],[Column4]])</f>
        <v/>
      </c>
      <c r="E475" s="7" t="str">
        <f>IF(ISNUMBER(deployment_raw[[#This Row],[Column5]]), deployment_raw[[#This Row],[Column5]],"")</f>
        <v/>
      </c>
      <c r="F475" s="32" t="str">
        <f>IF(ISNUMBER(deployment_raw[[#This Row],[Column17]]), deployment_raw[[#This Row],[Column17]]/IF(OR($E$2="Deployment",deployment_raw[[#This Row],[Column5]]=0),1,deployment_raw[[#This Row],[Column5]]),"")</f>
        <v/>
      </c>
      <c r="G475" s="42" t="str">
        <f>IF(ISNUMBER(deployment_raw[[#This Row],[Column14]]), deployment_raw[[#This Row],[Column14]]/IF(OR($E$2="Deployment",deployment_raw[[#This Row],[Column5]]=0),1,deployment_raw[[#This Row],[Column5]]),"")</f>
        <v/>
      </c>
      <c r="H475" s="79" t="str">
        <f>IF(ISNUMBER(deployment_raw[[#This Row],[Column19]]), IF(I475&lt;&gt;0,(deployment_raw[[#This Row],[Column19]]/IF(OR($E$2="Deployment",deployment_raw[[#This Row],[Column5]]=0),1,deployment_raw[[#This Row],[Column5]]))/I475,0),"")</f>
        <v/>
      </c>
      <c r="I475" s="69" t="str">
        <f>IF(ISNUMBER(deployment_raw[[#This Row],[Column6]]), (deployment_raw[[#This Row],[Column6]] * IF($E$2="Deployment",deployment_raw[[#This Row],[Column5]],1)),"")</f>
        <v/>
      </c>
      <c r="J475" s="79" t="str">
        <f>IF(ISNUMBER(deployment_raw[[#This Row],[Column19]]), IF(K475&lt;&gt;0,(deployment_raw[[#This Row],[Column19]]/IF(OR($E$2="Deployment",deployment_raw[[#This Row],[Column5]]=0),1,deployment_raw[[#This Row],[Column5]]))/K475,0),"")</f>
        <v/>
      </c>
      <c r="K475" s="72" t="str">
        <f>IF(ISNUMBER(deployment_raw[[#This Row],[Column8]]), (deployment_raw[[#This Row],[Column8]]  * IF($E$2="Deployment",deployment_raw[[#This Row],[Column5]],1)),"")</f>
        <v/>
      </c>
      <c r="L47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7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75" s="81" t="str">
        <f>IF(ISNUMBER(deployment_raw[[#This Row],[Column20]]), IF(O475&lt;&gt;0,deployment_raw[[#This Row],[Column20]]/IF(OR($E$2="Deployment",deployment_raw[[#This Row],[Column5]]=0),1,deployment_raw[[#This Row],[Column5]])/1048576/O475,0),"")</f>
        <v/>
      </c>
      <c r="O475" s="74" t="str">
        <f>IF(ISNUMBER(deployment_raw[[#This Row],[Column7]]), (deployment_raw[[#This Row],[Column7]] * IF($E$2="Deployment",deployment_raw[[#This Row],[Column5]],1))/1048576,"")</f>
        <v/>
      </c>
      <c r="P475" s="81" t="str">
        <f>IF(ISNUMBER(deployment_raw[[#This Row],[Column20]]), IF(Q475&lt;&gt;0,deployment_raw[[#This Row],[Column20]]/IF(OR($E$2="Deployment",deployment_raw[[#This Row],[Column5]]=0),1,deployment_raw[[#This Row],[Column5]])/1048576/Q475,0),"")</f>
        <v/>
      </c>
      <c r="Q475" s="76" t="str">
        <f>IF(ISNUMBER(deployment_raw[[#This Row],[Column9]]), (deployment_raw[[#This Row],[Column9]] * IF($E$2="Deployment",deployment_raw[[#This Row],[Column5]],1))/1048576,"")</f>
        <v/>
      </c>
      <c r="R475" s="57" t="str">
        <f>IF(ISNUMBER(deployment_raw[[#This Row],[Column10]]), (deployment_raw[[#This Row],[Column10]] * IF($E$2="Deployment",deployment_raw[[#This Row],[Column5]],1)),"")</f>
        <v/>
      </c>
      <c r="S475" s="48" t="str">
        <f>IF(ISNUMBER(deployment_raw[[#This Row],[Column11]]), (deployment_raw[[#This Row],[Column11]] * IF($E$2="Deployment",deployment_raw[[#This Row],[Column5]],1))/1048576,"")</f>
        <v/>
      </c>
      <c r="T475" s="59" t="str">
        <f>IF(ISNUMBER(deployment_raw[[#This Row],[Column8]]),IF(OR(deployment_raw[[#This Row],[Column5]] &lt;&gt; 0,$E$2 &lt;&gt; "Deployment"), MAX(V475, ($T$2 * IF($E$2="Deployment",deployment_raw[[#This Row],[Column5]],1))), 0),"")</f>
        <v/>
      </c>
      <c r="U475" s="50" t="str">
        <f>IF(ISNUMBER(deployment_raw[[#This Row],[Column9]]),IF(OR(deployment_raw[[#This Row],[Column5]] &lt;&gt; 0,$E$2&lt;&gt;"Deployment"), MAX(W475, ($U$2 * IF($E$2="Deployment",deployment_raw[[#This Row],[Column5]],1))), 0),"")</f>
        <v/>
      </c>
      <c r="V475" s="15" t="str">
        <f>IF(ISNUMBER(deployment_raw[[#This Row],[Column12]]), (deployment_raw[[#This Row],[Column12]] * IF($E$2="Deployment",deployment_raw[[#This Row],[Column5]],1)*(1+$V$2)),"")</f>
        <v/>
      </c>
      <c r="W475" s="14" t="str">
        <f>IF(ISNUMBER(deployment_raw[[#This Row],[Column13]]), (deployment_raw[[#This Row],[Column13]] * IF($E$2="Deployment",deployment_raw[[#This Row],[Column5]],1)*(1+$W$2))/1048576,"")</f>
        <v/>
      </c>
    </row>
    <row r="476" spans="1:23" ht="15.75" customHeight="1" x14ac:dyDescent="0.25">
      <c r="A476" s="5" t="str">
        <f>IF(ISNONTEXT(deployment_raw[[#This Row],[Column1]]), "", deployment_raw[[#This Row],[Column1]])</f>
        <v/>
      </c>
      <c r="B476" s="6" t="str">
        <f>IF(ISNONTEXT(deployment_raw[[#This Row],[Column2]]), "", deployment_raw[[#This Row],[Column2]])</f>
        <v/>
      </c>
      <c r="C476" s="6" t="str">
        <f>IF(ISNONTEXT(deployment_raw[[#This Row],[Column3]]), "", deployment_raw[[#This Row],[Column3]])</f>
        <v/>
      </c>
      <c r="D476" s="6" t="str">
        <f>IF(ISNONTEXT(deployment_raw[[#This Row],[Column4]]), "", deployment_raw[[#This Row],[Column4]])</f>
        <v/>
      </c>
      <c r="E476" s="7" t="str">
        <f>IF(ISNUMBER(deployment_raw[[#This Row],[Column5]]), deployment_raw[[#This Row],[Column5]],"")</f>
        <v/>
      </c>
      <c r="F476" s="32" t="str">
        <f>IF(ISNUMBER(deployment_raw[[#This Row],[Column17]]), deployment_raw[[#This Row],[Column17]]/IF(OR($E$2="Deployment",deployment_raw[[#This Row],[Column5]]=0),1,deployment_raw[[#This Row],[Column5]]),"")</f>
        <v/>
      </c>
      <c r="G476" s="42" t="str">
        <f>IF(ISNUMBER(deployment_raw[[#This Row],[Column14]]), deployment_raw[[#This Row],[Column14]]/IF(OR($E$2="Deployment",deployment_raw[[#This Row],[Column5]]=0),1,deployment_raw[[#This Row],[Column5]]),"")</f>
        <v/>
      </c>
      <c r="H476" s="79" t="str">
        <f>IF(ISNUMBER(deployment_raw[[#This Row],[Column19]]), IF(I476&lt;&gt;0,(deployment_raw[[#This Row],[Column19]]/IF(OR($E$2="Deployment",deployment_raw[[#This Row],[Column5]]=0),1,deployment_raw[[#This Row],[Column5]]))/I476,0),"")</f>
        <v/>
      </c>
      <c r="I476" s="69" t="str">
        <f>IF(ISNUMBER(deployment_raw[[#This Row],[Column6]]), (deployment_raw[[#This Row],[Column6]] * IF($E$2="Deployment",deployment_raw[[#This Row],[Column5]],1)),"")</f>
        <v/>
      </c>
      <c r="J476" s="79" t="str">
        <f>IF(ISNUMBER(deployment_raw[[#This Row],[Column19]]), IF(K476&lt;&gt;0,(deployment_raw[[#This Row],[Column19]]/IF(OR($E$2="Deployment",deployment_raw[[#This Row],[Column5]]=0),1,deployment_raw[[#This Row],[Column5]]))/K476,0),"")</f>
        <v/>
      </c>
      <c r="K476" s="72" t="str">
        <f>IF(ISNUMBER(deployment_raw[[#This Row],[Column8]]), (deployment_raw[[#This Row],[Column8]]  * IF($E$2="Deployment",deployment_raw[[#This Row],[Column5]],1)),"")</f>
        <v/>
      </c>
      <c r="L47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7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76" s="81" t="str">
        <f>IF(ISNUMBER(deployment_raw[[#This Row],[Column20]]), IF(O476&lt;&gt;0,deployment_raw[[#This Row],[Column20]]/IF(OR($E$2="Deployment",deployment_raw[[#This Row],[Column5]]=0),1,deployment_raw[[#This Row],[Column5]])/1048576/O476,0),"")</f>
        <v/>
      </c>
      <c r="O476" s="74" t="str">
        <f>IF(ISNUMBER(deployment_raw[[#This Row],[Column7]]), (deployment_raw[[#This Row],[Column7]] * IF($E$2="Deployment",deployment_raw[[#This Row],[Column5]],1))/1048576,"")</f>
        <v/>
      </c>
      <c r="P476" s="81" t="str">
        <f>IF(ISNUMBER(deployment_raw[[#This Row],[Column20]]), IF(Q476&lt;&gt;0,deployment_raw[[#This Row],[Column20]]/IF(OR($E$2="Deployment",deployment_raw[[#This Row],[Column5]]=0),1,deployment_raw[[#This Row],[Column5]])/1048576/Q476,0),"")</f>
        <v/>
      </c>
      <c r="Q476" s="76" t="str">
        <f>IF(ISNUMBER(deployment_raw[[#This Row],[Column9]]), (deployment_raw[[#This Row],[Column9]] * IF($E$2="Deployment",deployment_raw[[#This Row],[Column5]],1))/1048576,"")</f>
        <v/>
      </c>
      <c r="R476" s="57" t="str">
        <f>IF(ISNUMBER(deployment_raw[[#This Row],[Column10]]), (deployment_raw[[#This Row],[Column10]] * IF($E$2="Deployment",deployment_raw[[#This Row],[Column5]],1)),"")</f>
        <v/>
      </c>
      <c r="S476" s="48" t="str">
        <f>IF(ISNUMBER(deployment_raw[[#This Row],[Column11]]), (deployment_raw[[#This Row],[Column11]] * IF($E$2="Deployment",deployment_raw[[#This Row],[Column5]],1))/1048576,"")</f>
        <v/>
      </c>
      <c r="T476" s="59" t="str">
        <f>IF(ISNUMBER(deployment_raw[[#This Row],[Column8]]),IF(OR(deployment_raw[[#This Row],[Column5]] &lt;&gt; 0,$E$2 &lt;&gt; "Deployment"), MAX(V476, ($T$2 * IF($E$2="Deployment",deployment_raw[[#This Row],[Column5]],1))), 0),"")</f>
        <v/>
      </c>
      <c r="U476" s="50" t="str">
        <f>IF(ISNUMBER(deployment_raw[[#This Row],[Column9]]),IF(OR(deployment_raw[[#This Row],[Column5]] &lt;&gt; 0,$E$2&lt;&gt;"Deployment"), MAX(W476, ($U$2 * IF($E$2="Deployment",deployment_raw[[#This Row],[Column5]],1))), 0),"")</f>
        <v/>
      </c>
      <c r="V476" s="15" t="str">
        <f>IF(ISNUMBER(deployment_raw[[#This Row],[Column12]]), (deployment_raw[[#This Row],[Column12]] * IF($E$2="Deployment",deployment_raw[[#This Row],[Column5]],1)*(1+$V$2)),"")</f>
        <v/>
      </c>
      <c r="W476" s="14" t="str">
        <f>IF(ISNUMBER(deployment_raw[[#This Row],[Column13]]), (deployment_raw[[#This Row],[Column13]] * IF($E$2="Deployment",deployment_raw[[#This Row],[Column5]],1)*(1+$W$2))/1048576,"")</f>
        <v/>
      </c>
    </row>
    <row r="477" spans="1:23" ht="15.75" customHeight="1" x14ac:dyDescent="0.25">
      <c r="A477" s="5" t="str">
        <f>IF(ISNONTEXT(deployment_raw[[#This Row],[Column1]]), "", deployment_raw[[#This Row],[Column1]])</f>
        <v/>
      </c>
      <c r="B477" s="6" t="str">
        <f>IF(ISNONTEXT(deployment_raw[[#This Row],[Column2]]), "", deployment_raw[[#This Row],[Column2]])</f>
        <v/>
      </c>
      <c r="C477" s="6" t="str">
        <f>IF(ISNONTEXT(deployment_raw[[#This Row],[Column3]]), "", deployment_raw[[#This Row],[Column3]])</f>
        <v/>
      </c>
      <c r="D477" s="6" t="str">
        <f>IF(ISNONTEXT(deployment_raw[[#This Row],[Column4]]), "", deployment_raw[[#This Row],[Column4]])</f>
        <v/>
      </c>
      <c r="E477" s="7" t="str">
        <f>IF(ISNUMBER(deployment_raw[[#This Row],[Column5]]), deployment_raw[[#This Row],[Column5]],"")</f>
        <v/>
      </c>
      <c r="F477" s="32" t="str">
        <f>IF(ISNUMBER(deployment_raw[[#This Row],[Column17]]), deployment_raw[[#This Row],[Column17]]/IF(OR($E$2="Deployment",deployment_raw[[#This Row],[Column5]]=0),1,deployment_raw[[#This Row],[Column5]]),"")</f>
        <v/>
      </c>
      <c r="G477" s="42" t="str">
        <f>IF(ISNUMBER(deployment_raw[[#This Row],[Column14]]), deployment_raw[[#This Row],[Column14]]/IF(OR($E$2="Deployment",deployment_raw[[#This Row],[Column5]]=0),1,deployment_raw[[#This Row],[Column5]]),"")</f>
        <v/>
      </c>
      <c r="H477" s="79" t="str">
        <f>IF(ISNUMBER(deployment_raw[[#This Row],[Column19]]), IF(I477&lt;&gt;0,(deployment_raw[[#This Row],[Column19]]/IF(OR($E$2="Deployment",deployment_raw[[#This Row],[Column5]]=0),1,deployment_raw[[#This Row],[Column5]]))/I477,0),"")</f>
        <v/>
      </c>
      <c r="I477" s="69" t="str">
        <f>IF(ISNUMBER(deployment_raw[[#This Row],[Column6]]), (deployment_raw[[#This Row],[Column6]] * IF($E$2="Deployment",deployment_raw[[#This Row],[Column5]],1)),"")</f>
        <v/>
      </c>
      <c r="J477" s="79" t="str">
        <f>IF(ISNUMBER(deployment_raw[[#This Row],[Column19]]), IF(K477&lt;&gt;0,(deployment_raw[[#This Row],[Column19]]/IF(OR($E$2="Deployment",deployment_raw[[#This Row],[Column5]]=0),1,deployment_raw[[#This Row],[Column5]]))/K477,0),"")</f>
        <v/>
      </c>
      <c r="K477" s="72" t="str">
        <f>IF(ISNUMBER(deployment_raw[[#This Row],[Column8]]), (deployment_raw[[#This Row],[Column8]]  * IF($E$2="Deployment",deployment_raw[[#This Row],[Column5]],1)),"")</f>
        <v/>
      </c>
      <c r="L47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7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77" s="81" t="str">
        <f>IF(ISNUMBER(deployment_raw[[#This Row],[Column20]]), IF(O477&lt;&gt;0,deployment_raw[[#This Row],[Column20]]/IF(OR($E$2="Deployment",deployment_raw[[#This Row],[Column5]]=0),1,deployment_raw[[#This Row],[Column5]])/1048576/O477,0),"")</f>
        <v/>
      </c>
      <c r="O477" s="74" t="str">
        <f>IF(ISNUMBER(deployment_raw[[#This Row],[Column7]]), (deployment_raw[[#This Row],[Column7]] * IF($E$2="Deployment",deployment_raw[[#This Row],[Column5]],1))/1048576,"")</f>
        <v/>
      </c>
      <c r="P477" s="81" t="str">
        <f>IF(ISNUMBER(deployment_raw[[#This Row],[Column20]]), IF(Q477&lt;&gt;0,deployment_raw[[#This Row],[Column20]]/IF(OR($E$2="Deployment",deployment_raw[[#This Row],[Column5]]=0),1,deployment_raw[[#This Row],[Column5]])/1048576/Q477,0),"")</f>
        <v/>
      </c>
      <c r="Q477" s="76" t="str">
        <f>IF(ISNUMBER(deployment_raw[[#This Row],[Column9]]), (deployment_raw[[#This Row],[Column9]] * IF($E$2="Deployment",deployment_raw[[#This Row],[Column5]],1))/1048576,"")</f>
        <v/>
      </c>
      <c r="R477" s="57" t="str">
        <f>IF(ISNUMBER(deployment_raw[[#This Row],[Column10]]), (deployment_raw[[#This Row],[Column10]] * IF($E$2="Deployment",deployment_raw[[#This Row],[Column5]],1)),"")</f>
        <v/>
      </c>
      <c r="S477" s="48" t="str">
        <f>IF(ISNUMBER(deployment_raw[[#This Row],[Column11]]), (deployment_raw[[#This Row],[Column11]] * IF($E$2="Deployment",deployment_raw[[#This Row],[Column5]],1))/1048576,"")</f>
        <v/>
      </c>
      <c r="T477" s="59" t="str">
        <f>IF(ISNUMBER(deployment_raw[[#This Row],[Column8]]),IF(OR(deployment_raw[[#This Row],[Column5]] &lt;&gt; 0,$E$2 &lt;&gt; "Deployment"), MAX(V477, ($T$2 * IF($E$2="Deployment",deployment_raw[[#This Row],[Column5]],1))), 0),"")</f>
        <v/>
      </c>
      <c r="U477" s="50" t="str">
        <f>IF(ISNUMBER(deployment_raw[[#This Row],[Column9]]),IF(OR(deployment_raw[[#This Row],[Column5]] &lt;&gt; 0,$E$2&lt;&gt;"Deployment"), MAX(W477, ($U$2 * IF($E$2="Deployment",deployment_raw[[#This Row],[Column5]],1))), 0),"")</f>
        <v/>
      </c>
      <c r="V477" s="15" t="str">
        <f>IF(ISNUMBER(deployment_raw[[#This Row],[Column12]]), (deployment_raw[[#This Row],[Column12]] * IF($E$2="Deployment",deployment_raw[[#This Row],[Column5]],1)*(1+$V$2)),"")</f>
        <v/>
      </c>
      <c r="W477" s="14" t="str">
        <f>IF(ISNUMBER(deployment_raw[[#This Row],[Column13]]), (deployment_raw[[#This Row],[Column13]] * IF($E$2="Deployment",deployment_raw[[#This Row],[Column5]],1)*(1+$W$2))/1048576,"")</f>
        <v/>
      </c>
    </row>
    <row r="478" spans="1:23" ht="15.75" customHeight="1" x14ac:dyDescent="0.25">
      <c r="A478" s="5" t="str">
        <f>IF(ISNONTEXT(deployment_raw[[#This Row],[Column1]]), "", deployment_raw[[#This Row],[Column1]])</f>
        <v/>
      </c>
      <c r="B478" s="6" t="str">
        <f>IF(ISNONTEXT(deployment_raw[[#This Row],[Column2]]), "", deployment_raw[[#This Row],[Column2]])</f>
        <v/>
      </c>
      <c r="C478" s="6" t="str">
        <f>IF(ISNONTEXT(deployment_raw[[#This Row],[Column3]]), "", deployment_raw[[#This Row],[Column3]])</f>
        <v/>
      </c>
      <c r="D478" s="6" t="str">
        <f>IF(ISNONTEXT(deployment_raw[[#This Row],[Column4]]), "", deployment_raw[[#This Row],[Column4]])</f>
        <v/>
      </c>
      <c r="E478" s="7" t="str">
        <f>IF(ISNUMBER(deployment_raw[[#This Row],[Column5]]), deployment_raw[[#This Row],[Column5]],"")</f>
        <v/>
      </c>
      <c r="F478" s="32" t="str">
        <f>IF(ISNUMBER(deployment_raw[[#This Row],[Column17]]), deployment_raw[[#This Row],[Column17]]/IF(OR($E$2="Deployment",deployment_raw[[#This Row],[Column5]]=0),1,deployment_raw[[#This Row],[Column5]]),"")</f>
        <v/>
      </c>
      <c r="G478" s="42" t="str">
        <f>IF(ISNUMBER(deployment_raw[[#This Row],[Column14]]), deployment_raw[[#This Row],[Column14]]/IF(OR($E$2="Deployment",deployment_raw[[#This Row],[Column5]]=0),1,deployment_raw[[#This Row],[Column5]]),"")</f>
        <v/>
      </c>
      <c r="H478" s="79" t="str">
        <f>IF(ISNUMBER(deployment_raw[[#This Row],[Column19]]), IF(I478&lt;&gt;0,(deployment_raw[[#This Row],[Column19]]/IF(OR($E$2="Deployment",deployment_raw[[#This Row],[Column5]]=0),1,deployment_raw[[#This Row],[Column5]]))/I478,0),"")</f>
        <v/>
      </c>
      <c r="I478" s="69" t="str">
        <f>IF(ISNUMBER(deployment_raw[[#This Row],[Column6]]), (deployment_raw[[#This Row],[Column6]] * IF($E$2="Deployment",deployment_raw[[#This Row],[Column5]],1)),"")</f>
        <v/>
      </c>
      <c r="J478" s="79" t="str">
        <f>IF(ISNUMBER(deployment_raw[[#This Row],[Column19]]), IF(K478&lt;&gt;0,(deployment_raw[[#This Row],[Column19]]/IF(OR($E$2="Deployment",deployment_raw[[#This Row],[Column5]]=0),1,deployment_raw[[#This Row],[Column5]]))/K478,0),"")</f>
        <v/>
      </c>
      <c r="K478" s="72" t="str">
        <f>IF(ISNUMBER(deployment_raw[[#This Row],[Column8]]), (deployment_raw[[#This Row],[Column8]]  * IF($E$2="Deployment",deployment_raw[[#This Row],[Column5]],1)),"")</f>
        <v/>
      </c>
      <c r="L47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7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78" s="81" t="str">
        <f>IF(ISNUMBER(deployment_raw[[#This Row],[Column20]]), IF(O478&lt;&gt;0,deployment_raw[[#This Row],[Column20]]/IF(OR($E$2="Deployment",deployment_raw[[#This Row],[Column5]]=0),1,deployment_raw[[#This Row],[Column5]])/1048576/O478,0),"")</f>
        <v/>
      </c>
      <c r="O478" s="74" t="str">
        <f>IF(ISNUMBER(deployment_raw[[#This Row],[Column7]]), (deployment_raw[[#This Row],[Column7]] * IF($E$2="Deployment",deployment_raw[[#This Row],[Column5]],1))/1048576,"")</f>
        <v/>
      </c>
      <c r="P478" s="81" t="str">
        <f>IF(ISNUMBER(deployment_raw[[#This Row],[Column20]]), IF(Q478&lt;&gt;0,deployment_raw[[#This Row],[Column20]]/IF(OR($E$2="Deployment",deployment_raw[[#This Row],[Column5]]=0),1,deployment_raw[[#This Row],[Column5]])/1048576/Q478,0),"")</f>
        <v/>
      </c>
      <c r="Q478" s="76" t="str">
        <f>IF(ISNUMBER(deployment_raw[[#This Row],[Column9]]), (deployment_raw[[#This Row],[Column9]] * IF($E$2="Deployment",deployment_raw[[#This Row],[Column5]],1))/1048576,"")</f>
        <v/>
      </c>
      <c r="R478" s="57" t="str">
        <f>IF(ISNUMBER(deployment_raw[[#This Row],[Column10]]), (deployment_raw[[#This Row],[Column10]] * IF($E$2="Deployment",deployment_raw[[#This Row],[Column5]],1)),"")</f>
        <v/>
      </c>
      <c r="S478" s="48" t="str">
        <f>IF(ISNUMBER(deployment_raw[[#This Row],[Column11]]), (deployment_raw[[#This Row],[Column11]] * IF($E$2="Deployment",deployment_raw[[#This Row],[Column5]],1))/1048576,"")</f>
        <v/>
      </c>
      <c r="T478" s="59" t="str">
        <f>IF(ISNUMBER(deployment_raw[[#This Row],[Column8]]),IF(OR(deployment_raw[[#This Row],[Column5]] &lt;&gt; 0,$E$2 &lt;&gt; "Deployment"), MAX(V478, ($T$2 * IF($E$2="Deployment",deployment_raw[[#This Row],[Column5]],1))), 0),"")</f>
        <v/>
      </c>
      <c r="U478" s="50" t="str">
        <f>IF(ISNUMBER(deployment_raw[[#This Row],[Column9]]),IF(OR(deployment_raw[[#This Row],[Column5]] &lt;&gt; 0,$E$2&lt;&gt;"Deployment"), MAX(W478, ($U$2 * IF($E$2="Deployment",deployment_raw[[#This Row],[Column5]],1))), 0),"")</f>
        <v/>
      </c>
      <c r="V478" s="15" t="str">
        <f>IF(ISNUMBER(deployment_raw[[#This Row],[Column12]]), (deployment_raw[[#This Row],[Column12]] * IF($E$2="Deployment",deployment_raw[[#This Row],[Column5]],1)*(1+$V$2)),"")</f>
        <v/>
      </c>
      <c r="W478" s="14" t="str">
        <f>IF(ISNUMBER(deployment_raw[[#This Row],[Column13]]), (deployment_raw[[#This Row],[Column13]] * IF($E$2="Deployment",deployment_raw[[#This Row],[Column5]],1)*(1+$W$2))/1048576,"")</f>
        <v/>
      </c>
    </row>
    <row r="479" spans="1:23" ht="15.75" customHeight="1" x14ac:dyDescent="0.25">
      <c r="A479" s="5" t="str">
        <f>IF(ISNONTEXT(deployment_raw[[#This Row],[Column1]]), "", deployment_raw[[#This Row],[Column1]])</f>
        <v/>
      </c>
      <c r="B479" s="6" t="str">
        <f>IF(ISNONTEXT(deployment_raw[[#This Row],[Column2]]), "", deployment_raw[[#This Row],[Column2]])</f>
        <v/>
      </c>
      <c r="C479" s="6" t="str">
        <f>IF(ISNONTEXT(deployment_raw[[#This Row],[Column3]]), "", deployment_raw[[#This Row],[Column3]])</f>
        <v/>
      </c>
      <c r="D479" s="6" t="str">
        <f>IF(ISNONTEXT(deployment_raw[[#This Row],[Column4]]), "", deployment_raw[[#This Row],[Column4]])</f>
        <v/>
      </c>
      <c r="E479" s="7" t="str">
        <f>IF(ISNUMBER(deployment_raw[[#This Row],[Column5]]), deployment_raw[[#This Row],[Column5]],"")</f>
        <v/>
      </c>
      <c r="F479" s="32" t="str">
        <f>IF(ISNUMBER(deployment_raw[[#This Row],[Column17]]), deployment_raw[[#This Row],[Column17]]/IF(OR($E$2="Deployment",deployment_raw[[#This Row],[Column5]]=0),1,deployment_raw[[#This Row],[Column5]]),"")</f>
        <v/>
      </c>
      <c r="G479" s="42" t="str">
        <f>IF(ISNUMBER(deployment_raw[[#This Row],[Column14]]), deployment_raw[[#This Row],[Column14]]/IF(OR($E$2="Deployment",deployment_raw[[#This Row],[Column5]]=0),1,deployment_raw[[#This Row],[Column5]]),"")</f>
        <v/>
      </c>
      <c r="H479" s="79" t="str">
        <f>IF(ISNUMBER(deployment_raw[[#This Row],[Column19]]), IF(I479&lt;&gt;0,(deployment_raw[[#This Row],[Column19]]/IF(OR($E$2="Deployment",deployment_raw[[#This Row],[Column5]]=0),1,deployment_raw[[#This Row],[Column5]]))/I479,0),"")</f>
        <v/>
      </c>
      <c r="I479" s="69" t="str">
        <f>IF(ISNUMBER(deployment_raw[[#This Row],[Column6]]), (deployment_raw[[#This Row],[Column6]] * IF($E$2="Deployment",deployment_raw[[#This Row],[Column5]],1)),"")</f>
        <v/>
      </c>
      <c r="J479" s="79" t="str">
        <f>IF(ISNUMBER(deployment_raw[[#This Row],[Column19]]), IF(K479&lt;&gt;0,(deployment_raw[[#This Row],[Column19]]/IF(OR($E$2="Deployment",deployment_raw[[#This Row],[Column5]]=0),1,deployment_raw[[#This Row],[Column5]]))/K479,0),"")</f>
        <v/>
      </c>
      <c r="K479" s="72" t="str">
        <f>IF(ISNUMBER(deployment_raw[[#This Row],[Column8]]), (deployment_raw[[#This Row],[Column8]]  * IF($E$2="Deployment",deployment_raw[[#This Row],[Column5]],1)),"")</f>
        <v/>
      </c>
      <c r="L47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7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79" s="81" t="str">
        <f>IF(ISNUMBER(deployment_raw[[#This Row],[Column20]]), IF(O479&lt;&gt;0,deployment_raw[[#This Row],[Column20]]/IF(OR($E$2="Deployment",deployment_raw[[#This Row],[Column5]]=0),1,deployment_raw[[#This Row],[Column5]])/1048576/O479,0),"")</f>
        <v/>
      </c>
      <c r="O479" s="74" t="str">
        <f>IF(ISNUMBER(deployment_raw[[#This Row],[Column7]]), (deployment_raw[[#This Row],[Column7]] * IF($E$2="Deployment",deployment_raw[[#This Row],[Column5]],1))/1048576,"")</f>
        <v/>
      </c>
      <c r="P479" s="81" t="str">
        <f>IF(ISNUMBER(deployment_raw[[#This Row],[Column20]]), IF(Q479&lt;&gt;0,deployment_raw[[#This Row],[Column20]]/IF(OR($E$2="Deployment",deployment_raw[[#This Row],[Column5]]=0),1,deployment_raw[[#This Row],[Column5]])/1048576/Q479,0),"")</f>
        <v/>
      </c>
      <c r="Q479" s="76" t="str">
        <f>IF(ISNUMBER(deployment_raw[[#This Row],[Column9]]), (deployment_raw[[#This Row],[Column9]] * IF($E$2="Deployment",deployment_raw[[#This Row],[Column5]],1))/1048576,"")</f>
        <v/>
      </c>
      <c r="R479" s="57" t="str">
        <f>IF(ISNUMBER(deployment_raw[[#This Row],[Column10]]), (deployment_raw[[#This Row],[Column10]] * IF($E$2="Deployment",deployment_raw[[#This Row],[Column5]],1)),"")</f>
        <v/>
      </c>
      <c r="S479" s="48" t="str">
        <f>IF(ISNUMBER(deployment_raw[[#This Row],[Column11]]), (deployment_raw[[#This Row],[Column11]] * IF($E$2="Deployment",deployment_raw[[#This Row],[Column5]],1))/1048576,"")</f>
        <v/>
      </c>
      <c r="T479" s="59" t="str">
        <f>IF(ISNUMBER(deployment_raw[[#This Row],[Column8]]),IF(OR(deployment_raw[[#This Row],[Column5]] &lt;&gt; 0,$E$2 &lt;&gt; "Deployment"), MAX(V479, ($T$2 * IF($E$2="Deployment",deployment_raw[[#This Row],[Column5]],1))), 0),"")</f>
        <v/>
      </c>
      <c r="U479" s="50" t="str">
        <f>IF(ISNUMBER(deployment_raw[[#This Row],[Column9]]),IF(OR(deployment_raw[[#This Row],[Column5]] &lt;&gt; 0,$E$2&lt;&gt;"Deployment"), MAX(W479, ($U$2 * IF($E$2="Deployment",deployment_raw[[#This Row],[Column5]],1))), 0),"")</f>
        <v/>
      </c>
      <c r="V479" s="15" t="str">
        <f>IF(ISNUMBER(deployment_raw[[#This Row],[Column12]]), (deployment_raw[[#This Row],[Column12]] * IF($E$2="Deployment",deployment_raw[[#This Row],[Column5]],1)*(1+$V$2)),"")</f>
        <v/>
      </c>
      <c r="W479" s="14" t="str">
        <f>IF(ISNUMBER(deployment_raw[[#This Row],[Column13]]), (deployment_raw[[#This Row],[Column13]] * IF($E$2="Deployment",deployment_raw[[#This Row],[Column5]],1)*(1+$W$2))/1048576,"")</f>
        <v/>
      </c>
    </row>
    <row r="480" spans="1:23" ht="15.75" customHeight="1" x14ac:dyDescent="0.25">
      <c r="A480" s="5" t="str">
        <f>IF(ISNONTEXT(deployment_raw[[#This Row],[Column1]]), "", deployment_raw[[#This Row],[Column1]])</f>
        <v/>
      </c>
      <c r="B480" s="6" t="str">
        <f>IF(ISNONTEXT(deployment_raw[[#This Row],[Column2]]), "", deployment_raw[[#This Row],[Column2]])</f>
        <v/>
      </c>
      <c r="C480" s="6" t="str">
        <f>IF(ISNONTEXT(deployment_raw[[#This Row],[Column3]]), "", deployment_raw[[#This Row],[Column3]])</f>
        <v/>
      </c>
      <c r="D480" s="6" t="str">
        <f>IF(ISNONTEXT(deployment_raw[[#This Row],[Column4]]), "", deployment_raw[[#This Row],[Column4]])</f>
        <v/>
      </c>
      <c r="E480" s="7" t="str">
        <f>IF(ISNUMBER(deployment_raw[[#This Row],[Column5]]), deployment_raw[[#This Row],[Column5]],"")</f>
        <v/>
      </c>
      <c r="F480" s="32" t="str">
        <f>IF(ISNUMBER(deployment_raw[[#This Row],[Column17]]), deployment_raw[[#This Row],[Column17]]/IF(OR($E$2="Deployment",deployment_raw[[#This Row],[Column5]]=0),1,deployment_raw[[#This Row],[Column5]]),"")</f>
        <v/>
      </c>
      <c r="G480" s="42" t="str">
        <f>IF(ISNUMBER(deployment_raw[[#This Row],[Column14]]), deployment_raw[[#This Row],[Column14]]/IF(OR($E$2="Deployment",deployment_raw[[#This Row],[Column5]]=0),1,deployment_raw[[#This Row],[Column5]]),"")</f>
        <v/>
      </c>
      <c r="H480" s="79" t="str">
        <f>IF(ISNUMBER(deployment_raw[[#This Row],[Column19]]), IF(I480&lt;&gt;0,(deployment_raw[[#This Row],[Column19]]/IF(OR($E$2="Deployment",deployment_raw[[#This Row],[Column5]]=0),1,deployment_raw[[#This Row],[Column5]]))/I480,0),"")</f>
        <v/>
      </c>
      <c r="I480" s="69" t="str">
        <f>IF(ISNUMBER(deployment_raw[[#This Row],[Column6]]), (deployment_raw[[#This Row],[Column6]] * IF($E$2="Deployment",deployment_raw[[#This Row],[Column5]],1)),"")</f>
        <v/>
      </c>
      <c r="J480" s="79" t="str">
        <f>IF(ISNUMBER(deployment_raw[[#This Row],[Column19]]), IF(K480&lt;&gt;0,(deployment_raw[[#This Row],[Column19]]/IF(OR($E$2="Deployment",deployment_raw[[#This Row],[Column5]]=0),1,deployment_raw[[#This Row],[Column5]]))/K480,0),"")</f>
        <v/>
      </c>
      <c r="K480" s="72" t="str">
        <f>IF(ISNUMBER(deployment_raw[[#This Row],[Column8]]), (deployment_raw[[#This Row],[Column8]]  * IF($E$2="Deployment",deployment_raw[[#This Row],[Column5]],1)),"")</f>
        <v/>
      </c>
      <c r="L48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8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80" s="81" t="str">
        <f>IF(ISNUMBER(deployment_raw[[#This Row],[Column20]]), IF(O480&lt;&gt;0,deployment_raw[[#This Row],[Column20]]/IF(OR($E$2="Deployment",deployment_raw[[#This Row],[Column5]]=0),1,deployment_raw[[#This Row],[Column5]])/1048576/O480,0),"")</f>
        <v/>
      </c>
      <c r="O480" s="74" t="str">
        <f>IF(ISNUMBER(deployment_raw[[#This Row],[Column7]]), (deployment_raw[[#This Row],[Column7]] * IF($E$2="Deployment",deployment_raw[[#This Row],[Column5]],1))/1048576,"")</f>
        <v/>
      </c>
      <c r="P480" s="81" t="str">
        <f>IF(ISNUMBER(deployment_raw[[#This Row],[Column20]]), IF(Q480&lt;&gt;0,deployment_raw[[#This Row],[Column20]]/IF(OR($E$2="Deployment",deployment_raw[[#This Row],[Column5]]=0),1,deployment_raw[[#This Row],[Column5]])/1048576/Q480,0),"")</f>
        <v/>
      </c>
      <c r="Q480" s="76" t="str">
        <f>IF(ISNUMBER(deployment_raw[[#This Row],[Column9]]), (deployment_raw[[#This Row],[Column9]] * IF($E$2="Deployment",deployment_raw[[#This Row],[Column5]],1))/1048576,"")</f>
        <v/>
      </c>
      <c r="R480" s="57" t="str">
        <f>IF(ISNUMBER(deployment_raw[[#This Row],[Column10]]), (deployment_raw[[#This Row],[Column10]] * IF($E$2="Deployment",deployment_raw[[#This Row],[Column5]],1)),"")</f>
        <v/>
      </c>
      <c r="S480" s="48" t="str">
        <f>IF(ISNUMBER(deployment_raw[[#This Row],[Column11]]), (deployment_raw[[#This Row],[Column11]] * IF($E$2="Deployment",deployment_raw[[#This Row],[Column5]],1))/1048576,"")</f>
        <v/>
      </c>
      <c r="T480" s="59" t="str">
        <f>IF(ISNUMBER(deployment_raw[[#This Row],[Column8]]),IF(OR(deployment_raw[[#This Row],[Column5]] &lt;&gt; 0,$E$2 &lt;&gt; "Deployment"), MAX(V480, ($T$2 * IF($E$2="Deployment",deployment_raw[[#This Row],[Column5]],1))), 0),"")</f>
        <v/>
      </c>
      <c r="U480" s="50" t="str">
        <f>IF(ISNUMBER(deployment_raw[[#This Row],[Column9]]),IF(OR(deployment_raw[[#This Row],[Column5]] &lt;&gt; 0,$E$2&lt;&gt;"Deployment"), MAX(W480, ($U$2 * IF($E$2="Deployment",deployment_raw[[#This Row],[Column5]],1))), 0),"")</f>
        <v/>
      </c>
      <c r="V480" s="15" t="str">
        <f>IF(ISNUMBER(deployment_raw[[#This Row],[Column12]]), (deployment_raw[[#This Row],[Column12]] * IF($E$2="Deployment",deployment_raw[[#This Row],[Column5]],1)*(1+$V$2)),"")</f>
        <v/>
      </c>
      <c r="W480" s="14" t="str">
        <f>IF(ISNUMBER(deployment_raw[[#This Row],[Column13]]), (deployment_raw[[#This Row],[Column13]] * IF($E$2="Deployment",deployment_raw[[#This Row],[Column5]],1)*(1+$W$2))/1048576,"")</f>
        <v/>
      </c>
    </row>
    <row r="481" spans="1:23" ht="15.75" customHeight="1" x14ac:dyDescent="0.25">
      <c r="A481" s="5" t="str">
        <f>IF(ISNONTEXT(deployment_raw[[#This Row],[Column1]]), "", deployment_raw[[#This Row],[Column1]])</f>
        <v/>
      </c>
      <c r="B481" s="6" t="str">
        <f>IF(ISNONTEXT(deployment_raw[[#This Row],[Column2]]), "", deployment_raw[[#This Row],[Column2]])</f>
        <v/>
      </c>
      <c r="C481" s="6" t="str">
        <f>IF(ISNONTEXT(deployment_raw[[#This Row],[Column3]]), "", deployment_raw[[#This Row],[Column3]])</f>
        <v/>
      </c>
      <c r="D481" s="6" t="str">
        <f>IF(ISNONTEXT(deployment_raw[[#This Row],[Column4]]), "", deployment_raw[[#This Row],[Column4]])</f>
        <v/>
      </c>
      <c r="E481" s="7" t="str">
        <f>IF(ISNUMBER(deployment_raw[[#This Row],[Column5]]), deployment_raw[[#This Row],[Column5]],"")</f>
        <v/>
      </c>
      <c r="F481" s="32" t="str">
        <f>IF(ISNUMBER(deployment_raw[[#This Row],[Column17]]), deployment_raw[[#This Row],[Column17]]/IF(OR($E$2="Deployment",deployment_raw[[#This Row],[Column5]]=0),1,deployment_raw[[#This Row],[Column5]]),"")</f>
        <v/>
      </c>
      <c r="G481" s="42" t="str">
        <f>IF(ISNUMBER(deployment_raw[[#This Row],[Column14]]), deployment_raw[[#This Row],[Column14]]/IF(OR($E$2="Deployment",deployment_raw[[#This Row],[Column5]]=0),1,deployment_raw[[#This Row],[Column5]]),"")</f>
        <v/>
      </c>
      <c r="H481" s="79" t="str">
        <f>IF(ISNUMBER(deployment_raw[[#This Row],[Column19]]), IF(I481&lt;&gt;0,(deployment_raw[[#This Row],[Column19]]/IF(OR($E$2="Deployment",deployment_raw[[#This Row],[Column5]]=0),1,deployment_raw[[#This Row],[Column5]]))/I481,0),"")</f>
        <v/>
      </c>
      <c r="I481" s="69" t="str">
        <f>IF(ISNUMBER(deployment_raw[[#This Row],[Column6]]), (deployment_raw[[#This Row],[Column6]] * IF($E$2="Deployment",deployment_raw[[#This Row],[Column5]],1)),"")</f>
        <v/>
      </c>
      <c r="J481" s="79" t="str">
        <f>IF(ISNUMBER(deployment_raw[[#This Row],[Column19]]), IF(K481&lt;&gt;0,(deployment_raw[[#This Row],[Column19]]/IF(OR($E$2="Deployment",deployment_raw[[#This Row],[Column5]]=0),1,deployment_raw[[#This Row],[Column5]]))/K481,0),"")</f>
        <v/>
      </c>
      <c r="K481" s="72" t="str">
        <f>IF(ISNUMBER(deployment_raw[[#This Row],[Column8]]), (deployment_raw[[#This Row],[Column8]]  * IF($E$2="Deployment",deployment_raw[[#This Row],[Column5]],1)),"")</f>
        <v/>
      </c>
      <c r="L48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8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81" s="81" t="str">
        <f>IF(ISNUMBER(deployment_raw[[#This Row],[Column20]]), IF(O481&lt;&gt;0,deployment_raw[[#This Row],[Column20]]/IF(OR($E$2="Deployment",deployment_raw[[#This Row],[Column5]]=0),1,deployment_raw[[#This Row],[Column5]])/1048576/O481,0),"")</f>
        <v/>
      </c>
      <c r="O481" s="74" t="str">
        <f>IF(ISNUMBER(deployment_raw[[#This Row],[Column7]]), (deployment_raw[[#This Row],[Column7]] * IF($E$2="Deployment",deployment_raw[[#This Row],[Column5]],1))/1048576,"")</f>
        <v/>
      </c>
      <c r="P481" s="81" t="str">
        <f>IF(ISNUMBER(deployment_raw[[#This Row],[Column20]]), IF(Q481&lt;&gt;0,deployment_raw[[#This Row],[Column20]]/IF(OR($E$2="Deployment",deployment_raw[[#This Row],[Column5]]=0),1,deployment_raw[[#This Row],[Column5]])/1048576/Q481,0),"")</f>
        <v/>
      </c>
      <c r="Q481" s="76" t="str">
        <f>IF(ISNUMBER(deployment_raw[[#This Row],[Column9]]), (deployment_raw[[#This Row],[Column9]] * IF($E$2="Deployment",deployment_raw[[#This Row],[Column5]],1))/1048576,"")</f>
        <v/>
      </c>
      <c r="R481" s="57" t="str">
        <f>IF(ISNUMBER(deployment_raw[[#This Row],[Column10]]), (deployment_raw[[#This Row],[Column10]] * IF($E$2="Deployment",deployment_raw[[#This Row],[Column5]],1)),"")</f>
        <v/>
      </c>
      <c r="S481" s="48" t="str">
        <f>IF(ISNUMBER(deployment_raw[[#This Row],[Column11]]), (deployment_raw[[#This Row],[Column11]] * IF($E$2="Deployment",deployment_raw[[#This Row],[Column5]],1))/1048576,"")</f>
        <v/>
      </c>
      <c r="T481" s="59" t="str">
        <f>IF(ISNUMBER(deployment_raw[[#This Row],[Column8]]),IF(OR(deployment_raw[[#This Row],[Column5]] &lt;&gt; 0,$E$2 &lt;&gt; "Deployment"), MAX(V481, ($T$2 * IF($E$2="Deployment",deployment_raw[[#This Row],[Column5]],1))), 0),"")</f>
        <v/>
      </c>
      <c r="U481" s="50" t="str">
        <f>IF(ISNUMBER(deployment_raw[[#This Row],[Column9]]),IF(OR(deployment_raw[[#This Row],[Column5]] &lt;&gt; 0,$E$2&lt;&gt;"Deployment"), MAX(W481, ($U$2 * IF($E$2="Deployment",deployment_raw[[#This Row],[Column5]],1))), 0),"")</f>
        <v/>
      </c>
      <c r="V481" s="15" t="str">
        <f>IF(ISNUMBER(deployment_raw[[#This Row],[Column12]]), (deployment_raw[[#This Row],[Column12]] * IF($E$2="Deployment",deployment_raw[[#This Row],[Column5]],1)*(1+$V$2)),"")</f>
        <v/>
      </c>
      <c r="W481" s="14" t="str">
        <f>IF(ISNUMBER(deployment_raw[[#This Row],[Column13]]), (deployment_raw[[#This Row],[Column13]] * IF($E$2="Deployment",deployment_raw[[#This Row],[Column5]],1)*(1+$W$2))/1048576,"")</f>
        <v/>
      </c>
    </row>
    <row r="482" spans="1:23" ht="15.75" customHeight="1" x14ac:dyDescent="0.25">
      <c r="A482" s="5" t="str">
        <f>IF(ISNONTEXT(deployment_raw[[#This Row],[Column1]]), "", deployment_raw[[#This Row],[Column1]])</f>
        <v/>
      </c>
      <c r="B482" s="6" t="str">
        <f>IF(ISNONTEXT(deployment_raw[[#This Row],[Column2]]), "", deployment_raw[[#This Row],[Column2]])</f>
        <v/>
      </c>
      <c r="C482" s="6" t="str">
        <f>IF(ISNONTEXT(deployment_raw[[#This Row],[Column3]]), "", deployment_raw[[#This Row],[Column3]])</f>
        <v/>
      </c>
      <c r="D482" s="6" t="str">
        <f>IF(ISNONTEXT(deployment_raw[[#This Row],[Column4]]), "", deployment_raw[[#This Row],[Column4]])</f>
        <v/>
      </c>
      <c r="E482" s="7" t="str">
        <f>IF(ISNUMBER(deployment_raw[[#This Row],[Column5]]), deployment_raw[[#This Row],[Column5]],"")</f>
        <v/>
      </c>
      <c r="F482" s="32" t="str">
        <f>IF(ISNUMBER(deployment_raw[[#This Row],[Column17]]), deployment_raw[[#This Row],[Column17]]/IF(OR($E$2="Deployment",deployment_raw[[#This Row],[Column5]]=0),1,deployment_raw[[#This Row],[Column5]]),"")</f>
        <v/>
      </c>
      <c r="G482" s="42" t="str">
        <f>IF(ISNUMBER(deployment_raw[[#This Row],[Column14]]), deployment_raw[[#This Row],[Column14]]/IF(OR($E$2="Deployment",deployment_raw[[#This Row],[Column5]]=0),1,deployment_raw[[#This Row],[Column5]]),"")</f>
        <v/>
      </c>
      <c r="H482" s="79" t="str">
        <f>IF(ISNUMBER(deployment_raw[[#This Row],[Column19]]), IF(I482&lt;&gt;0,(deployment_raw[[#This Row],[Column19]]/IF(OR($E$2="Deployment",deployment_raw[[#This Row],[Column5]]=0),1,deployment_raw[[#This Row],[Column5]]))/I482,0),"")</f>
        <v/>
      </c>
      <c r="I482" s="69" t="str">
        <f>IF(ISNUMBER(deployment_raw[[#This Row],[Column6]]), (deployment_raw[[#This Row],[Column6]] * IF($E$2="Deployment",deployment_raw[[#This Row],[Column5]],1)),"")</f>
        <v/>
      </c>
      <c r="J482" s="79" t="str">
        <f>IF(ISNUMBER(deployment_raw[[#This Row],[Column19]]), IF(K482&lt;&gt;0,(deployment_raw[[#This Row],[Column19]]/IF(OR($E$2="Deployment",deployment_raw[[#This Row],[Column5]]=0),1,deployment_raw[[#This Row],[Column5]]))/K482,0),"")</f>
        <v/>
      </c>
      <c r="K482" s="72" t="str">
        <f>IF(ISNUMBER(deployment_raw[[#This Row],[Column8]]), (deployment_raw[[#This Row],[Column8]]  * IF($E$2="Deployment",deployment_raw[[#This Row],[Column5]],1)),"")</f>
        <v/>
      </c>
      <c r="L48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8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82" s="81" t="str">
        <f>IF(ISNUMBER(deployment_raw[[#This Row],[Column20]]), IF(O482&lt;&gt;0,deployment_raw[[#This Row],[Column20]]/IF(OR($E$2="Deployment",deployment_raw[[#This Row],[Column5]]=0),1,deployment_raw[[#This Row],[Column5]])/1048576/O482,0),"")</f>
        <v/>
      </c>
      <c r="O482" s="74" t="str">
        <f>IF(ISNUMBER(deployment_raw[[#This Row],[Column7]]), (deployment_raw[[#This Row],[Column7]] * IF($E$2="Deployment",deployment_raw[[#This Row],[Column5]],1))/1048576,"")</f>
        <v/>
      </c>
      <c r="P482" s="81" t="str">
        <f>IF(ISNUMBER(deployment_raw[[#This Row],[Column20]]), IF(Q482&lt;&gt;0,deployment_raw[[#This Row],[Column20]]/IF(OR($E$2="Deployment",deployment_raw[[#This Row],[Column5]]=0),1,deployment_raw[[#This Row],[Column5]])/1048576/Q482,0),"")</f>
        <v/>
      </c>
      <c r="Q482" s="76" t="str">
        <f>IF(ISNUMBER(deployment_raw[[#This Row],[Column9]]), (deployment_raw[[#This Row],[Column9]] * IF($E$2="Deployment",deployment_raw[[#This Row],[Column5]],1))/1048576,"")</f>
        <v/>
      </c>
      <c r="R482" s="57" t="str">
        <f>IF(ISNUMBER(deployment_raw[[#This Row],[Column10]]), (deployment_raw[[#This Row],[Column10]] * IF($E$2="Deployment",deployment_raw[[#This Row],[Column5]],1)),"")</f>
        <v/>
      </c>
      <c r="S482" s="48" t="str">
        <f>IF(ISNUMBER(deployment_raw[[#This Row],[Column11]]), (deployment_raw[[#This Row],[Column11]] * IF($E$2="Deployment",deployment_raw[[#This Row],[Column5]],1))/1048576,"")</f>
        <v/>
      </c>
      <c r="T482" s="59" t="str">
        <f>IF(ISNUMBER(deployment_raw[[#This Row],[Column8]]),IF(OR(deployment_raw[[#This Row],[Column5]] &lt;&gt; 0,$E$2 &lt;&gt; "Deployment"), MAX(V482, ($T$2 * IF($E$2="Deployment",deployment_raw[[#This Row],[Column5]],1))), 0),"")</f>
        <v/>
      </c>
      <c r="U482" s="50" t="str">
        <f>IF(ISNUMBER(deployment_raw[[#This Row],[Column9]]),IF(OR(deployment_raw[[#This Row],[Column5]] &lt;&gt; 0,$E$2&lt;&gt;"Deployment"), MAX(W482, ($U$2 * IF($E$2="Deployment",deployment_raw[[#This Row],[Column5]],1))), 0),"")</f>
        <v/>
      </c>
      <c r="V482" s="15" t="str">
        <f>IF(ISNUMBER(deployment_raw[[#This Row],[Column12]]), (deployment_raw[[#This Row],[Column12]] * IF($E$2="Deployment",deployment_raw[[#This Row],[Column5]],1)*(1+$V$2)),"")</f>
        <v/>
      </c>
      <c r="W482" s="14" t="str">
        <f>IF(ISNUMBER(deployment_raw[[#This Row],[Column13]]), (deployment_raw[[#This Row],[Column13]] * IF($E$2="Deployment",deployment_raw[[#This Row],[Column5]],1)*(1+$W$2))/1048576,"")</f>
        <v/>
      </c>
    </row>
    <row r="483" spans="1:23" ht="15.75" customHeight="1" x14ac:dyDescent="0.25">
      <c r="A483" s="5" t="str">
        <f>IF(ISNONTEXT(deployment_raw[[#This Row],[Column1]]), "", deployment_raw[[#This Row],[Column1]])</f>
        <v/>
      </c>
      <c r="B483" s="6" t="str">
        <f>IF(ISNONTEXT(deployment_raw[[#This Row],[Column2]]), "", deployment_raw[[#This Row],[Column2]])</f>
        <v/>
      </c>
      <c r="C483" s="6" t="str">
        <f>IF(ISNONTEXT(deployment_raw[[#This Row],[Column3]]), "", deployment_raw[[#This Row],[Column3]])</f>
        <v/>
      </c>
      <c r="D483" s="6" t="str">
        <f>IF(ISNONTEXT(deployment_raw[[#This Row],[Column4]]), "", deployment_raw[[#This Row],[Column4]])</f>
        <v/>
      </c>
      <c r="E483" s="7" t="str">
        <f>IF(ISNUMBER(deployment_raw[[#This Row],[Column5]]), deployment_raw[[#This Row],[Column5]],"")</f>
        <v/>
      </c>
      <c r="F483" s="32" t="str">
        <f>IF(ISNUMBER(deployment_raw[[#This Row],[Column17]]), deployment_raw[[#This Row],[Column17]]/IF(OR($E$2="Deployment",deployment_raw[[#This Row],[Column5]]=0),1,deployment_raw[[#This Row],[Column5]]),"")</f>
        <v/>
      </c>
      <c r="G483" s="42" t="str">
        <f>IF(ISNUMBER(deployment_raw[[#This Row],[Column14]]), deployment_raw[[#This Row],[Column14]]/IF(OR($E$2="Deployment",deployment_raw[[#This Row],[Column5]]=0),1,deployment_raw[[#This Row],[Column5]]),"")</f>
        <v/>
      </c>
      <c r="H483" s="79" t="str">
        <f>IF(ISNUMBER(deployment_raw[[#This Row],[Column19]]), IF(I483&lt;&gt;0,(deployment_raw[[#This Row],[Column19]]/IF(OR($E$2="Deployment",deployment_raw[[#This Row],[Column5]]=0),1,deployment_raw[[#This Row],[Column5]]))/I483,0),"")</f>
        <v/>
      </c>
      <c r="I483" s="69" t="str">
        <f>IF(ISNUMBER(deployment_raw[[#This Row],[Column6]]), (deployment_raw[[#This Row],[Column6]] * IF($E$2="Deployment",deployment_raw[[#This Row],[Column5]],1)),"")</f>
        <v/>
      </c>
      <c r="J483" s="79" t="str">
        <f>IF(ISNUMBER(deployment_raw[[#This Row],[Column19]]), IF(K483&lt;&gt;0,(deployment_raw[[#This Row],[Column19]]/IF(OR($E$2="Deployment",deployment_raw[[#This Row],[Column5]]=0),1,deployment_raw[[#This Row],[Column5]]))/K483,0),"")</f>
        <v/>
      </c>
      <c r="K483" s="72" t="str">
        <f>IF(ISNUMBER(deployment_raw[[#This Row],[Column8]]), (deployment_raw[[#This Row],[Column8]]  * IF($E$2="Deployment",deployment_raw[[#This Row],[Column5]],1)),"")</f>
        <v/>
      </c>
      <c r="L48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8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83" s="81" t="str">
        <f>IF(ISNUMBER(deployment_raw[[#This Row],[Column20]]), IF(O483&lt;&gt;0,deployment_raw[[#This Row],[Column20]]/IF(OR($E$2="Deployment",deployment_raw[[#This Row],[Column5]]=0),1,deployment_raw[[#This Row],[Column5]])/1048576/O483,0),"")</f>
        <v/>
      </c>
      <c r="O483" s="74" t="str">
        <f>IF(ISNUMBER(deployment_raw[[#This Row],[Column7]]), (deployment_raw[[#This Row],[Column7]] * IF($E$2="Deployment",deployment_raw[[#This Row],[Column5]],1))/1048576,"")</f>
        <v/>
      </c>
      <c r="P483" s="81" t="str">
        <f>IF(ISNUMBER(deployment_raw[[#This Row],[Column20]]), IF(Q483&lt;&gt;0,deployment_raw[[#This Row],[Column20]]/IF(OR($E$2="Deployment",deployment_raw[[#This Row],[Column5]]=0),1,deployment_raw[[#This Row],[Column5]])/1048576/Q483,0),"")</f>
        <v/>
      </c>
      <c r="Q483" s="76" t="str">
        <f>IF(ISNUMBER(deployment_raw[[#This Row],[Column9]]), (deployment_raw[[#This Row],[Column9]] * IF($E$2="Deployment",deployment_raw[[#This Row],[Column5]],1))/1048576,"")</f>
        <v/>
      </c>
      <c r="R483" s="57" t="str">
        <f>IF(ISNUMBER(deployment_raw[[#This Row],[Column10]]), (deployment_raw[[#This Row],[Column10]] * IF($E$2="Deployment",deployment_raw[[#This Row],[Column5]],1)),"")</f>
        <v/>
      </c>
      <c r="S483" s="48" t="str">
        <f>IF(ISNUMBER(deployment_raw[[#This Row],[Column11]]), (deployment_raw[[#This Row],[Column11]] * IF($E$2="Deployment",deployment_raw[[#This Row],[Column5]],1))/1048576,"")</f>
        <v/>
      </c>
      <c r="T483" s="59" t="str">
        <f>IF(ISNUMBER(deployment_raw[[#This Row],[Column8]]),IF(OR(deployment_raw[[#This Row],[Column5]] &lt;&gt; 0,$E$2 &lt;&gt; "Deployment"), MAX(V483, ($T$2 * IF($E$2="Deployment",deployment_raw[[#This Row],[Column5]],1))), 0),"")</f>
        <v/>
      </c>
      <c r="U483" s="50" t="str">
        <f>IF(ISNUMBER(deployment_raw[[#This Row],[Column9]]),IF(OR(deployment_raw[[#This Row],[Column5]] &lt;&gt; 0,$E$2&lt;&gt;"Deployment"), MAX(W483, ($U$2 * IF($E$2="Deployment",deployment_raw[[#This Row],[Column5]],1))), 0),"")</f>
        <v/>
      </c>
      <c r="V483" s="15" t="str">
        <f>IF(ISNUMBER(deployment_raw[[#This Row],[Column12]]), (deployment_raw[[#This Row],[Column12]] * IF($E$2="Deployment",deployment_raw[[#This Row],[Column5]],1)*(1+$V$2)),"")</f>
        <v/>
      </c>
      <c r="W483" s="14" t="str">
        <f>IF(ISNUMBER(deployment_raw[[#This Row],[Column13]]), (deployment_raw[[#This Row],[Column13]] * IF($E$2="Deployment",deployment_raw[[#This Row],[Column5]],1)*(1+$W$2))/1048576,"")</f>
        <v/>
      </c>
    </row>
    <row r="484" spans="1:23" ht="15.75" customHeight="1" x14ac:dyDescent="0.25">
      <c r="A484" s="5" t="str">
        <f>IF(ISNONTEXT(deployment_raw[[#This Row],[Column1]]), "", deployment_raw[[#This Row],[Column1]])</f>
        <v/>
      </c>
      <c r="B484" s="6" t="str">
        <f>IF(ISNONTEXT(deployment_raw[[#This Row],[Column2]]), "", deployment_raw[[#This Row],[Column2]])</f>
        <v/>
      </c>
      <c r="C484" s="6" t="str">
        <f>IF(ISNONTEXT(deployment_raw[[#This Row],[Column3]]), "", deployment_raw[[#This Row],[Column3]])</f>
        <v/>
      </c>
      <c r="D484" s="6" t="str">
        <f>IF(ISNONTEXT(deployment_raw[[#This Row],[Column4]]), "", deployment_raw[[#This Row],[Column4]])</f>
        <v/>
      </c>
      <c r="E484" s="7" t="str">
        <f>IF(ISNUMBER(deployment_raw[[#This Row],[Column5]]), deployment_raw[[#This Row],[Column5]],"")</f>
        <v/>
      </c>
      <c r="F484" s="32" t="str">
        <f>IF(ISNUMBER(deployment_raw[[#This Row],[Column17]]), deployment_raw[[#This Row],[Column17]]/IF(OR($E$2="Deployment",deployment_raw[[#This Row],[Column5]]=0),1,deployment_raw[[#This Row],[Column5]]),"")</f>
        <v/>
      </c>
      <c r="G484" s="42" t="str">
        <f>IF(ISNUMBER(deployment_raw[[#This Row],[Column14]]), deployment_raw[[#This Row],[Column14]]/IF(OR($E$2="Deployment",deployment_raw[[#This Row],[Column5]]=0),1,deployment_raw[[#This Row],[Column5]]),"")</f>
        <v/>
      </c>
      <c r="H484" s="79" t="str">
        <f>IF(ISNUMBER(deployment_raw[[#This Row],[Column19]]), IF(I484&lt;&gt;0,(deployment_raw[[#This Row],[Column19]]/IF(OR($E$2="Deployment",deployment_raw[[#This Row],[Column5]]=0),1,deployment_raw[[#This Row],[Column5]]))/I484,0),"")</f>
        <v/>
      </c>
      <c r="I484" s="69" t="str">
        <f>IF(ISNUMBER(deployment_raw[[#This Row],[Column6]]), (deployment_raw[[#This Row],[Column6]] * IF($E$2="Deployment",deployment_raw[[#This Row],[Column5]],1)),"")</f>
        <v/>
      </c>
      <c r="J484" s="79" t="str">
        <f>IF(ISNUMBER(deployment_raw[[#This Row],[Column19]]), IF(K484&lt;&gt;0,(deployment_raw[[#This Row],[Column19]]/IF(OR($E$2="Deployment",deployment_raw[[#This Row],[Column5]]=0),1,deployment_raw[[#This Row],[Column5]]))/K484,0),"")</f>
        <v/>
      </c>
      <c r="K484" s="72" t="str">
        <f>IF(ISNUMBER(deployment_raw[[#This Row],[Column8]]), (deployment_raw[[#This Row],[Column8]]  * IF($E$2="Deployment",deployment_raw[[#This Row],[Column5]],1)),"")</f>
        <v/>
      </c>
      <c r="L48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8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84" s="81" t="str">
        <f>IF(ISNUMBER(deployment_raw[[#This Row],[Column20]]), IF(O484&lt;&gt;0,deployment_raw[[#This Row],[Column20]]/IF(OR($E$2="Deployment",deployment_raw[[#This Row],[Column5]]=0),1,deployment_raw[[#This Row],[Column5]])/1048576/O484,0),"")</f>
        <v/>
      </c>
      <c r="O484" s="74" t="str">
        <f>IF(ISNUMBER(deployment_raw[[#This Row],[Column7]]), (deployment_raw[[#This Row],[Column7]] * IF($E$2="Deployment",deployment_raw[[#This Row],[Column5]],1))/1048576,"")</f>
        <v/>
      </c>
      <c r="P484" s="81" t="str">
        <f>IF(ISNUMBER(deployment_raw[[#This Row],[Column20]]), IF(Q484&lt;&gt;0,deployment_raw[[#This Row],[Column20]]/IF(OR($E$2="Deployment",deployment_raw[[#This Row],[Column5]]=0),1,deployment_raw[[#This Row],[Column5]])/1048576/Q484,0),"")</f>
        <v/>
      </c>
      <c r="Q484" s="76" t="str">
        <f>IF(ISNUMBER(deployment_raw[[#This Row],[Column9]]), (deployment_raw[[#This Row],[Column9]] * IF($E$2="Deployment",deployment_raw[[#This Row],[Column5]],1))/1048576,"")</f>
        <v/>
      </c>
      <c r="R484" s="57" t="str">
        <f>IF(ISNUMBER(deployment_raw[[#This Row],[Column10]]), (deployment_raw[[#This Row],[Column10]] * IF($E$2="Deployment",deployment_raw[[#This Row],[Column5]],1)),"")</f>
        <v/>
      </c>
      <c r="S484" s="48" t="str">
        <f>IF(ISNUMBER(deployment_raw[[#This Row],[Column11]]), (deployment_raw[[#This Row],[Column11]] * IF($E$2="Deployment",deployment_raw[[#This Row],[Column5]],1))/1048576,"")</f>
        <v/>
      </c>
      <c r="T484" s="59" t="str">
        <f>IF(ISNUMBER(deployment_raw[[#This Row],[Column8]]),IF(OR(deployment_raw[[#This Row],[Column5]] &lt;&gt; 0,$E$2 &lt;&gt; "Deployment"), MAX(V484, ($T$2 * IF($E$2="Deployment",deployment_raw[[#This Row],[Column5]],1))), 0),"")</f>
        <v/>
      </c>
      <c r="U484" s="50" t="str">
        <f>IF(ISNUMBER(deployment_raw[[#This Row],[Column9]]),IF(OR(deployment_raw[[#This Row],[Column5]] &lt;&gt; 0,$E$2&lt;&gt;"Deployment"), MAX(W484, ($U$2 * IF($E$2="Deployment",deployment_raw[[#This Row],[Column5]],1))), 0),"")</f>
        <v/>
      </c>
      <c r="V484" s="15" t="str">
        <f>IF(ISNUMBER(deployment_raw[[#This Row],[Column12]]), (deployment_raw[[#This Row],[Column12]] * IF($E$2="Deployment",deployment_raw[[#This Row],[Column5]],1)*(1+$V$2)),"")</f>
        <v/>
      </c>
      <c r="W484" s="14" t="str">
        <f>IF(ISNUMBER(deployment_raw[[#This Row],[Column13]]), (deployment_raw[[#This Row],[Column13]] * IF($E$2="Deployment",deployment_raw[[#This Row],[Column5]],1)*(1+$W$2))/1048576,"")</f>
        <v/>
      </c>
    </row>
    <row r="485" spans="1:23" ht="15.75" customHeight="1" x14ac:dyDescent="0.25">
      <c r="A485" s="5" t="str">
        <f>IF(ISNONTEXT(deployment_raw[[#This Row],[Column1]]), "", deployment_raw[[#This Row],[Column1]])</f>
        <v/>
      </c>
      <c r="B485" s="6" t="str">
        <f>IF(ISNONTEXT(deployment_raw[[#This Row],[Column2]]), "", deployment_raw[[#This Row],[Column2]])</f>
        <v/>
      </c>
      <c r="C485" s="6" t="str">
        <f>IF(ISNONTEXT(deployment_raw[[#This Row],[Column3]]), "", deployment_raw[[#This Row],[Column3]])</f>
        <v/>
      </c>
      <c r="D485" s="6" t="str">
        <f>IF(ISNONTEXT(deployment_raw[[#This Row],[Column4]]), "", deployment_raw[[#This Row],[Column4]])</f>
        <v/>
      </c>
      <c r="E485" s="7" t="str">
        <f>IF(ISNUMBER(deployment_raw[[#This Row],[Column5]]), deployment_raw[[#This Row],[Column5]],"")</f>
        <v/>
      </c>
      <c r="F485" s="32" t="str">
        <f>IF(ISNUMBER(deployment_raw[[#This Row],[Column17]]), deployment_raw[[#This Row],[Column17]]/IF(OR($E$2="Deployment",deployment_raw[[#This Row],[Column5]]=0),1,deployment_raw[[#This Row],[Column5]]),"")</f>
        <v/>
      </c>
      <c r="G485" s="42" t="str">
        <f>IF(ISNUMBER(deployment_raw[[#This Row],[Column14]]), deployment_raw[[#This Row],[Column14]]/IF(OR($E$2="Deployment",deployment_raw[[#This Row],[Column5]]=0),1,deployment_raw[[#This Row],[Column5]]),"")</f>
        <v/>
      </c>
      <c r="H485" s="79" t="str">
        <f>IF(ISNUMBER(deployment_raw[[#This Row],[Column19]]), IF(I485&lt;&gt;0,(deployment_raw[[#This Row],[Column19]]/IF(OR($E$2="Deployment",deployment_raw[[#This Row],[Column5]]=0),1,deployment_raw[[#This Row],[Column5]]))/I485,0),"")</f>
        <v/>
      </c>
      <c r="I485" s="69" t="str">
        <f>IF(ISNUMBER(deployment_raw[[#This Row],[Column6]]), (deployment_raw[[#This Row],[Column6]] * IF($E$2="Deployment",deployment_raw[[#This Row],[Column5]],1)),"")</f>
        <v/>
      </c>
      <c r="J485" s="79" t="str">
        <f>IF(ISNUMBER(deployment_raw[[#This Row],[Column19]]), IF(K485&lt;&gt;0,(deployment_raw[[#This Row],[Column19]]/IF(OR($E$2="Deployment",deployment_raw[[#This Row],[Column5]]=0),1,deployment_raw[[#This Row],[Column5]]))/K485,0),"")</f>
        <v/>
      </c>
      <c r="K485" s="72" t="str">
        <f>IF(ISNUMBER(deployment_raw[[#This Row],[Column8]]), (deployment_raw[[#This Row],[Column8]]  * IF($E$2="Deployment",deployment_raw[[#This Row],[Column5]],1)),"")</f>
        <v/>
      </c>
      <c r="L48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8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85" s="81" t="str">
        <f>IF(ISNUMBER(deployment_raw[[#This Row],[Column20]]), IF(O485&lt;&gt;0,deployment_raw[[#This Row],[Column20]]/IF(OR($E$2="Deployment",deployment_raw[[#This Row],[Column5]]=0),1,deployment_raw[[#This Row],[Column5]])/1048576/O485,0),"")</f>
        <v/>
      </c>
      <c r="O485" s="74" t="str">
        <f>IF(ISNUMBER(deployment_raw[[#This Row],[Column7]]), (deployment_raw[[#This Row],[Column7]] * IF($E$2="Deployment",deployment_raw[[#This Row],[Column5]],1))/1048576,"")</f>
        <v/>
      </c>
      <c r="P485" s="81" t="str">
        <f>IF(ISNUMBER(deployment_raw[[#This Row],[Column20]]), IF(Q485&lt;&gt;0,deployment_raw[[#This Row],[Column20]]/IF(OR($E$2="Deployment",deployment_raw[[#This Row],[Column5]]=0),1,deployment_raw[[#This Row],[Column5]])/1048576/Q485,0),"")</f>
        <v/>
      </c>
      <c r="Q485" s="76" t="str">
        <f>IF(ISNUMBER(deployment_raw[[#This Row],[Column9]]), (deployment_raw[[#This Row],[Column9]] * IF($E$2="Deployment",deployment_raw[[#This Row],[Column5]],1))/1048576,"")</f>
        <v/>
      </c>
      <c r="R485" s="57" t="str">
        <f>IF(ISNUMBER(deployment_raw[[#This Row],[Column10]]), (deployment_raw[[#This Row],[Column10]] * IF($E$2="Deployment",deployment_raw[[#This Row],[Column5]],1)),"")</f>
        <v/>
      </c>
      <c r="S485" s="48" t="str">
        <f>IF(ISNUMBER(deployment_raw[[#This Row],[Column11]]), (deployment_raw[[#This Row],[Column11]] * IF($E$2="Deployment",deployment_raw[[#This Row],[Column5]],1))/1048576,"")</f>
        <v/>
      </c>
      <c r="T485" s="59" t="str">
        <f>IF(ISNUMBER(deployment_raw[[#This Row],[Column8]]),IF(OR(deployment_raw[[#This Row],[Column5]] &lt;&gt; 0,$E$2 &lt;&gt; "Deployment"), MAX(V485, ($T$2 * IF($E$2="Deployment",deployment_raw[[#This Row],[Column5]],1))), 0),"")</f>
        <v/>
      </c>
      <c r="U485" s="50" t="str">
        <f>IF(ISNUMBER(deployment_raw[[#This Row],[Column9]]),IF(OR(deployment_raw[[#This Row],[Column5]] &lt;&gt; 0,$E$2&lt;&gt;"Deployment"), MAX(W485, ($U$2 * IF($E$2="Deployment",deployment_raw[[#This Row],[Column5]],1))), 0),"")</f>
        <v/>
      </c>
      <c r="V485" s="15" t="str">
        <f>IF(ISNUMBER(deployment_raw[[#This Row],[Column12]]), (deployment_raw[[#This Row],[Column12]] * IF($E$2="Deployment",deployment_raw[[#This Row],[Column5]],1)*(1+$V$2)),"")</f>
        <v/>
      </c>
      <c r="W485" s="14" t="str">
        <f>IF(ISNUMBER(deployment_raw[[#This Row],[Column13]]), (deployment_raw[[#This Row],[Column13]] * IF($E$2="Deployment",deployment_raw[[#This Row],[Column5]],1)*(1+$W$2))/1048576,"")</f>
        <v/>
      </c>
    </row>
    <row r="486" spans="1:23" ht="15.75" customHeight="1" x14ac:dyDescent="0.25">
      <c r="A486" s="5" t="str">
        <f>IF(ISNONTEXT(deployment_raw[[#This Row],[Column1]]), "", deployment_raw[[#This Row],[Column1]])</f>
        <v/>
      </c>
      <c r="B486" s="6" t="str">
        <f>IF(ISNONTEXT(deployment_raw[[#This Row],[Column2]]), "", deployment_raw[[#This Row],[Column2]])</f>
        <v/>
      </c>
      <c r="C486" s="6" t="str">
        <f>IF(ISNONTEXT(deployment_raw[[#This Row],[Column3]]), "", deployment_raw[[#This Row],[Column3]])</f>
        <v/>
      </c>
      <c r="D486" s="6" t="str">
        <f>IF(ISNONTEXT(deployment_raw[[#This Row],[Column4]]), "", deployment_raw[[#This Row],[Column4]])</f>
        <v/>
      </c>
      <c r="E486" s="7" t="str">
        <f>IF(ISNUMBER(deployment_raw[[#This Row],[Column5]]), deployment_raw[[#This Row],[Column5]],"")</f>
        <v/>
      </c>
      <c r="F486" s="32" t="str">
        <f>IF(ISNUMBER(deployment_raw[[#This Row],[Column17]]), deployment_raw[[#This Row],[Column17]]/IF(OR($E$2="Deployment",deployment_raw[[#This Row],[Column5]]=0),1,deployment_raw[[#This Row],[Column5]]),"")</f>
        <v/>
      </c>
      <c r="G486" s="42" t="str">
        <f>IF(ISNUMBER(deployment_raw[[#This Row],[Column14]]), deployment_raw[[#This Row],[Column14]]/IF(OR($E$2="Deployment",deployment_raw[[#This Row],[Column5]]=0),1,deployment_raw[[#This Row],[Column5]]),"")</f>
        <v/>
      </c>
      <c r="H486" s="79" t="str">
        <f>IF(ISNUMBER(deployment_raw[[#This Row],[Column19]]), IF(I486&lt;&gt;0,(deployment_raw[[#This Row],[Column19]]/IF(OR($E$2="Deployment",deployment_raw[[#This Row],[Column5]]=0),1,deployment_raw[[#This Row],[Column5]]))/I486,0),"")</f>
        <v/>
      </c>
      <c r="I486" s="69" t="str">
        <f>IF(ISNUMBER(deployment_raw[[#This Row],[Column6]]), (deployment_raw[[#This Row],[Column6]] * IF($E$2="Deployment",deployment_raw[[#This Row],[Column5]],1)),"")</f>
        <v/>
      </c>
      <c r="J486" s="79" t="str">
        <f>IF(ISNUMBER(deployment_raw[[#This Row],[Column19]]), IF(K486&lt;&gt;0,(deployment_raw[[#This Row],[Column19]]/IF(OR($E$2="Deployment",deployment_raw[[#This Row],[Column5]]=0),1,deployment_raw[[#This Row],[Column5]]))/K486,0),"")</f>
        <v/>
      </c>
      <c r="K486" s="72" t="str">
        <f>IF(ISNUMBER(deployment_raw[[#This Row],[Column8]]), (deployment_raw[[#This Row],[Column8]]  * IF($E$2="Deployment",deployment_raw[[#This Row],[Column5]],1)),"")</f>
        <v/>
      </c>
      <c r="L48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8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86" s="81" t="str">
        <f>IF(ISNUMBER(deployment_raw[[#This Row],[Column20]]), IF(O486&lt;&gt;0,deployment_raw[[#This Row],[Column20]]/IF(OR($E$2="Deployment",deployment_raw[[#This Row],[Column5]]=0),1,deployment_raw[[#This Row],[Column5]])/1048576/O486,0),"")</f>
        <v/>
      </c>
      <c r="O486" s="74" t="str">
        <f>IF(ISNUMBER(deployment_raw[[#This Row],[Column7]]), (deployment_raw[[#This Row],[Column7]] * IF($E$2="Deployment",deployment_raw[[#This Row],[Column5]],1))/1048576,"")</f>
        <v/>
      </c>
      <c r="P486" s="81" t="str">
        <f>IF(ISNUMBER(deployment_raw[[#This Row],[Column20]]), IF(Q486&lt;&gt;0,deployment_raw[[#This Row],[Column20]]/IF(OR($E$2="Deployment",deployment_raw[[#This Row],[Column5]]=0),1,deployment_raw[[#This Row],[Column5]])/1048576/Q486,0),"")</f>
        <v/>
      </c>
      <c r="Q486" s="76" t="str">
        <f>IF(ISNUMBER(deployment_raw[[#This Row],[Column9]]), (deployment_raw[[#This Row],[Column9]] * IF($E$2="Deployment",deployment_raw[[#This Row],[Column5]],1))/1048576,"")</f>
        <v/>
      </c>
      <c r="R486" s="57" t="str">
        <f>IF(ISNUMBER(deployment_raw[[#This Row],[Column10]]), (deployment_raw[[#This Row],[Column10]] * IF($E$2="Deployment",deployment_raw[[#This Row],[Column5]],1)),"")</f>
        <v/>
      </c>
      <c r="S486" s="48" t="str">
        <f>IF(ISNUMBER(deployment_raw[[#This Row],[Column11]]), (deployment_raw[[#This Row],[Column11]] * IF($E$2="Deployment",deployment_raw[[#This Row],[Column5]],1))/1048576,"")</f>
        <v/>
      </c>
      <c r="T486" s="59" t="str">
        <f>IF(ISNUMBER(deployment_raw[[#This Row],[Column8]]),IF(OR(deployment_raw[[#This Row],[Column5]] &lt;&gt; 0,$E$2 &lt;&gt; "Deployment"), MAX(V486, ($T$2 * IF($E$2="Deployment",deployment_raw[[#This Row],[Column5]],1))), 0),"")</f>
        <v/>
      </c>
      <c r="U486" s="50" t="str">
        <f>IF(ISNUMBER(deployment_raw[[#This Row],[Column9]]),IF(OR(deployment_raw[[#This Row],[Column5]] &lt;&gt; 0,$E$2&lt;&gt;"Deployment"), MAX(W486, ($U$2 * IF($E$2="Deployment",deployment_raw[[#This Row],[Column5]],1))), 0),"")</f>
        <v/>
      </c>
      <c r="V486" s="15" t="str">
        <f>IF(ISNUMBER(deployment_raw[[#This Row],[Column12]]), (deployment_raw[[#This Row],[Column12]] * IF($E$2="Deployment",deployment_raw[[#This Row],[Column5]],1)*(1+$V$2)),"")</f>
        <v/>
      </c>
      <c r="W486" s="14" t="str">
        <f>IF(ISNUMBER(deployment_raw[[#This Row],[Column13]]), (deployment_raw[[#This Row],[Column13]] * IF($E$2="Deployment",deployment_raw[[#This Row],[Column5]],1)*(1+$W$2))/1048576,"")</f>
        <v/>
      </c>
    </row>
    <row r="487" spans="1:23" ht="15.75" customHeight="1" x14ac:dyDescent="0.25">
      <c r="A487" s="5" t="str">
        <f>IF(ISNONTEXT(deployment_raw[[#This Row],[Column1]]), "", deployment_raw[[#This Row],[Column1]])</f>
        <v/>
      </c>
      <c r="B487" s="6" t="str">
        <f>IF(ISNONTEXT(deployment_raw[[#This Row],[Column2]]), "", deployment_raw[[#This Row],[Column2]])</f>
        <v/>
      </c>
      <c r="C487" s="6" t="str">
        <f>IF(ISNONTEXT(deployment_raw[[#This Row],[Column3]]), "", deployment_raw[[#This Row],[Column3]])</f>
        <v/>
      </c>
      <c r="D487" s="6" t="str">
        <f>IF(ISNONTEXT(deployment_raw[[#This Row],[Column4]]), "", deployment_raw[[#This Row],[Column4]])</f>
        <v/>
      </c>
      <c r="E487" s="7" t="str">
        <f>IF(ISNUMBER(deployment_raw[[#This Row],[Column5]]), deployment_raw[[#This Row],[Column5]],"")</f>
        <v/>
      </c>
      <c r="F487" s="32" t="str">
        <f>IF(ISNUMBER(deployment_raw[[#This Row],[Column17]]), deployment_raw[[#This Row],[Column17]]/IF(OR($E$2="Deployment",deployment_raw[[#This Row],[Column5]]=0),1,deployment_raw[[#This Row],[Column5]]),"")</f>
        <v/>
      </c>
      <c r="G487" s="42" t="str">
        <f>IF(ISNUMBER(deployment_raw[[#This Row],[Column14]]), deployment_raw[[#This Row],[Column14]]/IF(OR($E$2="Deployment",deployment_raw[[#This Row],[Column5]]=0),1,deployment_raw[[#This Row],[Column5]]),"")</f>
        <v/>
      </c>
      <c r="H487" s="79" t="str">
        <f>IF(ISNUMBER(deployment_raw[[#This Row],[Column19]]), IF(I487&lt;&gt;0,(deployment_raw[[#This Row],[Column19]]/IF(OR($E$2="Deployment",deployment_raw[[#This Row],[Column5]]=0),1,deployment_raw[[#This Row],[Column5]]))/I487,0),"")</f>
        <v/>
      </c>
      <c r="I487" s="69" t="str">
        <f>IF(ISNUMBER(deployment_raw[[#This Row],[Column6]]), (deployment_raw[[#This Row],[Column6]] * IF($E$2="Deployment",deployment_raw[[#This Row],[Column5]],1)),"")</f>
        <v/>
      </c>
      <c r="J487" s="79" t="str">
        <f>IF(ISNUMBER(deployment_raw[[#This Row],[Column19]]), IF(K487&lt;&gt;0,(deployment_raw[[#This Row],[Column19]]/IF(OR($E$2="Deployment",deployment_raw[[#This Row],[Column5]]=0),1,deployment_raw[[#This Row],[Column5]]))/K487,0),"")</f>
        <v/>
      </c>
      <c r="K487" s="72" t="str">
        <f>IF(ISNUMBER(deployment_raw[[#This Row],[Column8]]), (deployment_raw[[#This Row],[Column8]]  * IF($E$2="Deployment",deployment_raw[[#This Row],[Column5]],1)),"")</f>
        <v/>
      </c>
      <c r="L48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8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87" s="81" t="str">
        <f>IF(ISNUMBER(deployment_raw[[#This Row],[Column20]]), IF(O487&lt;&gt;0,deployment_raw[[#This Row],[Column20]]/IF(OR($E$2="Deployment",deployment_raw[[#This Row],[Column5]]=0),1,deployment_raw[[#This Row],[Column5]])/1048576/O487,0),"")</f>
        <v/>
      </c>
      <c r="O487" s="74" t="str">
        <f>IF(ISNUMBER(deployment_raw[[#This Row],[Column7]]), (deployment_raw[[#This Row],[Column7]] * IF($E$2="Deployment",deployment_raw[[#This Row],[Column5]],1))/1048576,"")</f>
        <v/>
      </c>
      <c r="P487" s="81" t="str">
        <f>IF(ISNUMBER(deployment_raw[[#This Row],[Column20]]), IF(Q487&lt;&gt;0,deployment_raw[[#This Row],[Column20]]/IF(OR($E$2="Deployment",deployment_raw[[#This Row],[Column5]]=0),1,deployment_raw[[#This Row],[Column5]])/1048576/Q487,0),"")</f>
        <v/>
      </c>
      <c r="Q487" s="76" t="str">
        <f>IF(ISNUMBER(deployment_raw[[#This Row],[Column9]]), (deployment_raw[[#This Row],[Column9]] * IF($E$2="Deployment",deployment_raw[[#This Row],[Column5]],1))/1048576,"")</f>
        <v/>
      </c>
      <c r="R487" s="57" t="str">
        <f>IF(ISNUMBER(deployment_raw[[#This Row],[Column10]]), (deployment_raw[[#This Row],[Column10]] * IF($E$2="Deployment",deployment_raw[[#This Row],[Column5]],1)),"")</f>
        <v/>
      </c>
      <c r="S487" s="48" t="str">
        <f>IF(ISNUMBER(deployment_raw[[#This Row],[Column11]]), (deployment_raw[[#This Row],[Column11]] * IF($E$2="Deployment",deployment_raw[[#This Row],[Column5]],1))/1048576,"")</f>
        <v/>
      </c>
      <c r="T487" s="59" t="str">
        <f>IF(ISNUMBER(deployment_raw[[#This Row],[Column8]]),IF(OR(deployment_raw[[#This Row],[Column5]] &lt;&gt; 0,$E$2 &lt;&gt; "Deployment"), MAX(V487, ($T$2 * IF($E$2="Deployment",deployment_raw[[#This Row],[Column5]],1))), 0),"")</f>
        <v/>
      </c>
      <c r="U487" s="50" t="str">
        <f>IF(ISNUMBER(deployment_raw[[#This Row],[Column9]]),IF(OR(deployment_raw[[#This Row],[Column5]] &lt;&gt; 0,$E$2&lt;&gt;"Deployment"), MAX(W487, ($U$2 * IF($E$2="Deployment",deployment_raw[[#This Row],[Column5]],1))), 0),"")</f>
        <v/>
      </c>
      <c r="V487" s="15" t="str">
        <f>IF(ISNUMBER(deployment_raw[[#This Row],[Column12]]), (deployment_raw[[#This Row],[Column12]] * IF($E$2="Deployment",deployment_raw[[#This Row],[Column5]],1)*(1+$V$2)),"")</f>
        <v/>
      </c>
      <c r="W487" s="14" t="str">
        <f>IF(ISNUMBER(deployment_raw[[#This Row],[Column13]]), (deployment_raw[[#This Row],[Column13]] * IF($E$2="Deployment",deployment_raw[[#This Row],[Column5]],1)*(1+$W$2))/1048576,"")</f>
        <v/>
      </c>
    </row>
    <row r="488" spans="1:23" ht="15.75" customHeight="1" x14ac:dyDescent="0.25">
      <c r="A488" s="5" t="str">
        <f>IF(ISNONTEXT(deployment_raw[[#This Row],[Column1]]), "", deployment_raw[[#This Row],[Column1]])</f>
        <v/>
      </c>
      <c r="B488" s="6" t="str">
        <f>IF(ISNONTEXT(deployment_raw[[#This Row],[Column2]]), "", deployment_raw[[#This Row],[Column2]])</f>
        <v/>
      </c>
      <c r="C488" s="6" t="str">
        <f>IF(ISNONTEXT(deployment_raw[[#This Row],[Column3]]), "", deployment_raw[[#This Row],[Column3]])</f>
        <v/>
      </c>
      <c r="D488" s="6" t="str">
        <f>IF(ISNONTEXT(deployment_raw[[#This Row],[Column4]]), "", deployment_raw[[#This Row],[Column4]])</f>
        <v/>
      </c>
      <c r="E488" s="7" t="str">
        <f>IF(ISNUMBER(deployment_raw[[#This Row],[Column5]]), deployment_raw[[#This Row],[Column5]],"")</f>
        <v/>
      </c>
      <c r="F488" s="32" t="str">
        <f>IF(ISNUMBER(deployment_raw[[#This Row],[Column17]]), deployment_raw[[#This Row],[Column17]]/IF(OR($E$2="Deployment",deployment_raw[[#This Row],[Column5]]=0),1,deployment_raw[[#This Row],[Column5]]),"")</f>
        <v/>
      </c>
      <c r="G488" s="42" t="str">
        <f>IF(ISNUMBER(deployment_raw[[#This Row],[Column14]]), deployment_raw[[#This Row],[Column14]]/IF(OR($E$2="Deployment",deployment_raw[[#This Row],[Column5]]=0),1,deployment_raw[[#This Row],[Column5]]),"")</f>
        <v/>
      </c>
      <c r="H488" s="79" t="str">
        <f>IF(ISNUMBER(deployment_raw[[#This Row],[Column19]]), IF(I488&lt;&gt;0,(deployment_raw[[#This Row],[Column19]]/IF(OR($E$2="Deployment",deployment_raw[[#This Row],[Column5]]=0),1,deployment_raw[[#This Row],[Column5]]))/I488,0),"")</f>
        <v/>
      </c>
      <c r="I488" s="69" t="str">
        <f>IF(ISNUMBER(deployment_raw[[#This Row],[Column6]]), (deployment_raw[[#This Row],[Column6]] * IF($E$2="Deployment",deployment_raw[[#This Row],[Column5]],1)),"")</f>
        <v/>
      </c>
      <c r="J488" s="79" t="str">
        <f>IF(ISNUMBER(deployment_raw[[#This Row],[Column19]]), IF(K488&lt;&gt;0,(deployment_raw[[#This Row],[Column19]]/IF(OR($E$2="Deployment",deployment_raw[[#This Row],[Column5]]=0),1,deployment_raw[[#This Row],[Column5]]))/K488,0),"")</f>
        <v/>
      </c>
      <c r="K488" s="72" t="str">
        <f>IF(ISNUMBER(deployment_raw[[#This Row],[Column8]]), (deployment_raw[[#This Row],[Column8]]  * IF($E$2="Deployment",deployment_raw[[#This Row],[Column5]],1)),"")</f>
        <v/>
      </c>
      <c r="L48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8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88" s="81" t="str">
        <f>IF(ISNUMBER(deployment_raw[[#This Row],[Column20]]), IF(O488&lt;&gt;0,deployment_raw[[#This Row],[Column20]]/IF(OR($E$2="Deployment",deployment_raw[[#This Row],[Column5]]=0),1,deployment_raw[[#This Row],[Column5]])/1048576/O488,0),"")</f>
        <v/>
      </c>
      <c r="O488" s="74" t="str">
        <f>IF(ISNUMBER(deployment_raw[[#This Row],[Column7]]), (deployment_raw[[#This Row],[Column7]] * IF($E$2="Deployment",deployment_raw[[#This Row],[Column5]],1))/1048576,"")</f>
        <v/>
      </c>
      <c r="P488" s="81" t="str">
        <f>IF(ISNUMBER(deployment_raw[[#This Row],[Column20]]), IF(Q488&lt;&gt;0,deployment_raw[[#This Row],[Column20]]/IF(OR($E$2="Deployment",deployment_raw[[#This Row],[Column5]]=0),1,deployment_raw[[#This Row],[Column5]])/1048576/Q488,0),"")</f>
        <v/>
      </c>
      <c r="Q488" s="76" t="str">
        <f>IF(ISNUMBER(deployment_raw[[#This Row],[Column9]]), (deployment_raw[[#This Row],[Column9]] * IF($E$2="Deployment",deployment_raw[[#This Row],[Column5]],1))/1048576,"")</f>
        <v/>
      </c>
      <c r="R488" s="57" t="str">
        <f>IF(ISNUMBER(deployment_raw[[#This Row],[Column10]]), (deployment_raw[[#This Row],[Column10]] * IF($E$2="Deployment",deployment_raw[[#This Row],[Column5]],1)),"")</f>
        <v/>
      </c>
      <c r="S488" s="48" t="str">
        <f>IF(ISNUMBER(deployment_raw[[#This Row],[Column11]]), (deployment_raw[[#This Row],[Column11]] * IF($E$2="Deployment",deployment_raw[[#This Row],[Column5]],1))/1048576,"")</f>
        <v/>
      </c>
      <c r="T488" s="59" t="str">
        <f>IF(ISNUMBER(deployment_raw[[#This Row],[Column8]]),IF(OR(deployment_raw[[#This Row],[Column5]] &lt;&gt; 0,$E$2 &lt;&gt; "Deployment"), MAX(V488, ($T$2 * IF($E$2="Deployment",deployment_raw[[#This Row],[Column5]],1))), 0),"")</f>
        <v/>
      </c>
      <c r="U488" s="50" t="str">
        <f>IF(ISNUMBER(deployment_raw[[#This Row],[Column9]]),IF(OR(deployment_raw[[#This Row],[Column5]] &lt;&gt; 0,$E$2&lt;&gt;"Deployment"), MAX(W488, ($U$2 * IF($E$2="Deployment",deployment_raw[[#This Row],[Column5]],1))), 0),"")</f>
        <v/>
      </c>
      <c r="V488" s="15" t="str">
        <f>IF(ISNUMBER(deployment_raw[[#This Row],[Column12]]), (deployment_raw[[#This Row],[Column12]] * IF($E$2="Deployment",deployment_raw[[#This Row],[Column5]],1)*(1+$V$2)),"")</f>
        <v/>
      </c>
      <c r="W488" s="14" t="str">
        <f>IF(ISNUMBER(deployment_raw[[#This Row],[Column13]]), (deployment_raw[[#This Row],[Column13]] * IF($E$2="Deployment",deployment_raw[[#This Row],[Column5]],1)*(1+$W$2))/1048576,"")</f>
        <v/>
      </c>
    </row>
    <row r="489" spans="1:23" ht="15.75" customHeight="1" x14ac:dyDescent="0.25">
      <c r="A489" s="5" t="str">
        <f>IF(ISNONTEXT(deployment_raw[[#This Row],[Column1]]), "", deployment_raw[[#This Row],[Column1]])</f>
        <v/>
      </c>
      <c r="B489" s="6" t="str">
        <f>IF(ISNONTEXT(deployment_raw[[#This Row],[Column2]]), "", deployment_raw[[#This Row],[Column2]])</f>
        <v/>
      </c>
      <c r="C489" s="6" t="str">
        <f>IF(ISNONTEXT(deployment_raw[[#This Row],[Column3]]), "", deployment_raw[[#This Row],[Column3]])</f>
        <v/>
      </c>
      <c r="D489" s="6" t="str">
        <f>IF(ISNONTEXT(deployment_raw[[#This Row],[Column4]]), "", deployment_raw[[#This Row],[Column4]])</f>
        <v/>
      </c>
      <c r="E489" s="7" t="str">
        <f>IF(ISNUMBER(deployment_raw[[#This Row],[Column5]]), deployment_raw[[#This Row],[Column5]],"")</f>
        <v/>
      </c>
      <c r="F489" s="32" t="str">
        <f>IF(ISNUMBER(deployment_raw[[#This Row],[Column17]]), deployment_raw[[#This Row],[Column17]]/IF(OR($E$2="Deployment",deployment_raw[[#This Row],[Column5]]=0),1,deployment_raw[[#This Row],[Column5]]),"")</f>
        <v/>
      </c>
      <c r="G489" s="42" t="str">
        <f>IF(ISNUMBER(deployment_raw[[#This Row],[Column14]]), deployment_raw[[#This Row],[Column14]]/IF(OR($E$2="Deployment",deployment_raw[[#This Row],[Column5]]=0),1,deployment_raw[[#This Row],[Column5]]),"")</f>
        <v/>
      </c>
      <c r="H489" s="79" t="str">
        <f>IF(ISNUMBER(deployment_raw[[#This Row],[Column19]]), IF(I489&lt;&gt;0,(deployment_raw[[#This Row],[Column19]]/IF(OR($E$2="Deployment",deployment_raw[[#This Row],[Column5]]=0),1,deployment_raw[[#This Row],[Column5]]))/I489,0),"")</f>
        <v/>
      </c>
      <c r="I489" s="69" t="str">
        <f>IF(ISNUMBER(deployment_raw[[#This Row],[Column6]]), (deployment_raw[[#This Row],[Column6]] * IF($E$2="Deployment",deployment_raw[[#This Row],[Column5]],1)),"")</f>
        <v/>
      </c>
      <c r="J489" s="79" t="str">
        <f>IF(ISNUMBER(deployment_raw[[#This Row],[Column19]]), IF(K489&lt;&gt;0,(deployment_raw[[#This Row],[Column19]]/IF(OR($E$2="Deployment",deployment_raw[[#This Row],[Column5]]=0),1,deployment_raw[[#This Row],[Column5]]))/K489,0),"")</f>
        <v/>
      </c>
      <c r="K489" s="72" t="str">
        <f>IF(ISNUMBER(deployment_raw[[#This Row],[Column8]]), (deployment_raw[[#This Row],[Column8]]  * IF($E$2="Deployment",deployment_raw[[#This Row],[Column5]],1)),"")</f>
        <v/>
      </c>
      <c r="L48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8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89" s="81" t="str">
        <f>IF(ISNUMBER(deployment_raw[[#This Row],[Column20]]), IF(O489&lt;&gt;0,deployment_raw[[#This Row],[Column20]]/IF(OR($E$2="Deployment",deployment_raw[[#This Row],[Column5]]=0),1,deployment_raw[[#This Row],[Column5]])/1048576/O489,0),"")</f>
        <v/>
      </c>
      <c r="O489" s="74" t="str">
        <f>IF(ISNUMBER(deployment_raw[[#This Row],[Column7]]), (deployment_raw[[#This Row],[Column7]] * IF($E$2="Deployment",deployment_raw[[#This Row],[Column5]],1))/1048576,"")</f>
        <v/>
      </c>
      <c r="P489" s="81" t="str">
        <f>IF(ISNUMBER(deployment_raw[[#This Row],[Column20]]), IF(Q489&lt;&gt;0,deployment_raw[[#This Row],[Column20]]/IF(OR($E$2="Deployment",deployment_raw[[#This Row],[Column5]]=0),1,deployment_raw[[#This Row],[Column5]])/1048576/Q489,0),"")</f>
        <v/>
      </c>
      <c r="Q489" s="76" t="str">
        <f>IF(ISNUMBER(deployment_raw[[#This Row],[Column9]]), (deployment_raw[[#This Row],[Column9]] * IF($E$2="Deployment",deployment_raw[[#This Row],[Column5]],1))/1048576,"")</f>
        <v/>
      </c>
      <c r="R489" s="57" t="str">
        <f>IF(ISNUMBER(deployment_raw[[#This Row],[Column10]]), (deployment_raw[[#This Row],[Column10]] * IF($E$2="Deployment",deployment_raw[[#This Row],[Column5]],1)),"")</f>
        <v/>
      </c>
      <c r="S489" s="48" t="str">
        <f>IF(ISNUMBER(deployment_raw[[#This Row],[Column11]]), (deployment_raw[[#This Row],[Column11]] * IF($E$2="Deployment",deployment_raw[[#This Row],[Column5]],1))/1048576,"")</f>
        <v/>
      </c>
      <c r="T489" s="59" t="str">
        <f>IF(ISNUMBER(deployment_raw[[#This Row],[Column8]]),IF(OR(deployment_raw[[#This Row],[Column5]] &lt;&gt; 0,$E$2 &lt;&gt; "Deployment"), MAX(V489, ($T$2 * IF($E$2="Deployment",deployment_raw[[#This Row],[Column5]],1))), 0),"")</f>
        <v/>
      </c>
      <c r="U489" s="50" t="str">
        <f>IF(ISNUMBER(deployment_raw[[#This Row],[Column9]]),IF(OR(deployment_raw[[#This Row],[Column5]] &lt;&gt; 0,$E$2&lt;&gt;"Deployment"), MAX(W489, ($U$2 * IF($E$2="Deployment",deployment_raw[[#This Row],[Column5]],1))), 0),"")</f>
        <v/>
      </c>
      <c r="V489" s="15" t="str">
        <f>IF(ISNUMBER(deployment_raw[[#This Row],[Column12]]), (deployment_raw[[#This Row],[Column12]] * IF($E$2="Deployment",deployment_raw[[#This Row],[Column5]],1)*(1+$V$2)),"")</f>
        <v/>
      </c>
      <c r="W489" s="14" t="str">
        <f>IF(ISNUMBER(deployment_raw[[#This Row],[Column13]]), (deployment_raw[[#This Row],[Column13]] * IF($E$2="Deployment",deployment_raw[[#This Row],[Column5]],1)*(1+$W$2))/1048576,"")</f>
        <v/>
      </c>
    </row>
    <row r="490" spans="1:23" ht="15.75" customHeight="1" x14ac:dyDescent="0.25">
      <c r="A490" s="5" t="str">
        <f>IF(ISNONTEXT(deployment_raw[[#This Row],[Column1]]), "", deployment_raw[[#This Row],[Column1]])</f>
        <v/>
      </c>
      <c r="B490" s="6" t="str">
        <f>IF(ISNONTEXT(deployment_raw[[#This Row],[Column2]]), "", deployment_raw[[#This Row],[Column2]])</f>
        <v/>
      </c>
      <c r="C490" s="6" t="str">
        <f>IF(ISNONTEXT(deployment_raw[[#This Row],[Column3]]), "", deployment_raw[[#This Row],[Column3]])</f>
        <v/>
      </c>
      <c r="D490" s="6" t="str">
        <f>IF(ISNONTEXT(deployment_raw[[#This Row],[Column4]]), "", deployment_raw[[#This Row],[Column4]])</f>
        <v/>
      </c>
      <c r="E490" s="7" t="str">
        <f>IF(ISNUMBER(deployment_raw[[#This Row],[Column5]]), deployment_raw[[#This Row],[Column5]],"")</f>
        <v/>
      </c>
      <c r="F490" s="32" t="str">
        <f>IF(ISNUMBER(deployment_raw[[#This Row],[Column17]]), deployment_raw[[#This Row],[Column17]]/IF(OR($E$2="Deployment",deployment_raw[[#This Row],[Column5]]=0),1,deployment_raw[[#This Row],[Column5]]),"")</f>
        <v/>
      </c>
      <c r="G490" s="42" t="str">
        <f>IF(ISNUMBER(deployment_raw[[#This Row],[Column14]]), deployment_raw[[#This Row],[Column14]]/IF(OR($E$2="Deployment",deployment_raw[[#This Row],[Column5]]=0),1,deployment_raw[[#This Row],[Column5]]),"")</f>
        <v/>
      </c>
      <c r="H490" s="79" t="str">
        <f>IF(ISNUMBER(deployment_raw[[#This Row],[Column19]]), IF(I490&lt;&gt;0,(deployment_raw[[#This Row],[Column19]]/IF(OR($E$2="Deployment",deployment_raw[[#This Row],[Column5]]=0),1,deployment_raw[[#This Row],[Column5]]))/I490,0),"")</f>
        <v/>
      </c>
      <c r="I490" s="69" t="str">
        <f>IF(ISNUMBER(deployment_raw[[#This Row],[Column6]]), (deployment_raw[[#This Row],[Column6]] * IF($E$2="Deployment",deployment_raw[[#This Row],[Column5]],1)),"")</f>
        <v/>
      </c>
      <c r="J490" s="79" t="str">
        <f>IF(ISNUMBER(deployment_raw[[#This Row],[Column19]]), IF(K490&lt;&gt;0,(deployment_raw[[#This Row],[Column19]]/IF(OR($E$2="Deployment",deployment_raw[[#This Row],[Column5]]=0),1,deployment_raw[[#This Row],[Column5]]))/K490,0),"")</f>
        <v/>
      </c>
      <c r="K490" s="72" t="str">
        <f>IF(ISNUMBER(deployment_raw[[#This Row],[Column8]]), (deployment_raw[[#This Row],[Column8]]  * IF($E$2="Deployment",deployment_raw[[#This Row],[Column5]],1)),"")</f>
        <v/>
      </c>
      <c r="L49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9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90" s="81" t="str">
        <f>IF(ISNUMBER(deployment_raw[[#This Row],[Column20]]), IF(O490&lt;&gt;0,deployment_raw[[#This Row],[Column20]]/IF(OR($E$2="Deployment",deployment_raw[[#This Row],[Column5]]=0),1,deployment_raw[[#This Row],[Column5]])/1048576/O490,0),"")</f>
        <v/>
      </c>
      <c r="O490" s="74" t="str">
        <f>IF(ISNUMBER(deployment_raw[[#This Row],[Column7]]), (deployment_raw[[#This Row],[Column7]] * IF($E$2="Deployment",deployment_raw[[#This Row],[Column5]],1))/1048576,"")</f>
        <v/>
      </c>
      <c r="P490" s="81" t="str">
        <f>IF(ISNUMBER(deployment_raw[[#This Row],[Column20]]), IF(Q490&lt;&gt;0,deployment_raw[[#This Row],[Column20]]/IF(OR($E$2="Deployment",deployment_raw[[#This Row],[Column5]]=0),1,deployment_raw[[#This Row],[Column5]])/1048576/Q490,0),"")</f>
        <v/>
      </c>
      <c r="Q490" s="76" t="str">
        <f>IF(ISNUMBER(deployment_raw[[#This Row],[Column9]]), (deployment_raw[[#This Row],[Column9]] * IF($E$2="Deployment",deployment_raw[[#This Row],[Column5]],1))/1048576,"")</f>
        <v/>
      </c>
      <c r="R490" s="57" t="str">
        <f>IF(ISNUMBER(deployment_raw[[#This Row],[Column10]]), (deployment_raw[[#This Row],[Column10]] * IF($E$2="Deployment",deployment_raw[[#This Row],[Column5]],1)),"")</f>
        <v/>
      </c>
      <c r="S490" s="48" t="str">
        <f>IF(ISNUMBER(deployment_raw[[#This Row],[Column11]]), (deployment_raw[[#This Row],[Column11]] * IF($E$2="Deployment",deployment_raw[[#This Row],[Column5]],1))/1048576,"")</f>
        <v/>
      </c>
      <c r="T490" s="59" t="str">
        <f>IF(ISNUMBER(deployment_raw[[#This Row],[Column8]]),IF(OR(deployment_raw[[#This Row],[Column5]] &lt;&gt; 0,$E$2 &lt;&gt; "Deployment"), MAX(V490, ($T$2 * IF($E$2="Deployment",deployment_raw[[#This Row],[Column5]],1))), 0),"")</f>
        <v/>
      </c>
      <c r="U490" s="50" t="str">
        <f>IF(ISNUMBER(deployment_raw[[#This Row],[Column9]]),IF(OR(deployment_raw[[#This Row],[Column5]] &lt;&gt; 0,$E$2&lt;&gt;"Deployment"), MAX(W490, ($U$2 * IF($E$2="Deployment",deployment_raw[[#This Row],[Column5]],1))), 0),"")</f>
        <v/>
      </c>
      <c r="V490" s="15" t="str">
        <f>IF(ISNUMBER(deployment_raw[[#This Row],[Column12]]), (deployment_raw[[#This Row],[Column12]] * IF($E$2="Deployment",deployment_raw[[#This Row],[Column5]],1)*(1+$V$2)),"")</f>
        <v/>
      </c>
      <c r="W490" s="14" t="str">
        <f>IF(ISNUMBER(deployment_raw[[#This Row],[Column13]]), (deployment_raw[[#This Row],[Column13]] * IF($E$2="Deployment",deployment_raw[[#This Row],[Column5]],1)*(1+$W$2))/1048576,"")</f>
        <v/>
      </c>
    </row>
    <row r="491" spans="1:23" ht="15.75" customHeight="1" x14ac:dyDescent="0.25">
      <c r="A491" s="5" t="str">
        <f>IF(ISNONTEXT(deployment_raw[[#This Row],[Column1]]), "", deployment_raw[[#This Row],[Column1]])</f>
        <v/>
      </c>
      <c r="B491" s="6" t="str">
        <f>IF(ISNONTEXT(deployment_raw[[#This Row],[Column2]]), "", deployment_raw[[#This Row],[Column2]])</f>
        <v/>
      </c>
      <c r="C491" s="6" t="str">
        <f>IF(ISNONTEXT(deployment_raw[[#This Row],[Column3]]), "", deployment_raw[[#This Row],[Column3]])</f>
        <v/>
      </c>
      <c r="D491" s="6" t="str">
        <f>IF(ISNONTEXT(deployment_raw[[#This Row],[Column4]]), "", deployment_raw[[#This Row],[Column4]])</f>
        <v/>
      </c>
      <c r="E491" s="7" t="str">
        <f>IF(ISNUMBER(deployment_raw[[#This Row],[Column5]]), deployment_raw[[#This Row],[Column5]],"")</f>
        <v/>
      </c>
      <c r="F491" s="32" t="str">
        <f>IF(ISNUMBER(deployment_raw[[#This Row],[Column17]]), deployment_raw[[#This Row],[Column17]]/IF(OR($E$2="Deployment",deployment_raw[[#This Row],[Column5]]=0),1,deployment_raw[[#This Row],[Column5]]),"")</f>
        <v/>
      </c>
      <c r="G491" s="42" t="str">
        <f>IF(ISNUMBER(deployment_raw[[#This Row],[Column14]]), deployment_raw[[#This Row],[Column14]]/IF(OR($E$2="Deployment",deployment_raw[[#This Row],[Column5]]=0),1,deployment_raw[[#This Row],[Column5]]),"")</f>
        <v/>
      </c>
      <c r="H491" s="79" t="str">
        <f>IF(ISNUMBER(deployment_raw[[#This Row],[Column19]]), IF(I491&lt;&gt;0,(deployment_raw[[#This Row],[Column19]]/IF(OR($E$2="Deployment",deployment_raw[[#This Row],[Column5]]=0),1,deployment_raw[[#This Row],[Column5]]))/I491,0),"")</f>
        <v/>
      </c>
      <c r="I491" s="69" t="str">
        <f>IF(ISNUMBER(deployment_raw[[#This Row],[Column6]]), (deployment_raw[[#This Row],[Column6]] * IF($E$2="Deployment",deployment_raw[[#This Row],[Column5]],1)),"")</f>
        <v/>
      </c>
      <c r="J491" s="79" t="str">
        <f>IF(ISNUMBER(deployment_raw[[#This Row],[Column19]]), IF(K491&lt;&gt;0,(deployment_raw[[#This Row],[Column19]]/IF(OR($E$2="Deployment",deployment_raw[[#This Row],[Column5]]=0),1,deployment_raw[[#This Row],[Column5]]))/K491,0),"")</f>
        <v/>
      </c>
      <c r="K491" s="72" t="str">
        <f>IF(ISNUMBER(deployment_raw[[#This Row],[Column8]]), (deployment_raw[[#This Row],[Column8]]  * IF($E$2="Deployment",deployment_raw[[#This Row],[Column5]],1)),"")</f>
        <v/>
      </c>
      <c r="L49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9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91" s="81" t="str">
        <f>IF(ISNUMBER(deployment_raw[[#This Row],[Column20]]), IF(O491&lt;&gt;0,deployment_raw[[#This Row],[Column20]]/IF(OR($E$2="Deployment",deployment_raw[[#This Row],[Column5]]=0),1,deployment_raw[[#This Row],[Column5]])/1048576/O491,0),"")</f>
        <v/>
      </c>
      <c r="O491" s="74" t="str">
        <f>IF(ISNUMBER(deployment_raw[[#This Row],[Column7]]), (deployment_raw[[#This Row],[Column7]] * IF($E$2="Deployment",deployment_raw[[#This Row],[Column5]],1))/1048576,"")</f>
        <v/>
      </c>
      <c r="P491" s="81" t="str">
        <f>IF(ISNUMBER(deployment_raw[[#This Row],[Column20]]), IF(Q491&lt;&gt;0,deployment_raw[[#This Row],[Column20]]/IF(OR($E$2="Deployment",deployment_raw[[#This Row],[Column5]]=0),1,deployment_raw[[#This Row],[Column5]])/1048576/Q491,0),"")</f>
        <v/>
      </c>
      <c r="Q491" s="76" t="str">
        <f>IF(ISNUMBER(deployment_raw[[#This Row],[Column9]]), (deployment_raw[[#This Row],[Column9]] * IF($E$2="Deployment",deployment_raw[[#This Row],[Column5]],1))/1048576,"")</f>
        <v/>
      </c>
      <c r="R491" s="57" t="str">
        <f>IF(ISNUMBER(deployment_raw[[#This Row],[Column10]]), (deployment_raw[[#This Row],[Column10]] * IF($E$2="Deployment",deployment_raw[[#This Row],[Column5]],1)),"")</f>
        <v/>
      </c>
      <c r="S491" s="48" t="str">
        <f>IF(ISNUMBER(deployment_raw[[#This Row],[Column11]]), (deployment_raw[[#This Row],[Column11]] * IF($E$2="Deployment",deployment_raw[[#This Row],[Column5]],1))/1048576,"")</f>
        <v/>
      </c>
      <c r="T491" s="59" t="str">
        <f>IF(ISNUMBER(deployment_raw[[#This Row],[Column8]]),IF(OR(deployment_raw[[#This Row],[Column5]] &lt;&gt; 0,$E$2 &lt;&gt; "Deployment"), MAX(V491, ($T$2 * IF($E$2="Deployment",deployment_raw[[#This Row],[Column5]],1))), 0),"")</f>
        <v/>
      </c>
      <c r="U491" s="50" t="str">
        <f>IF(ISNUMBER(deployment_raw[[#This Row],[Column9]]),IF(OR(deployment_raw[[#This Row],[Column5]] &lt;&gt; 0,$E$2&lt;&gt;"Deployment"), MAX(W491, ($U$2 * IF($E$2="Deployment",deployment_raw[[#This Row],[Column5]],1))), 0),"")</f>
        <v/>
      </c>
      <c r="V491" s="15" t="str">
        <f>IF(ISNUMBER(deployment_raw[[#This Row],[Column12]]), (deployment_raw[[#This Row],[Column12]] * IF($E$2="Deployment",deployment_raw[[#This Row],[Column5]],1)*(1+$V$2)),"")</f>
        <v/>
      </c>
      <c r="W491" s="14" t="str">
        <f>IF(ISNUMBER(deployment_raw[[#This Row],[Column13]]), (deployment_raw[[#This Row],[Column13]] * IF($E$2="Deployment",deployment_raw[[#This Row],[Column5]],1)*(1+$W$2))/1048576,"")</f>
        <v/>
      </c>
    </row>
    <row r="492" spans="1:23" ht="15.75" customHeight="1" x14ac:dyDescent="0.25">
      <c r="A492" s="5" t="str">
        <f>IF(ISNONTEXT(deployment_raw[[#This Row],[Column1]]), "", deployment_raw[[#This Row],[Column1]])</f>
        <v/>
      </c>
      <c r="B492" s="6" t="str">
        <f>IF(ISNONTEXT(deployment_raw[[#This Row],[Column2]]), "", deployment_raw[[#This Row],[Column2]])</f>
        <v/>
      </c>
      <c r="C492" s="6" t="str">
        <f>IF(ISNONTEXT(deployment_raw[[#This Row],[Column3]]), "", deployment_raw[[#This Row],[Column3]])</f>
        <v/>
      </c>
      <c r="D492" s="6" t="str">
        <f>IF(ISNONTEXT(deployment_raw[[#This Row],[Column4]]), "", deployment_raw[[#This Row],[Column4]])</f>
        <v/>
      </c>
      <c r="E492" s="7" t="str">
        <f>IF(ISNUMBER(deployment_raw[[#This Row],[Column5]]), deployment_raw[[#This Row],[Column5]],"")</f>
        <v/>
      </c>
      <c r="F492" s="32" t="str">
        <f>IF(ISNUMBER(deployment_raw[[#This Row],[Column17]]), deployment_raw[[#This Row],[Column17]]/IF(OR($E$2="Deployment",deployment_raw[[#This Row],[Column5]]=0),1,deployment_raw[[#This Row],[Column5]]),"")</f>
        <v/>
      </c>
      <c r="G492" s="42" t="str">
        <f>IF(ISNUMBER(deployment_raw[[#This Row],[Column14]]), deployment_raw[[#This Row],[Column14]]/IF(OR($E$2="Deployment",deployment_raw[[#This Row],[Column5]]=0),1,deployment_raw[[#This Row],[Column5]]),"")</f>
        <v/>
      </c>
      <c r="H492" s="79" t="str">
        <f>IF(ISNUMBER(deployment_raw[[#This Row],[Column19]]), IF(I492&lt;&gt;0,(deployment_raw[[#This Row],[Column19]]/IF(OR($E$2="Deployment",deployment_raw[[#This Row],[Column5]]=0),1,deployment_raw[[#This Row],[Column5]]))/I492,0),"")</f>
        <v/>
      </c>
      <c r="I492" s="69" t="str">
        <f>IF(ISNUMBER(deployment_raw[[#This Row],[Column6]]), (deployment_raw[[#This Row],[Column6]] * IF($E$2="Deployment",deployment_raw[[#This Row],[Column5]],1)),"")</f>
        <v/>
      </c>
      <c r="J492" s="79" t="str">
        <f>IF(ISNUMBER(deployment_raw[[#This Row],[Column19]]), IF(K492&lt;&gt;0,(deployment_raw[[#This Row],[Column19]]/IF(OR($E$2="Deployment",deployment_raw[[#This Row],[Column5]]=0),1,deployment_raw[[#This Row],[Column5]]))/K492,0),"")</f>
        <v/>
      </c>
      <c r="K492" s="72" t="str">
        <f>IF(ISNUMBER(deployment_raw[[#This Row],[Column8]]), (deployment_raw[[#This Row],[Column8]]  * IF($E$2="Deployment",deployment_raw[[#This Row],[Column5]],1)),"")</f>
        <v/>
      </c>
      <c r="L49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9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92" s="81" t="str">
        <f>IF(ISNUMBER(deployment_raw[[#This Row],[Column20]]), IF(O492&lt;&gt;0,deployment_raw[[#This Row],[Column20]]/IF(OR($E$2="Deployment",deployment_raw[[#This Row],[Column5]]=0),1,deployment_raw[[#This Row],[Column5]])/1048576/O492,0),"")</f>
        <v/>
      </c>
      <c r="O492" s="74" t="str">
        <f>IF(ISNUMBER(deployment_raw[[#This Row],[Column7]]), (deployment_raw[[#This Row],[Column7]] * IF($E$2="Deployment",deployment_raw[[#This Row],[Column5]],1))/1048576,"")</f>
        <v/>
      </c>
      <c r="P492" s="81" t="str">
        <f>IF(ISNUMBER(deployment_raw[[#This Row],[Column20]]), IF(Q492&lt;&gt;0,deployment_raw[[#This Row],[Column20]]/IF(OR($E$2="Deployment",deployment_raw[[#This Row],[Column5]]=0),1,deployment_raw[[#This Row],[Column5]])/1048576/Q492,0),"")</f>
        <v/>
      </c>
      <c r="Q492" s="76" t="str">
        <f>IF(ISNUMBER(deployment_raw[[#This Row],[Column9]]), (deployment_raw[[#This Row],[Column9]] * IF($E$2="Deployment",deployment_raw[[#This Row],[Column5]],1))/1048576,"")</f>
        <v/>
      </c>
      <c r="R492" s="57" t="str">
        <f>IF(ISNUMBER(deployment_raw[[#This Row],[Column10]]), (deployment_raw[[#This Row],[Column10]] * IF($E$2="Deployment",deployment_raw[[#This Row],[Column5]],1)),"")</f>
        <v/>
      </c>
      <c r="S492" s="48" t="str">
        <f>IF(ISNUMBER(deployment_raw[[#This Row],[Column11]]), (deployment_raw[[#This Row],[Column11]] * IF($E$2="Deployment",deployment_raw[[#This Row],[Column5]],1))/1048576,"")</f>
        <v/>
      </c>
      <c r="T492" s="59" t="str">
        <f>IF(ISNUMBER(deployment_raw[[#This Row],[Column8]]),IF(OR(deployment_raw[[#This Row],[Column5]] &lt;&gt; 0,$E$2 &lt;&gt; "Deployment"), MAX(V492, ($T$2 * IF($E$2="Deployment",deployment_raw[[#This Row],[Column5]],1))), 0),"")</f>
        <v/>
      </c>
      <c r="U492" s="50" t="str">
        <f>IF(ISNUMBER(deployment_raw[[#This Row],[Column9]]),IF(OR(deployment_raw[[#This Row],[Column5]] &lt;&gt; 0,$E$2&lt;&gt;"Deployment"), MAX(W492, ($U$2 * IF($E$2="Deployment",deployment_raw[[#This Row],[Column5]],1))), 0),"")</f>
        <v/>
      </c>
      <c r="V492" s="15" t="str">
        <f>IF(ISNUMBER(deployment_raw[[#This Row],[Column12]]), (deployment_raw[[#This Row],[Column12]] * IF($E$2="Deployment",deployment_raw[[#This Row],[Column5]],1)*(1+$V$2)),"")</f>
        <v/>
      </c>
      <c r="W492" s="14" t="str">
        <f>IF(ISNUMBER(deployment_raw[[#This Row],[Column13]]), (deployment_raw[[#This Row],[Column13]] * IF($E$2="Deployment",deployment_raw[[#This Row],[Column5]],1)*(1+$W$2))/1048576,"")</f>
        <v/>
      </c>
    </row>
    <row r="493" spans="1:23" ht="15.75" customHeight="1" x14ac:dyDescent="0.25">
      <c r="A493" s="5" t="str">
        <f>IF(ISNONTEXT(deployment_raw[[#This Row],[Column1]]), "", deployment_raw[[#This Row],[Column1]])</f>
        <v/>
      </c>
      <c r="B493" s="6" t="str">
        <f>IF(ISNONTEXT(deployment_raw[[#This Row],[Column2]]), "", deployment_raw[[#This Row],[Column2]])</f>
        <v/>
      </c>
      <c r="C493" s="6" t="str">
        <f>IF(ISNONTEXT(deployment_raw[[#This Row],[Column3]]), "", deployment_raw[[#This Row],[Column3]])</f>
        <v/>
      </c>
      <c r="D493" s="6" t="str">
        <f>IF(ISNONTEXT(deployment_raw[[#This Row],[Column4]]), "", deployment_raw[[#This Row],[Column4]])</f>
        <v/>
      </c>
      <c r="E493" s="7" t="str">
        <f>IF(ISNUMBER(deployment_raw[[#This Row],[Column5]]), deployment_raw[[#This Row],[Column5]],"")</f>
        <v/>
      </c>
      <c r="F493" s="32" t="str">
        <f>IF(ISNUMBER(deployment_raw[[#This Row],[Column17]]), deployment_raw[[#This Row],[Column17]]/IF(OR($E$2="Deployment",deployment_raw[[#This Row],[Column5]]=0),1,deployment_raw[[#This Row],[Column5]]),"")</f>
        <v/>
      </c>
      <c r="G493" s="42" t="str">
        <f>IF(ISNUMBER(deployment_raw[[#This Row],[Column14]]), deployment_raw[[#This Row],[Column14]]/IF(OR($E$2="Deployment",deployment_raw[[#This Row],[Column5]]=0),1,deployment_raw[[#This Row],[Column5]]),"")</f>
        <v/>
      </c>
      <c r="H493" s="79" t="str">
        <f>IF(ISNUMBER(deployment_raw[[#This Row],[Column19]]), IF(I493&lt;&gt;0,(deployment_raw[[#This Row],[Column19]]/IF(OR($E$2="Deployment",deployment_raw[[#This Row],[Column5]]=0),1,deployment_raw[[#This Row],[Column5]]))/I493,0),"")</f>
        <v/>
      </c>
      <c r="I493" s="69" t="str">
        <f>IF(ISNUMBER(deployment_raw[[#This Row],[Column6]]), (deployment_raw[[#This Row],[Column6]] * IF($E$2="Deployment",deployment_raw[[#This Row],[Column5]],1)),"")</f>
        <v/>
      </c>
      <c r="J493" s="79" t="str">
        <f>IF(ISNUMBER(deployment_raw[[#This Row],[Column19]]), IF(K493&lt;&gt;0,(deployment_raw[[#This Row],[Column19]]/IF(OR($E$2="Deployment",deployment_raw[[#This Row],[Column5]]=0),1,deployment_raw[[#This Row],[Column5]]))/K493,0),"")</f>
        <v/>
      </c>
      <c r="K493" s="72" t="str">
        <f>IF(ISNUMBER(deployment_raw[[#This Row],[Column8]]), (deployment_raw[[#This Row],[Column8]]  * IF($E$2="Deployment",deployment_raw[[#This Row],[Column5]],1)),"")</f>
        <v/>
      </c>
      <c r="L49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9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93" s="81" t="str">
        <f>IF(ISNUMBER(deployment_raw[[#This Row],[Column20]]), IF(O493&lt;&gt;0,deployment_raw[[#This Row],[Column20]]/IF(OR($E$2="Deployment",deployment_raw[[#This Row],[Column5]]=0),1,deployment_raw[[#This Row],[Column5]])/1048576/O493,0),"")</f>
        <v/>
      </c>
      <c r="O493" s="74" t="str">
        <f>IF(ISNUMBER(deployment_raw[[#This Row],[Column7]]), (deployment_raw[[#This Row],[Column7]] * IF($E$2="Deployment",deployment_raw[[#This Row],[Column5]],1))/1048576,"")</f>
        <v/>
      </c>
      <c r="P493" s="81" t="str">
        <f>IF(ISNUMBER(deployment_raw[[#This Row],[Column20]]), IF(Q493&lt;&gt;0,deployment_raw[[#This Row],[Column20]]/IF(OR($E$2="Deployment",deployment_raw[[#This Row],[Column5]]=0),1,deployment_raw[[#This Row],[Column5]])/1048576/Q493,0),"")</f>
        <v/>
      </c>
      <c r="Q493" s="76" t="str">
        <f>IF(ISNUMBER(deployment_raw[[#This Row],[Column9]]), (deployment_raw[[#This Row],[Column9]] * IF($E$2="Deployment",deployment_raw[[#This Row],[Column5]],1))/1048576,"")</f>
        <v/>
      </c>
      <c r="R493" s="57" t="str">
        <f>IF(ISNUMBER(deployment_raw[[#This Row],[Column10]]), (deployment_raw[[#This Row],[Column10]] * IF($E$2="Deployment",deployment_raw[[#This Row],[Column5]],1)),"")</f>
        <v/>
      </c>
      <c r="S493" s="48" t="str">
        <f>IF(ISNUMBER(deployment_raw[[#This Row],[Column11]]), (deployment_raw[[#This Row],[Column11]] * IF($E$2="Deployment",deployment_raw[[#This Row],[Column5]],1))/1048576,"")</f>
        <v/>
      </c>
      <c r="T493" s="59" t="str">
        <f>IF(ISNUMBER(deployment_raw[[#This Row],[Column8]]),IF(OR(deployment_raw[[#This Row],[Column5]] &lt;&gt; 0,$E$2 &lt;&gt; "Deployment"), MAX(V493, ($T$2 * IF($E$2="Deployment",deployment_raw[[#This Row],[Column5]],1))), 0),"")</f>
        <v/>
      </c>
      <c r="U493" s="50" t="str">
        <f>IF(ISNUMBER(deployment_raw[[#This Row],[Column9]]),IF(OR(deployment_raw[[#This Row],[Column5]] &lt;&gt; 0,$E$2&lt;&gt;"Deployment"), MAX(W493, ($U$2 * IF($E$2="Deployment",deployment_raw[[#This Row],[Column5]],1))), 0),"")</f>
        <v/>
      </c>
      <c r="V493" s="15" t="str">
        <f>IF(ISNUMBER(deployment_raw[[#This Row],[Column12]]), (deployment_raw[[#This Row],[Column12]] * IF($E$2="Deployment",deployment_raw[[#This Row],[Column5]],1)*(1+$V$2)),"")</f>
        <v/>
      </c>
      <c r="W493" s="14" t="str">
        <f>IF(ISNUMBER(deployment_raw[[#This Row],[Column13]]), (deployment_raw[[#This Row],[Column13]] * IF($E$2="Deployment",deployment_raw[[#This Row],[Column5]],1)*(1+$W$2))/1048576,"")</f>
        <v/>
      </c>
    </row>
    <row r="494" spans="1:23" ht="15.75" customHeight="1" x14ac:dyDescent="0.25">
      <c r="A494" s="5" t="str">
        <f>IF(ISNONTEXT(deployment_raw[[#This Row],[Column1]]), "", deployment_raw[[#This Row],[Column1]])</f>
        <v/>
      </c>
      <c r="B494" s="6" t="str">
        <f>IF(ISNONTEXT(deployment_raw[[#This Row],[Column2]]), "", deployment_raw[[#This Row],[Column2]])</f>
        <v/>
      </c>
      <c r="C494" s="6" t="str">
        <f>IF(ISNONTEXT(deployment_raw[[#This Row],[Column3]]), "", deployment_raw[[#This Row],[Column3]])</f>
        <v/>
      </c>
      <c r="D494" s="6" t="str">
        <f>IF(ISNONTEXT(deployment_raw[[#This Row],[Column4]]), "", deployment_raw[[#This Row],[Column4]])</f>
        <v/>
      </c>
      <c r="E494" s="7" t="str">
        <f>IF(ISNUMBER(deployment_raw[[#This Row],[Column5]]), deployment_raw[[#This Row],[Column5]],"")</f>
        <v/>
      </c>
      <c r="F494" s="32" t="str">
        <f>IF(ISNUMBER(deployment_raw[[#This Row],[Column17]]), deployment_raw[[#This Row],[Column17]]/IF(OR($E$2="Deployment",deployment_raw[[#This Row],[Column5]]=0),1,deployment_raw[[#This Row],[Column5]]),"")</f>
        <v/>
      </c>
      <c r="G494" s="42" t="str">
        <f>IF(ISNUMBER(deployment_raw[[#This Row],[Column14]]), deployment_raw[[#This Row],[Column14]]/IF(OR($E$2="Deployment",deployment_raw[[#This Row],[Column5]]=0),1,deployment_raw[[#This Row],[Column5]]),"")</f>
        <v/>
      </c>
      <c r="H494" s="79" t="str">
        <f>IF(ISNUMBER(deployment_raw[[#This Row],[Column19]]), IF(I494&lt;&gt;0,(deployment_raw[[#This Row],[Column19]]/IF(OR($E$2="Deployment",deployment_raw[[#This Row],[Column5]]=0),1,deployment_raw[[#This Row],[Column5]]))/I494,0),"")</f>
        <v/>
      </c>
      <c r="I494" s="69" t="str">
        <f>IF(ISNUMBER(deployment_raw[[#This Row],[Column6]]), (deployment_raw[[#This Row],[Column6]] * IF($E$2="Deployment",deployment_raw[[#This Row],[Column5]],1)),"")</f>
        <v/>
      </c>
      <c r="J494" s="79" t="str">
        <f>IF(ISNUMBER(deployment_raw[[#This Row],[Column19]]), IF(K494&lt;&gt;0,(deployment_raw[[#This Row],[Column19]]/IF(OR($E$2="Deployment",deployment_raw[[#This Row],[Column5]]=0),1,deployment_raw[[#This Row],[Column5]]))/K494,0),"")</f>
        <v/>
      </c>
      <c r="K494" s="72" t="str">
        <f>IF(ISNUMBER(deployment_raw[[#This Row],[Column8]]), (deployment_raw[[#This Row],[Column8]]  * IF($E$2="Deployment",deployment_raw[[#This Row],[Column5]],1)),"")</f>
        <v/>
      </c>
      <c r="L49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9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94" s="81" t="str">
        <f>IF(ISNUMBER(deployment_raw[[#This Row],[Column20]]), IF(O494&lt;&gt;0,deployment_raw[[#This Row],[Column20]]/IF(OR($E$2="Deployment",deployment_raw[[#This Row],[Column5]]=0),1,deployment_raw[[#This Row],[Column5]])/1048576/O494,0),"")</f>
        <v/>
      </c>
      <c r="O494" s="74" t="str">
        <f>IF(ISNUMBER(deployment_raw[[#This Row],[Column7]]), (deployment_raw[[#This Row],[Column7]] * IF($E$2="Deployment",deployment_raw[[#This Row],[Column5]],1))/1048576,"")</f>
        <v/>
      </c>
      <c r="P494" s="81" t="str">
        <f>IF(ISNUMBER(deployment_raw[[#This Row],[Column20]]), IF(Q494&lt;&gt;0,deployment_raw[[#This Row],[Column20]]/IF(OR($E$2="Deployment",deployment_raw[[#This Row],[Column5]]=0),1,deployment_raw[[#This Row],[Column5]])/1048576/Q494,0),"")</f>
        <v/>
      </c>
      <c r="Q494" s="76" t="str">
        <f>IF(ISNUMBER(deployment_raw[[#This Row],[Column9]]), (deployment_raw[[#This Row],[Column9]] * IF($E$2="Deployment",deployment_raw[[#This Row],[Column5]],1))/1048576,"")</f>
        <v/>
      </c>
      <c r="R494" s="57" t="str">
        <f>IF(ISNUMBER(deployment_raw[[#This Row],[Column10]]), (deployment_raw[[#This Row],[Column10]] * IF($E$2="Deployment",deployment_raw[[#This Row],[Column5]],1)),"")</f>
        <v/>
      </c>
      <c r="S494" s="48" t="str">
        <f>IF(ISNUMBER(deployment_raw[[#This Row],[Column11]]), (deployment_raw[[#This Row],[Column11]] * IF($E$2="Deployment",deployment_raw[[#This Row],[Column5]],1))/1048576,"")</f>
        <v/>
      </c>
      <c r="T494" s="59" t="str">
        <f>IF(ISNUMBER(deployment_raw[[#This Row],[Column8]]),IF(OR(deployment_raw[[#This Row],[Column5]] &lt;&gt; 0,$E$2 &lt;&gt; "Deployment"), MAX(V494, ($T$2 * IF($E$2="Deployment",deployment_raw[[#This Row],[Column5]],1))), 0),"")</f>
        <v/>
      </c>
      <c r="U494" s="50" t="str">
        <f>IF(ISNUMBER(deployment_raw[[#This Row],[Column9]]),IF(OR(deployment_raw[[#This Row],[Column5]] &lt;&gt; 0,$E$2&lt;&gt;"Deployment"), MAX(W494, ($U$2 * IF($E$2="Deployment",deployment_raw[[#This Row],[Column5]],1))), 0),"")</f>
        <v/>
      </c>
      <c r="V494" s="15" t="str">
        <f>IF(ISNUMBER(deployment_raw[[#This Row],[Column12]]), (deployment_raw[[#This Row],[Column12]] * IF($E$2="Deployment",deployment_raw[[#This Row],[Column5]],1)*(1+$V$2)),"")</f>
        <v/>
      </c>
      <c r="W494" s="14" t="str">
        <f>IF(ISNUMBER(deployment_raw[[#This Row],[Column13]]), (deployment_raw[[#This Row],[Column13]] * IF($E$2="Deployment",deployment_raw[[#This Row],[Column5]],1)*(1+$W$2))/1048576,"")</f>
        <v/>
      </c>
    </row>
    <row r="495" spans="1:23" ht="15.75" customHeight="1" x14ac:dyDescent="0.25">
      <c r="A495" s="5" t="str">
        <f>IF(ISNONTEXT(deployment_raw[[#This Row],[Column1]]), "", deployment_raw[[#This Row],[Column1]])</f>
        <v/>
      </c>
      <c r="B495" s="6" t="str">
        <f>IF(ISNONTEXT(deployment_raw[[#This Row],[Column2]]), "", deployment_raw[[#This Row],[Column2]])</f>
        <v/>
      </c>
      <c r="C495" s="6" t="str">
        <f>IF(ISNONTEXT(deployment_raw[[#This Row],[Column3]]), "", deployment_raw[[#This Row],[Column3]])</f>
        <v/>
      </c>
      <c r="D495" s="6" t="str">
        <f>IF(ISNONTEXT(deployment_raw[[#This Row],[Column4]]), "", deployment_raw[[#This Row],[Column4]])</f>
        <v/>
      </c>
      <c r="E495" s="7" t="str">
        <f>IF(ISNUMBER(deployment_raw[[#This Row],[Column5]]), deployment_raw[[#This Row],[Column5]],"")</f>
        <v/>
      </c>
      <c r="F495" s="32" t="str">
        <f>IF(ISNUMBER(deployment_raw[[#This Row],[Column17]]), deployment_raw[[#This Row],[Column17]]/IF(OR($E$2="Deployment",deployment_raw[[#This Row],[Column5]]=0),1,deployment_raw[[#This Row],[Column5]]),"")</f>
        <v/>
      </c>
      <c r="G495" s="42" t="str">
        <f>IF(ISNUMBER(deployment_raw[[#This Row],[Column14]]), deployment_raw[[#This Row],[Column14]]/IF(OR($E$2="Deployment",deployment_raw[[#This Row],[Column5]]=0),1,deployment_raw[[#This Row],[Column5]]),"")</f>
        <v/>
      </c>
      <c r="H495" s="79" t="str">
        <f>IF(ISNUMBER(deployment_raw[[#This Row],[Column19]]), IF(I495&lt;&gt;0,(deployment_raw[[#This Row],[Column19]]/IF(OR($E$2="Deployment",deployment_raw[[#This Row],[Column5]]=0),1,deployment_raw[[#This Row],[Column5]]))/I495,0),"")</f>
        <v/>
      </c>
      <c r="I495" s="69" t="str">
        <f>IF(ISNUMBER(deployment_raw[[#This Row],[Column6]]), (deployment_raw[[#This Row],[Column6]] * IF($E$2="Deployment",deployment_raw[[#This Row],[Column5]],1)),"")</f>
        <v/>
      </c>
      <c r="J495" s="79" t="str">
        <f>IF(ISNUMBER(deployment_raw[[#This Row],[Column19]]), IF(K495&lt;&gt;0,(deployment_raw[[#This Row],[Column19]]/IF(OR($E$2="Deployment",deployment_raw[[#This Row],[Column5]]=0),1,deployment_raw[[#This Row],[Column5]]))/K495,0),"")</f>
        <v/>
      </c>
      <c r="K495" s="72" t="str">
        <f>IF(ISNUMBER(deployment_raw[[#This Row],[Column8]]), (deployment_raw[[#This Row],[Column8]]  * IF($E$2="Deployment",deployment_raw[[#This Row],[Column5]],1)),"")</f>
        <v/>
      </c>
      <c r="L49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9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95" s="81" t="str">
        <f>IF(ISNUMBER(deployment_raw[[#This Row],[Column20]]), IF(O495&lt;&gt;0,deployment_raw[[#This Row],[Column20]]/IF(OR($E$2="Deployment",deployment_raw[[#This Row],[Column5]]=0),1,deployment_raw[[#This Row],[Column5]])/1048576/O495,0),"")</f>
        <v/>
      </c>
      <c r="O495" s="74" t="str">
        <f>IF(ISNUMBER(deployment_raw[[#This Row],[Column7]]), (deployment_raw[[#This Row],[Column7]] * IF($E$2="Deployment",deployment_raw[[#This Row],[Column5]],1))/1048576,"")</f>
        <v/>
      </c>
      <c r="P495" s="81" t="str">
        <f>IF(ISNUMBER(deployment_raw[[#This Row],[Column20]]), IF(Q495&lt;&gt;0,deployment_raw[[#This Row],[Column20]]/IF(OR($E$2="Deployment",deployment_raw[[#This Row],[Column5]]=0),1,deployment_raw[[#This Row],[Column5]])/1048576/Q495,0),"")</f>
        <v/>
      </c>
      <c r="Q495" s="76" t="str">
        <f>IF(ISNUMBER(deployment_raw[[#This Row],[Column9]]), (deployment_raw[[#This Row],[Column9]] * IF($E$2="Deployment",deployment_raw[[#This Row],[Column5]],1))/1048576,"")</f>
        <v/>
      </c>
      <c r="R495" s="57" t="str">
        <f>IF(ISNUMBER(deployment_raw[[#This Row],[Column10]]), (deployment_raw[[#This Row],[Column10]] * IF($E$2="Deployment",deployment_raw[[#This Row],[Column5]],1)),"")</f>
        <v/>
      </c>
      <c r="S495" s="48" t="str">
        <f>IF(ISNUMBER(deployment_raw[[#This Row],[Column11]]), (deployment_raw[[#This Row],[Column11]] * IF($E$2="Deployment",deployment_raw[[#This Row],[Column5]],1))/1048576,"")</f>
        <v/>
      </c>
      <c r="T495" s="59" t="str">
        <f>IF(ISNUMBER(deployment_raw[[#This Row],[Column8]]),IF(OR(deployment_raw[[#This Row],[Column5]] &lt;&gt; 0,$E$2 &lt;&gt; "Deployment"), MAX(V495, ($T$2 * IF($E$2="Deployment",deployment_raw[[#This Row],[Column5]],1))), 0),"")</f>
        <v/>
      </c>
      <c r="U495" s="50" t="str">
        <f>IF(ISNUMBER(deployment_raw[[#This Row],[Column9]]),IF(OR(deployment_raw[[#This Row],[Column5]] &lt;&gt; 0,$E$2&lt;&gt;"Deployment"), MAX(W495, ($U$2 * IF($E$2="Deployment",deployment_raw[[#This Row],[Column5]],1))), 0),"")</f>
        <v/>
      </c>
      <c r="V495" s="15" t="str">
        <f>IF(ISNUMBER(deployment_raw[[#This Row],[Column12]]), (deployment_raw[[#This Row],[Column12]] * IF($E$2="Deployment",deployment_raw[[#This Row],[Column5]],1)*(1+$V$2)),"")</f>
        <v/>
      </c>
      <c r="W495" s="14" t="str">
        <f>IF(ISNUMBER(deployment_raw[[#This Row],[Column13]]), (deployment_raw[[#This Row],[Column13]] * IF($E$2="Deployment",deployment_raw[[#This Row],[Column5]],1)*(1+$W$2))/1048576,"")</f>
        <v/>
      </c>
    </row>
    <row r="496" spans="1:23" ht="15.75" customHeight="1" x14ac:dyDescent="0.25">
      <c r="A496" s="5" t="str">
        <f>IF(ISNONTEXT(deployment_raw[[#This Row],[Column1]]), "", deployment_raw[[#This Row],[Column1]])</f>
        <v/>
      </c>
      <c r="B496" s="6" t="str">
        <f>IF(ISNONTEXT(deployment_raw[[#This Row],[Column2]]), "", deployment_raw[[#This Row],[Column2]])</f>
        <v/>
      </c>
      <c r="C496" s="6" t="str">
        <f>IF(ISNONTEXT(deployment_raw[[#This Row],[Column3]]), "", deployment_raw[[#This Row],[Column3]])</f>
        <v/>
      </c>
      <c r="D496" s="6" t="str">
        <f>IF(ISNONTEXT(deployment_raw[[#This Row],[Column4]]), "", deployment_raw[[#This Row],[Column4]])</f>
        <v/>
      </c>
      <c r="E496" s="7" t="str">
        <f>IF(ISNUMBER(deployment_raw[[#This Row],[Column5]]), deployment_raw[[#This Row],[Column5]],"")</f>
        <v/>
      </c>
      <c r="F496" s="32" t="str">
        <f>IF(ISNUMBER(deployment_raw[[#This Row],[Column17]]), deployment_raw[[#This Row],[Column17]]/IF(OR($E$2="Deployment",deployment_raw[[#This Row],[Column5]]=0),1,deployment_raw[[#This Row],[Column5]]),"")</f>
        <v/>
      </c>
      <c r="G496" s="42" t="str">
        <f>IF(ISNUMBER(deployment_raw[[#This Row],[Column14]]), deployment_raw[[#This Row],[Column14]]/IF(OR($E$2="Deployment",deployment_raw[[#This Row],[Column5]]=0),1,deployment_raw[[#This Row],[Column5]]),"")</f>
        <v/>
      </c>
      <c r="H496" s="79" t="str">
        <f>IF(ISNUMBER(deployment_raw[[#This Row],[Column19]]), IF(I496&lt;&gt;0,(deployment_raw[[#This Row],[Column19]]/IF(OR($E$2="Deployment",deployment_raw[[#This Row],[Column5]]=0),1,deployment_raw[[#This Row],[Column5]]))/I496,0),"")</f>
        <v/>
      </c>
      <c r="I496" s="69" t="str">
        <f>IF(ISNUMBER(deployment_raw[[#This Row],[Column6]]), (deployment_raw[[#This Row],[Column6]] * IF($E$2="Deployment",deployment_raw[[#This Row],[Column5]],1)),"")</f>
        <v/>
      </c>
      <c r="J496" s="79" t="str">
        <f>IF(ISNUMBER(deployment_raw[[#This Row],[Column19]]), IF(K496&lt;&gt;0,(deployment_raw[[#This Row],[Column19]]/IF(OR($E$2="Deployment",deployment_raw[[#This Row],[Column5]]=0),1,deployment_raw[[#This Row],[Column5]]))/K496,0),"")</f>
        <v/>
      </c>
      <c r="K496" s="72" t="str">
        <f>IF(ISNUMBER(deployment_raw[[#This Row],[Column8]]), (deployment_raw[[#This Row],[Column8]]  * IF($E$2="Deployment",deployment_raw[[#This Row],[Column5]],1)),"")</f>
        <v/>
      </c>
      <c r="L49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9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96" s="81" t="str">
        <f>IF(ISNUMBER(deployment_raw[[#This Row],[Column20]]), IF(O496&lt;&gt;0,deployment_raw[[#This Row],[Column20]]/IF(OR($E$2="Deployment",deployment_raw[[#This Row],[Column5]]=0),1,deployment_raw[[#This Row],[Column5]])/1048576/O496,0),"")</f>
        <v/>
      </c>
      <c r="O496" s="74" t="str">
        <f>IF(ISNUMBER(deployment_raw[[#This Row],[Column7]]), (deployment_raw[[#This Row],[Column7]] * IF($E$2="Deployment",deployment_raw[[#This Row],[Column5]],1))/1048576,"")</f>
        <v/>
      </c>
      <c r="P496" s="81" t="str">
        <f>IF(ISNUMBER(deployment_raw[[#This Row],[Column20]]), IF(Q496&lt;&gt;0,deployment_raw[[#This Row],[Column20]]/IF(OR($E$2="Deployment",deployment_raw[[#This Row],[Column5]]=0),1,deployment_raw[[#This Row],[Column5]])/1048576/Q496,0),"")</f>
        <v/>
      </c>
      <c r="Q496" s="76" t="str">
        <f>IF(ISNUMBER(deployment_raw[[#This Row],[Column9]]), (deployment_raw[[#This Row],[Column9]] * IF($E$2="Deployment",deployment_raw[[#This Row],[Column5]],1))/1048576,"")</f>
        <v/>
      </c>
      <c r="R496" s="57" t="str">
        <f>IF(ISNUMBER(deployment_raw[[#This Row],[Column10]]), (deployment_raw[[#This Row],[Column10]] * IF($E$2="Deployment",deployment_raw[[#This Row],[Column5]],1)),"")</f>
        <v/>
      </c>
      <c r="S496" s="48" t="str">
        <f>IF(ISNUMBER(deployment_raw[[#This Row],[Column11]]), (deployment_raw[[#This Row],[Column11]] * IF($E$2="Deployment",deployment_raw[[#This Row],[Column5]],1))/1048576,"")</f>
        <v/>
      </c>
      <c r="T496" s="59" t="str">
        <f>IF(ISNUMBER(deployment_raw[[#This Row],[Column8]]),IF(OR(deployment_raw[[#This Row],[Column5]] &lt;&gt; 0,$E$2 &lt;&gt; "Deployment"), MAX(V496, ($T$2 * IF($E$2="Deployment",deployment_raw[[#This Row],[Column5]],1))), 0),"")</f>
        <v/>
      </c>
      <c r="U496" s="50" t="str">
        <f>IF(ISNUMBER(deployment_raw[[#This Row],[Column9]]),IF(OR(deployment_raw[[#This Row],[Column5]] &lt;&gt; 0,$E$2&lt;&gt;"Deployment"), MAX(W496, ($U$2 * IF($E$2="Deployment",deployment_raw[[#This Row],[Column5]],1))), 0),"")</f>
        <v/>
      </c>
      <c r="V496" s="15" t="str">
        <f>IF(ISNUMBER(deployment_raw[[#This Row],[Column12]]), (deployment_raw[[#This Row],[Column12]] * IF($E$2="Deployment",deployment_raw[[#This Row],[Column5]],1)*(1+$V$2)),"")</f>
        <v/>
      </c>
      <c r="W496" s="14" t="str">
        <f>IF(ISNUMBER(deployment_raw[[#This Row],[Column13]]), (deployment_raw[[#This Row],[Column13]] * IF($E$2="Deployment",deployment_raw[[#This Row],[Column5]],1)*(1+$W$2))/1048576,"")</f>
        <v/>
      </c>
    </row>
    <row r="497" spans="1:23" ht="15.75" customHeight="1" x14ac:dyDescent="0.25">
      <c r="A497" s="5" t="str">
        <f>IF(ISNONTEXT(deployment_raw[[#This Row],[Column1]]), "", deployment_raw[[#This Row],[Column1]])</f>
        <v/>
      </c>
      <c r="B497" s="6" t="str">
        <f>IF(ISNONTEXT(deployment_raw[[#This Row],[Column2]]), "", deployment_raw[[#This Row],[Column2]])</f>
        <v/>
      </c>
      <c r="C497" s="6" t="str">
        <f>IF(ISNONTEXT(deployment_raw[[#This Row],[Column3]]), "", deployment_raw[[#This Row],[Column3]])</f>
        <v/>
      </c>
      <c r="D497" s="6" t="str">
        <f>IF(ISNONTEXT(deployment_raw[[#This Row],[Column4]]), "", deployment_raw[[#This Row],[Column4]])</f>
        <v/>
      </c>
      <c r="E497" s="7" t="str">
        <f>IF(ISNUMBER(deployment_raw[[#This Row],[Column5]]), deployment_raw[[#This Row],[Column5]],"")</f>
        <v/>
      </c>
      <c r="F497" s="32" t="str">
        <f>IF(ISNUMBER(deployment_raw[[#This Row],[Column17]]), deployment_raw[[#This Row],[Column17]]/IF(OR($E$2="Deployment",deployment_raw[[#This Row],[Column5]]=0),1,deployment_raw[[#This Row],[Column5]]),"")</f>
        <v/>
      </c>
      <c r="G497" s="42" t="str">
        <f>IF(ISNUMBER(deployment_raw[[#This Row],[Column14]]), deployment_raw[[#This Row],[Column14]]/IF(OR($E$2="Deployment",deployment_raw[[#This Row],[Column5]]=0),1,deployment_raw[[#This Row],[Column5]]),"")</f>
        <v/>
      </c>
      <c r="H497" s="79" t="str">
        <f>IF(ISNUMBER(deployment_raw[[#This Row],[Column19]]), IF(I497&lt;&gt;0,(deployment_raw[[#This Row],[Column19]]/IF(OR($E$2="Deployment",deployment_raw[[#This Row],[Column5]]=0),1,deployment_raw[[#This Row],[Column5]]))/I497,0),"")</f>
        <v/>
      </c>
      <c r="I497" s="69" t="str">
        <f>IF(ISNUMBER(deployment_raw[[#This Row],[Column6]]), (deployment_raw[[#This Row],[Column6]] * IF($E$2="Deployment",deployment_raw[[#This Row],[Column5]],1)),"")</f>
        <v/>
      </c>
      <c r="J497" s="79" t="str">
        <f>IF(ISNUMBER(deployment_raw[[#This Row],[Column19]]), IF(K497&lt;&gt;0,(deployment_raw[[#This Row],[Column19]]/IF(OR($E$2="Deployment",deployment_raw[[#This Row],[Column5]]=0),1,deployment_raw[[#This Row],[Column5]]))/K497,0),"")</f>
        <v/>
      </c>
      <c r="K497" s="72" t="str">
        <f>IF(ISNUMBER(deployment_raw[[#This Row],[Column8]]), (deployment_raw[[#This Row],[Column8]]  * IF($E$2="Deployment",deployment_raw[[#This Row],[Column5]],1)),"")</f>
        <v/>
      </c>
      <c r="L49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9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97" s="81" t="str">
        <f>IF(ISNUMBER(deployment_raw[[#This Row],[Column20]]), IF(O497&lt;&gt;0,deployment_raw[[#This Row],[Column20]]/IF(OR($E$2="Deployment",deployment_raw[[#This Row],[Column5]]=0),1,deployment_raw[[#This Row],[Column5]])/1048576/O497,0),"")</f>
        <v/>
      </c>
      <c r="O497" s="74" t="str">
        <f>IF(ISNUMBER(deployment_raw[[#This Row],[Column7]]), (deployment_raw[[#This Row],[Column7]] * IF($E$2="Deployment",deployment_raw[[#This Row],[Column5]],1))/1048576,"")</f>
        <v/>
      </c>
      <c r="P497" s="81" t="str">
        <f>IF(ISNUMBER(deployment_raw[[#This Row],[Column20]]), IF(Q497&lt;&gt;0,deployment_raw[[#This Row],[Column20]]/IF(OR($E$2="Deployment",deployment_raw[[#This Row],[Column5]]=0),1,deployment_raw[[#This Row],[Column5]])/1048576/Q497,0),"")</f>
        <v/>
      </c>
      <c r="Q497" s="76" t="str">
        <f>IF(ISNUMBER(deployment_raw[[#This Row],[Column9]]), (deployment_raw[[#This Row],[Column9]] * IF($E$2="Deployment",deployment_raw[[#This Row],[Column5]],1))/1048576,"")</f>
        <v/>
      </c>
      <c r="R497" s="57" t="str">
        <f>IF(ISNUMBER(deployment_raw[[#This Row],[Column10]]), (deployment_raw[[#This Row],[Column10]] * IF($E$2="Deployment",deployment_raw[[#This Row],[Column5]],1)),"")</f>
        <v/>
      </c>
      <c r="S497" s="48" t="str">
        <f>IF(ISNUMBER(deployment_raw[[#This Row],[Column11]]), (deployment_raw[[#This Row],[Column11]] * IF($E$2="Deployment",deployment_raw[[#This Row],[Column5]],1))/1048576,"")</f>
        <v/>
      </c>
      <c r="T497" s="59" t="str">
        <f>IF(ISNUMBER(deployment_raw[[#This Row],[Column8]]),IF(OR(deployment_raw[[#This Row],[Column5]] &lt;&gt; 0,$E$2 &lt;&gt; "Deployment"), MAX(V497, ($T$2 * IF($E$2="Deployment",deployment_raw[[#This Row],[Column5]],1))), 0),"")</f>
        <v/>
      </c>
      <c r="U497" s="50" t="str">
        <f>IF(ISNUMBER(deployment_raw[[#This Row],[Column9]]),IF(OR(deployment_raw[[#This Row],[Column5]] &lt;&gt; 0,$E$2&lt;&gt;"Deployment"), MAX(W497, ($U$2 * IF($E$2="Deployment",deployment_raw[[#This Row],[Column5]],1))), 0),"")</f>
        <v/>
      </c>
      <c r="V497" s="15" t="str">
        <f>IF(ISNUMBER(deployment_raw[[#This Row],[Column12]]), (deployment_raw[[#This Row],[Column12]] * IF($E$2="Deployment",deployment_raw[[#This Row],[Column5]],1)*(1+$V$2)),"")</f>
        <v/>
      </c>
      <c r="W497" s="14" t="str">
        <f>IF(ISNUMBER(deployment_raw[[#This Row],[Column13]]), (deployment_raw[[#This Row],[Column13]] * IF($E$2="Deployment",deployment_raw[[#This Row],[Column5]],1)*(1+$W$2))/1048576,"")</f>
        <v/>
      </c>
    </row>
    <row r="498" spans="1:23" ht="15.75" customHeight="1" x14ac:dyDescent="0.25">
      <c r="A498" s="5" t="str">
        <f>IF(ISNONTEXT(deployment_raw[[#This Row],[Column1]]), "", deployment_raw[[#This Row],[Column1]])</f>
        <v/>
      </c>
      <c r="B498" s="6" t="str">
        <f>IF(ISNONTEXT(deployment_raw[[#This Row],[Column2]]), "", deployment_raw[[#This Row],[Column2]])</f>
        <v/>
      </c>
      <c r="C498" s="6" t="str">
        <f>IF(ISNONTEXT(deployment_raw[[#This Row],[Column3]]), "", deployment_raw[[#This Row],[Column3]])</f>
        <v/>
      </c>
      <c r="D498" s="6" t="str">
        <f>IF(ISNONTEXT(deployment_raw[[#This Row],[Column4]]), "", deployment_raw[[#This Row],[Column4]])</f>
        <v/>
      </c>
      <c r="E498" s="7" t="str">
        <f>IF(ISNUMBER(deployment_raw[[#This Row],[Column5]]), deployment_raw[[#This Row],[Column5]],"")</f>
        <v/>
      </c>
      <c r="F498" s="32" t="str">
        <f>IF(ISNUMBER(deployment_raw[[#This Row],[Column17]]), deployment_raw[[#This Row],[Column17]]/IF(OR($E$2="Deployment",deployment_raw[[#This Row],[Column5]]=0),1,deployment_raw[[#This Row],[Column5]]),"")</f>
        <v/>
      </c>
      <c r="G498" s="42" t="str">
        <f>IF(ISNUMBER(deployment_raw[[#This Row],[Column14]]), deployment_raw[[#This Row],[Column14]]/IF(OR($E$2="Deployment",deployment_raw[[#This Row],[Column5]]=0),1,deployment_raw[[#This Row],[Column5]]),"")</f>
        <v/>
      </c>
      <c r="H498" s="79" t="str">
        <f>IF(ISNUMBER(deployment_raw[[#This Row],[Column19]]), IF(I498&lt;&gt;0,(deployment_raw[[#This Row],[Column19]]/IF(OR($E$2="Deployment",deployment_raw[[#This Row],[Column5]]=0),1,deployment_raw[[#This Row],[Column5]]))/I498,0),"")</f>
        <v/>
      </c>
      <c r="I498" s="69" t="str">
        <f>IF(ISNUMBER(deployment_raw[[#This Row],[Column6]]), (deployment_raw[[#This Row],[Column6]] * IF($E$2="Deployment",deployment_raw[[#This Row],[Column5]],1)),"")</f>
        <v/>
      </c>
      <c r="J498" s="79" t="str">
        <f>IF(ISNUMBER(deployment_raw[[#This Row],[Column19]]), IF(K498&lt;&gt;0,(deployment_raw[[#This Row],[Column19]]/IF(OR($E$2="Deployment",deployment_raw[[#This Row],[Column5]]=0),1,deployment_raw[[#This Row],[Column5]]))/K498,0),"")</f>
        <v/>
      </c>
      <c r="K498" s="72" t="str">
        <f>IF(ISNUMBER(deployment_raw[[#This Row],[Column8]]), (deployment_raw[[#This Row],[Column8]]  * IF($E$2="Deployment",deployment_raw[[#This Row],[Column5]],1)),"")</f>
        <v/>
      </c>
      <c r="L49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9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98" s="81" t="str">
        <f>IF(ISNUMBER(deployment_raw[[#This Row],[Column20]]), IF(O498&lt;&gt;0,deployment_raw[[#This Row],[Column20]]/IF(OR($E$2="Deployment",deployment_raw[[#This Row],[Column5]]=0),1,deployment_raw[[#This Row],[Column5]])/1048576/O498,0),"")</f>
        <v/>
      </c>
      <c r="O498" s="74" t="str">
        <f>IF(ISNUMBER(deployment_raw[[#This Row],[Column7]]), (deployment_raw[[#This Row],[Column7]] * IF($E$2="Deployment",deployment_raw[[#This Row],[Column5]],1))/1048576,"")</f>
        <v/>
      </c>
      <c r="P498" s="81" t="str">
        <f>IF(ISNUMBER(deployment_raw[[#This Row],[Column20]]), IF(Q498&lt;&gt;0,deployment_raw[[#This Row],[Column20]]/IF(OR($E$2="Deployment",deployment_raw[[#This Row],[Column5]]=0),1,deployment_raw[[#This Row],[Column5]])/1048576/Q498,0),"")</f>
        <v/>
      </c>
      <c r="Q498" s="76" t="str">
        <f>IF(ISNUMBER(deployment_raw[[#This Row],[Column9]]), (deployment_raw[[#This Row],[Column9]] * IF($E$2="Deployment",deployment_raw[[#This Row],[Column5]],1))/1048576,"")</f>
        <v/>
      </c>
      <c r="R498" s="57" t="str">
        <f>IF(ISNUMBER(deployment_raw[[#This Row],[Column10]]), (deployment_raw[[#This Row],[Column10]] * IF($E$2="Deployment",deployment_raw[[#This Row],[Column5]],1)),"")</f>
        <v/>
      </c>
      <c r="S498" s="48" t="str">
        <f>IF(ISNUMBER(deployment_raw[[#This Row],[Column11]]), (deployment_raw[[#This Row],[Column11]] * IF($E$2="Deployment",deployment_raw[[#This Row],[Column5]],1))/1048576,"")</f>
        <v/>
      </c>
      <c r="T498" s="59" t="str">
        <f>IF(ISNUMBER(deployment_raw[[#This Row],[Column8]]),IF(OR(deployment_raw[[#This Row],[Column5]] &lt;&gt; 0,$E$2 &lt;&gt; "Deployment"), MAX(V498, ($T$2 * IF($E$2="Deployment",deployment_raw[[#This Row],[Column5]],1))), 0),"")</f>
        <v/>
      </c>
      <c r="U498" s="50" t="str">
        <f>IF(ISNUMBER(deployment_raw[[#This Row],[Column9]]),IF(OR(deployment_raw[[#This Row],[Column5]] &lt;&gt; 0,$E$2&lt;&gt;"Deployment"), MAX(W498, ($U$2 * IF($E$2="Deployment",deployment_raw[[#This Row],[Column5]],1))), 0),"")</f>
        <v/>
      </c>
      <c r="V498" s="15" t="str">
        <f>IF(ISNUMBER(deployment_raw[[#This Row],[Column12]]), (deployment_raw[[#This Row],[Column12]] * IF($E$2="Deployment",deployment_raw[[#This Row],[Column5]],1)*(1+$V$2)),"")</f>
        <v/>
      </c>
      <c r="W498" s="14" t="str">
        <f>IF(ISNUMBER(deployment_raw[[#This Row],[Column13]]), (deployment_raw[[#This Row],[Column13]] * IF($E$2="Deployment",deployment_raw[[#This Row],[Column5]],1)*(1+$W$2))/1048576,"")</f>
        <v/>
      </c>
    </row>
    <row r="499" spans="1:23" ht="15.75" customHeight="1" x14ac:dyDescent="0.25">
      <c r="A499" s="5" t="str">
        <f>IF(ISNONTEXT(deployment_raw[[#This Row],[Column1]]), "", deployment_raw[[#This Row],[Column1]])</f>
        <v/>
      </c>
      <c r="B499" s="6" t="str">
        <f>IF(ISNONTEXT(deployment_raw[[#This Row],[Column2]]), "", deployment_raw[[#This Row],[Column2]])</f>
        <v/>
      </c>
      <c r="C499" s="6" t="str">
        <f>IF(ISNONTEXT(deployment_raw[[#This Row],[Column3]]), "", deployment_raw[[#This Row],[Column3]])</f>
        <v/>
      </c>
      <c r="D499" s="6" t="str">
        <f>IF(ISNONTEXT(deployment_raw[[#This Row],[Column4]]), "", deployment_raw[[#This Row],[Column4]])</f>
        <v/>
      </c>
      <c r="E499" s="7" t="str">
        <f>IF(ISNUMBER(deployment_raw[[#This Row],[Column5]]), deployment_raw[[#This Row],[Column5]],"")</f>
        <v/>
      </c>
      <c r="F499" s="32" t="str">
        <f>IF(ISNUMBER(deployment_raw[[#This Row],[Column17]]), deployment_raw[[#This Row],[Column17]]/IF(OR($E$2="Deployment",deployment_raw[[#This Row],[Column5]]=0),1,deployment_raw[[#This Row],[Column5]]),"")</f>
        <v/>
      </c>
      <c r="G499" s="42" t="str">
        <f>IF(ISNUMBER(deployment_raw[[#This Row],[Column14]]), deployment_raw[[#This Row],[Column14]]/IF(OR($E$2="Deployment",deployment_raw[[#This Row],[Column5]]=0),1,deployment_raw[[#This Row],[Column5]]),"")</f>
        <v/>
      </c>
      <c r="H499" s="79" t="str">
        <f>IF(ISNUMBER(deployment_raw[[#This Row],[Column19]]), IF(I499&lt;&gt;0,(deployment_raw[[#This Row],[Column19]]/IF(OR($E$2="Deployment",deployment_raw[[#This Row],[Column5]]=0),1,deployment_raw[[#This Row],[Column5]]))/I499,0),"")</f>
        <v/>
      </c>
      <c r="I499" s="69" t="str">
        <f>IF(ISNUMBER(deployment_raw[[#This Row],[Column6]]), (deployment_raw[[#This Row],[Column6]] * IF($E$2="Deployment",deployment_raw[[#This Row],[Column5]],1)),"")</f>
        <v/>
      </c>
      <c r="J499" s="79" t="str">
        <f>IF(ISNUMBER(deployment_raw[[#This Row],[Column19]]), IF(K499&lt;&gt;0,(deployment_raw[[#This Row],[Column19]]/IF(OR($E$2="Deployment",deployment_raw[[#This Row],[Column5]]=0),1,deployment_raw[[#This Row],[Column5]]))/K499,0),"")</f>
        <v/>
      </c>
      <c r="K499" s="72" t="str">
        <f>IF(ISNUMBER(deployment_raw[[#This Row],[Column8]]), (deployment_raw[[#This Row],[Column8]]  * IF($E$2="Deployment",deployment_raw[[#This Row],[Column5]],1)),"")</f>
        <v/>
      </c>
      <c r="L49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9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99" s="81" t="str">
        <f>IF(ISNUMBER(deployment_raw[[#This Row],[Column20]]), IF(O499&lt;&gt;0,deployment_raw[[#This Row],[Column20]]/IF(OR($E$2="Deployment",deployment_raw[[#This Row],[Column5]]=0),1,deployment_raw[[#This Row],[Column5]])/1048576/O499,0),"")</f>
        <v/>
      </c>
      <c r="O499" s="74" t="str">
        <f>IF(ISNUMBER(deployment_raw[[#This Row],[Column7]]), (deployment_raw[[#This Row],[Column7]] * IF($E$2="Deployment",deployment_raw[[#This Row],[Column5]],1))/1048576,"")</f>
        <v/>
      </c>
      <c r="P499" s="81" t="str">
        <f>IF(ISNUMBER(deployment_raw[[#This Row],[Column20]]), IF(Q499&lt;&gt;0,deployment_raw[[#This Row],[Column20]]/IF(OR($E$2="Deployment",deployment_raw[[#This Row],[Column5]]=0),1,deployment_raw[[#This Row],[Column5]])/1048576/Q499,0),"")</f>
        <v/>
      </c>
      <c r="Q499" s="76" t="str">
        <f>IF(ISNUMBER(deployment_raw[[#This Row],[Column9]]), (deployment_raw[[#This Row],[Column9]] * IF($E$2="Deployment",deployment_raw[[#This Row],[Column5]],1))/1048576,"")</f>
        <v/>
      </c>
      <c r="R499" s="57" t="str">
        <f>IF(ISNUMBER(deployment_raw[[#This Row],[Column10]]), (deployment_raw[[#This Row],[Column10]] * IF($E$2="Deployment",deployment_raw[[#This Row],[Column5]],1)),"")</f>
        <v/>
      </c>
      <c r="S499" s="48" t="str">
        <f>IF(ISNUMBER(deployment_raw[[#This Row],[Column11]]), (deployment_raw[[#This Row],[Column11]] * IF($E$2="Deployment",deployment_raw[[#This Row],[Column5]],1))/1048576,"")</f>
        <v/>
      </c>
      <c r="T499" s="59" t="str">
        <f>IF(ISNUMBER(deployment_raw[[#This Row],[Column8]]),IF(OR(deployment_raw[[#This Row],[Column5]] &lt;&gt; 0,$E$2 &lt;&gt; "Deployment"), MAX(V499, ($T$2 * IF($E$2="Deployment",deployment_raw[[#This Row],[Column5]],1))), 0),"")</f>
        <v/>
      </c>
      <c r="U499" s="50" t="str">
        <f>IF(ISNUMBER(deployment_raw[[#This Row],[Column9]]),IF(OR(deployment_raw[[#This Row],[Column5]] &lt;&gt; 0,$E$2&lt;&gt;"Deployment"), MAX(W499, ($U$2 * IF($E$2="Deployment",deployment_raw[[#This Row],[Column5]],1))), 0),"")</f>
        <v/>
      </c>
      <c r="V499" s="15" t="str">
        <f>IF(ISNUMBER(deployment_raw[[#This Row],[Column12]]), (deployment_raw[[#This Row],[Column12]] * IF($E$2="Deployment",deployment_raw[[#This Row],[Column5]],1)*(1+$V$2)),"")</f>
        <v/>
      </c>
      <c r="W499" s="14" t="str">
        <f>IF(ISNUMBER(deployment_raw[[#This Row],[Column13]]), (deployment_raw[[#This Row],[Column13]] * IF($E$2="Deployment",deployment_raw[[#This Row],[Column5]],1)*(1+$W$2))/1048576,"")</f>
        <v/>
      </c>
    </row>
    <row r="500" spans="1:23" ht="15.75" customHeight="1" x14ac:dyDescent="0.25">
      <c r="A500" s="5" t="str">
        <f>IF(ISNONTEXT(deployment_raw[[#This Row],[Column1]]), "", deployment_raw[[#This Row],[Column1]])</f>
        <v/>
      </c>
      <c r="B500" s="6" t="str">
        <f>IF(ISNONTEXT(deployment_raw[[#This Row],[Column2]]), "", deployment_raw[[#This Row],[Column2]])</f>
        <v/>
      </c>
      <c r="C500" s="6" t="str">
        <f>IF(ISNONTEXT(deployment_raw[[#This Row],[Column3]]), "", deployment_raw[[#This Row],[Column3]])</f>
        <v/>
      </c>
      <c r="D500" s="6" t="str">
        <f>IF(ISNONTEXT(deployment_raw[[#This Row],[Column4]]), "", deployment_raw[[#This Row],[Column4]])</f>
        <v/>
      </c>
      <c r="E500" s="7" t="str">
        <f>IF(ISNUMBER(deployment_raw[[#This Row],[Column5]]), deployment_raw[[#This Row],[Column5]],"")</f>
        <v/>
      </c>
      <c r="F500" s="32" t="str">
        <f>IF(ISNUMBER(deployment_raw[[#This Row],[Column17]]), deployment_raw[[#This Row],[Column17]]/IF(OR($E$2="Deployment",deployment_raw[[#This Row],[Column5]]=0),1,deployment_raw[[#This Row],[Column5]]),"")</f>
        <v/>
      </c>
      <c r="G500" s="42" t="str">
        <f>IF(ISNUMBER(deployment_raw[[#This Row],[Column14]]), deployment_raw[[#This Row],[Column14]]/IF(OR($E$2="Deployment",deployment_raw[[#This Row],[Column5]]=0),1,deployment_raw[[#This Row],[Column5]]),"")</f>
        <v/>
      </c>
      <c r="H500" s="79" t="str">
        <f>IF(ISNUMBER(deployment_raw[[#This Row],[Column19]]), IF(I500&lt;&gt;0,(deployment_raw[[#This Row],[Column19]]/IF(OR($E$2="Deployment",deployment_raw[[#This Row],[Column5]]=0),1,deployment_raw[[#This Row],[Column5]]))/I500,0),"")</f>
        <v/>
      </c>
      <c r="I500" s="69" t="str">
        <f>IF(ISNUMBER(deployment_raw[[#This Row],[Column6]]), (deployment_raw[[#This Row],[Column6]] * IF($E$2="Deployment",deployment_raw[[#This Row],[Column5]],1)),"")</f>
        <v/>
      </c>
      <c r="J500" s="79" t="str">
        <f>IF(ISNUMBER(deployment_raw[[#This Row],[Column19]]), IF(K500&lt;&gt;0,(deployment_raw[[#This Row],[Column19]]/IF(OR($E$2="Deployment",deployment_raw[[#This Row],[Column5]]=0),1,deployment_raw[[#This Row],[Column5]]))/K500,0),"")</f>
        <v/>
      </c>
      <c r="K500" s="72" t="str">
        <f>IF(ISNUMBER(deployment_raw[[#This Row],[Column8]]), (deployment_raw[[#This Row],[Column8]]  * IF($E$2="Deployment",deployment_raw[[#This Row],[Column5]],1)),"")</f>
        <v/>
      </c>
      <c r="L50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0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00" s="81" t="str">
        <f>IF(ISNUMBER(deployment_raw[[#This Row],[Column20]]), IF(O500&lt;&gt;0,deployment_raw[[#This Row],[Column20]]/IF(OR($E$2="Deployment",deployment_raw[[#This Row],[Column5]]=0),1,deployment_raw[[#This Row],[Column5]])/1048576/O500,0),"")</f>
        <v/>
      </c>
      <c r="O500" s="74" t="str">
        <f>IF(ISNUMBER(deployment_raw[[#This Row],[Column7]]), (deployment_raw[[#This Row],[Column7]] * IF($E$2="Deployment",deployment_raw[[#This Row],[Column5]],1))/1048576,"")</f>
        <v/>
      </c>
      <c r="P500" s="81" t="str">
        <f>IF(ISNUMBER(deployment_raw[[#This Row],[Column20]]), IF(Q500&lt;&gt;0,deployment_raw[[#This Row],[Column20]]/IF(OR($E$2="Deployment",deployment_raw[[#This Row],[Column5]]=0),1,deployment_raw[[#This Row],[Column5]])/1048576/Q500,0),"")</f>
        <v/>
      </c>
      <c r="Q500" s="76" t="str">
        <f>IF(ISNUMBER(deployment_raw[[#This Row],[Column9]]), (deployment_raw[[#This Row],[Column9]] * IF($E$2="Deployment",deployment_raw[[#This Row],[Column5]],1))/1048576,"")</f>
        <v/>
      </c>
      <c r="R500" s="57" t="str">
        <f>IF(ISNUMBER(deployment_raw[[#This Row],[Column10]]), (deployment_raw[[#This Row],[Column10]] * IF($E$2="Deployment",deployment_raw[[#This Row],[Column5]],1)),"")</f>
        <v/>
      </c>
      <c r="S500" s="48" t="str">
        <f>IF(ISNUMBER(deployment_raw[[#This Row],[Column11]]), (deployment_raw[[#This Row],[Column11]] * IF($E$2="Deployment",deployment_raw[[#This Row],[Column5]],1))/1048576,"")</f>
        <v/>
      </c>
      <c r="T500" s="59" t="str">
        <f>IF(ISNUMBER(deployment_raw[[#This Row],[Column8]]),IF(OR(deployment_raw[[#This Row],[Column5]] &lt;&gt; 0,$E$2 &lt;&gt; "Deployment"), MAX(V500, ($T$2 * IF($E$2="Deployment",deployment_raw[[#This Row],[Column5]],1))), 0),"")</f>
        <v/>
      </c>
      <c r="U500" s="50" t="str">
        <f>IF(ISNUMBER(deployment_raw[[#This Row],[Column9]]),IF(OR(deployment_raw[[#This Row],[Column5]] &lt;&gt; 0,$E$2&lt;&gt;"Deployment"), MAX(W500, ($U$2 * IF($E$2="Deployment",deployment_raw[[#This Row],[Column5]],1))), 0),"")</f>
        <v/>
      </c>
      <c r="V500" s="15" t="str">
        <f>IF(ISNUMBER(deployment_raw[[#This Row],[Column12]]), (deployment_raw[[#This Row],[Column12]] * IF($E$2="Deployment",deployment_raw[[#This Row],[Column5]],1)*(1+$V$2)),"")</f>
        <v/>
      </c>
      <c r="W500" s="14" t="str">
        <f>IF(ISNUMBER(deployment_raw[[#This Row],[Column13]]), (deployment_raw[[#This Row],[Column13]] * IF($E$2="Deployment",deployment_raw[[#This Row],[Column5]],1)*(1+$W$2))/1048576,"")</f>
        <v/>
      </c>
    </row>
    <row r="501" spans="1:23" ht="15.75" customHeight="1" x14ac:dyDescent="0.25">
      <c r="A501" s="5" t="str">
        <f>IF(ISNONTEXT(deployment_raw[[#This Row],[Column1]]), "", deployment_raw[[#This Row],[Column1]])</f>
        <v/>
      </c>
      <c r="B501" s="6" t="str">
        <f>IF(ISNONTEXT(deployment_raw[[#This Row],[Column2]]), "", deployment_raw[[#This Row],[Column2]])</f>
        <v/>
      </c>
      <c r="C501" s="6" t="str">
        <f>IF(ISNONTEXT(deployment_raw[[#This Row],[Column3]]), "", deployment_raw[[#This Row],[Column3]])</f>
        <v/>
      </c>
      <c r="D501" s="6" t="str">
        <f>IF(ISNONTEXT(deployment_raw[[#This Row],[Column4]]), "", deployment_raw[[#This Row],[Column4]])</f>
        <v/>
      </c>
      <c r="E501" s="7" t="str">
        <f>IF(ISNUMBER(deployment_raw[[#This Row],[Column5]]), deployment_raw[[#This Row],[Column5]],"")</f>
        <v/>
      </c>
      <c r="F501" s="32" t="str">
        <f>IF(ISNUMBER(deployment_raw[[#This Row],[Column17]]), deployment_raw[[#This Row],[Column17]]/IF(OR($E$2="Deployment",deployment_raw[[#This Row],[Column5]]=0),1,deployment_raw[[#This Row],[Column5]]),"")</f>
        <v/>
      </c>
      <c r="G501" s="42" t="str">
        <f>IF(ISNUMBER(deployment_raw[[#This Row],[Column14]]), deployment_raw[[#This Row],[Column14]]/IF(OR($E$2="Deployment",deployment_raw[[#This Row],[Column5]]=0),1,deployment_raw[[#This Row],[Column5]]),"")</f>
        <v/>
      </c>
      <c r="H501" s="79" t="str">
        <f>IF(ISNUMBER(deployment_raw[[#This Row],[Column19]]), IF(I501&lt;&gt;0,(deployment_raw[[#This Row],[Column19]]/IF(OR($E$2="Deployment",deployment_raw[[#This Row],[Column5]]=0),1,deployment_raw[[#This Row],[Column5]]))/I501,0),"")</f>
        <v/>
      </c>
      <c r="I501" s="69" t="str">
        <f>IF(ISNUMBER(deployment_raw[[#This Row],[Column6]]), (deployment_raw[[#This Row],[Column6]] * IF($E$2="Deployment",deployment_raw[[#This Row],[Column5]],1)),"")</f>
        <v/>
      </c>
      <c r="J501" s="79" t="str">
        <f>IF(ISNUMBER(deployment_raw[[#This Row],[Column19]]), IF(K501&lt;&gt;0,(deployment_raw[[#This Row],[Column19]]/IF(OR($E$2="Deployment",deployment_raw[[#This Row],[Column5]]=0),1,deployment_raw[[#This Row],[Column5]]))/K501,0),"")</f>
        <v/>
      </c>
      <c r="K501" s="72" t="str">
        <f>IF(ISNUMBER(deployment_raw[[#This Row],[Column8]]), (deployment_raw[[#This Row],[Column8]]  * IF($E$2="Deployment",deployment_raw[[#This Row],[Column5]],1)),"")</f>
        <v/>
      </c>
      <c r="L50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0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01" s="81" t="str">
        <f>IF(ISNUMBER(deployment_raw[[#This Row],[Column20]]), IF(O501&lt;&gt;0,deployment_raw[[#This Row],[Column20]]/IF(OR($E$2="Deployment",deployment_raw[[#This Row],[Column5]]=0),1,deployment_raw[[#This Row],[Column5]])/1048576/O501,0),"")</f>
        <v/>
      </c>
      <c r="O501" s="74" t="str">
        <f>IF(ISNUMBER(deployment_raw[[#This Row],[Column7]]), (deployment_raw[[#This Row],[Column7]] * IF($E$2="Deployment",deployment_raw[[#This Row],[Column5]],1))/1048576,"")</f>
        <v/>
      </c>
      <c r="P501" s="81" t="str">
        <f>IF(ISNUMBER(deployment_raw[[#This Row],[Column20]]), IF(Q501&lt;&gt;0,deployment_raw[[#This Row],[Column20]]/IF(OR($E$2="Deployment",deployment_raw[[#This Row],[Column5]]=0),1,deployment_raw[[#This Row],[Column5]])/1048576/Q501,0),"")</f>
        <v/>
      </c>
      <c r="Q501" s="76" t="str">
        <f>IF(ISNUMBER(deployment_raw[[#This Row],[Column9]]), (deployment_raw[[#This Row],[Column9]] * IF($E$2="Deployment",deployment_raw[[#This Row],[Column5]],1))/1048576,"")</f>
        <v/>
      </c>
      <c r="R501" s="57" t="str">
        <f>IF(ISNUMBER(deployment_raw[[#This Row],[Column10]]), (deployment_raw[[#This Row],[Column10]] * IF($E$2="Deployment",deployment_raw[[#This Row],[Column5]],1)),"")</f>
        <v/>
      </c>
      <c r="S501" s="48" t="str">
        <f>IF(ISNUMBER(deployment_raw[[#This Row],[Column11]]), (deployment_raw[[#This Row],[Column11]] * IF($E$2="Deployment",deployment_raw[[#This Row],[Column5]],1))/1048576,"")</f>
        <v/>
      </c>
      <c r="T501" s="59" t="str">
        <f>IF(ISNUMBER(deployment_raw[[#This Row],[Column8]]),IF(OR(deployment_raw[[#This Row],[Column5]] &lt;&gt; 0,$E$2 &lt;&gt; "Deployment"), MAX(V501, ($T$2 * IF($E$2="Deployment",deployment_raw[[#This Row],[Column5]],1))), 0),"")</f>
        <v/>
      </c>
      <c r="U501" s="50" t="str">
        <f>IF(ISNUMBER(deployment_raw[[#This Row],[Column9]]),IF(OR(deployment_raw[[#This Row],[Column5]] &lt;&gt; 0,$E$2&lt;&gt;"Deployment"), MAX(W501, ($U$2 * IF($E$2="Deployment",deployment_raw[[#This Row],[Column5]],1))), 0),"")</f>
        <v/>
      </c>
      <c r="V501" s="15" t="str">
        <f>IF(ISNUMBER(deployment_raw[[#This Row],[Column12]]), (deployment_raw[[#This Row],[Column12]] * IF($E$2="Deployment",deployment_raw[[#This Row],[Column5]],1)*(1+$V$2)),"")</f>
        <v/>
      </c>
      <c r="W501" s="14" t="str">
        <f>IF(ISNUMBER(deployment_raw[[#This Row],[Column13]]), (deployment_raw[[#This Row],[Column13]] * IF($E$2="Deployment",deployment_raw[[#This Row],[Column5]],1)*(1+$W$2))/1048576,"")</f>
        <v/>
      </c>
    </row>
    <row r="502" spans="1:23" ht="15.75" customHeight="1" x14ac:dyDescent="0.25">
      <c r="A502" s="5" t="str">
        <f>IF(ISNONTEXT(deployment_raw[[#This Row],[Column1]]), "", deployment_raw[[#This Row],[Column1]])</f>
        <v/>
      </c>
      <c r="B502" s="6" t="str">
        <f>IF(ISNONTEXT(deployment_raw[[#This Row],[Column2]]), "", deployment_raw[[#This Row],[Column2]])</f>
        <v/>
      </c>
      <c r="C502" s="6" t="str">
        <f>IF(ISNONTEXT(deployment_raw[[#This Row],[Column3]]), "", deployment_raw[[#This Row],[Column3]])</f>
        <v/>
      </c>
      <c r="D502" s="6" t="str">
        <f>IF(ISNONTEXT(deployment_raw[[#This Row],[Column4]]), "", deployment_raw[[#This Row],[Column4]])</f>
        <v/>
      </c>
      <c r="E502" s="7" t="str">
        <f>IF(ISNUMBER(deployment_raw[[#This Row],[Column5]]), deployment_raw[[#This Row],[Column5]],"")</f>
        <v/>
      </c>
      <c r="F502" s="32" t="str">
        <f>IF(ISNUMBER(deployment_raw[[#This Row],[Column17]]), deployment_raw[[#This Row],[Column17]]/IF(OR($E$2="Deployment",deployment_raw[[#This Row],[Column5]]=0),1,deployment_raw[[#This Row],[Column5]]),"")</f>
        <v/>
      </c>
      <c r="G502" s="42" t="str">
        <f>IF(ISNUMBER(deployment_raw[[#This Row],[Column14]]), deployment_raw[[#This Row],[Column14]]/IF(OR($E$2="Deployment",deployment_raw[[#This Row],[Column5]]=0),1,deployment_raw[[#This Row],[Column5]]),"")</f>
        <v/>
      </c>
      <c r="H502" s="79" t="str">
        <f>IF(ISNUMBER(deployment_raw[[#This Row],[Column19]]), IF(I502&lt;&gt;0,(deployment_raw[[#This Row],[Column19]]/IF(OR($E$2="Deployment",deployment_raw[[#This Row],[Column5]]=0),1,deployment_raw[[#This Row],[Column5]]))/I502,0),"")</f>
        <v/>
      </c>
      <c r="I502" s="69" t="str">
        <f>IF(ISNUMBER(deployment_raw[[#This Row],[Column6]]), (deployment_raw[[#This Row],[Column6]] * IF($E$2="Deployment",deployment_raw[[#This Row],[Column5]],1)),"")</f>
        <v/>
      </c>
      <c r="J502" s="79" t="str">
        <f>IF(ISNUMBER(deployment_raw[[#This Row],[Column19]]), IF(K502&lt;&gt;0,(deployment_raw[[#This Row],[Column19]]/IF(OR($E$2="Deployment",deployment_raw[[#This Row],[Column5]]=0),1,deployment_raw[[#This Row],[Column5]]))/K502,0),"")</f>
        <v/>
      </c>
      <c r="K502" s="72" t="str">
        <f>IF(ISNUMBER(deployment_raw[[#This Row],[Column8]]), (deployment_raw[[#This Row],[Column8]]  * IF($E$2="Deployment",deployment_raw[[#This Row],[Column5]],1)),"")</f>
        <v/>
      </c>
      <c r="L50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0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02" s="81" t="str">
        <f>IF(ISNUMBER(deployment_raw[[#This Row],[Column20]]), IF(O502&lt;&gt;0,deployment_raw[[#This Row],[Column20]]/IF(OR($E$2="Deployment",deployment_raw[[#This Row],[Column5]]=0),1,deployment_raw[[#This Row],[Column5]])/1048576/O502,0),"")</f>
        <v/>
      </c>
      <c r="O502" s="74" t="str">
        <f>IF(ISNUMBER(deployment_raw[[#This Row],[Column7]]), (deployment_raw[[#This Row],[Column7]] * IF($E$2="Deployment",deployment_raw[[#This Row],[Column5]],1))/1048576,"")</f>
        <v/>
      </c>
      <c r="P502" s="81" t="str">
        <f>IF(ISNUMBER(deployment_raw[[#This Row],[Column20]]), IF(Q502&lt;&gt;0,deployment_raw[[#This Row],[Column20]]/IF(OR($E$2="Deployment",deployment_raw[[#This Row],[Column5]]=0),1,deployment_raw[[#This Row],[Column5]])/1048576/Q502,0),"")</f>
        <v/>
      </c>
      <c r="Q502" s="76" t="str">
        <f>IF(ISNUMBER(deployment_raw[[#This Row],[Column9]]), (deployment_raw[[#This Row],[Column9]] * IF($E$2="Deployment",deployment_raw[[#This Row],[Column5]],1))/1048576,"")</f>
        <v/>
      </c>
      <c r="R502" s="57" t="str">
        <f>IF(ISNUMBER(deployment_raw[[#This Row],[Column10]]), (deployment_raw[[#This Row],[Column10]] * IF($E$2="Deployment",deployment_raw[[#This Row],[Column5]],1)),"")</f>
        <v/>
      </c>
      <c r="S502" s="48" t="str">
        <f>IF(ISNUMBER(deployment_raw[[#This Row],[Column11]]), (deployment_raw[[#This Row],[Column11]] * IF($E$2="Deployment",deployment_raw[[#This Row],[Column5]],1))/1048576,"")</f>
        <v/>
      </c>
      <c r="T502" s="59" t="str">
        <f>IF(ISNUMBER(deployment_raw[[#This Row],[Column8]]),IF(OR(deployment_raw[[#This Row],[Column5]] &lt;&gt; 0,$E$2 &lt;&gt; "Deployment"), MAX(V502, ($T$2 * IF($E$2="Deployment",deployment_raw[[#This Row],[Column5]],1))), 0),"")</f>
        <v/>
      </c>
      <c r="U502" s="50" t="str">
        <f>IF(ISNUMBER(deployment_raw[[#This Row],[Column9]]),IF(OR(deployment_raw[[#This Row],[Column5]] &lt;&gt; 0,$E$2&lt;&gt;"Deployment"), MAX(W502, ($U$2 * IF($E$2="Deployment",deployment_raw[[#This Row],[Column5]],1))), 0),"")</f>
        <v/>
      </c>
      <c r="V502" s="15" t="str">
        <f>IF(ISNUMBER(deployment_raw[[#This Row],[Column12]]), (deployment_raw[[#This Row],[Column12]] * IF($E$2="Deployment",deployment_raw[[#This Row],[Column5]],1)*(1+$V$2)),"")</f>
        <v/>
      </c>
      <c r="W502" s="14" t="str">
        <f>IF(ISNUMBER(deployment_raw[[#This Row],[Column13]]), (deployment_raw[[#This Row],[Column13]] * IF($E$2="Deployment",deployment_raw[[#This Row],[Column5]],1)*(1+$W$2))/1048576,"")</f>
        <v/>
      </c>
    </row>
    <row r="503" spans="1:23" ht="15.75" customHeight="1" x14ac:dyDescent="0.25">
      <c r="A503" s="5" t="str">
        <f>IF(ISNONTEXT(deployment_raw[[#This Row],[Column1]]), "", deployment_raw[[#This Row],[Column1]])</f>
        <v/>
      </c>
      <c r="B503" s="6" t="str">
        <f>IF(ISNONTEXT(deployment_raw[[#This Row],[Column2]]), "", deployment_raw[[#This Row],[Column2]])</f>
        <v/>
      </c>
      <c r="C503" s="6" t="str">
        <f>IF(ISNONTEXT(deployment_raw[[#This Row],[Column3]]), "", deployment_raw[[#This Row],[Column3]])</f>
        <v/>
      </c>
      <c r="D503" s="6" t="str">
        <f>IF(ISNONTEXT(deployment_raw[[#This Row],[Column4]]), "", deployment_raw[[#This Row],[Column4]])</f>
        <v/>
      </c>
      <c r="E503" s="7" t="str">
        <f>IF(ISNUMBER(deployment_raw[[#This Row],[Column5]]), deployment_raw[[#This Row],[Column5]],"")</f>
        <v/>
      </c>
      <c r="F503" s="32" t="str">
        <f>IF(ISNUMBER(deployment_raw[[#This Row],[Column17]]), deployment_raw[[#This Row],[Column17]]/IF(OR($E$2="Deployment",deployment_raw[[#This Row],[Column5]]=0),1,deployment_raw[[#This Row],[Column5]]),"")</f>
        <v/>
      </c>
      <c r="G503" s="42" t="str">
        <f>IF(ISNUMBER(deployment_raw[[#This Row],[Column14]]), deployment_raw[[#This Row],[Column14]]/IF(OR($E$2="Deployment",deployment_raw[[#This Row],[Column5]]=0),1,deployment_raw[[#This Row],[Column5]]),"")</f>
        <v/>
      </c>
      <c r="H503" s="79" t="str">
        <f>IF(ISNUMBER(deployment_raw[[#This Row],[Column19]]), IF(I503&lt;&gt;0,(deployment_raw[[#This Row],[Column19]]/IF(OR($E$2="Deployment",deployment_raw[[#This Row],[Column5]]=0),1,deployment_raw[[#This Row],[Column5]]))/I503,0),"")</f>
        <v/>
      </c>
      <c r="I503" s="69" t="str">
        <f>IF(ISNUMBER(deployment_raw[[#This Row],[Column6]]), (deployment_raw[[#This Row],[Column6]] * IF($E$2="Deployment",deployment_raw[[#This Row],[Column5]],1)),"")</f>
        <v/>
      </c>
      <c r="J503" s="79" t="str">
        <f>IF(ISNUMBER(deployment_raw[[#This Row],[Column19]]), IF(K503&lt;&gt;0,(deployment_raw[[#This Row],[Column19]]/IF(OR($E$2="Deployment",deployment_raw[[#This Row],[Column5]]=0),1,deployment_raw[[#This Row],[Column5]]))/K503,0),"")</f>
        <v/>
      </c>
      <c r="K503" s="72" t="str">
        <f>IF(ISNUMBER(deployment_raw[[#This Row],[Column8]]), (deployment_raw[[#This Row],[Column8]]  * IF($E$2="Deployment",deployment_raw[[#This Row],[Column5]],1)),"")</f>
        <v/>
      </c>
      <c r="L50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0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03" s="81" t="str">
        <f>IF(ISNUMBER(deployment_raw[[#This Row],[Column20]]), IF(O503&lt;&gt;0,deployment_raw[[#This Row],[Column20]]/IF(OR($E$2="Deployment",deployment_raw[[#This Row],[Column5]]=0),1,deployment_raw[[#This Row],[Column5]])/1048576/O503,0),"")</f>
        <v/>
      </c>
      <c r="O503" s="74" t="str">
        <f>IF(ISNUMBER(deployment_raw[[#This Row],[Column7]]), (deployment_raw[[#This Row],[Column7]] * IF($E$2="Deployment",deployment_raw[[#This Row],[Column5]],1))/1048576,"")</f>
        <v/>
      </c>
      <c r="P503" s="81" t="str">
        <f>IF(ISNUMBER(deployment_raw[[#This Row],[Column20]]), IF(Q503&lt;&gt;0,deployment_raw[[#This Row],[Column20]]/IF(OR($E$2="Deployment",deployment_raw[[#This Row],[Column5]]=0),1,deployment_raw[[#This Row],[Column5]])/1048576/Q503,0),"")</f>
        <v/>
      </c>
      <c r="Q503" s="76" t="str">
        <f>IF(ISNUMBER(deployment_raw[[#This Row],[Column9]]), (deployment_raw[[#This Row],[Column9]] * IF($E$2="Deployment",deployment_raw[[#This Row],[Column5]],1))/1048576,"")</f>
        <v/>
      </c>
      <c r="R503" s="57" t="str">
        <f>IF(ISNUMBER(deployment_raw[[#This Row],[Column10]]), (deployment_raw[[#This Row],[Column10]] * IF($E$2="Deployment",deployment_raw[[#This Row],[Column5]],1)),"")</f>
        <v/>
      </c>
      <c r="S503" s="48" t="str">
        <f>IF(ISNUMBER(deployment_raw[[#This Row],[Column11]]), (deployment_raw[[#This Row],[Column11]] * IF($E$2="Deployment",deployment_raw[[#This Row],[Column5]],1))/1048576,"")</f>
        <v/>
      </c>
      <c r="T503" s="59" t="str">
        <f>IF(ISNUMBER(deployment_raw[[#This Row],[Column8]]),IF(OR(deployment_raw[[#This Row],[Column5]] &lt;&gt; 0,$E$2 &lt;&gt; "Deployment"), MAX(V503, ($T$2 * IF($E$2="Deployment",deployment_raw[[#This Row],[Column5]],1))), 0),"")</f>
        <v/>
      </c>
      <c r="U503" s="50" t="str">
        <f>IF(ISNUMBER(deployment_raw[[#This Row],[Column9]]),IF(OR(deployment_raw[[#This Row],[Column5]] &lt;&gt; 0,$E$2&lt;&gt;"Deployment"), MAX(W503, ($U$2 * IF($E$2="Deployment",deployment_raw[[#This Row],[Column5]],1))), 0),"")</f>
        <v/>
      </c>
      <c r="V503" s="15" t="str">
        <f>IF(ISNUMBER(deployment_raw[[#This Row],[Column12]]), (deployment_raw[[#This Row],[Column12]] * IF($E$2="Deployment",deployment_raw[[#This Row],[Column5]],1)*(1+$V$2)),"")</f>
        <v/>
      </c>
      <c r="W503" s="14" t="str">
        <f>IF(ISNUMBER(deployment_raw[[#This Row],[Column13]]), (deployment_raw[[#This Row],[Column13]] * IF($E$2="Deployment",deployment_raw[[#This Row],[Column5]],1)*(1+$W$2))/1048576,"")</f>
        <v/>
      </c>
    </row>
    <row r="504" spans="1:23" ht="15.75" customHeight="1" x14ac:dyDescent="0.25">
      <c r="A504" s="5" t="str">
        <f>IF(ISNONTEXT(deployment_raw[[#This Row],[Column1]]), "", deployment_raw[[#This Row],[Column1]])</f>
        <v/>
      </c>
      <c r="B504" s="6" t="str">
        <f>IF(ISNONTEXT(deployment_raw[[#This Row],[Column2]]), "", deployment_raw[[#This Row],[Column2]])</f>
        <v/>
      </c>
      <c r="C504" s="6" t="str">
        <f>IF(ISNONTEXT(deployment_raw[[#This Row],[Column3]]), "", deployment_raw[[#This Row],[Column3]])</f>
        <v/>
      </c>
      <c r="D504" s="6" t="str">
        <f>IF(ISNONTEXT(deployment_raw[[#This Row],[Column4]]), "", deployment_raw[[#This Row],[Column4]])</f>
        <v/>
      </c>
      <c r="E504" s="7" t="str">
        <f>IF(ISNUMBER(deployment_raw[[#This Row],[Column5]]), deployment_raw[[#This Row],[Column5]],"")</f>
        <v/>
      </c>
      <c r="F504" s="32" t="str">
        <f>IF(ISNUMBER(deployment_raw[[#This Row],[Column17]]), deployment_raw[[#This Row],[Column17]]/IF(OR($E$2="Deployment",deployment_raw[[#This Row],[Column5]]=0),1,deployment_raw[[#This Row],[Column5]]),"")</f>
        <v/>
      </c>
      <c r="G504" s="42" t="str">
        <f>IF(ISNUMBER(deployment_raw[[#This Row],[Column14]]), deployment_raw[[#This Row],[Column14]]/IF(OR($E$2="Deployment",deployment_raw[[#This Row],[Column5]]=0),1,deployment_raw[[#This Row],[Column5]]),"")</f>
        <v/>
      </c>
      <c r="H504" s="79" t="str">
        <f>IF(ISNUMBER(deployment_raw[[#This Row],[Column19]]), IF(I504&lt;&gt;0,(deployment_raw[[#This Row],[Column19]]/IF(OR($E$2="Deployment",deployment_raw[[#This Row],[Column5]]=0),1,deployment_raw[[#This Row],[Column5]]))/I504,0),"")</f>
        <v/>
      </c>
      <c r="I504" s="69" t="str">
        <f>IF(ISNUMBER(deployment_raw[[#This Row],[Column6]]), (deployment_raw[[#This Row],[Column6]] * IF($E$2="Deployment",deployment_raw[[#This Row],[Column5]],1)),"")</f>
        <v/>
      </c>
      <c r="J504" s="79" t="str">
        <f>IF(ISNUMBER(deployment_raw[[#This Row],[Column19]]), IF(K504&lt;&gt;0,(deployment_raw[[#This Row],[Column19]]/IF(OR($E$2="Deployment",deployment_raw[[#This Row],[Column5]]=0),1,deployment_raw[[#This Row],[Column5]]))/K504,0),"")</f>
        <v/>
      </c>
      <c r="K504" s="72" t="str">
        <f>IF(ISNUMBER(deployment_raw[[#This Row],[Column8]]), (deployment_raw[[#This Row],[Column8]]  * IF($E$2="Deployment",deployment_raw[[#This Row],[Column5]],1)),"")</f>
        <v/>
      </c>
      <c r="L50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0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04" s="81" t="str">
        <f>IF(ISNUMBER(deployment_raw[[#This Row],[Column20]]), IF(O504&lt;&gt;0,deployment_raw[[#This Row],[Column20]]/IF(OR($E$2="Deployment",deployment_raw[[#This Row],[Column5]]=0),1,deployment_raw[[#This Row],[Column5]])/1048576/O504,0),"")</f>
        <v/>
      </c>
      <c r="O504" s="74" t="str">
        <f>IF(ISNUMBER(deployment_raw[[#This Row],[Column7]]), (deployment_raw[[#This Row],[Column7]] * IF($E$2="Deployment",deployment_raw[[#This Row],[Column5]],1))/1048576,"")</f>
        <v/>
      </c>
      <c r="P504" s="81" t="str">
        <f>IF(ISNUMBER(deployment_raw[[#This Row],[Column20]]), IF(Q504&lt;&gt;0,deployment_raw[[#This Row],[Column20]]/IF(OR($E$2="Deployment",deployment_raw[[#This Row],[Column5]]=0),1,deployment_raw[[#This Row],[Column5]])/1048576/Q504,0),"")</f>
        <v/>
      </c>
      <c r="Q504" s="76" t="str">
        <f>IF(ISNUMBER(deployment_raw[[#This Row],[Column9]]), (deployment_raw[[#This Row],[Column9]] * IF($E$2="Deployment",deployment_raw[[#This Row],[Column5]],1))/1048576,"")</f>
        <v/>
      </c>
      <c r="R504" s="57" t="str">
        <f>IF(ISNUMBER(deployment_raw[[#This Row],[Column10]]), (deployment_raw[[#This Row],[Column10]] * IF($E$2="Deployment",deployment_raw[[#This Row],[Column5]],1)),"")</f>
        <v/>
      </c>
      <c r="S504" s="48" t="str">
        <f>IF(ISNUMBER(deployment_raw[[#This Row],[Column11]]), (deployment_raw[[#This Row],[Column11]] * IF($E$2="Deployment",deployment_raw[[#This Row],[Column5]],1))/1048576,"")</f>
        <v/>
      </c>
      <c r="T504" s="59" t="str">
        <f>IF(ISNUMBER(deployment_raw[[#This Row],[Column8]]),IF(OR(deployment_raw[[#This Row],[Column5]] &lt;&gt; 0,$E$2 &lt;&gt; "Deployment"), MAX(V504, ($T$2 * IF($E$2="Deployment",deployment_raw[[#This Row],[Column5]],1))), 0),"")</f>
        <v/>
      </c>
      <c r="U504" s="50" t="str">
        <f>IF(ISNUMBER(deployment_raw[[#This Row],[Column9]]),IF(OR(deployment_raw[[#This Row],[Column5]] &lt;&gt; 0,$E$2&lt;&gt;"Deployment"), MAX(W504, ($U$2 * IF($E$2="Deployment",deployment_raw[[#This Row],[Column5]],1))), 0),"")</f>
        <v/>
      </c>
      <c r="V504" s="15" t="str">
        <f>IF(ISNUMBER(deployment_raw[[#This Row],[Column12]]), (deployment_raw[[#This Row],[Column12]] * IF($E$2="Deployment",deployment_raw[[#This Row],[Column5]],1)*(1+$V$2)),"")</f>
        <v/>
      </c>
      <c r="W504" s="14" t="str">
        <f>IF(ISNUMBER(deployment_raw[[#This Row],[Column13]]), (deployment_raw[[#This Row],[Column13]] * IF($E$2="Deployment",deployment_raw[[#This Row],[Column5]],1)*(1+$W$2))/1048576,"")</f>
        <v/>
      </c>
    </row>
    <row r="505" spans="1:23" ht="15.75" customHeight="1" x14ac:dyDescent="0.25">
      <c r="A505" s="5" t="str">
        <f>IF(ISNONTEXT(deployment_raw[[#This Row],[Column1]]), "", deployment_raw[[#This Row],[Column1]])</f>
        <v/>
      </c>
      <c r="B505" s="6" t="str">
        <f>IF(ISNONTEXT(deployment_raw[[#This Row],[Column2]]), "", deployment_raw[[#This Row],[Column2]])</f>
        <v/>
      </c>
      <c r="C505" s="6" t="str">
        <f>IF(ISNONTEXT(deployment_raw[[#This Row],[Column3]]), "", deployment_raw[[#This Row],[Column3]])</f>
        <v/>
      </c>
      <c r="D505" s="6" t="str">
        <f>IF(ISNONTEXT(deployment_raw[[#This Row],[Column4]]), "", deployment_raw[[#This Row],[Column4]])</f>
        <v/>
      </c>
      <c r="E505" s="7" t="str">
        <f>IF(ISNUMBER(deployment_raw[[#This Row],[Column5]]), deployment_raw[[#This Row],[Column5]],"")</f>
        <v/>
      </c>
      <c r="F505" s="32" t="str">
        <f>IF(ISNUMBER(deployment_raw[[#This Row],[Column17]]), deployment_raw[[#This Row],[Column17]]/IF(OR($E$2="Deployment",deployment_raw[[#This Row],[Column5]]=0),1,deployment_raw[[#This Row],[Column5]]),"")</f>
        <v/>
      </c>
      <c r="G505" s="42" t="str">
        <f>IF(ISNUMBER(deployment_raw[[#This Row],[Column14]]), deployment_raw[[#This Row],[Column14]]/IF(OR($E$2="Deployment",deployment_raw[[#This Row],[Column5]]=0),1,deployment_raw[[#This Row],[Column5]]),"")</f>
        <v/>
      </c>
      <c r="H505" s="79" t="str">
        <f>IF(ISNUMBER(deployment_raw[[#This Row],[Column19]]), IF(I505&lt;&gt;0,(deployment_raw[[#This Row],[Column19]]/IF(OR($E$2="Deployment",deployment_raw[[#This Row],[Column5]]=0),1,deployment_raw[[#This Row],[Column5]]))/I505,0),"")</f>
        <v/>
      </c>
      <c r="I505" s="69" t="str">
        <f>IF(ISNUMBER(deployment_raw[[#This Row],[Column6]]), (deployment_raw[[#This Row],[Column6]] * IF($E$2="Deployment",deployment_raw[[#This Row],[Column5]],1)),"")</f>
        <v/>
      </c>
      <c r="J505" s="79" t="str">
        <f>IF(ISNUMBER(deployment_raw[[#This Row],[Column19]]), IF(K505&lt;&gt;0,(deployment_raw[[#This Row],[Column19]]/IF(OR($E$2="Deployment",deployment_raw[[#This Row],[Column5]]=0),1,deployment_raw[[#This Row],[Column5]]))/K505,0),"")</f>
        <v/>
      </c>
      <c r="K505" s="72" t="str">
        <f>IF(ISNUMBER(deployment_raw[[#This Row],[Column8]]), (deployment_raw[[#This Row],[Column8]]  * IF($E$2="Deployment",deployment_raw[[#This Row],[Column5]],1)),"")</f>
        <v/>
      </c>
      <c r="L50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0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05" s="81" t="str">
        <f>IF(ISNUMBER(deployment_raw[[#This Row],[Column20]]), IF(O505&lt;&gt;0,deployment_raw[[#This Row],[Column20]]/IF(OR($E$2="Deployment",deployment_raw[[#This Row],[Column5]]=0),1,deployment_raw[[#This Row],[Column5]])/1048576/O505,0),"")</f>
        <v/>
      </c>
      <c r="O505" s="74" t="str">
        <f>IF(ISNUMBER(deployment_raw[[#This Row],[Column7]]), (deployment_raw[[#This Row],[Column7]] * IF($E$2="Deployment",deployment_raw[[#This Row],[Column5]],1))/1048576,"")</f>
        <v/>
      </c>
      <c r="P505" s="81" t="str">
        <f>IF(ISNUMBER(deployment_raw[[#This Row],[Column20]]), IF(Q505&lt;&gt;0,deployment_raw[[#This Row],[Column20]]/IF(OR($E$2="Deployment",deployment_raw[[#This Row],[Column5]]=0),1,deployment_raw[[#This Row],[Column5]])/1048576/Q505,0),"")</f>
        <v/>
      </c>
      <c r="Q505" s="76" t="str">
        <f>IF(ISNUMBER(deployment_raw[[#This Row],[Column9]]), (deployment_raw[[#This Row],[Column9]] * IF($E$2="Deployment",deployment_raw[[#This Row],[Column5]],1))/1048576,"")</f>
        <v/>
      </c>
      <c r="R505" s="57" t="str">
        <f>IF(ISNUMBER(deployment_raw[[#This Row],[Column10]]), (deployment_raw[[#This Row],[Column10]] * IF($E$2="Deployment",deployment_raw[[#This Row],[Column5]],1)),"")</f>
        <v/>
      </c>
      <c r="S505" s="48" t="str">
        <f>IF(ISNUMBER(deployment_raw[[#This Row],[Column11]]), (deployment_raw[[#This Row],[Column11]] * IF($E$2="Deployment",deployment_raw[[#This Row],[Column5]],1))/1048576,"")</f>
        <v/>
      </c>
      <c r="T505" s="59" t="str">
        <f>IF(ISNUMBER(deployment_raw[[#This Row],[Column8]]),IF(OR(deployment_raw[[#This Row],[Column5]] &lt;&gt; 0,$E$2 &lt;&gt; "Deployment"), MAX(V505, ($T$2 * IF($E$2="Deployment",deployment_raw[[#This Row],[Column5]],1))), 0),"")</f>
        <v/>
      </c>
      <c r="U505" s="50" t="str">
        <f>IF(ISNUMBER(deployment_raw[[#This Row],[Column9]]),IF(OR(deployment_raw[[#This Row],[Column5]] &lt;&gt; 0,$E$2&lt;&gt;"Deployment"), MAX(W505, ($U$2 * IF($E$2="Deployment",deployment_raw[[#This Row],[Column5]],1))), 0),"")</f>
        <v/>
      </c>
      <c r="V505" s="15" t="str">
        <f>IF(ISNUMBER(deployment_raw[[#This Row],[Column12]]), (deployment_raw[[#This Row],[Column12]] * IF($E$2="Deployment",deployment_raw[[#This Row],[Column5]],1)*(1+$V$2)),"")</f>
        <v/>
      </c>
      <c r="W505" s="14" t="str">
        <f>IF(ISNUMBER(deployment_raw[[#This Row],[Column13]]), (deployment_raw[[#This Row],[Column13]] * IF($E$2="Deployment",deployment_raw[[#This Row],[Column5]],1)*(1+$W$2))/1048576,"")</f>
        <v/>
      </c>
    </row>
    <row r="506" spans="1:23" ht="15.75" customHeight="1" x14ac:dyDescent="0.25">
      <c r="A506" s="5" t="str">
        <f>IF(ISNONTEXT(deployment_raw[[#This Row],[Column1]]), "", deployment_raw[[#This Row],[Column1]])</f>
        <v/>
      </c>
      <c r="B506" s="6" t="str">
        <f>IF(ISNONTEXT(deployment_raw[[#This Row],[Column2]]), "", deployment_raw[[#This Row],[Column2]])</f>
        <v/>
      </c>
      <c r="C506" s="6" t="str">
        <f>IF(ISNONTEXT(deployment_raw[[#This Row],[Column3]]), "", deployment_raw[[#This Row],[Column3]])</f>
        <v/>
      </c>
      <c r="D506" s="6" t="str">
        <f>IF(ISNONTEXT(deployment_raw[[#This Row],[Column4]]), "", deployment_raw[[#This Row],[Column4]])</f>
        <v/>
      </c>
      <c r="E506" s="7" t="str">
        <f>IF(ISNUMBER(deployment_raw[[#This Row],[Column5]]), deployment_raw[[#This Row],[Column5]],"")</f>
        <v/>
      </c>
      <c r="F506" s="32" t="str">
        <f>IF(ISNUMBER(deployment_raw[[#This Row],[Column17]]), deployment_raw[[#This Row],[Column17]]/IF(OR($E$2="Deployment",deployment_raw[[#This Row],[Column5]]=0),1,deployment_raw[[#This Row],[Column5]]),"")</f>
        <v/>
      </c>
      <c r="G506" s="42" t="str">
        <f>IF(ISNUMBER(deployment_raw[[#This Row],[Column14]]), deployment_raw[[#This Row],[Column14]]/IF(OR($E$2="Deployment",deployment_raw[[#This Row],[Column5]]=0),1,deployment_raw[[#This Row],[Column5]]),"")</f>
        <v/>
      </c>
      <c r="H506" s="79" t="str">
        <f>IF(ISNUMBER(deployment_raw[[#This Row],[Column19]]), IF(I506&lt;&gt;0,(deployment_raw[[#This Row],[Column19]]/IF(OR($E$2="Deployment",deployment_raw[[#This Row],[Column5]]=0),1,deployment_raw[[#This Row],[Column5]]))/I506,0),"")</f>
        <v/>
      </c>
      <c r="I506" s="69" t="str">
        <f>IF(ISNUMBER(deployment_raw[[#This Row],[Column6]]), (deployment_raw[[#This Row],[Column6]] * IF($E$2="Deployment",deployment_raw[[#This Row],[Column5]],1)),"")</f>
        <v/>
      </c>
      <c r="J506" s="79" t="str">
        <f>IF(ISNUMBER(deployment_raw[[#This Row],[Column19]]), IF(K506&lt;&gt;0,(deployment_raw[[#This Row],[Column19]]/IF(OR($E$2="Deployment",deployment_raw[[#This Row],[Column5]]=0),1,deployment_raw[[#This Row],[Column5]]))/K506,0),"")</f>
        <v/>
      </c>
      <c r="K506" s="72" t="str">
        <f>IF(ISNUMBER(deployment_raw[[#This Row],[Column8]]), (deployment_raw[[#This Row],[Column8]]  * IF($E$2="Deployment",deployment_raw[[#This Row],[Column5]],1)),"")</f>
        <v/>
      </c>
      <c r="L50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0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06" s="81" t="str">
        <f>IF(ISNUMBER(deployment_raw[[#This Row],[Column20]]), IF(O506&lt;&gt;0,deployment_raw[[#This Row],[Column20]]/IF(OR($E$2="Deployment",deployment_raw[[#This Row],[Column5]]=0),1,deployment_raw[[#This Row],[Column5]])/1048576/O506,0),"")</f>
        <v/>
      </c>
      <c r="O506" s="74" t="str">
        <f>IF(ISNUMBER(deployment_raw[[#This Row],[Column7]]), (deployment_raw[[#This Row],[Column7]] * IF($E$2="Deployment",deployment_raw[[#This Row],[Column5]],1))/1048576,"")</f>
        <v/>
      </c>
      <c r="P506" s="81" t="str">
        <f>IF(ISNUMBER(deployment_raw[[#This Row],[Column20]]), IF(Q506&lt;&gt;0,deployment_raw[[#This Row],[Column20]]/IF(OR($E$2="Deployment",deployment_raw[[#This Row],[Column5]]=0),1,deployment_raw[[#This Row],[Column5]])/1048576/Q506,0),"")</f>
        <v/>
      </c>
      <c r="Q506" s="76" t="str">
        <f>IF(ISNUMBER(deployment_raw[[#This Row],[Column9]]), (deployment_raw[[#This Row],[Column9]] * IF($E$2="Deployment",deployment_raw[[#This Row],[Column5]],1))/1048576,"")</f>
        <v/>
      </c>
      <c r="R506" s="57" t="str">
        <f>IF(ISNUMBER(deployment_raw[[#This Row],[Column10]]), (deployment_raw[[#This Row],[Column10]] * IF($E$2="Deployment",deployment_raw[[#This Row],[Column5]],1)),"")</f>
        <v/>
      </c>
      <c r="S506" s="48" t="str">
        <f>IF(ISNUMBER(deployment_raw[[#This Row],[Column11]]), (deployment_raw[[#This Row],[Column11]] * IF($E$2="Deployment",deployment_raw[[#This Row],[Column5]],1))/1048576,"")</f>
        <v/>
      </c>
      <c r="T506" s="59" t="str">
        <f>IF(ISNUMBER(deployment_raw[[#This Row],[Column8]]),IF(OR(deployment_raw[[#This Row],[Column5]] &lt;&gt; 0,$E$2 &lt;&gt; "Deployment"), MAX(V506, ($T$2 * IF($E$2="Deployment",deployment_raw[[#This Row],[Column5]],1))), 0),"")</f>
        <v/>
      </c>
      <c r="U506" s="50" t="str">
        <f>IF(ISNUMBER(deployment_raw[[#This Row],[Column9]]),IF(OR(deployment_raw[[#This Row],[Column5]] &lt;&gt; 0,$E$2&lt;&gt;"Deployment"), MAX(W506, ($U$2 * IF($E$2="Deployment",deployment_raw[[#This Row],[Column5]],1))), 0),"")</f>
        <v/>
      </c>
      <c r="V506" s="15" t="str">
        <f>IF(ISNUMBER(deployment_raw[[#This Row],[Column12]]), (deployment_raw[[#This Row],[Column12]] * IF($E$2="Deployment",deployment_raw[[#This Row],[Column5]],1)*(1+$V$2)),"")</f>
        <v/>
      </c>
      <c r="W506" s="14" t="str">
        <f>IF(ISNUMBER(deployment_raw[[#This Row],[Column13]]), (deployment_raw[[#This Row],[Column13]] * IF($E$2="Deployment",deployment_raw[[#This Row],[Column5]],1)*(1+$W$2))/1048576,"")</f>
        <v/>
      </c>
    </row>
    <row r="507" spans="1:23" ht="15.75" customHeight="1" x14ac:dyDescent="0.25">
      <c r="A507" s="5" t="str">
        <f>IF(ISNONTEXT(deployment_raw[[#This Row],[Column1]]), "", deployment_raw[[#This Row],[Column1]])</f>
        <v/>
      </c>
      <c r="B507" s="6" t="str">
        <f>IF(ISNONTEXT(deployment_raw[[#This Row],[Column2]]), "", deployment_raw[[#This Row],[Column2]])</f>
        <v/>
      </c>
      <c r="C507" s="6" t="str">
        <f>IF(ISNONTEXT(deployment_raw[[#This Row],[Column3]]), "", deployment_raw[[#This Row],[Column3]])</f>
        <v/>
      </c>
      <c r="D507" s="6" t="str">
        <f>IF(ISNONTEXT(deployment_raw[[#This Row],[Column4]]), "", deployment_raw[[#This Row],[Column4]])</f>
        <v/>
      </c>
      <c r="E507" s="7" t="str">
        <f>IF(ISNUMBER(deployment_raw[[#This Row],[Column5]]), deployment_raw[[#This Row],[Column5]],"")</f>
        <v/>
      </c>
      <c r="F507" s="32" t="str">
        <f>IF(ISNUMBER(deployment_raw[[#This Row],[Column17]]), deployment_raw[[#This Row],[Column17]]/IF(OR($E$2="Deployment",deployment_raw[[#This Row],[Column5]]=0),1,deployment_raw[[#This Row],[Column5]]),"")</f>
        <v/>
      </c>
      <c r="G507" s="42" t="str">
        <f>IF(ISNUMBER(deployment_raw[[#This Row],[Column14]]), deployment_raw[[#This Row],[Column14]]/IF(OR($E$2="Deployment",deployment_raw[[#This Row],[Column5]]=0),1,deployment_raw[[#This Row],[Column5]]),"")</f>
        <v/>
      </c>
      <c r="H507" s="79" t="str">
        <f>IF(ISNUMBER(deployment_raw[[#This Row],[Column19]]), IF(I507&lt;&gt;0,(deployment_raw[[#This Row],[Column19]]/IF(OR($E$2="Deployment",deployment_raw[[#This Row],[Column5]]=0),1,deployment_raw[[#This Row],[Column5]]))/I507,0),"")</f>
        <v/>
      </c>
      <c r="I507" s="69" t="str">
        <f>IF(ISNUMBER(deployment_raw[[#This Row],[Column6]]), (deployment_raw[[#This Row],[Column6]] * IF($E$2="Deployment",deployment_raw[[#This Row],[Column5]],1)),"")</f>
        <v/>
      </c>
      <c r="J507" s="79" t="str">
        <f>IF(ISNUMBER(deployment_raw[[#This Row],[Column19]]), IF(K507&lt;&gt;0,(deployment_raw[[#This Row],[Column19]]/IF(OR($E$2="Deployment",deployment_raw[[#This Row],[Column5]]=0),1,deployment_raw[[#This Row],[Column5]]))/K507,0),"")</f>
        <v/>
      </c>
      <c r="K507" s="72" t="str">
        <f>IF(ISNUMBER(deployment_raw[[#This Row],[Column8]]), (deployment_raw[[#This Row],[Column8]]  * IF($E$2="Deployment",deployment_raw[[#This Row],[Column5]],1)),"")</f>
        <v/>
      </c>
      <c r="L50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0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07" s="81" t="str">
        <f>IF(ISNUMBER(deployment_raw[[#This Row],[Column20]]), IF(O507&lt;&gt;0,deployment_raw[[#This Row],[Column20]]/IF(OR($E$2="Deployment",deployment_raw[[#This Row],[Column5]]=0),1,deployment_raw[[#This Row],[Column5]])/1048576/O507,0),"")</f>
        <v/>
      </c>
      <c r="O507" s="74" t="str">
        <f>IF(ISNUMBER(deployment_raw[[#This Row],[Column7]]), (deployment_raw[[#This Row],[Column7]] * IF($E$2="Deployment",deployment_raw[[#This Row],[Column5]],1))/1048576,"")</f>
        <v/>
      </c>
      <c r="P507" s="81" t="str">
        <f>IF(ISNUMBER(deployment_raw[[#This Row],[Column20]]), IF(Q507&lt;&gt;0,deployment_raw[[#This Row],[Column20]]/IF(OR($E$2="Deployment",deployment_raw[[#This Row],[Column5]]=0),1,deployment_raw[[#This Row],[Column5]])/1048576/Q507,0),"")</f>
        <v/>
      </c>
      <c r="Q507" s="76" t="str">
        <f>IF(ISNUMBER(deployment_raw[[#This Row],[Column9]]), (deployment_raw[[#This Row],[Column9]] * IF($E$2="Deployment",deployment_raw[[#This Row],[Column5]],1))/1048576,"")</f>
        <v/>
      </c>
      <c r="R507" s="57" t="str">
        <f>IF(ISNUMBER(deployment_raw[[#This Row],[Column10]]), (deployment_raw[[#This Row],[Column10]] * IF($E$2="Deployment",deployment_raw[[#This Row],[Column5]],1)),"")</f>
        <v/>
      </c>
      <c r="S507" s="48" t="str">
        <f>IF(ISNUMBER(deployment_raw[[#This Row],[Column11]]), (deployment_raw[[#This Row],[Column11]] * IF($E$2="Deployment",deployment_raw[[#This Row],[Column5]],1))/1048576,"")</f>
        <v/>
      </c>
      <c r="T507" s="59" t="str">
        <f>IF(ISNUMBER(deployment_raw[[#This Row],[Column8]]),IF(OR(deployment_raw[[#This Row],[Column5]] &lt;&gt; 0,$E$2 &lt;&gt; "Deployment"), MAX(V507, ($T$2 * IF($E$2="Deployment",deployment_raw[[#This Row],[Column5]],1))), 0),"")</f>
        <v/>
      </c>
      <c r="U507" s="50" t="str">
        <f>IF(ISNUMBER(deployment_raw[[#This Row],[Column9]]),IF(OR(deployment_raw[[#This Row],[Column5]] &lt;&gt; 0,$E$2&lt;&gt;"Deployment"), MAX(W507, ($U$2 * IF($E$2="Deployment",deployment_raw[[#This Row],[Column5]],1))), 0),"")</f>
        <v/>
      </c>
      <c r="V507" s="15" t="str">
        <f>IF(ISNUMBER(deployment_raw[[#This Row],[Column12]]), (deployment_raw[[#This Row],[Column12]] * IF($E$2="Deployment",deployment_raw[[#This Row],[Column5]],1)*(1+$V$2)),"")</f>
        <v/>
      </c>
      <c r="W507" s="14" t="str">
        <f>IF(ISNUMBER(deployment_raw[[#This Row],[Column13]]), (deployment_raw[[#This Row],[Column13]] * IF($E$2="Deployment",deployment_raw[[#This Row],[Column5]],1)*(1+$W$2))/1048576,"")</f>
        <v/>
      </c>
    </row>
    <row r="508" spans="1:23" ht="15.75" customHeight="1" x14ac:dyDescent="0.25">
      <c r="A508" s="5" t="str">
        <f>IF(ISNONTEXT(deployment_raw[[#This Row],[Column1]]), "", deployment_raw[[#This Row],[Column1]])</f>
        <v/>
      </c>
      <c r="B508" s="6" t="str">
        <f>IF(ISNONTEXT(deployment_raw[[#This Row],[Column2]]), "", deployment_raw[[#This Row],[Column2]])</f>
        <v/>
      </c>
      <c r="C508" s="6" t="str">
        <f>IF(ISNONTEXT(deployment_raw[[#This Row],[Column3]]), "", deployment_raw[[#This Row],[Column3]])</f>
        <v/>
      </c>
      <c r="D508" s="6" t="str">
        <f>IF(ISNONTEXT(deployment_raw[[#This Row],[Column4]]), "", deployment_raw[[#This Row],[Column4]])</f>
        <v/>
      </c>
      <c r="E508" s="7" t="str">
        <f>IF(ISNUMBER(deployment_raw[[#This Row],[Column5]]), deployment_raw[[#This Row],[Column5]],"")</f>
        <v/>
      </c>
      <c r="F508" s="32" t="str">
        <f>IF(ISNUMBER(deployment_raw[[#This Row],[Column17]]), deployment_raw[[#This Row],[Column17]]/IF(OR($E$2="Deployment",deployment_raw[[#This Row],[Column5]]=0),1,deployment_raw[[#This Row],[Column5]]),"")</f>
        <v/>
      </c>
      <c r="G508" s="42" t="str">
        <f>IF(ISNUMBER(deployment_raw[[#This Row],[Column14]]), deployment_raw[[#This Row],[Column14]]/IF(OR($E$2="Deployment",deployment_raw[[#This Row],[Column5]]=0),1,deployment_raw[[#This Row],[Column5]]),"")</f>
        <v/>
      </c>
      <c r="H508" s="79" t="str">
        <f>IF(ISNUMBER(deployment_raw[[#This Row],[Column19]]), IF(I508&lt;&gt;0,(deployment_raw[[#This Row],[Column19]]/IF(OR($E$2="Deployment",deployment_raw[[#This Row],[Column5]]=0),1,deployment_raw[[#This Row],[Column5]]))/I508,0),"")</f>
        <v/>
      </c>
      <c r="I508" s="69" t="str">
        <f>IF(ISNUMBER(deployment_raw[[#This Row],[Column6]]), (deployment_raw[[#This Row],[Column6]] * IF($E$2="Deployment",deployment_raw[[#This Row],[Column5]],1)),"")</f>
        <v/>
      </c>
      <c r="J508" s="79" t="str">
        <f>IF(ISNUMBER(deployment_raw[[#This Row],[Column19]]), IF(K508&lt;&gt;0,(deployment_raw[[#This Row],[Column19]]/IF(OR($E$2="Deployment",deployment_raw[[#This Row],[Column5]]=0),1,deployment_raw[[#This Row],[Column5]]))/K508,0),"")</f>
        <v/>
      </c>
      <c r="K508" s="72" t="str">
        <f>IF(ISNUMBER(deployment_raw[[#This Row],[Column8]]), (deployment_raw[[#This Row],[Column8]]  * IF($E$2="Deployment",deployment_raw[[#This Row],[Column5]],1)),"")</f>
        <v/>
      </c>
      <c r="L50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0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08" s="81" t="str">
        <f>IF(ISNUMBER(deployment_raw[[#This Row],[Column20]]), IF(O508&lt;&gt;0,deployment_raw[[#This Row],[Column20]]/IF(OR($E$2="Deployment",deployment_raw[[#This Row],[Column5]]=0),1,deployment_raw[[#This Row],[Column5]])/1048576/O508,0),"")</f>
        <v/>
      </c>
      <c r="O508" s="74" t="str">
        <f>IF(ISNUMBER(deployment_raw[[#This Row],[Column7]]), (deployment_raw[[#This Row],[Column7]] * IF($E$2="Deployment",deployment_raw[[#This Row],[Column5]],1))/1048576,"")</f>
        <v/>
      </c>
      <c r="P508" s="81" t="str">
        <f>IF(ISNUMBER(deployment_raw[[#This Row],[Column20]]), IF(Q508&lt;&gt;0,deployment_raw[[#This Row],[Column20]]/IF(OR($E$2="Deployment",deployment_raw[[#This Row],[Column5]]=0),1,deployment_raw[[#This Row],[Column5]])/1048576/Q508,0),"")</f>
        <v/>
      </c>
      <c r="Q508" s="76" t="str">
        <f>IF(ISNUMBER(deployment_raw[[#This Row],[Column9]]), (deployment_raw[[#This Row],[Column9]] * IF($E$2="Deployment",deployment_raw[[#This Row],[Column5]],1))/1048576,"")</f>
        <v/>
      </c>
      <c r="R508" s="57" t="str">
        <f>IF(ISNUMBER(deployment_raw[[#This Row],[Column10]]), (deployment_raw[[#This Row],[Column10]] * IF($E$2="Deployment",deployment_raw[[#This Row],[Column5]],1)),"")</f>
        <v/>
      </c>
      <c r="S508" s="48" t="str">
        <f>IF(ISNUMBER(deployment_raw[[#This Row],[Column11]]), (deployment_raw[[#This Row],[Column11]] * IF($E$2="Deployment",deployment_raw[[#This Row],[Column5]],1))/1048576,"")</f>
        <v/>
      </c>
      <c r="T508" s="59" t="str">
        <f>IF(ISNUMBER(deployment_raw[[#This Row],[Column8]]),IF(OR(deployment_raw[[#This Row],[Column5]] &lt;&gt; 0,$E$2 &lt;&gt; "Deployment"), MAX(V508, ($T$2 * IF($E$2="Deployment",deployment_raw[[#This Row],[Column5]],1))), 0),"")</f>
        <v/>
      </c>
      <c r="U508" s="50" t="str">
        <f>IF(ISNUMBER(deployment_raw[[#This Row],[Column9]]),IF(OR(deployment_raw[[#This Row],[Column5]] &lt;&gt; 0,$E$2&lt;&gt;"Deployment"), MAX(W508, ($U$2 * IF($E$2="Deployment",deployment_raw[[#This Row],[Column5]],1))), 0),"")</f>
        <v/>
      </c>
      <c r="V508" s="15" t="str">
        <f>IF(ISNUMBER(deployment_raw[[#This Row],[Column12]]), (deployment_raw[[#This Row],[Column12]] * IF($E$2="Deployment",deployment_raw[[#This Row],[Column5]],1)*(1+$V$2)),"")</f>
        <v/>
      </c>
      <c r="W508" s="14" t="str">
        <f>IF(ISNUMBER(deployment_raw[[#This Row],[Column13]]), (deployment_raw[[#This Row],[Column13]] * IF($E$2="Deployment",deployment_raw[[#This Row],[Column5]],1)*(1+$W$2))/1048576,"")</f>
        <v/>
      </c>
    </row>
    <row r="509" spans="1:23" ht="15.75" customHeight="1" x14ac:dyDescent="0.25">
      <c r="A509" s="5" t="str">
        <f>IF(ISNONTEXT(deployment_raw[[#This Row],[Column1]]), "", deployment_raw[[#This Row],[Column1]])</f>
        <v/>
      </c>
      <c r="B509" s="6" t="str">
        <f>IF(ISNONTEXT(deployment_raw[[#This Row],[Column2]]), "", deployment_raw[[#This Row],[Column2]])</f>
        <v/>
      </c>
      <c r="C509" s="6" t="str">
        <f>IF(ISNONTEXT(deployment_raw[[#This Row],[Column3]]), "", deployment_raw[[#This Row],[Column3]])</f>
        <v/>
      </c>
      <c r="D509" s="6" t="str">
        <f>IF(ISNONTEXT(deployment_raw[[#This Row],[Column4]]), "", deployment_raw[[#This Row],[Column4]])</f>
        <v/>
      </c>
      <c r="E509" s="7" t="str">
        <f>IF(ISNUMBER(deployment_raw[[#This Row],[Column5]]), deployment_raw[[#This Row],[Column5]],"")</f>
        <v/>
      </c>
      <c r="F509" s="32" t="str">
        <f>IF(ISNUMBER(deployment_raw[[#This Row],[Column17]]), deployment_raw[[#This Row],[Column17]]/IF(OR($E$2="Deployment",deployment_raw[[#This Row],[Column5]]=0),1,deployment_raw[[#This Row],[Column5]]),"")</f>
        <v/>
      </c>
      <c r="G509" s="42" t="str">
        <f>IF(ISNUMBER(deployment_raw[[#This Row],[Column14]]), deployment_raw[[#This Row],[Column14]]/IF(OR($E$2="Deployment",deployment_raw[[#This Row],[Column5]]=0),1,deployment_raw[[#This Row],[Column5]]),"")</f>
        <v/>
      </c>
      <c r="H509" s="79" t="str">
        <f>IF(ISNUMBER(deployment_raw[[#This Row],[Column19]]), IF(I509&lt;&gt;0,(deployment_raw[[#This Row],[Column19]]/IF(OR($E$2="Deployment",deployment_raw[[#This Row],[Column5]]=0),1,deployment_raw[[#This Row],[Column5]]))/I509,0),"")</f>
        <v/>
      </c>
      <c r="I509" s="69" t="str">
        <f>IF(ISNUMBER(deployment_raw[[#This Row],[Column6]]), (deployment_raw[[#This Row],[Column6]] * IF($E$2="Deployment",deployment_raw[[#This Row],[Column5]],1)),"")</f>
        <v/>
      </c>
      <c r="J509" s="79" t="str">
        <f>IF(ISNUMBER(deployment_raw[[#This Row],[Column19]]), IF(K509&lt;&gt;0,(deployment_raw[[#This Row],[Column19]]/IF(OR($E$2="Deployment",deployment_raw[[#This Row],[Column5]]=0),1,deployment_raw[[#This Row],[Column5]]))/K509,0),"")</f>
        <v/>
      </c>
      <c r="K509" s="72" t="str">
        <f>IF(ISNUMBER(deployment_raw[[#This Row],[Column8]]), (deployment_raw[[#This Row],[Column8]]  * IF($E$2="Deployment",deployment_raw[[#This Row],[Column5]],1)),"")</f>
        <v/>
      </c>
      <c r="L50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0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09" s="81" t="str">
        <f>IF(ISNUMBER(deployment_raw[[#This Row],[Column20]]), IF(O509&lt;&gt;0,deployment_raw[[#This Row],[Column20]]/IF(OR($E$2="Deployment",deployment_raw[[#This Row],[Column5]]=0),1,deployment_raw[[#This Row],[Column5]])/1048576/O509,0),"")</f>
        <v/>
      </c>
      <c r="O509" s="74" t="str">
        <f>IF(ISNUMBER(deployment_raw[[#This Row],[Column7]]), (deployment_raw[[#This Row],[Column7]] * IF($E$2="Deployment",deployment_raw[[#This Row],[Column5]],1))/1048576,"")</f>
        <v/>
      </c>
      <c r="P509" s="81" t="str">
        <f>IF(ISNUMBER(deployment_raw[[#This Row],[Column20]]), IF(Q509&lt;&gt;0,deployment_raw[[#This Row],[Column20]]/IF(OR($E$2="Deployment",deployment_raw[[#This Row],[Column5]]=0),1,deployment_raw[[#This Row],[Column5]])/1048576/Q509,0),"")</f>
        <v/>
      </c>
      <c r="Q509" s="76" t="str">
        <f>IF(ISNUMBER(deployment_raw[[#This Row],[Column9]]), (deployment_raw[[#This Row],[Column9]] * IF($E$2="Deployment",deployment_raw[[#This Row],[Column5]],1))/1048576,"")</f>
        <v/>
      </c>
      <c r="R509" s="57" t="str">
        <f>IF(ISNUMBER(deployment_raw[[#This Row],[Column10]]), (deployment_raw[[#This Row],[Column10]] * IF($E$2="Deployment",deployment_raw[[#This Row],[Column5]],1)),"")</f>
        <v/>
      </c>
      <c r="S509" s="48" t="str">
        <f>IF(ISNUMBER(deployment_raw[[#This Row],[Column11]]), (deployment_raw[[#This Row],[Column11]] * IF($E$2="Deployment",deployment_raw[[#This Row],[Column5]],1))/1048576,"")</f>
        <v/>
      </c>
      <c r="T509" s="59" t="str">
        <f>IF(ISNUMBER(deployment_raw[[#This Row],[Column8]]),IF(OR(deployment_raw[[#This Row],[Column5]] &lt;&gt; 0,$E$2 &lt;&gt; "Deployment"), MAX(V509, ($T$2 * IF($E$2="Deployment",deployment_raw[[#This Row],[Column5]],1))), 0),"")</f>
        <v/>
      </c>
      <c r="U509" s="50" t="str">
        <f>IF(ISNUMBER(deployment_raw[[#This Row],[Column9]]),IF(OR(deployment_raw[[#This Row],[Column5]] &lt;&gt; 0,$E$2&lt;&gt;"Deployment"), MAX(W509, ($U$2 * IF($E$2="Deployment",deployment_raw[[#This Row],[Column5]],1))), 0),"")</f>
        <v/>
      </c>
      <c r="V509" s="15" t="str">
        <f>IF(ISNUMBER(deployment_raw[[#This Row],[Column12]]), (deployment_raw[[#This Row],[Column12]] * IF($E$2="Deployment",deployment_raw[[#This Row],[Column5]],1)*(1+$V$2)),"")</f>
        <v/>
      </c>
      <c r="W509" s="14" t="str">
        <f>IF(ISNUMBER(deployment_raw[[#This Row],[Column13]]), (deployment_raw[[#This Row],[Column13]] * IF($E$2="Deployment",deployment_raw[[#This Row],[Column5]],1)*(1+$W$2))/1048576,"")</f>
        <v/>
      </c>
    </row>
    <row r="510" spans="1:23" ht="15.75" customHeight="1" x14ac:dyDescent="0.25">
      <c r="A510" s="5" t="str">
        <f>IF(ISNONTEXT(deployment_raw[[#This Row],[Column1]]), "", deployment_raw[[#This Row],[Column1]])</f>
        <v/>
      </c>
      <c r="B510" s="6" t="str">
        <f>IF(ISNONTEXT(deployment_raw[[#This Row],[Column2]]), "", deployment_raw[[#This Row],[Column2]])</f>
        <v/>
      </c>
      <c r="C510" s="6" t="str">
        <f>IF(ISNONTEXT(deployment_raw[[#This Row],[Column3]]), "", deployment_raw[[#This Row],[Column3]])</f>
        <v/>
      </c>
      <c r="D510" s="6" t="str">
        <f>IF(ISNONTEXT(deployment_raw[[#This Row],[Column4]]), "", deployment_raw[[#This Row],[Column4]])</f>
        <v/>
      </c>
      <c r="E510" s="7" t="str">
        <f>IF(ISNUMBER(deployment_raw[[#This Row],[Column5]]), deployment_raw[[#This Row],[Column5]],"")</f>
        <v/>
      </c>
      <c r="F510" s="32" t="str">
        <f>IF(ISNUMBER(deployment_raw[[#This Row],[Column17]]), deployment_raw[[#This Row],[Column17]]/IF(OR($E$2="Deployment",deployment_raw[[#This Row],[Column5]]=0),1,deployment_raw[[#This Row],[Column5]]),"")</f>
        <v/>
      </c>
      <c r="G510" s="42" t="str">
        <f>IF(ISNUMBER(deployment_raw[[#This Row],[Column14]]), deployment_raw[[#This Row],[Column14]]/IF(OR($E$2="Deployment",deployment_raw[[#This Row],[Column5]]=0),1,deployment_raw[[#This Row],[Column5]]),"")</f>
        <v/>
      </c>
      <c r="H510" s="79" t="str">
        <f>IF(ISNUMBER(deployment_raw[[#This Row],[Column19]]), IF(I510&lt;&gt;0,(deployment_raw[[#This Row],[Column19]]/IF(OR($E$2="Deployment",deployment_raw[[#This Row],[Column5]]=0),1,deployment_raw[[#This Row],[Column5]]))/I510,0),"")</f>
        <v/>
      </c>
      <c r="I510" s="69" t="str">
        <f>IF(ISNUMBER(deployment_raw[[#This Row],[Column6]]), (deployment_raw[[#This Row],[Column6]] * IF($E$2="Deployment",deployment_raw[[#This Row],[Column5]],1)),"")</f>
        <v/>
      </c>
      <c r="J510" s="79" t="str">
        <f>IF(ISNUMBER(deployment_raw[[#This Row],[Column19]]), IF(K510&lt;&gt;0,(deployment_raw[[#This Row],[Column19]]/IF(OR($E$2="Deployment",deployment_raw[[#This Row],[Column5]]=0),1,deployment_raw[[#This Row],[Column5]]))/K510,0),"")</f>
        <v/>
      </c>
      <c r="K510" s="72" t="str">
        <f>IF(ISNUMBER(deployment_raw[[#This Row],[Column8]]), (deployment_raw[[#This Row],[Column8]]  * IF($E$2="Deployment",deployment_raw[[#This Row],[Column5]],1)),"")</f>
        <v/>
      </c>
      <c r="L51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1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10" s="81" t="str">
        <f>IF(ISNUMBER(deployment_raw[[#This Row],[Column20]]), IF(O510&lt;&gt;0,deployment_raw[[#This Row],[Column20]]/IF(OR($E$2="Deployment",deployment_raw[[#This Row],[Column5]]=0),1,deployment_raw[[#This Row],[Column5]])/1048576/O510,0),"")</f>
        <v/>
      </c>
      <c r="O510" s="74" t="str">
        <f>IF(ISNUMBER(deployment_raw[[#This Row],[Column7]]), (deployment_raw[[#This Row],[Column7]] * IF($E$2="Deployment",deployment_raw[[#This Row],[Column5]],1))/1048576,"")</f>
        <v/>
      </c>
      <c r="P510" s="81" t="str">
        <f>IF(ISNUMBER(deployment_raw[[#This Row],[Column20]]), IF(Q510&lt;&gt;0,deployment_raw[[#This Row],[Column20]]/IF(OR($E$2="Deployment",deployment_raw[[#This Row],[Column5]]=0),1,deployment_raw[[#This Row],[Column5]])/1048576/Q510,0),"")</f>
        <v/>
      </c>
      <c r="Q510" s="76" t="str">
        <f>IF(ISNUMBER(deployment_raw[[#This Row],[Column9]]), (deployment_raw[[#This Row],[Column9]] * IF($E$2="Deployment",deployment_raw[[#This Row],[Column5]],1))/1048576,"")</f>
        <v/>
      </c>
      <c r="R510" s="57" t="str">
        <f>IF(ISNUMBER(deployment_raw[[#This Row],[Column10]]), (deployment_raw[[#This Row],[Column10]] * IF($E$2="Deployment",deployment_raw[[#This Row],[Column5]],1)),"")</f>
        <v/>
      </c>
      <c r="S510" s="48" t="str">
        <f>IF(ISNUMBER(deployment_raw[[#This Row],[Column11]]), (deployment_raw[[#This Row],[Column11]] * IF($E$2="Deployment",deployment_raw[[#This Row],[Column5]],1))/1048576,"")</f>
        <v/>
      </c>
      <c r="T510" s="59" t="str">
        <f>IF(ISNUMBER(deployment_raw[[#This Row],[Column8]]),IF(OR(deployment_raw[[#This Row],[Column5]] &lt;&gt; 0,$E$2 &lt;&gt; "Deployment"), MAX(V510, ($T$2 * IF($E$2="Deployment",deployment_raw[[#This Row],[Column5]],1))), 0),"")</f>
        <v/>
      </c>
      <c r="U510" s="50" t="str">
        <f>IF(ISNUMBER(deployment_raw[[#This Row],[Column9]]),IF(OR(deployment_raw[[#This Row],[Column5]] &lt;&gt; 0,$E$2&lt;&gt;"Deployment"), MAX(W510, ($U$2 * IF($E$2="Deployment",deployment_raw[[#This Row],[Column5]],1))), 0),"")</f>
        <v/>
      </c>
      <c r="V510" s="15" t="str">
        <f>IF(ISNUMBER(deployment_raw[[#This Row],[Column12]]), (deployment_raw[[#This Row],[Column12]] * IF($E$2="Deployment",deployment_raw[[#This Row],[Column5]],1)*(1+$V$2)),"")</f>
        <v/>
      </c>
      <c r="W510" s="14" t="str">
        <f>IF(ISNUMBER(deployment_raw[[#This Row],[Column13]]), (deployment_raw[[#This Row],[Column13]] * IF($E$2="Deployment",deployment_raw[[#This Row],[Column5]],1)*(1+$W$2))/1048576,"")</f>
        <v/>
      </c>
    </row>
    <row r="511" spans="1:23" ht="15.75" customHeight="1" x14ac:dyDescent="0.25">
      <c r="A511" s="5" t="str">
        <f>IF(ISNONTEXT(deployment_raw[[#This Row],[Column1]]), "", deployment_raw[[#This Row],[Column1]])</f>
        <v/>
      </c>
      <c r="B511" s="6" t="str">
        <f>IF(ISNONTEXT(deployment_raw[[#This Row],[Column2]]), "", deployment_raw[[#This Row],[Column2]])</f>
        <v/>
      </c>
      <c r="C511" s="6" t="str">
        <f>IF(ISNONTEXT(deployment_raw[[#This Row],[Column3]]), "", deployment_raw[[#This Row],[Column3]])</f>
        <v/>
      </c>
      <c r="D511" s="6" t="str">
        <f>IF(ISNONTEXT(deployment_raw[[#This Row],[Column4]]), "", deployment_raw[[#This Row],[Column4]])</f>
        <v/>
      </c>
      <c r="E511" s="7" t="str">
        <f>IF(ISNUMBER(deployment_raw[[#This Row],[Column5]]), deployment_raw[[#This Row],[Column5]],"")</f>
        <v/>
      </c>
      <c r="F511" s="32" t="str">
        <f>IF(ISNUMBER(deployment_raw[[#This Row],[Column17]]), deployment_raw[[#This Row],[Column17]]/IF(OR($E$2="Deployment",deployment_raw[[#This Row],[Column5]]=0),1,deployment_raw[[#This Row],[Column5]]),"")</f>
        <v/>
      </c>
      <c r="G511" s="42" t="str">
        <f>IF(ISNUMBER(deployment_raw[[#This Row],[Column14]]), deployment_raw[[#This Row],[Column14]]/IF(OR($E$2="Deployment",deployment_raw[[#This Row],[Column5]]=0),1,deployment_raw[[#This Row],[Column5]]),"")</f>
        <v/>
      </c>
      <c r="H511" s="79" t="str">
        <f>IF(ISNUMBER(deployment_raw[[#This Row],[Column19]]), IF(I511&lt;&gt;0,(deployment_raw[[#This Row],[Column19]]/IF(OR($E$2="Deployment",deployment_raw[[#This Row],[Column5]]=0),1,deployment_raw[[#This Row],[Column5]]))/I511,0),"")</f>
        <v/>
      </c>
      <c r="I511" s="69" t="str">
        <f>IF(ISNUMBER(deployment_raw[[#This Row],[Column6]]), (deployment_raw[[#This Row],[Column6]] * IF($E$2="Deployment",deployment_raw[[#This Row],[Column5]],1)),"")</f>
        <v/>
      </c>
      <c r="J511" s="79" t="str">
        <f>IF(ISNUMBER(deployment_raw[[#This Row],[Column19]]), IF(K511&lt;&gt;0,(deployment_raw[[#This Row],[Column19]]/IF(OR($E$2="Deployment",deployment_raw[[#This Row],[Column5]]=0),1,deployment_raw[[#This Row],[Column5]]))/K511,0),"")</f>
        <v/>
      </c>
      <c r="K511" s="72" t="str">
        <f>IF(ISNUMBER(deployment_raw[[#This Row],[Column8]]), (deployment_raw[[#This Row],[Column8]]  * IF($E$2="Deployment",deployment_raw[[#This Row],[Column5]],1)),"")</f>
        <v/>
      </c>
      <c r="L51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1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11" s="81" t="str">
        <f>IF(ISNUMBER(deployment_raw[[#This Row],[Column20]]), IF(O511&lt;&gt;0,deployment_raw[[#This Row],[Column20]]/IF(OR($E$2="Deployment",deployment_raw[[#This Row],[Column5]]=0),1,deployment_raw[[#This Row],[Column5]])/1048576/O511,0),"")</f>
        <v/>
      </c>
      <c r="O511" s="74" t="str">
        <f>IF(ISNUMBER(deployment_raw[[#This Row],[Column7]]), (deployment_raw[[#This Row],[Column7]] * IF($E$2="Deployment",deployment_raw[[#This Row],[Column5]],1))/1048576,"")</f>
        <v/>
      </c>
      <c r="P511" s="81" t="str">
        <f>IF(ISNUMBER(deployment_raw[[#This Row],[Column20]]), IF(Q511&lt;&gt;0,deployment_raw[[#This Row],[Column20]]/IF(OR($E$2="Deployment",deployment_raw[[#This Row],[Column5]]=0),1,deployment_raw[[#This Row],[Column5]])/1048576/Q511,0),"")</f>
        <v/>
      </c>
      <c r="Q511" s="76" t="str">
        <f>IF(ISNUMBER(deployment_raw[[#This Row],[Column9]]), (deployment_raw[[#This Row],[Column9]] * IF($E$2="Deployment",deployment_raw[[#This Row],[Column5]],1))/1048576,"")</f>
        <v/>
      </c>
      <c r="R511" s="57" t="str">
        <f>IF(ISNUMBER(deployment_raw[[#This Row],[Column10]]), (deployment_raw[[#This Row],[Column10]] * IF($E$2="Deployment",deployment_raw[[#This Row],[Column5]],1)),"")</f>
        <v/>
      </c>
      <c r="S511" s="48" t="str">
        <f>IF(ISNUMBER(deployment_raw[[#This Row],[Column11]]), (deployment_raw[[#This Row],[Column11]] * IF($E$2="Deployment",deployment_raw[[#This Row],[Column5]],1))/1048576,"")</f>
        <v/>
      </c>
      <c r="T511" s="59" t="str">
        <f>IF(ISNUMBER(deployment_raw[[#This Row],[Column8]]),IF(OR(deployment_raw[[#This Row],[Column5]] &lt;&gt; 0,$E$2 &lt;&gt; "Deployment"), MAX(V511, ($T$2 * IF($E$2="Deployment",deployment_raw[[#This Row],[Column5]],1))), 0),"")</f>
        <v/>
      </c>
      <c r="U511" s="50" t="str">
        <f>IF(ISNUMBER(deployment_raw[[#This Row],[Column9]]),IF(OR(deployment_raw[[#This Row],[Column5]] &lt;&gt; 0,$E$2&lt;&gt;"Deployment"), MAX(W511, ($U$2 * IF($E$2="Deployment",deployment_raw[[#This Row],[Column5]],1))), 0),"")</f>
        <v/>
      </c>
      <c r="V511" s="15" t="str">
        <f>IF(ISNUMBER(deployment_raw[[#This Row],[Column12]]), (deployment_raw[[#This Row],[Column12]] * IF($E$2="Deployment",deployment_raw[[#This Row],[Column5]],1)*(1+$V$2)),"")</f>
        <v/>
      </c>
      <c r="W511" s="14" t="str">
        <f>IF(ISNUMBER(deployment_raw[[#This Row],[Column13]]), (deployment_raw[[#This Row],[Column13]] * IF($E$2="Deployment",deployment_raw[[#This Row],[Column5]],1)*(1+$W$2))/1048576,"")</f>
        <v/>
      </c>
    </row>
    <row r="512" spans="1:23" ht="15.75" customHeight="1" x14ac:dyDescent="0.25">
      <c r="A512" s="5" t="str">
        <f>IF(ISNONTEXT(deployment_raw[[#This Row],[Column1]]), "", deployment_raw[[#This Row],[Column1]])</f>
        <v/>
      </c>
      <c r="B512" s="6" t="str">
        <f>IF(ISNONTEXT(deployment_raw[[#This Row],[Column2]]), "", deployment_raw[[#This Row],[Column2]])</f>
        <v/>
      </c>
      <c r="C512" s="6" t="str">
        <f>IF(ISNONTEXT(deployment_raw[[#This Row],[Column3]]), "", deployment_raw[[#This Row],[Column3]])</f>
        <v/>
      </c>
      <c r="D512" s="6" t="str">
        <f>IF(ISNONTEXT(deployment_raw[[#This Row],[Column4]]), "", deployment_raw[[#This Row],[Column4]])</f>
        <v/>
      </c>
      <c r="E512" s="7" t="str">
        <f>IF(ISNUMBER(deployment_raw[[#This Row],[Column5]]), deployment_raw[[#This Row],[Column5]],"")</f>
        <v/>
      </c>
      <c r="F512" s="32" t="str">
        <f>IF(ISNUMBER(deployment_raw[[#This Row],[Column17]]), deployment_raw[[#This Row],[Column17]]/IF(OR($E$2="Deployment",deployment_raw[[#This Row],[Column5]]=0),1,deployment_raw[[#This Row],[Column5]]),"")</f>
        <v/>
      </c>
      <c r="G512" s="42" t="str">
        <f>IF(ISNUMBER(deployment_raw[[#This Row],[Column14]]), deployment_raw[[#This Row],[Column14]]/IF(OR($E$2="Deployment",deployment_raw[[#This Row],[Column5]]=0),1,deployment_raw[[#This Row],[Column5]]),"")</f>
        <v/>
      </c>
      <c r="H512" s="79" t="str">
        <f>IF(ISNUMBER(deployment_raw[[#This Row],[Column19]]), IF(I512&lt;&gt;0,(deployment_raw[[#This Row],[Column19]]/IF(OR($E$2="Deployment",deployment_raw[[#This Row],[Column5]]=0),1,deployment_raw[[#This Row],[Column5]]))/I512,0),"")</f>
        <v/>
      </c>
      <c r="I512" s="69" t="str">
        <f>IF(ISNUMBER(deployment_raw[[#This Row],[Column6]]), (deployment_raw[[#This Row],[Column6]] * IF($E$2="Deployment",deployment_raw[[#This Row],[Column5]],1)),"")</f>
        <v/>
      </c>
      <c r="J512" s="79" t="str">
        <f>IF(ISNUMBER(deployment_raw[[#This Row],[Column19]]), IF(K512&lt;&gt;0,(deployment_raw[[#This Row],[Column19]]/IF(OR($E$2="Deployment",deployment_raw[[#This Row],[Column5]]=0),1,deployment_raw[[#This Row],[Column5]]))/K512,0),"")</f>
        <v/>
      </c>
      <c r="K512" s="72" t="str">
        <f>IF(ISNUMBER(deployment_raw[[#This Row],[Column8]]), (deployment_raw[[#This Row],[Column8]]  * IF($E$2="Deployment",deployment_raw[[#This Row],[Column5]],1)),"")</f>
        <v/>
      </c>
      <c r="L51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1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12" s="81" t="str">
        <f>IF(ISNUMBER(deployment_raw[[#This Row],[Column20]]), IF(O512&lt;&gt;0,deployment_raw[[#This Row],[Column20]]/IF(OR($E$2="Deployment",deployment_raw[[#This Row],[Column5]]=0),1,deployment_raw[[#This Row],[Column5]])/1048576/O512,0),"")</f>
        <v/>
      </c>
      <c r="O512" s="74" t="str">
        <f>IF(ISNUMBER(deployment_raw[[#This Row],[Column7]]), (deployment_raw[[#This Row],[Column7]] * IF($E$2="Deployment",deployment_raw[[#This Row],[Column5]],1))/1048576,"")</f>
        <v/>
      </c>
      <c r="P512" s="81" t="str">
        <f>IF(ISNUMBER(deployment_raw[[#This Row],[Column20]]), IF(Q512&lt;&gt;0,deployment_raw[[#This Row],[Column20]]/IF(OR($E$2="Deployment",deployment_raw[[#This Row],[Column5]]=0),1,deployment_raw[[#This Row],[Column5]])/1048576/Q512,0),"")</f>
        <v/>
      </c>
      <c r="Q512" s="76" t="str">
        <f>IF(ISNUMBER(deployment_raw[[#This Row],[Column9]]), (deployment_raw[[#This Row],[Column9]] * IF($E$2="Deployment",deployment_raw[[#This Row],[Column5]],1))/1048576,"")</f>
        <v/>
      </c>
      <c r="R512" s="57" t="str">
        <f>IF(ISNUMBER(deployment_raw[[#This Row],[Column10]]), (deployment_raw[[#This Row],[Column10]] * IF($E$2="Deployment",deployment_raw[[#This Row],[Column5]],1)),"")</f>
        <v/>
      </c>
      <c r="S512" s="48" t="str">
        <f>IF(ISNUMBER(deployment_raw[[#This Row],[Column11]]), (deployment_raw[[#This Row],[Column11]] * IF($E$2="Deployment",deployment_raw[[#This Row],[Column5]],1))/1048576,"")</f>
        <v/>
      </c>
      <c r="T512" s="59" t="str">
        <f>IF(ISNUMBER(deployment_raw[[#This Row],[Column8]]),IF(OR(deployment_raw[[#This Row],[Column5]] &lt;&gt; 0,$E$2 &lt;&gt; "Deployment"), MAX(V512, ($T$2 * IF($E$2="Deployment",deployment_raw[[#This Row],[Column5]],1))), 0),"")</f>
        <v/>
      </c>
      <c r="U512" s="50" t="str">
        <f>IF(ISNUMBER(deployment_raw[[#This Row],[Column9]]),IF(OR(deployment_raw[[#This Row],[Column5]] &lt;&gt; 0,$E$2&lt;&gt;"Deployment"), MAX(W512, ($U$2 * IF($E$2="Deployment",deployment_raw[[#This Row],[Column5]],1))), 0),"")</f>
        <v/>
      </c>
      <c r="V512" s="15" t="str">
        <f>IF(ISNUMBER(deployment_raw[[#This Row],[Column12]]), (deployment_raw[[#This Row],[Column12]] * IF($E$2="Deployment",deployment_raw[[#This Row],[Column5]],1)*(1+$V$2)),"")</f>
        <v/>
      </c>
      <c r="W512" s="14" t="str">
        <f>IF(ISNUMBER(deployment_raw[[#This Row],[Column13]]), (deployment_raw[[#This Row],[Column13]] * IF($E$2="Deployment",deployment_raw[[#This Row],[Column5]],1)*(1+$W$2))/1048576,"")</f>
        <v/>
      </c>
    </row>
    <row r="513" spans="1:23" ht="15.75" customHeight="1" x14ac:dyDescent="0.25">
      <c r="A513" s="5" t="str">
        <f>IF(ISNONTEXT(deployment_raw[[#This Row],[Column1]]), "", deployment_raw[[#This Row],[Column1]])</f>
        <v/>
      </c>
      <c r="B513" s="6" t="str">
        <f>IF(ISNONTEXT(deployment_raw[[#This Row],[Column2]]), "", deployment_raw[[#This Row],[Column2]])</f>
        <v/>
      </c>
      <c r="C513" s="6" t="str">
        <f>IF(ISNONTEXT(deployment_raw[[#This Row],[Column3]]), "", deployment_raw[[#This Row],[Column3]])</f>
        <v/>
      </c>
      <c r="D513" s="6" t="str">
        <f>IF(ISNONTEXT(deployment_raw[[#This Row],[Column4]]), "", deployment_raw[[#This Row],[Column4]])</f>
        <v/>
      </c>
      <c r="E513" s="7" t="str">
        <f>IF(ISNUMBER(deployment_raw[[#This Row],[Column5]]), deployment_raw[[#This Row],[Column5]],"")</f>
        <v/>
      </c>
      <c r="F513" s="32" t="str">
        <f>IF(ISNUMBER(deployment_raw[[#This Row],[Column17]]), deployment_raw[[#This Row],[Column17]]/IF(OR($E$2="Deployment",deployment_raw[[#This Row],[Column5]]=0),1,deployment_raw[[#This Row],[Column5]]),"")</f>
        <v/>
      </c>
      <c r="G513" s="42" t="str">
        <f>IF(ISNUMBER(deployment_raw[[#This Row],[Column14]]), deployment_raw[[#This Row],[Column14]]/IF(OR($E$2="Deployment",deployment_raw[[#This Row],[Column5]]=0),1,deployment_raw[[#This Row],[Column5]]),"")</f>
        <v/>
      </c>
      <c r="H513" s="79" t="str">
        <f>IF(ISNUMBER(deployment_raw[[#This Row],[Column19]]), IF(I513&lt;&gt;0,(deployment_raw[[#This Row],[Column19]]/IF(OR($E$2="Deployment",deployment_raw[[#This Row],[Column5]]=0),1,deployment_raw[[#This Row],[Column5]]))/I513,0),"")</f>
        <v/>
      </c>
      <c r="I513" s="69" t="str">
        <f>IF(ISNUMBER(deployment_raw[[#This Row],[Column6]]), (deployment_raw[[#This Row],[Column6]] * IF($E$2="Deployment",deployment_raw[[#This Row],[Column5]],1)),"")</f>
        <v/>
      </c>
      <c r="J513" s="79" t="str">
        <f>IF(ISNUMBER(deployment_raw[[#This Row],[Column19]]), IF(K513&lt;&gt;0,(deployment_raw[[#This Row],[Column19]]/IF(OR($E$2="Deployment",deployment_raw[[#This Row],[Column5]]=0),1,deployment_raw[[#This Row],[Column5]]))/K513,0),"")</f>
        <v/>
      </c>
      <c r="K513" s="72" t="str">
        <f>IF(ISNUMBER(deployment_raw[[#This Row],[Column8]]), (deployment_raw[[#This Row],[Column8]]  * IF($E$2="Deployment",deployment_raw[[#This Row],[Column5]],1)),"")</f>
        <v/>
      </c>
      <c r="L51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1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13" s="81" t="str">
        <f>IF(ISNUMBER(deployment_raw[[#This Row],[Column20]]), IF(O513&lt;&gt;0,deployment_raw[[#This Row],[Column20]]/IF(OR($E$2="Deployment",deployment_raw[[#This Row],[Column5]]=0),1,deployment_raw[[#This Row],[Column5]])/1048576/O513,0),"")</f>
        <v/>
      </c>
      <c r="O513" s="74" t="str">
        <f>IF(ISNUMBER(deployment_raw[[#This Row],[Column7]]), (deployment_raw[[#This Row],[Column7]] * IF($E$2="Deployment",deployment_raw[[#This Row],[Column5]],1))/1048576,"")</f>
        <v/>
      </c>
      <c r="P513" s="81" t="str">
        <f>IF(ISNUMBER(deployment_raw[[#This Row],[Column20]]), IF(Q513&lt;&gt;0,deployment_raw[[#This Row],[Column20]]/IF(OR($E$2="Deployment",deployment_raw[[#This Row],[Column5]]=0),1,deployment_raw[[#This Row],[Column5]])/1048576/Q513,0),"")</f>
        <v/>
      </c>
      <c r="Q513" s="76" t="str">
        <f>IF(ISNUMBER(deployment_raw[[#This Row],[Column9]]), (deployment_raw[[#This Row],[Column9]] * IF($E$2="Deployment",deployment_raw[[#This Row],[Column5]],1))/1048576,"")</f>
        <v/>
      </c>
      <c r="R513" s="57" t="str">
        <f>IF(ISNUMBER(deployment_raw[[#This Row],[Column10]]), (deployment_raw[[#This Row],[Column10]] * IF($E$2="Deployment",deployment_raw[[#This Row],[Column5]],1)),"")</f>
        <v/>
      </c>
      <c r="S513" s="48" t="str">
        <f>IF(ISNUMBER(deployment_raw[[#This Row],[Column11]]), (deployment_raw[[#This Row],[Column11]] * IF($E$2="Deployment",deployment_raw[[#This Row],[Column5]],1))/1048576,"")</f>
        <v/>
      </c>
      <c r="T513" s="59" t="str">
        <f>IF(ISNUMBER(deployment_raw[[#This Row],[Column8]]),IF(OR(deployment_raw[[#This Row],[Column5]] &lt;&gt; 0,$E$2 &lt;&gt; "Deployment"), MAX(V513, ($T$2 * IF($E$2="Deployment",deployment_raw[[#This Row],[Column5]],1))), 0),"")</f>
        <v/>
      </c>
      <c r="U513" s="50" t="str">
        <f>IF(ISNUMBER(deployment_raw[[#This Row],[Column9]]),IF(OR(deployment_raw[[#This Row],[Column5]] &lt;&gt; 0,$E$2&lt;&gt;"Deployment"), MAX(W513, ($U$2 * IF($E$2="Deployment",deployment_raw[[#This Row],[Column5]],1))), 0),"")</f>
        <v/>
      </c>
      <c r="V513" s="15" t="str">
        <f>IF(ISNUMBER(deployment_raw[[#This Row],[Column12]]), (deployment_raw[[#This Row],[Column12]] * IF($E$2="Deployment",deployment_raw[[#This Row],[Column5]],1)*(1+$V$2)),"")</f>
        <v/>
      </c>
      <c r="W513" s="14" t="str">
        <f>IF(ISNUMBER(deployment_raw[[#This Row],[Column13]]), (deployment_raw[[#This Row],[Column13]] * IF($E$2="Deployment",deployment_raw[[#This Row],[Column5]],1)*(1+$W$2))/1048576,"")</f>
        <v/>
      </c>
    </row>
    <row r="514" spans="1:23" ht="15.75" customHeight="1" x14ac:dyDescent="0.25">
      <c r="A514" s="5" t="str">
        <f>IF(ISNONTEXT(deployment_raw[[#This Row],[Column1]]), "", deployment_raw[[#This Row],[Column1]])</f>
        <v/>
      </c>
      <c r="B514" s="6" t="str">
        <f>IF(ISNONTEXT(deployment_raw[[#This Row],[Column2]]), "", deployment_raw[[#This Row],[Column2]])</f>
        <v/>
      </c>
      <c r="C514" s="6" t="str">
        <f>IF(ISNONTEXT(deployment_raw[[#This Row],[Column3]]), "", deployment_raw[[#This Row],[Column3]])</f>
        <v/>
      </c>
      <c r="D514" s="6" t="str">
        <f>IF(ISNONTEXT(deployment_raw[[#This Row],[Column4]]), "", deployment_raw[[#This Row],[Column4]])</f>
        <v/>
      </c>
      <c r="E514" s="7" t="str">
        <f>IF(ISNUMBER(deployment_raw[[#This Row],[Column5]]), deployment_raw[[#This Row],[Column5]],"")</f>
        <v/>
      </c>
      <c r="F514" s="32" t="str">
        <f>IF(ISNUMBER(deployment_raw[[#This Row],[Column17]]), deployment_raw[[#This Row],[Column17]]/IF(OR($E$2="Deployment",deployment_raw[[#This Row],[Column5]]=0),1,deployment_raw[[#This Row],[Column5]]),"")</f>
        <v/>
      </c>
      <c r="G514" s="42" t="str">
        <f>IF(ISNUMBER(deployment_raw[[#This Row],[Column14]]), deployment_raw[[#This Row],[Column14]]/IF(OR($E$2="Deployment",deployment_raw[[#This Row],[Column5]]=0),1,deployment_raw[[#This Row],[Column5]]),"")</f>
        <v/>
      </c>
      <c r="H514" s="79" t="str">
        <f>IF(ISNUMBER(deployment_raw[[#This Row],[Column19]]), IF(I514&lt;&gt;0,(deployment_raw[[#This Row],[Column19]]/IF(OR($E$2="Deployment",deployment_raw[[#This Row],[Column5]]=0),1,deployment_raw[[#This Row],[Column5]]))/I514,0),"")</f>
        <v/>
      </c>
      <c r="I514" s="69" t="str">
        <f>IF(ISNUMBER(deployment_raw[[#This Row],[Column6]]), (deployment_raw[[#This Row],[Column6]] * IF($E$2="Deployment",deployment_raw[[#This Row],[Column5]],1)),"")</f>
        <v/>
      </c>
      <c r="J514" s="79" t="str">
        <f>IF(ISNUMBER(deployment_raw[[#This Row],[Column19]]), IF(K514&lt;&gt;0,(deployment_raw[[#This Row],[Column19]]/IF(OR($E$2="Deployment",deployment_raw[[#This Row],[Column5]]=0),1,deployment_raw[[#This Row],[Column5]]))/K514,0),"")</f>
        <v/>
      </c>
      <c r="K514" s="72" t="str">
        <f>IF(ISNUMBER(deployment_raw[[#This Row],[Column8]]), (deployment_raw[[#This Row],[Column8]]  * IF($E$2="Deployment",deployment_raw[[#This Row],[Column5]],1)),"")</f>
        <v/>
      </c>
      <c r="L51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1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14" s="81" t="str">
        <f>IF(ISNUMBER(deployment_raw[[#This Row],[Column20]]), IF(O514&lt;&gt;0,deployment_raw[[#This Row],[Column20]]/IF(OR($E$2="Deployment",deployment_raw[[#This Row],[Column5]]=0),1,deployment_raw[[#This Row],[Column5]])/1048576/O514,0),"")</f>
        <v/>
      </c>
      <c r="O514" s="74" t="str">
        <f>IF(ISNUMBER(deployment_raw[[#This Row],[Column7]]), (deployment_raw[[#This Row],[Column7]] * IF($E$2="Deployment",deployment_raw[[#This Row],[Column5]],1))/1048576,"")</f>
        <v/>
      </c>
      <c r="P514" s="81" t="str">
        <f>IF(ISNUMBER(deployment_raw[[#This Row],[Column20]]), IF(Q514&lt;&gt;0,deployment_raw[[#This Row],[Column20]]/IF(OR($E$2="Deployment",deployment_raw[[#This Row],[Column5]]=0),1,deployment_raw[[#This Row],[Column5]])/1048576/Q514,0),"")</f>
        <v/>
      </c>
      <c r="Q514" s="76" t="str">
        <f>IF(ISNUMBER(deployment_raw[[#This Row],[Column9]]), (deployment_raw[[#This Row],[Column9]] * IF($E$2="Deployment",deployment_raw[[#This Row],[Column5]],1))/1048576,"")</f>
        <v/>
      </c>
      <c r="R514" s="57" t="str">
        <f>IF(ISNUMBER(deployment_raw[[#This Row],[Column10]]), (deployment_raw[[#This Row],[Column10]] * IF($E$2="Deployment",deployment_raw[[#This Row],[Column5]],1)),"")</f>
        <v/>
      </c>
      <c r="S514" s="48" t="str">
        <f>IF(ISNUMBER(deployment_raw[[#This Row],[Column11]]), (deployment_raw[[#This Row],[Column11]] * IF($E$2="Deployment",deployment_raw[[#This Row],[Column5]],1))/1048576,"")</f>
        <v/>
      </c>
      <c r="T514" s="59" t="str">
        <f>IF(ISNUMBER(deployment_raw[[#This Row],[Column8]]),IF(OR(deployment_raw[[#This Row],[Column5]] &lt;&gt; 0,$E$2 &lt;&gt; "Deployment"), MAX(V514, ($T$2 * IF($E$2="Deployment",deployment_raw[[#This Row],[Column5]],1))), 0),"")</f>
        <v/>
      </c>
      <c r="U514" s="50" t="str">
        <f>IF(ISNUMBER(deployment_raw[[#This Row],[Column9]]),IF(OR(deployment_raw[[#This Row],[Column5]] &lt;&gt; 0,$E$2&lt;&gt;"Deployment"), MAX(W514, ($U$2 * IF($E$2="Deployment",deployment_raw[[#This Row],[Column5]],1))), 0),"")</f>
        <v/>
      </c>
      <c r="V514" s="15" t="str">
        <f>IF(ISNUMBER(deployment_raw[[#This Row],[Column12]]), (deployment_raw[[#This Row],[Column12]] * IF($E$2="Deployment",deployment_raw[[#This Row],[Column5]],1)*(1+$V$2)),"")</f>
        <v/>
      </c>
      <c r="W514" s="14" t="str">
        <f>IF(ISNUMBER(deployment_raw[[#This Row],[Column13]]), (deployment_raw[[#This Row],[Column13]] * IF($E$2="Deployment",deployment_raw[[#This Row],[Column5]],1)*(1+$W$2))/1048576,"")</f>
        <v/>
      </c>
    </row>
    <row r="515" spans="1:23" ht="15.75" customHeight="1" x14ac:dyDescent="0.25">
      <c r="A515" s="5" t="str">
        <f>IF(ISNONTEXT(deployment_raw[[#This Row],[Column1]]), "", deployment_raw[[#This Row],[Column1]])</f>
        <v/>
      </c>
      <c r="B515" s="6" t="str">
        <f>IF(ISNONTEXT(deployment_raw[[#This Row],[Column2]]), "", deployment_raw[[#This Row],[Column2]])</f>
        <v/>
      </c>
      <c r="C515" s="6" t="str">
        <f>IF(ISNONTEXT(deployment_raw[[#This Row],[Column3]]), "", deployment_raw[[#This Row],[Column3]])</f>
        <v/>
      </c>
      <c r="D515" s="6" t="str">
        <f>IF(ISNONTEXT(deployment_raw[[#This Row],[Column4]]), "", deployment_raw[[#This Row],[Column4]])</f>
        <v/>
      </c>
      <c r="E515" s="7" t="str">
        <f>IF(ISNUMBER(deployment_raw[[#This Row],[Column5]]), deployment_raw[[#This Row],[Column5]],"")</f>
        <v/>
      </c>
      <c r="F515" s="32" t="str">
        <f>IF(ISNUMBER(deployment_raw[[#This Row],[Column17]]), deployment_raw[[#This Row],[Column17]]/IF(OR($E$2="Deployment",deployment_raw[[#This Row],[Column5]]=0),1,deployment_raw[[#This Row],[Column5]]),"")</f>
        <v/>
      </c>
      <c r="G515" s="42" t="str">
        <f>IF(ISNUMBER(deployment_raw[[#This Row],[Column14]]), deployment_raw[[#This Row],[Column14]]/IF(OR($E$2="Deployment",deployment_raw[[#This Row],[Column5]]=0),1,deployment_raw[[#This Row],[Column5]]),"")</f>
        <v/>
      </c>
      <c r="H515" s="79" t="str">
        <f>IF(ISNUMBER(deployment_raw[[#This Row],[Column19]]), IF(I515&lt;&gt;0,(deployment_raw[[#This Row],[Column19]]/IF(OR($E$2="Deployment",deployment_raw[[#This Row],[Column5]]=0),1,deployment_raw[[#This Row],[Column5]]))/I515,0),"")</f>
        <v/>
      </c>
      <c r="I515" s="69" t="str">
        <f>IF(ISNUMBER(deployment_raw[[#This Row],[Column6]]), (deployment_raw[[#This Row],[Column6]] * IF($E$2="Deployment",deployment_raw[[#This Row],[Column5]],1)),"")</f>
        <v/>
      </c>
      <c r="J515" s="79" t="str">
        <f>IF(ISNUMBER(deployment_raw[[#This Row],[Column19]]), IF(K515&lt;&gt;0,(deployment_raw[[#This Row],[Column19]]/IF(OR($E$2="Deployment",deployment_raw[[#This Row],[Column5]]=0),1,deployment_raw[[#This Row],[Column5]]))/K515,0),"")</f>
        <v/>
      </c>
      <c r="K515" s="72" t="str">
        <f>IF(ISNUMBER(deployment_raw[[#This Row],[Column8]]), (deployment_raw[[#This Row],[Column8]]  * IF($E$2="Deployment",deployment_raw[[#This Row],[Column5]],1)),"")</f>
        <v/>
      </c>
      <c r="L51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1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15" s="81" t="str">
        <f>IF(ISNUMBER(deployment_raw[[#This Row],[Column20]]), IF(O515&lt;&gt;0,deployment_raw[[#This Row],[Column20]]/IF(OR($E$2="Deployment",deployment_raw[[#This Row],[Column5]]=0),1,deployment_raw[[#This Row],[Column5]])/1048576/O515,0),"")</f>
        <v/>
      </c>
      <c r="O515" s="74" t="str">
        <f>IF(ISNUMBER(deployment_raw[[#This Row],[Column7]]), (deployment_raw[[#This Row],[Column7]] * IF($E$2="Deployment",deployment_raw[[#This Row],[Column5]],1))/1048576,"")</f>
        <v/>
      </c>
      <c r="P515" s="81" t="str">
        <f>IF(ISNUMBER(deployment_raw[[#This Row],[Column20]]), IF(Q515&lt;&gt;0,deployment_raw[[#This Row],[Column20]]/IF(OR($E$2="Deployment",deployment_raw[[#This Row],[Column5]]=0),1,deployment_raw[[#This Row],[Column5]])/1048576/Q515,0),"")</f>
        <v/>
      </c>
      <c r="Q515" s="76" t="str">
        <f>IF(ISNUMBER(deployment_raw[[#This Row],[Column9]]), (deployment_raw[[#This Row],[Column9]] * IF($E$2="Deployment",deployment_raw[[#This Row],[Column5]],1))/1048576,"")</f>
        <v/>
      </c>
      <c r="R515" s="57" t="str">
        <f>IF(ISNUMBER(deployment_raw[[#This Row],[Column10]]), (deployment_raw[[#This Row],[Column10]] * IF($E$2="Deployment",deployment_raw[[#This Row],[Column5]],1)),"")</f>
        <v/>
      </c>
      <c r="S515" s="48" t="str">
        <f>IF(ISNUMBER(deployment_raw[[#This Row],[Column11]]), (deployment_raw[[#This Row],[Column11]] * IF($E$2="Deployment",deployment_raw[[#This Row],[Column5]],1))/1048576,"")</f>
        <v/>
      </c>
      <c r="T515" s="59" t="str">
        <f>IF(ISNUMBER(deployment_raw[[#This Row],[Column8]]),IF(OR(deployment_raw[[#This Row],[Column5]] &lt;&gt; 0,$E$2 &lt;&gt; "Deployment"), MAX(V515, ($T$2 * IF($E$2="Deployment",deployment_raw[[#This Row],[Column5]],1))), 0),"")</f>
        <v/>
      </c>
      <c r="U515" s="50" t="str">
        <f>IF(ISNUMBER(deployment_raw[[#This Row],[Column9]]),IF(OR(deployment_raw[[#This Row],[Column5]] &lt;&gt; 0,$E$2&lt;&gt;"Deployment"), MAX(W515, ($U$2 * IF($E$2="Deployment",deployment_raw[[#This Row],[Column5]],1))), 0),"")</f>
        <v/>
      </c>
      <c r="V515" s="15" t="str">
        <f>IF(ISNUMBER(deployment_raw[[#This Row],[Column12]]), (deployment_raw[[#This Row],[Column12]] * IF($E$2="Deployment",deployment_raw[[#This Row],[Column5]],1)*(1+$V$2)),"")</f>
        <v/>
      </c>
      <c r="W515" s="14" t="str">
        <f>IF(ISNUMBER(deployment_raw[[#This Row],[Column13]]), (deployment_raw[[#This Row],[Column13]] * IF($E$2="Deployment",deployment_raw[[#This Row],[Column5]],1)*(1+$W$2))/1048576,"")</f>
        <v/>
      </c>
    </row>
    <row r="516" spans="1:23" ht="15.75" customHeight="1" x14ac:dyDescent="0.25">
      <c r="A516" s="5" t="str">
        <f>IF(ISNONTEXT(deployment_raw[[#This Row],[Column1]]), "", deployment_raw[[#This Row],[Column1]])</f>
        <v/>
      </c>
      <c r="B516" s="6" t="str">
        <f>IF(ISNONTEXT(deployment_raw[[#This Row],[Column2]]), "", deployment_raw[[#This Row],[Column2]])</f>
        <v/>
      </c>
      <c r="C516" s="6" t="str">
        <f>IF(ISNONTEXT(deployment_raw[[#This Row],[Column3]]), "", deployment_raw[[#This Row],[Column3]])</f>
        <v/>
      </c>
      <c r="D516" s="6" t="str">
        <f>IF(ISNONTEXT(deployment_raw[[#This Row],[Column4]]), "", deployment_raw[[#This Row],[Column4]])</f>
        <v/>
      </c>
      <c r="E516" s="7" t="str">
        <f>IF(ISNUMBER(deployment_raw[[#This Row],[Column5]]), deployment_raw[[#This Row],[Column5]],"")</f>
        <v/>
      </c>
      <c r="F516" s="32" t="str">
        <f>IF(ISNUMBER(deployment_raw[[#This Row],[Column17]]), deployment_raw[[#This Row],[Column17]]/IF(OR($E$2="Deployment",deployment_raw[[#This Row],[Column5]]=0),1,deployment_raw[[#This Row],[Column5]]),"")</f>
        <v/>
      </c>
      <c r="G516" s="42" t="str">
        <f>IF(ISNUMBER(deployment_raw[[#This Row],[Column14]]), deployment_raw[[#This Row],[Column14]]/IF(OR($E$2="Deployment",deployment_raw[[#This Row],[Column5]]=0),1,deployment_raw[[#This Row],[Column5]]),"")</f>
        <v/>
      </c>
      <c r="H516" s="79" t="str">
        <f>IF(ISNUMBER(deployment_raw[[#This Row],[Column19]]), IF(I516&lt;&gt;0,(deployment_raw[[#This Row],[Column19]]/IF(OR($E$2="Deployment",deployment_raw[[#This Row],[Column5]]=0),1,deployment_raw[[#This Row],[Column5]]))/I516,0),"")</f>
        <v/>
      </c>
      <c r="I516" s="69" t="str">
        <f>IF(ISNUMBER(deployment_raw[[#This Row],[Column6]]), (deployment_raw[[#This Row],[Column6]] * IF($E$2="Deployment",deployment_raw[[#This Row],[Column5]],1)),"")</f>
        <v/>
      </c>
      <c r="J516" s="79" t="str">
        <f>IF(ISNUMBER(deployment_raw[[#This Row],[Column19]]), IF(K516&lt;&gt;0,(deployment_raw[[#This Row],[Column19]]/IF(OR($E$2="Deployment",deployment_raw[[#This Row],[Column5]]=0),1,deployment_raw[[#This Row],[Column5]]))/K516,0),"")</f>
        <v/>
      </c>
      <c r="K516" s="72" t="str">
        <f>IF(ISNUMBER(deployment_raw[[#This Row],[Column8]]), (deployment_raw[[#This Row],[Column8]]  * IF($E$2="Deployment",deployment_raw[[#This Row],[Column5]],1)),"")</f>
        <v/>
      </c>
      <c r="L51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1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16" s="81" t="str">
        <f>IF(ISNUMBER(deployment_raw[[#This Row],[Column20]]), IF(O516&lt;&gt;0,deployment_raw[[#This Row],[Column20]]/IF(OR($E$2="Deployment",deployment_raw[[#This Row],[Column5]]=0),1,deployment_raw[[#This Row],[Column5]])/1048576/O516,0),"")</f>
        <v/>
      </c>
      <c r="O516" s="74" t="str">
        <f>IF(ISNUMBER(deployment_raw[[#This Row],[Column7]]), (deployment_raw[[#This Row],[Column7]] * IF($E$2="Deployment",deployment_raw[[#This Row],[Column5]],1))/1048576,"")</f>
        <v/>
      </c>
      <c r="P516" s="81" t="str">
        <f>IF(ISNUMBER(deployment_raw[[#This Row],[Column20]]), IF(Q516&lt;&gt;0,deployment_raw[[#This Row],[Column20]]/IF(OR($E$2="Deployment",deployment_raw[[#This Row],[Column5]]=0),1,deployment_raw[[#This Row],[Column5]])/1048576/Q516,0),"")</f>
        <v/>
      </c>
      <c r="Q516" s="76" t="str">
        <f>IF(ISNUMBER(deployment_raw[[#This Row],[Column9]]), (deployment_raw[[#This Row],[Column9]] * IF($E$2="Deployment",deployment_raw[[#This Row],[Column5]],1))/1048576,"")</f>
        <v/>
      </c>
      <c r="R516" s="57" t="str">
        <f>IF(ISNUMBER(deployment_raw[[#This Row],[Column10]]), (deployment_raw[[#This Row],[Column10]] * IF($E$2="Deployment",deployment_raw[[#This Row],[Column5]],1)),"")</f>
        <v/>
      </c>
      <c r="S516" s="48" t="str">
        <f>IF(ISNUMBER(deployment_raw[[#This Row],[Column11]]), (deployment_raw[[#This Row],[Column11]] * IF($E$2="Deployment",deployment_raw[[#This Row],[Column5]],1))/1048576,"")</f>
        <v/>
      </c>
      <c r="T516" s="59" t="str">
        <f>IF(ISNUMBER(deployment_raw[[#This Row],[Column8]]),IF(OR(deployment_raw[[#This Row],[Column5]] &lt;&gt; 0,$E$2 &lt;&gt; "Deployment"), MAX(V516, ($T$2 * IF($E$2="Deployment",deployment_raw[[#This Row],[Column5]],1))), 0),"")</f>
        <v/>
      </c>
      <c r="U516" s="50" t="str">
        <f>IF(ISNUMBER(deployment_raw[[#This Row],[Column9]]),IF(OR(deployment_raw[[#This Row],[Column5]] &lt;&gt; 0,$E$2&lt;&gt;"Deployment"), MAX(W516, ($U$2 * IF($E$2="Deployment",deployment_raw[[#This Row],[Column5]],1))), 0),"")</f>
        <v/>
      </c>
      <c r="V516" s="15" t="str">
        <f>IF(ISNUMBER(deployment_raw[[#This Row],[Column12]]), (deployment_raw[[#This Row],[Column12]] * IF($E$2="Deployment",deployment_raw[[#This Row],[Column5]],1)*(1+$V$2)),"")</f>
        <v/>
      </c>
      <c r="W516" s="14" t="str">
        <f>IF(ISNUMBER(deployment_raw[[#This Row],[Column13]]), (deployment_raw[[#This Row],[Column13]] * IF($E$2="Deployment",deployment_raw[[#This Row],[Column5]],1)*(1+$W$2))/1048576,"")</f>
        <v/>
      </c>
    </row>
    <row r="517" spans="1:23" ht="15.75" customHeight="1" x14ac:dyDescent="0.25">
      <c r="A517" s="5" t="str">
        <f>IF(ISNONTEXT(deployment_raw[[#This Row],[Column1]]), "", deployment_raw[[#This Row],[Column1]])</f>
        <v/>
      </c>
      <c r="B517" s="6" t="str">
        <f>IF(ISNONTEXT(deployment_raw[[#This Row],[Column2]]), "", deployment_raw[[#This Row],[Column2]])</f>
        <v/>
      </c>
      <c r="C517" s="6" t="str">
        <f>IF(ISNONTEXT(deployment_raw[[#This Row],[Column3]]), "", deployment_raw[[#This Row],[Column3]])</f>
        <v/>
      </c>
      <c r="D517" s="6" t="str">
        <f>IF(ISNONTEXT(deployment_raw[[#This Row],[Column4]]), "", deployment_raw[[#This Row],[Column4]])</f>
        <v/>
      </c>
      <c r="E517" s="7" t="str">
        <f>IF(ISNUMBER(deployment_raw[[#This Row],[Column5]]), deployment_raw[[#This Row],[Column5]],"")</f>
        <v/>
      </c>
      <c r="F517" s="32" t="str">
        <f>IF(ISNUMBER(deployment_raw[[#This Row],[Column17]]), deployment_raw[[#This Row],[Column17]]/IF(OR($E$2="Deployment",deployment_raw[[#This Row],[Column5]]=0),1,deployment_raw[[#This Row],[Column5]]),"")</f>
        <v/>
      </c>
      <c r="G517" s="42" t="str">
        <f>IF(ISNUMBER(deployment_raw[[#This Row],[Column14]]), deployment_raw[[#This Row],[Column14]]/IF(OR($E$2="Deployment",deployment_raw[[#This Row],[Column5]]=0),1,deployment_raw[[#This Row],[Column5]]),"")</f>
        <v/>
      </c>
      <c r="H517" s="79" t="str">
        <f>IF(ISNUMBER(deployment_raw[[#This Row],[Column19]]), IF(I517&lt;&gt;0,(deployment_raw[[#This Row],[Column19]]/IF(OR($E$2="Deployment",deployment_raw[[#This Row],[Column5]]=0),1,deployment_raw[[#This Row],[Column5]]))/I517,0),"")</f>
        <v/>
      </c>
      <c r="I517" s="69" t="str">
        <f>IF(ISNUMBER(deployment_raw[[#This Row],[Column6]]), (deployment_raw[[#This Row],[Column6]] * IF($E$2="Deployment",deployment_raw[[#This Row],[Column5]],1)),"")</f>
        <v/>
      </c>
      <c r="J517" s="79" t="str">
        <f>IF(ISNUMBER(deployment_raw[[#This Row],[Column19]]), IF(K517&lt;&gt;0,(deployment_raw[[#This Row],[Column19]]/IF(OR($E$2="Deployment",deployment_raw[[#This Row],[Column5]]=0),1,deployment_raw[[#This Row],[Column5]]))/K517,0),"")</f>
        <v/>
      </c>
      <c r="K517" s="72" t="str">
        <f>IF(ISNUMBER(deployment_raw[[#This Row],[Column8]]), (deployment_raw[[#This Row],[Column8]]  * IF($E$2="Deployment",deployment_raw[[#This Row],[Column5]],1)),"")</f>
        <v/>
      </c>
      <c r="L51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1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17" s="81" t="str">
        <f>IF(ISNUMBER(deployment_raw[[#This Row],[Column20]]), IF(O517&lt;&gt;0,deployment_raw[[#This Row],[Column20]]/IF(OR($E$2="Deployment",deployment_raw[[#This Row],[Column5]]=0),1,deployment_raw[[#This Row],[Column5]])/1048576/O517,0),"")</f>
        <v/>
      </c>
      <c r="O517" s="74" t="str">
        <f>IF(ISNUMBER(deployment_raw[[#This Row],[Column7]]), (deployment_raw[[#This Row],[Column7]] * IF($E$2="Deployment",deployment_raw[[#This Row],[Column5]],1))/1048576,"")</f>
        <v/>
      </c>
      <c r="P517" s="81" t="str">
        <f>IF(ISNUMBER(deployment_raw[[#This Row],[Column20]]), IF(Q517&lt;&gt;0,deployment_raw[[#This Row],[Column20]]/IF(OR($E$2="Deployment",deployment_raw[[#This Row],[Column5]]=0),1,deployment_raw[[#This Row],[Column5]])/1048576/Q517,0),"")</f>
        <v/>
      </c>
      <c r="Q517" s="76" t="str">
        <f>IF(ISNUMBER(deployment_raw[[#This Row],[Column9]]), (deployment_raw[[#This Row],[Column9]] * IF($E$2="Deployment",deployment_raw[[#This Row],[Column5]],1))/1048576,"")</f>
        <v/>
      </c>
      <c r="R517" s="57" t="str">
        <f>IF(ISNUMBER(deployment_raw[[#This Row],[Column10]]), (deployment_raw[[#This Row],[Column10]] * IF($E$2="Deployment",deployment_raw[[#This Row],[Column5]],1)),"")</f>
        <v/>
      </c>
      <c r="S517" s="48" t="str">
        <f>IF(ISNUMBER(deployment_raw[[#This Row],[Column11]]), (deployment_raw[[#This Row],[Column11]] * IF($E$2="Deployment",deployment_raw[[#This Row],[Column5]],1))/1048576,"")</f>
        <v/>
      </c>
      <c r="T517" s="59" t="str">
        <f>IF(ISNUMBER(deployment_raw[[#This Row],[Column8]]),IF(OR(deployment_raw[[#This Row],[Column5]] &lt;&gt; 0,$E$2 &lt;&gt; "Deployment"), MAX(V517, ($T$2 * IF($E$2="Deployment",deployment_raw[[#This Row],[Column5]],1))), 0),"")</f>
        <v/>
      </c>
      <c r="U517" s="50" t="str">
        <f>IF(ISNUMBER(deployment_raw[[#This Row],[Column9]]),IF(OR(deployment_raw[[#This Row],[Column5]] &lt;&gt; 0,$E$2&lt;&gt;"Deployment"), MAX(W517, ($U$2 * IF($E$2="Deployment",deployment_raw[[#This Row],[Column5]],1))), 0),"")</f>
        <v/>
      </c>
      <c r="V517" s="15" t="str">
        <f>IF(ISNUMBER(deployment_raw[[#This Row],[Column12]]), (deployment_raw[[#This Row],[Column12]] * IF($E$2="Deployment",deployment_raw[[#This Row],[Column5]],1)*(1+$V$2)),"")</f>
        <v/>
      </c>
      <c r="W517" s="14" t="str">
        <f>IF(ISNUMBER(deployment_raw[[#This Row],[Column13]]), (deployment_raw[[#This Row],[Column13]] * IF($E$2="Deployment",deployment_raw[[#This Row],[Column5]],1)*(1+$W$2))/1048576,"")</f>
        <v/>
      </c>
    </row>
    <row r="518" spans="1:23" ht="15.75" customHeight="1" x14ac:dyDescent="0.25">
      <c r="A518" s="5" t="str">
        <f>IF(ISNONTEXT(deployment_raw[[#This Row],[Column1]]), "", deployment_raw[[#This Row],[Column1]])</f>
        <v/>
      </c>
      <c r="B518" s="6" t="str">
        <f>IF(ISNONTEXT(deployment_raw[[#This Row],[Column2]]), "", deployment_raw[[#This Row],[Column2]])</f>
        <v/>
      </c>
      <c r="C518" s="6" t="str">
        <f>IF(ISNONTEXT(deployment_raw[[#This Row],[Column3]]), "", deployment_raw[[#This Row],[Column3]])</f>
        <v/>
      </c>
      <c r="D518" s="6" t="str">
        <f>IF(ISNONTEXT(deployment_raw[[#This Row],[Column4]]), "", deployment_raw[[#This Row],[Column4]])</f>
        <v/>
      </c>
      <c r="E518" s="7" t="str">
        <f>IF(ISNUMBER(deployment_raw[[#This Row],[Column5]]), deployment_raw[[#This Row],[Column5]],"")</f>
        <v/>
      </c>
      <c r="F518" s="32" t="str">
        <f>IF(ISNUMBER(deployment_raw[[#This Row],[Column17]]), deployment_raw[[#This Row],[Column17]]/IF(OR($E$2="Deployment",deployment_raw[[#This Row],[Column5]]=0),1,deployment_raw[[#This Row],[Column5]]),"")</f>
        <v/>
      </c>
      <c r="G518" s="42" t="str">
        <f>IF(ISNUMBER(deployment_raw[[#This Row],[Column14]]), deployment_raw[[#This Row],[Column14]]/IF(OR($E$2="Deployment",deployment_raw[[#This Row],[Column5]]=0),1,deployment_raw[[#This Row],[Column5]]),"")</f>
        <v/>
      </c>
      <c r="H518" s="79" t="str">
        <f>IF(ISNUMBER(deployment_raw[[#This Row],[Column19]]), IF(I518&lt;&gt;0,(deployment_raw[[#This Row],[Column19]]/IF(OR($E$2="Deployment",deployment_raw[[#This Row],[Column5]]=0),1,deployment_raw[[#This Row],[Column5]]))/I518,0),"")</f>
        <v/>
      </c>
      <c r="I518" s="69" t="str">
        <f>IF(ISNUMBER(deployment_raw[[#This Row],[Column6]]), (deployment_raw[[#This Row],[Column6]] * IF($E$2="Deployment",deployment_raw[[#This Row],[Column5]],1)),"")</f>
        <v/>
      </c>
      <c r="J518" s="79" t="str">
        <f>IF(ISNUMBER(deployment_raw[[#This Row],[Column19]]), IF(K518&lt;&gt;0,(deployment_raw[[#This Row],[Column19]]/IF(OR($E$2="Deployment",deployment_raw[[#This Row],[Column5]]=0),1,deployment_raw[[#This Row],[Column5]]))/K518,0),"")</f>
        <v/>
      </c>
      <c r="K518" s="72" t="str">
        <f>IF(ISNUMBER(deployment_raw[[#This Row],[Column8]]), (deployment_raw[[#This Row],[Column8]]  * IF($E$2="Deployment",deployment_raw[[#This Row],[Column5]],1)),"")</f>
        <v/>
      </c>
      <c r="L51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1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18" s="81" t="str">
        <f>IF(ISNUMBER(deployment_raw[[#This Row],[Column20]]), IF(O518&lt;&gt;0,deployment_raw[[#This Row],[Column20]]/IF(OR($E$2="Deployment",deployment_raw[[#This Row],[Column5]]=0),1,deployment_raw[[#This Row],[Column5]])/1048576/O518,0),"")</f>
        <v/>
      </c>
      <c r="O518" s="74" t="str">
        <f>IF(ISNUMBER(deployment_raw[[#This Row],[Column7]]), (deployment_raw[[#This Row],[Column7]] * IF($E$2="Deployment",deployment_raw[[#This Row],[Column5]],1))/1048576,"")</f>
        <v/>
      </c>
      <c r="P518" s="81" t="str">
        <f>IF(ISNUMBER(deployment_raw[[#This Row],[Column20]]), IF(Q518&lt;&gt;0,deployment_raw[[#This Row],[Column20]]/IF(OR($E$2="Deployment",deployment_raw[[#This Row],[Column5]]=0),1,deployment_raw[[#This Row],[Column5]])/1048576/Q518,0),"")</f>
        <v/>
      </c>
      <c r="Q518" s="76" t="str">
        <f>IF(ISNUMBER(deployment_raw[[#This Row],[Column9]]), (deployment_raw[[#This Row],[Column9]] * IF($E$2="Deployment",deployment_raw[[#This Row],[Column5]],1))/1048576,"")</f>
        <v/>
      </c>
      <c r="R518" s="57" t="str">
        <f>IF(ISNUMBER(deployment_raw[[#This Row],[Column10]]), (deployment_raw[[#This Row],[Column10]] * IF($E$2="Deployment",deployment_raw[[#This Row],[Column5]],1)),"")</f>
        <v/>
      </c>
      <c r="S518" s="48" t="str">
        <f>IF(ISNUMBER(deployment_raw[[#This Row],[Column11]]), (deployment_raw[[#This Row],[Column11]] * IF($E$2="Deployment",deployment_raw[[#This Row],[Column5]],1))/1048576,"")</f>
        <v/>
      </c>
      <c r="T518" s="59" t="str">
        <f>IF(ISNUMBER(deployment_raw[[#This Row],[Column8]]),IF(OR(deployment_raw[[#This Row],[Column5]] &lt;&gt; 0,$E$2 &lt;&gt; "Deployment"), MAX(V518, ($T$2 * IF($E$2="Deployment",deployment_raw[[#This Row],[Column5]],1))), 0),"")</f>
        <v/>
      </c>
      <c r="U518" s="50" t="str">
        <f>IF(ISNUMBER(deployment_raw[[#This Row],[Column9]]),IF(OR(deployment_raw[[#This Row],[Column5]] &lt;&gt; 0,$E$2&lt;&gt;"Deployment"), MAX(W518, ($U$2 * IF($E$2="Deployment",deployment_raw[[#This Row],[Column5]],1))), 0),"")</f>
        <v/>
      </c>
      <c r="V518" s="15" t="str">
        <f>IF(ISNUMBER(deployment_raw[[#This Row],[Column12]]), (deployment_raw[[#This Row],[Column12]] * IF($E$2="Deployment",deployment_raw[[#This Row],[Column5]],1)*(1+$V$2)),"")</f>
        <v/>
      </c>
      <c r="W518" s="14" t="str">
        <f>IF(ISNUMBER(deployment_raw[[#This Row],[Column13]]), (deployment_raw[[#This Row],[Column13]] * IF($E$2="Deployment",deployment_raw[[#This Row],[Column5]],1)*(1+$W$2))/1048576,"")</f>
        <v/>
      </c>
    </row>
    <row r="519" spans="1:23" ht="15.75" customHeight="1" x14ac:dyDescent="0.25">
      <c r="A519" s="5" t="str">
        <f>IF(ISNONTEXT(deployment_raw[[#This Row],[Column1]]), "", deployment_raw[[#This Row],[Column1]])</f>
        <v/>
      </c>
      <c r="B519" s="6" t="str">
        <f>IF(ISNONTEXT(deployment_raw[[#This Row],[Column2]]), "", deployment_raw[[#This Row],[Column2]])</f>
        <v/>
      </c>
      <c r="C519" s="6" t="str">
        <f>IF(ISNONTEXT(deployment_raw[[#This Row],[Column3]]), "", deployment_raw[[#This Row],[Column3]])</f>
        <v/>
      </c>
      <c r="D519" s="6" t="str">
        <f>IF(ISNONTEXT(deployment_raw[[#This Row],[Column4]]), "", deployment_raw[[#This Row],[Column4]])</f>
        <v/>
      </c>
      <c r="E519" s="7" t="str">
        <f>IF(ISNUMBER(deployment_raw[[#This Row],[Column5]]), deployment_raw[[#This Row],[Column5]],"")</f>
        <v/>
      </c>
      <c r="F519" s="32" t="str">
        <f>IF(ISNUMBER(deployment_raw[[#This Row],[Column17]]), deployment_raw[[#This Row],[Column17]]/IF(OR($E$2="Deployment",deployment_raw[[#This Row],[Column5]]=0),1,deployment_raw[[#This Row],[Column5]]),"")</f>
        <v/>
      </c>
      <c r="G519" s="42" t="str">
        <f>IF(ISNUMBER(deployment_raw[[#This Row],[Column14]]), deployment_raw[[#This Row],[Column14]]/IF(OR($E$2="Deployment",deployment_raw[[#This Row],[Column5]]=0),1,deployment_raw[[#This Row],[Column5]]),"")</f>
        <v/>
      </c>
      <c r="H519" s="79" t="str">
        <f>IF(ISNUMBER(deployment_raw[[#This Row],[Column19]]), IF(I519&lt;&gt;0,(deployment_raw[[#This Row],[Column19]]/IF(OR($E$2="Deployment",deployment_raw[[#This Row],[Column5]]=0),1,deployment_raw[[#This Row],[Column5]]))/I519,0),"")</f>
        <v/>
      </c>
      <c r="I519" s="69" t="str">
        <f>IF(ISNUMBER(deployment_raw[[#This Row],[Column6]]), (deployment_raw[[#This Row],[Column6]] * IF($E$2="Deployment",deployment_raw[[#This Row],[Column5]],1)),"")</f>
        <v/>
      </c>
      <c r="J519" s="79" t="str">
        <f>IF(ISNUMBER(deployment_raw[[#This Row],[Column19]]), IF(K519&lt;&gt;0,(deployment_raw[[#This Row],[Column19]]/IF(OR($E$2="Deployment",deployment_raw[[#This Row],[Column5]]=0),1,deployment_raw[[#This Row],[Column5]]))/K519,0),"")</f>
        <v/>
      </c>
      <c r="K519" s="72" t="str">
        <f>IF(ISNUMBER(deployment_raw[[#This Row],[Column8]]), (deployment_raw[[#This Row],[Column8]]  * IF($E$2="Deployment",deployment_raw[[#This Row],[Column5]],1)),"")</f>
        <v/>
      </c>
      <c r="L51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1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19" s="81" t="str">
        <f>IF(ISNUMBER(deployment_raw[[#This Row],[Column20]]), IF(O519&lt;&gt;0,deployment_raw[[#This Row],[Column20]]/IF(OR($E$2="Deployment",deployment_raw[[#This Row],[Column5]]=0),1,deployment_raw[[#This Row],[Column5]])/1048576/O519,0),"")</f>
        <v/>
      </c>
      <c r="O519" s="74" t="str">
        <f>IF(ISNUMBER(deployment_raw[[#This Row],[Column7]]), (deployment_raw[[#This Row],[Column7]] * IF($E$2="Deployment",deployment_raw[[#This Row],[Column5]],1))/1048576,"")</f>
        <v/>
      </c>
      <c r="P519" s="81" t="str">
        <f>IF(ISNUMBER(deployment_raw[[#This Row],[Column20]]), IF(Q519&lt;&gt;0,deployment_raw[[#This Row],[Column20]]/IF(OR($E$2="Deployment",deployment_raw[[#This Row],[Column5]]=0),1,deployment_raw[[#This Row],[Column5]])/1048576/Q519,0),"")</f>
        <v/>
      </c>
      <c r="Q519" s="76" t="str">
        <f>IF(ISNUMBER(deployment_raw[[#This Row],[Column9]]), (deployment_raw[[#This Row],[Column9]] * IF($E$2="Deployment",deployment_raw[[#This Row],[Column5]],1))/1048576,"")</f>
        <v/>
      </c>
      <c r="R519" s="57" t="str">
        <f>IF(ISNUMBER(deployment_raw[[#This Row],[Column10]]), (deployment_raw[[#This Row],[Column10]] * IF($E$2="Deployment",deployment_raw[[#This Row],[Column5]],1)),"")</f>
        <v/>
      </c>
      <c r="S519" s="48" t="str">
        <f>IF(ISNUMBER(deployment_raw[[#This Row],[Column11]]), (deployment_raw[[#This Row],[Column11]] * IF($E$2="Deployment",deployment_raw[[#This Row],[Column5]],1))/1048576,"")</f>
        <v/>
      </c>
      <c r="T519" s="59" t="str">
        <f>IF(ISNUMBER(deployment_raw[[#This Row],[Column8]]),IF(OR(deployment_raw[[#This Row],[Column5]] &lt;&gt; 0,$E$2 &lt;&gt; "Deployment"), MAX(V519, ($T$2 * IF($E$2="Deployment",deployment_raw[[#This Row],[Column5]],1))), 0),"")</f>
        <v/>
      </c>
      <c r="U519" s="50" t="str">
        <f>IF(ISNUMBER(deployment_raw[[#This Row],[Column9]]),IF(OR(deployment_raw[[#This Row],[Column5]] &lt;&gt; 0,$E$2&lt;&gt;"Deployment"), MAX(W519, ($U$2 * IF($E$2="Deployment",deployment_raw[[#This Row],[Column5]],1))), 0),"")</f>
        <v/>
      </c>
      <c r="V519" s="15" t="str">
        <f>IF(ISNUMBER(deployment_raw[[#This Row],[Column12]]), (deployment_raw[[#This Row],[Column12]] * IF($E$2="Deployment",deployment_raw[[#This Row],[Column5]],1)*(1+$V$2)),"")</f>
        <v/>
      </c>
      <c r="W519" s="14" t="str">
        <f>IF(ISNUMBER(deployment_raw[[#This Row],[Column13]]), (deployment_raw[[#This Row],[Column13]] * IF($E$2="Deployment",deployment_raw[[#This Row],[Column5]],1)*(1+$W$2))/1048576,"")</f>
        <v/>
      </c>
    </row>
    <row r="520" spans="1:23" ht="15.75" customHeight="1" x14ac:dyDescent="0.25">
      <c r="A520" s="5" t="str">
        <f>IF(ISNONTEXT(deployment_raw[[#This Row],[Column1]]), "", deployment_raw[[#This Row],[Column1]])</f>
        <v/>
      </c>
      <c r="B520" s="6" t="str">
        <f>IF(ISNONTEXT(deployment_raw[[#This Row],[Column2]]), "", deployment_raw[[#This Row],[Column2]])</f>
        <v/>
      </c>
      <c r="C520" s="6" t="str">
        <f>IF(ISNONTEXT(deployment_raw[[#This Row],[Column3]]), "", deployment_raw[[#This Row],[Column3]])</f>
        <v/>
      </c>
      <c r="D520" s="6" t="str">
        <f>IF(ISNONTEXT(deployment_raw[[#This Row],[Column4]]), "", deployment_raw[[#This Row],[Column4]])</f>
        <v/>
      </c>
      <c r="E520" s="7" t="str">
        <f>IF(ISNUMBER(deployment_raw[[#This Row],[Column5]]), deployment_raw[[#This Row],[Column5]],"")</f>
        <v/>
      </c>
      <c r="F520" s="32" t="str">
        <f>IF(ISNUMBER(deployment_raw[[#This Row],[Column17]]), deployment_raw[[#This Row],[Column17]]/IF(OR($E$2="Deployment",deployment_raw[[#This Row],[Column5]]=0),1,deployment_raw[[#This Row],[Column5]]),"")</f>
        <v/>
      </c>
      <c r="G520" s="42" t="str">
        <f>IF(ISNUMBER(deployment_raw[[#This Row],[Column14]]), deployment_raw[[#This Row],[Column14]]/IF(OR($E$2="Deployment",deployment_raw[[#This Row],[Column5]]=0),1,deployment_raw[[#This Row],[Column5]]),"")</f>
        <v/>
      </c>
      <c r="H520" s="79" t="str">
        <f>IF(ISNUMBER(deployment_raw[[#This Row],[Column19]]), IF(I520&lt;&gt;0,(deployment_raw[[#This Row],[Column19]]/IF(OR($E$2="Deployment",deployment_raw[[#This Row],[Column5]]=0),1,deployment_raw[[#This Row],[Column5]]))/I520,0),"")</f>
        <v/>
      </c>
      <c r="I520" s="69" t="str">
        <f>IF(ISNUMBER(deployment_raw[[#This Row],[Column6]]), (deployment_raw[[#This Row],[Column6]] * IF($E$2="Deployment",deployment_raw[[#This Row],[Column5]],1)),"")</f>
        <v/>
      </c>
      <c r="J520" s="79" t="str">
        <f>IF(ISNUMBER(deployment_raw[[#This Row],[Column19]]), IF(K520&lt;&gt;0,(deployment_raw[[#This Row],[Column19]]/IF(OR($E$2="Deployment",deployment_raw[[#This Row],[Column5]]=0),1,deployment_raw[[#This Row],[Column5]]))/K520,0),"")</f>
        <v/>
      </c>
      <c r="K520" s="72" t="str">
        <f>IF(ISNUMBER(deployment_raw[[#This Row],[Column8]]), (deployment_raw[[#This Row],[Column8]]  * IF($E$2="Deployment",deployment_raw[[#This Row],[Column5]],1)),"")</f>
        <v/>
      </c>
      <c r="L52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2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20" s="81" t="str">
        <f>IF(ISNUMBER(deployment_raw[[#This Row],[Column20]]), IF(O520&lt;&gt;0,deployment_raw[[#This Row],[Column20]]/IF(OR($E$2="Deployment",deployment_raw[[#This Row],[Column5]]=0),1,deployment_raw[[#This Row],[Column5]])/1048576/O520,0),"")</f>
        <v/>
      </c>
      <c r="O520" s="74" t="str">
        <f>IF(ISNUMBER(deployment_raw[[#This Row],[Column7]]), (deployment_raw[[#This Row],[Column7]] * IF($E$2="Deployment",deployment_raw[[#This Row],[Column5]],1))/1048576,"")</f>
        <v/>
      </c>
      <c r="P520" s="81" t="str">
        <f>IF(ISNUMBER(deployment_raw[[#This Row],[Column20]]), IF(Q520&lt;&gt;0,deployment_raw[[#This Row],[Column20]]/IF(OR($E$2="Deployment",deployment_raw[[#This Row],[Column5]]=0),1,deployment_raw[[#This Row],[Column5]])/1048576/Q520,0),"")</f>
        <v/>
      </c>
      <c r="Q520" s="76" t="str">
        <f>IF(ISNUMBER(deployment_raw[[#This Row],[Column9]]), (deployment_raw[[#This Row],[Column9]] * IF($E$2="Deployment",deployment_raw[[#This Row],[Column5]],1))/1048576,"")</f>
        <v/>
      </c>
      <c r="R520" s="57" t="str">
        <f>IF(ISNUMBER(deployment_raw[[#This Row],[Column10]]), (deployment_raw[[#This Row],[Column10]] * IF($E$2="Deployment",deployment_raw[[#This Row],[Column5]],1)),"")</f>
        <v/>
      </c>
      <c r="S520" s="48" t="str">
        <f>IF(ISNUMBER(deployment_raw[[#This Row],[Column11]]), (deployment_raw[[#This Row],[Column11]] * IF($E$2="Deployment",deployment_raw[[#This Row],[Column5]],1))/1048576,"")</f>
        <v/>
      </c>
      <c r="T520" s="59" t="str">
        <f>IF(ISNUMBER(deployment_raw[[#This Row],[Column8]]),IF(OR(deployment_raw[[#This Row],[Column5]] &lt;&gt; 0,$E$2 &lt;&gt; "Deployment"), MAX(V520, ($T$2 * IF($E$2="Deployment",deployment_raw[[#This Row],[Column5]],1))), 0),"")</f>
        <v/>
      </c>
      <c r="U520" s="50" t="str">
        <f>IF(ISNUMBER(deployment_raw[[#This Row],[Column9]]),IF(OR(deployment_raw[[#This Row],[Column5]] &lt;&gt; 0,$E$2&lt;&gt;"Deployment"), MAX(W520, ($U$2 * IF($E$2="Deployment",deployment_raw[[#This Row],[Column5]],1))), 0),"")</f>
        <v/>
      </c>
      <c r="V520" s="15" t="str">
        <f>IF(ISNUMBER(deployment_raw[[#This Row],[Column12]]), (deployment_raw[[#This Row],[Column12]] * IF($E$2="Deployment",deployment_raw[[#This Row],[Column5]],1)*(1+$V$2)),"")</f>
        <v/>
      </c>
      <c r="W520" s="14" t="str">
        <f>IF(ISNUMBER(deployment_raw[[#This Row],[Column13]]), (deployment_raw[[#This Row],[Column13]] * IF($E$2="Deployment",deployment_raw[[#This Row],[Column5]],1)*(1+$W$2))/1048576,"")</f>
        <v/>
      </c>
    </row>
    <row r="521" spans="1:23" ht="15.75" customHeight="1" x14ac:dyDescent="0.25">
      <c r="A521" s="5" t="str">
        <f>IF(ISNONTEXT(deployment_raw[[#This Row],[Column1]]), "", deployment_raw[[#This Row],[Column1]])</f>
        <v/>
      </c>
      <c r="B521" s="6" t="str">
        <f>IF(ISNONTEXT(deployment_raw[[#This Row],[Column2]]), "", deployment_raw[[#This Row],[Column2]])</f>
        <v/>
      </c>
      <c r="C521" s="6" t="str">
        <f>IF(ISNONTEXT(deployment_raw[[#This Row],[Column3]]), "", deployment_raw[[#This Row],[Column3]])</f>
        <v/>
      </c>
      <c r="D521" s="6" t="str">
        <f>IF(ISNONTEXT(deployment_raw[[#This Row],[Column4]]), "", deployment_raw[[#This Row],[Column4]])</f>
        <v/>
      </c>
      <c r="E521" s="7" t="str">
        <f>IF(ISNUMBER(deployment_raw[[#This Row],[Column5]]), deployment_raw[[#This Row],[Column5]],"")</f>
        <v/>
      </c>
      <c r="F521" s="32" t="str">
        <f>IF(ISNUMBER(deployment_raw[[#This Row],[Column17]]), deployment_raw[[#This Row],[Column17]]/IF(OR($E$2="Deployment",deployment_raw[[#This Row],[Column5]]=0),1,deployment_raw[[#This Row],[Column5]]),"")</f>
        <v/>
      </c>
      <c r="G521" s="42" t="str">
        <f>IF(ISNUMBER(deployment_raw[[#This Row],[Column14]]), deployment_raw[[#This Row],[Column14]]/IF(OR($E$2="Deployment",deployment_raw[[#This Row],[Column5]]=0),1,deployment_raw[[#This Row],[Column5]]),"")</f>
        <v/>
      </c>
      <c r="H521" s="79" t="str">
        <f>IF(ISNUMBER(deployment_raw[[#This Row],[Column19]]), IF(I521&lt;&gt;0,(deployment_raw[[#This Row],[Column19]]/IF(OR($E$2="Deployment",deployment_raw[[#This Row],[Column5]]=0),1,deployment_raw[[#This Row],[Column5]]))/I521,0),"")</f>
        <v/>
      </c>
      <c r="I521" s="69" t="str">
        <f>IF(ISNUMBER(deployment_raw[[#This Row],[Column6]]), (deployment_raw[[#This Row],[Column6]] * IF($E$2="Deployment",deployment_raw[[#This Row],[Column5]],1)),"")</f>
        <v/>
      </c>
      <c r="J521" s="79" t="str">
        <f>IF(ISNUMBER(deployment_raw[[#This Row],[Column19]]), IF(K521&lt;&gt;0,(deployment_raw[[#This Row],[Column19]]/IF(OR($E$2="Deployment",deployment_raw[[#This Row],[Column5]]=0),1,deployment_raw[[#This Row],[Column5]]))/K521,0),"")</f>
        <v/>
      </c>
      <c r="K521" s="72" t="str">
        <f>IF(ISNUMBER(deployment_raw[[#This Row],[Column8]]), (deployment_raw[[#This Row],[Column8]]  * IF($E$2="Deployment",deployment_raw[[#This Row],[Column5]],1)),"")</f>
        <v/>
      </c>
      <c r="L52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2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21" s="81" t="str">
        <f>IF(ISNUMBER(deployment_raw[[#This Row],[Column20]]), IF(O521&lt;&gt;0,deployment_raw[[#This Row],[Column20]]/IF(OR($E$2="Deployment",deployment_raw[[#This Row],[Column5]]=0),1,deployment_raw[[#This Row],[Column5]])/1048576/O521,0),"")</f>
        <v/>
      </c>
      <c r="O521" s="74" t="str">
        <f>IF(ISNUMBER(deployment_raw[[#This Row],[Column7]]), (deployment_raw[[#This Row],[Column7]] * IF($E$2="Deployment",deployment_raw[[#This Row],[Column5]],1))/1048576,"")</f>
        <v/>
      </c>
      <c r="P521" s="81" t="str">
        <f>IF(ISNUMBER(deployment_raw[[#This Row],[Column20]]), IF(Q521&lt;&gt;0,deployment_raw[[#This Row],[Column20]]/IF(OR($E$2="Deployment",deployment_raw[[#This Row],[Column5]]=0),1,deployment_raw[[#This Row],[Column5]])/1048576/Q521,0),"")</f>
        <v/>
      </c>
      <c r="Q521" s="76" t="str">
        <f>IF(ISNUMBER(deployment_raw[[#This Row],[Column9]]), (deployment_raw[[#This Row],[Column9]] * IF($E$2="Deployment",deployment_raw[[#This Row],[Column5]],1))/1048576,"")</f>
        <v/>
      </c>
      <c r="R521" s="57" t="str">
        <f>IF(ISNUMBER(deployment_raw[[#This Row],[Column10]]), (deployment_raw[[#This Row],[Column10]] * IF($E$2="Deployment",deployment_raw[[#This Row],[Column5]],1)),"")</f>
        <v/>
      </c>
      <c r="S521" s="48" t="str">
        <f>IF(ISNUMBER(deployment_raw[[#This Row],[Column11]]), (deployment_raw[[#This Row],[Column11]] * IF($E$2="Deployment",deployment_raw[[#This Row],[Column5]],1))/1048576,"")</f>
        <v/>
      </c>
      <c r="T521" s="59" t="str">
        <f>IF(ISNUMBER(deployment_raw[[#This Row],[Column8]]),IF(OR(deployment_raw[[#This Row],[Column5]] &lt;&gt; 0,$E$2 &lt;&gt; "Deployment"), MAX(V521, ($T$2 * IF($E$2="Deployment",deployment_raw[[#This Row],[Column5]],1))), 0),"")</f>
        <v/>
      </c>
      <c r="U521" s="50" t="str">
        <f>IF(ISNUMBER(deployment_raw[[#This Row],[Column9]]),IF(OR(deployment_raw[[#This Row],[Column5]] &lt;&gt; 0,$E$2&lt;&gt;"Deployment"), MAX(W521, ($U$2 * IF($E$2="Deployment",deployment_raw[[#This Row],[Column5]],1))), 0),"")</f>
        <v/>
      </c>
      <c r="V521" s="15" t="str">
        <f>IF(ISNUMBER(deployment_raw[[#This Row],[Column12]]), (deployment_raw[[#This Row],[Column12]] * IF($E$2="Deployment",deployment_raw[[#This Row],[Column5]],1)*(1+$V$2)),"")</f>
        <v/>
      </c>
      <c r="W521" s="14" t="str">
        <f>IF(ISNUMBER(deployment_raw[[#This Row],[Column13]]), (deployment_raw[[#This Row],[Column13]] * IF($E$2="Deployment",deployment_raw[[#This Row],[Column5]],1)*(1+$W$2))/1048576,"")</f>
        <v/>
      </c>
    </row>
    <row r="522" spans="1:23" ht="15.75" customHeight="1" x14ac:dyDescent="0.25">
      <c r="A522" s="5" t="str">
        <f>IF(ISNONTEXT(deployment_raw[[#This Row],[Column1]]), "", deployment_raw[[#This Row],[Column1]])</f>
        <v/>
      </c>
      <c r="B522" s="6" t="str">
        <f>IF(ISNONTEXT(deployment_raw[[#This Row],[Column2]]), "", deployment_raw[[#This Row],[Column2]])</f>
        <v/>
      </c>
      <c r="C522" s="6" t="str">
        <f>IF(ISNONTEXT(deployment_raw[[#This Row],[Column3]]), "", deployment_raw[[#This Row],[Column3]])</f>
        <v/>
      </c>
      <c r="D522" s="6" t="str">
        <f>IF(ISNONTEXT(deployment_raw[[#This Row],[Column4]]), "", deployment_raw[[#This Row],[Column4]])</f>
        <v/>
      </c>
      <c r="E522" s="7" t="str">
        <f>IF(ISNUMBER(deployment_raw[[#This Row],[Column5]]), deployment_raw[[#This Row],[Column5]],"")</f>
        <v/>
      </c>
      <c r="F522" s="32" t="str">
        <f>IF(ISNUMBER(deployment_raw[[#This Row],[Column17]]), deployment_raw[[#This Row],[Column17]]/IF(OR($E$2="Deployment",deployment_raw[[#This Row],[Column5]]=0),1,deployment_raw[[#This Row],[Column5]]),"")</f>
        <v/>
      </c>
      <c r="G522" s="42" t="str">
        <f>IF(ISNUMBER(deployment_raw[[#This Row],[Column14]]), deployment_raw[[#This Row],[Column14]]/IF(OR($E$2="Deployment",deployment_raw[[#This Row],[Column5]]=0),1,deployment_raw[[#This Row],[Column5]]),"")</f>
        <v/>
      </c>
      <c r="H522" s="79" t="str">
        <f>IF(ISNUMBER(deployment_raw[[#This Row],[Column19]]), IF(I522&lt;&gt;0,(deployment_raw[[#This Row],[Column19]]/IF(OR($E$2="Deployment",deployment_raw[[#This Row],[Column5]]=0),1,deployment_raw[[#This Row],[Column5]]))/I522,0),"")</f>
        <v/>
      </c>
      <c r="I522" s="69" t="str">
        <f>IF(ISNUMBER(deployment_raw[[#This Row],[Column6]]), (deployment_raw[[#This Row],[Column6]] * IF($E$2="Deployment",deployment_raw[[#This Row],[Column5]],1)),"")</f>
        <v/>
      </c>
      <c r="J522" s="79" t="str">
        <f>IF(ISNUMBER(deployment_raw[[#This Row],[Column19]]), IF(K522&lt;&gt;0,(deployment_raw[[#This Row],[Column19]]/IF(OR($E$2="Deployment",deployment_raw[[#This Row],[Column5]]=0),1,deployment_raw[[#This Row],[Column5]]))/K522,0),"")</f>
        <v/>
      </c>
      <c r="K522" s="72" t="str">
        <f>IF(ISNUMBER(deployment_raw[[#This Row],[Column8]]), (deployment_raw[[#This Row],[Column8]]  * IF($E$2="Deployment",deployment_raw[[#This Row],[Column5]],1)),"")</f>
        <v/>
      </c>
      <c r="L52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2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22" s="81" t="str">
        <f>IF(ISNUMBER(deployment_raw[[#This Row],[Column20]]), IF(O522&lt;&gt;0,deployment_raw[[#This Row],[Column20]]/IF(OR($E$2="Deployment",deployment_raw[[#This Row],[Column5]]=0),1,deployment_raw[[#This Row],[Column5]])/1048576/O522,0),"")</f>
        <v/>
      </c>
      <c r="O522" s="74" t="str">
        <f>IF(ISNUMBER(deployment_raw[[#This Row],[Column7]]), (deployment_raw[[#This Row],[Column7]] * IF($E$2="Deployment",deployment_raw[[#This Row],[Column5]],1))/1048576,"")</f>
        <v/>
      </c>
      <c r="P522" s="81" t="str">
        <f>IF(ISNUMBER(deployment_raw[[#This Row],[Column20]]), IF(Q522&lt;&gt;0,deployment_raw[[#This Row],[Column20]]/IF(OR($E$2="Deployment",deployment_raw[[#This Row],[Column5]]=0),1,deployment_raw[[#This Row],[Column5]])/1048576/Q522,0),"")</f>
        <v/>
      </c>
      <c r="Q522" s="76" t="str">
        <f>IF(ISNUMBER(deployment_raw[[#This Row],[Column9]]), (deployment_raw[[#This Row],[Column9]] * IF($E$2="Deployment",deployment_raw[[#This Row],[Column5]],1))/1048576,"")</f>
        <v/>
      </c>
      <c r="R522" s="57" t="str">
        <f>IF(ISNUMBER(deployment_raw[[#This Row],[Column10]]), (deployment_raw[[#This Row],[Column10]] * IF($E$2="Deployment",deployment_raw[[#This Row],[Column5]],1)),"")</f>
        <v/>
      </c>
      <c r="S522" s="48" t="str">
        <f>IF(ISNUMBER(deployment_raw[[#This Row],[Column11]]), (deployment_raw[[#This Row],[Column11]] * IF($E$2="Deployment",deployment_raw[[#This Row],[Column5]],1))/1048576,"")</f>
        <v/>
      </c>
      <c r="T522" s="59" t="str">
        <f>IF(ISNUMBER(deployment_raw[[#This Row],[Column8]]),IF(OR(deployment_raw[[#This Row],[Column5]] &lt;&gt; 0,$E$2 &lt;&gt; "Deployment"), MAX(V522, ($T$2 * IF($E$2="Deployment",deployment_raw[[#This Row],[Column5]],1))), 0),"")</f>
        <v/>
      </c>
      <c r="U522" s="50" t="str">
        <f>IF(ISNUMBER(deployment_raw[[#This Row],[Column9]]),IF(OR(deployment_raw[[#This Row],[Column5]] &lt;&gt; 0,$E$2&lt;&gt;"Deployment"), MAX(W522, ($U$2 * IF($E$2="Deployment",deployment_raw[[#This Row],[Column5]],1))), 0),"")</f>
        <v/>
      </c>
      <c r="V522" s="15" t="str">
        <f>IF(ISNUMBER(deployment_raw[[#This Row],[Column12]]), (deployment_raw[[#This Row],[Column12]] * IF($E$2="Deployment",deployment_raw[[#This Row],[Column5]],1)*(1+$V$2)),"")</f>
        <v/>
      </c>
      <c r="W522" s="14" t="str">
        <f>IF(ISNUMBER(deployment_raw[[#This Row],[Column13]]), (deployment_raw[[#This Row],[Column13]] * IF($E$2="Deployment",deployment_raw[[#This Row],[Column5]],1)*(1+$W$2))/1048576,"")</f>
        <v/>
      </c>
    </row>
    <row r="523" spans="1:23" ht="15.75" customHeight="1" x14ac:dyDescent="0.25">
      <c r="A523" s="5" t="str">
        <f>IF(ISNONTEXT(deployment_raw[[#This Row],[Column1]]), "", deployment_raw[[#This Row],[Column1]])</f>
        <v/>
      </c>
      <c r="B523" s="6" t="str">
        <f>IF(ISNONTEXT(deployment_raw[[#This Row],[Column2]]), "", deployment_raw[[#This Row],[Column2]])</f>
        <v/>
      </c>
      <c r="C523" s="6" t="str">
        <f>IF(ISNONTEXT(deployment_raw[[#This Row],[Column3]]), "", deployment_raw[[#This Row],[Column3]])</f>
        <v/>
      </c>
      <c r="D523" s="6" t="str">
        <f>IF(ISNONTEXT(deployment_raw[[#This Row],[Column4]]), "", deployment_raw[[#This Row],[Column4]])</f>
        <v/>
      </c>
      <c r="E523" s="7" t="str">
        <f>IF(ISNUMBER(deployment_raw[[#This Row],[Column5]]), deployment_raw[[#This Row],[Column5]],"")</f>
        <v/>
      </c>
      <c r="F523" s="32" t="str">
        <f>IF(ISNUMBER(deployment_raw[[#This Row],[Column17]]), deployment_raw[[#This Row],[Column17]]/IF(OR($E$2="Deployment",deployment_raw[[#This Row],[Column5]]=0),1,deployment_raw[[#This Row],[Column5]]),"")</f>
        <v/>
      </c>
      <c r="G523" s="42" t="str">
        <f>IF(ISNUMBER(deployment_raw[[#This Row],[Column14]]), deployment_raw[[#This Row],[Column14]]/IF(OR($E$2="Deployment",deployment_raw[[#This Row],[Column5]]=0),1,deployment_raw[[#This Row],[Column5]]),"")</f>
        <v/>
      </c>
      <c r="H523" s="79" t="str">
        <f>IF(ISNUMBER(deployment_raw[[#This Row],[Column19]]), IF(I523&lt;&gt;0,(deployment_raw[[#This Row],[Column19]]/IF(OR($E$2="Deployment",deployment_raw[[#This Row],[Column5]]=0),1,deployment_raw[[#This Row],[Column5]]))/I523,0),"")</f>
        <v/>
      </c>
      <c r="I523" s="69" t="str">
        <f>IF(ISNUMBER(deployment_raw[[#This Row],[Column6]]), (deployment_raw[[#This Row],[Column6]] * IF($E$2="Deployment",deployment_raw[[#This Row],[Column5]],1)),"")</f>
        <v/>
      </c>
      <c r="J523" s="79" t="str">
        <f>IF(ISNUMBER(deployment_raw[[#This Row],[Column19]]), IF(K523&lt;&gt;0,(deployment_raw[[#This Row],[Column19]]/IF(OR($E$2="Deployment",deployment_raw[[#This Row],[Column5]]=0),1,deployment_raw[[#This Row],[Column5]]))/K523,0),"")</f>
        <v/>
      </c>
      <c r="K523" s="72" t="str">
        <f>IF(ISNUMBER(deployment_raw[[#This Row],[Column8]]), (deployment_raw[[#This Row],[Column8]]  * IF($E$2="Deployment",deployment_raw[[#This Row],[Column5]],1)),"")</f>
        <v/>
      </c>
      <c r="L52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2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23" s="81" t="str">
        <f>IF(ISNUMBER(deployment_raw[[#This Row],[Column20]]), IF(O523&lt;&gt;0,deployment_raw[[#This Row],[Column20]]/IF(OR($E$2="Deployment",deployment_raw[[#This Row],[Column5]]=0),1,deployment_raw[[#This Row],[Column5]])/1048576/O523,0),"")</f>
        <v/>
      </c>
      <c r="O523" s="74" t="str">
        <f>IF(ISNUMBER(deployment_raw[[#This Row],[Column7]]), (deployment_raw[[#This Row],[Column7]] * IF($E$2="Deployment",deployment_raw[[#This Row],[Column5]],1))/1048576,"")</f>
        <v/>
      </c>
      <c r="P523" s="81" t="str">
        <f>IF(ISNUMBER(deployment_raw[[#This Row],[Column20]]), IF(Q523&lt;&gt;0,deployment_raw[[#This Row],[Column20]]/IF(OR($E$2="Deployment",deployment_raw[[#This Row],[Column5]]=0),1,deployment_raw[[#This Row],[Column5]])/1048576/Q523,0),"")</f>
        <v/>
      </c>
      <c r="Q523" s="76" t="str">
        <f>IF(ISNUMBER(deployment_raw[[#This Row],[Column9]]), (deployment_raw[[#This Row],[Column9]] * IF($E$2="Deployment",deployment_raw[[#This Row],[Column5]],1))/1048576,"")</f>
        <v/>
      </c>
      <c r="R523" s="57" t="str">
        <f>IF(ISNUMBER(deployment_raw[[#This Row],[Column10]]), (deployment_raw[[#This Row],[Column10]] * IF($E$2="Deployment",deployment_raw[[#This Row],[Column5]],1)),"")</f>
        <v/>
      </c>
      <c r="S523" s="48" t="str">
        <f>IF(ISNUMBER(deployment_raw[[#This Row],[Column11]]), (deployment_raw[[#This Row],[Column11]] * IF($E$2="Deployment",deployment_raw[[#This Row],[Column5]],1))/1048576,"")</f>
        <v/>
      </c>
      <c r="T523" s="59" t="str">
        <f>IF(ISNUMBER(deployment_raw[[#This Row],[Column8]]),IF(OR(deployment_raw[[#This Row],[Column5]] &lt;&gt; 0,$E$2 &lt;&gt; "Deployment"), MAX(V523, ($T$2 * IF($E$2="Deployment",deployment_raw[[#This Row],[Column5]],1))), 0),"")</f>
        <v/>
      </c>
      <c r="U523" s="50" t="str">
        <f>IF(ISNUMBER(deployment_raw[[#This Row],[Column9]]),IF(OR(deployment_raw[[#This Row],[Column5]] &lt;&gt; 0,$E$2&lt;&gt;"Deployment"), MAX(W523, ($U$2 * IF($E$2="Deployment",deployment_raw[[#This Row],[Column5]],1))), 0),"")</f>
        <v/>
      </c>
      <c r="V523" s="15" t="str">
        <f>IF(ISNUMBER(deployment_raw[[#This Row],[Column12]]), (deployment_raw[[#This Row],[Column12]] * IF($E$2="Deployment",deployment_raw[[#This Row],[Column5]],1)*(1+$V$2)),"")</f>
        <v/>
      </c>
      <c r="W523" s="14" t="str">
        <f>IF(ISNUMBER(deployment_raw[[#This Row],[Column13]]), (deployment_raw[[#This Row],[Column13]] * IF($E$2="Deployment",deployment_raw[[#This Row],[Column5]],1)*(1+$W$2))/1048576,"")</f>
        <v/>
      </c>
    </row>
    <row r="524" spans="1:23" ht="15.75" customHeight="1" x14ac:dyDescent="0.25">
      <c r="A524" s="5" t="str">
        <f>IF(ISNONTEXT(deployment_raw[[#This Row],[Column1]]), "", deployment_raw[[#This Row],[Column1]])</f>
        <v/>
      </c>
      <c r="B524" s="6" t="str">
        <f>IF(ISNONTEXT(deployment_raw[[#This Row],[Column2]]), "", deployment_raw[[#This Row],[Column2]])</f>
        <v/>
      </c>
      <c r="C524" s="6" t="str">
        <f>IF(ISNONTEXT(deployment_raw[[#This Row],[Column3]]), "", deployment_raw[[#This Row],[Column3]])</f>
        <v/>
      </c>
      <c r="D524" s="6" t="str">
        <f>IF(ISNONTEXT(deployment_raw[[#This Row],[Column4]]), "", deployment_raw[[#This Row],[Column4]])</f>
        <v/>
      </c>
      <c r="E524" s="7" t="str">
        <f>IF(ISNUMBER(deployment_raw[[#This Row],[Column5]]), deployment_raw[[#This Row],[Column5]],"")</f>
        <v/>
      </c>
      <c r="F524" s="32" t="str">
        <f>IF(ISNUMBER(deployment_raw[[#This Row],[Column17]]), deployment_raw[[#This Row],[Column17]]/IF(OR($E$2="Deployment",deployment_raw[[#This Row],[Column5]]=0),1,deployment_raw[[#This Row],[Column5]]),"")</f>
        <v/>
      </c>
      <c r="G524" s="42" t="str">
        <f>IF(ISNUMBER(deployment_raw[[#This Row],[Column14]]), deployment_raw[[#This Row],[Column14]]/IF(OR($E$2="Deployment",deployment_raw[[#This Row],[Column5]]=0),1,deployment_raw[[#This Row],[Column5]]),"")</f>
        <v/>
      </c>
      <c r="H524" s="79" t="str">
        <f>IF(ISNUMBER(deployment_raw[[#This Row],[Column19]]), IF(I524&lt;&gt;0,(deployment_raw[[#This Row],[Column19]]/IF(OR($E$2="Deployment",deployment_raw[[#This Row],[Column5]]=0),1,deployment_raw[[#This Row],[Column5]]))/I524,0),"")</f>
        <v/>
      </c>
      <c r="I524" s="69" t="str">
        <f>IF(ISNUMBER(deployment_raw[[#This Row],[Column6]]), (deployment_raw[[#This Row],[Column6]] * IF($E$2="Deployment",deployment_raw[[#This Row],[Column5]],1)),"")</f>
        <v/>
      </c>
      <c r="J524" s="79" t="str">
        <f>IF(ISNUMBER(deployment_raw[[#This Row],[Column19]]), IF(K524&lt;&gt;0,(deployment_raw[[#This Row],[Column19]]/IF(OR($E$2="Deployment",deployment_raw[[#This Row],[Column5]]=0),1,deployment_raw[[#This Row],[Column5]]))/K524,0),"")</f>
        <v/>
      </c>
      <c r="K524" s="72" t="str">
        <f>IF(ISNUMBER(deployment_raw[[#This Row],[Column8]]), (deployment_raw[[#This Row],[Column8]]  * IF($E$2="Deployment",deployment_raw[[#This Row],[Column5]],1)),"")</f>
        <v/>
      </c>
      <c r="L52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2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24" s="81" t="str">
        <f>IF(ISNUMBER(deployment_raw[[#This Row],[Column20]]), IF(O524&lt;&gt;0,deployment_raw[[#This Row],[Column20]]/IF(OR($E$2="Deployment",deployment_raw[[#This Row],[Column5]]=0),1,deployment_raw[[#This Row],[Column5]])/1048576/O524,0),"")</f>
        <v/>
      </c>
      <c r="O524" s="74" t="str">
        <f>IF(ISNUMBER(deployment_raw[[#This Row],[Column7]]), (deployment_raw[[#This Row],[Column7]] * IF($E$2="Deployment",deployment_raw[[#This Row],[Column5]],1))/1048576,"")</f>
        <v/>
      </c>
      <c r="P524" s="81" t="str">
        <f>IF(ISNUMBER(deployment_raw[[#This Row],[Column20]]), IF(Q524&lt;&gt;0,deployment_raw[[#This Row],[Column20]]/IF(OR($E$2="Deployment",deployment_raw[[#This Row],[Column5]]=0),1,deployment_raw[[#This Row],[Column5]])/1048576/Q524,0),"")</f>
        <v/>
      </c>
      <c r="Q524" s="76" t="str">
        <f>IF(ISNUMBER(deployment_raw[[#This Row],[Column9]]), (deployment_raw[[#This Row],[Column9]] * IF($E$2="Deployment",deployment_raw[[#This Row],[Column5]],1))/1048576,"")</f>
        <v/>
      </c>
      <c r="R524" s="57" t="str">
        <f>IF(ISNUMBER(deployment_raw[[#This Row],[Column10]]), (deployment_raw[[#This Row],[Column10]] * IF($E$2="Deployment",deployment_raw[[#This Row],[Column5]],1)),"")</f>
        <v/>
      </c>
      <c r="S524" s="48" t="str">
        <f>IF(ISNUMBER(deployment_raw[[#This Row],[Column11]]), (deployment_raw[[#This Row],[Column11]] * IF($E$2="Deployment",deployment_raw[[#This Row],[Column5]],1))/1048576,"")</f>
        <v/>
      </c>
      <c r="T524" s="59" t="str">
        <f>IF(ISNUMBER(deployment_raw[[#This Row],[Column8]]),IF(OR(deployment_raw[[#This Row],[Column5]] &lt;&gt; 0,$E$2 &lt;&gt; "Deployment"), MAX(V524, ($T$2 * IF($E$2="Deployment",deployment_raw[[#This Row],[Column5]],1))), 0),"")</f>
        <v/>
      </c>
      <c r="U524" s="50" t="str">
        <f>IF(ISNUMBER(deployment_raw[[#This Row],[Column9]]),IF(OR(deployment_raw[[#This Row],[Column5]] &lt;&gt; 0,$E$2&lt;&gt;"Deployment"), MAX(W524, ($U$2 * IF($E$2="Deployment",deployment_raw[[#This Row],[Column5]],1))), 0),"")</f>
        <v/>
      </c>
      <c r="V524" s="15" t="str">
        <f>IF(ISNUMBER(deployment_raw[[#This Row],[Column12]]), (deployment_raw[[#This Row],[Column12]] * IF($E$2="Deployment",deployment_raw[[#This Row],[Column5]],1)*(1+$V$2)),"")</f>
        <v/>
      </c>
      <c r="W524" s="14" t="str">
        <f>IF(ISNUMBER(deployment_raw[[#This Row],[Column13]]), (deployment_raw[[#This Row],[Column13]] * IF($E$2="Deployment",deployment_raw[[#This Row],[Column5]],1)*(1+$W$2))/1048576,"")</f>
        <v/>
      </c>
    </row>
    <row r="525" spans="1:23" ht="15.75" customHeight="1" x14ac:dyDescent="0.25">
      <c r="A525" s="5" t="str">
        <f>IF(ISNONTEXT(deployment_raw[[#This Row],[Column1]]), "", deployment_raw[[#This Row],[Column1]])</f>
        <v/>
      </c>
      <c r="B525" s="6" t="str">
        <f>IF(ISNONTEXT(deployment_raw[[#This Row],[Column2]]), "", deployment_raw[[#This Row],[Column2]])</f>
        <v/>
      </c>
      <c r="C525" s="6" t="str">
        <f>IF(ISNONTEXT(deployment_raw[[#This Row],[Column3]]), "", deployment_raw[[#This Row],[Column3]])</f>
        <v/>
      </c>
      <c r="D525" s="6" t="str">
        <f>IF(ISNONTEXT(deployment_raw[[#This Row],[Column4]]), "", deployment_raw[[#This Row],[Column4]])</f>
        <v/>
      </c>
      <c r="E525" s="7" t="str">
        <f>IF(ISNUMBER(deployment_raw[[#This Row],[Column5]]), deployment_raw[[#This Row],[Column5]],"")</f>
        <v/>
      </c>
      <c r="F525" s="32" t="str">
        <f>IF(ISNUMBER(deployment_raw[[#This Row],[Column17]]), deployment_raw[[#This Row],[Column17]]/IF(OR($E$2="Deployment",deployment_raw[[#This Row],[Column5]]=0),1,deployment_raw[[#This Row],[Column5]]),"")</f>
        <v/>
      </c>
      <c r="G525" s="42" t="str">
        <f>IF(ISNUMBER(deployment_raw[[#This Row],[Column14]]), deployment_raw[[#This Row],[Column14]]/IF(OR($E$2="Deployment",deployment_raw[[#This Row],[Column5]]=0),1,deployment_raw[[#This Row],[Column5]]),"")</f>
        <v/>
      </c>
      <c r="H525" s="79" t="str">
        <f>IF(ISNUMBER(deployment_raw[[#This Row],[Column19]]), IF(I525&lt;&gt;0,(deployment_raw[[#This Row],[Column19]]/IF(OR($E$2="Deployment",deployment_raw[[#This Row],[Column5]]=0),1,deployment_raw[[#This Row],[Column5]]))/I525,0),"")</f>
        <v/>
      </c>
      <c r="I525" s="69" t="str">
        <f>IF(ISNUMBER(deployment_raw[[#This Row],[Column6]]), (deployment_raw[[#This Row],[Column6]] * IF($E$2="Deployment",deployment_raw[[#This Row],[Column5]],1)),"")</f>
        <v/>
      </c>
      <c r="J525" s="79" t="str">
        <f>IF(ISNUMBER(deployment_raw[[#This Row],[Column19]]), IF(K525&lt;&gt;0,(deployment_raw[[#This Row],[Column19]]/IF(OR($E$2="Deployment",deployment_raw[[#This Row],[Column5]]=0),1,deployment_raw[[#This Row],[Column5]]))/K525,0),"")</f>
        <v/>
      </c>
      <c r="K525" s="72" t="str">
        <f>IF(ISNUMBER(deployment_raw[[#This Row],[Column8]]), (deployment_raw[[#This Row],[Column8]]  * IF($E$2="Deployment",deployment_raw[[#This Row],[Column5]],1)),"")</f>
        <v/>
      </c>
      <c r="L52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2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25" s="81" t="str">
        <f>IF(ISNUMBER(deployment_raw[[#This Row],[Column20]]), IF(O525&lt;&gt;0,deployment_raw[[#This Row],[Column20]]/IF(OR($E$2="Deployment",deployment_raw[[#This Row],[Column5]]=0),1,deployment_raw[[#This Row],[Column5]])/1048576/O525,0),"")</f>
        <v/>
      </c>
      <c r="O525" s="74" t="str">
        <f>IF(ISNUMBER(deployment_raw[[#This Row],[Column7]]), (deployment_raw[[#This Row],[Column7]] * IF($E$2="Deployment",deployment_raw[[#This Row],[Column5]],1))/1048576,"")</f>
        <v/>
      </c>
      <c r="P525" s="81" t="str">
        <f>IF(ISNUMBER(deployment_raw[[#This Row],[Column20]]), IF(Q525&lt;&gt;0,deployment_raw[[#This Row],[Column20]]/IF(OR($E$2="Deployment",deployment_raw[[#This Row],[Column5]]=0),1,deployment_raw[[#This Row],[Column5]])/1048576/Q525,0),"")</f>
        <v/>
      </c>
      <c r="Q525" s="76" t="str">
        <f>IF(ISNUMBER(deployment_raw[[#This Row],[Column9]]), (deployment_raw[[#This Row],[Column9]] * IF($E$2="Deployment",deployment_raw[[#This Row],[Column5]],1))/1048576,"")</f>
        <v/>
      </c>
      <c r="R525" s="57" t="str">
        <f>IF(ISNUMBER(deployment_raw[[#This Row],[Column10]]), (deployment_raw[[#This Row],[Column10]] * IF($E$2="Deployment",deployment_raw[[#This Row],[Column5]],1)),"")</f>
        <v/>
      </c>
      <c r="S525" s="48" t="str">
        <f>IF(ISNUMBER(deployment_raw[[#This Row],[Column11]]), (deployment_raw[[#This Row],[Column11]] * IF($E$2="Deployment",deployment_raw[[#This Row],[Column5]],1))/1048576,"")</f>
        <v/>
      </c>
      <c r="T525" s="59" t="str">
        <f>IF(ISNUMBER(deployment_raw[[#This Row],[Column8]]),IF(OR(deployment_raw[[#This Row],[Column5]] &lt;&gt; 0,$E$2 &lt;&gt; "Deployment"), MAX(V525, ($T$2 * IF($E$2="Deployment",deployment_raw[[#This Row],[Column5]],1))), 0),"")</f>
        <v/>
      </c>
      <c r="U525" s="50" t="str">
        <f>IF(ISNUMBER(deployment_raw[[#This Row],[Column9]]),IF(OR(deployment_raw[[#This Row],[Column5]] &lt;&gt; 0,$E$2&lt;&gt;"Deployment"), MAX(W525, ($U$2 * IF($E$2="Deployment",deployment_raw[[#This Row],[Column5]],1))), 0),"")</f>
        <v/>
      </c>
      <c r="V525" s="15" t="str">
        <f>IF(ISNUMBER(deployment_raw[[#This Row],[Column12]]), (deployment_raw[[#This Row],[Column12]] * IF($E$2="Deployment",deployment_raw[[#This Row],[Column5]],1)*(1+$V$2)),"")</f>
        <v/>
      </c>
      <c r="W525" s="14" t="str">
        <f>IF(ISNUMBER(deployment_raw[[#This Row],[Column13]]), (deployment_raw[[#This Row],[Column13]] * IF($E$2="Deployment",deployment_raw[[#This Row],[Column5]],1)*(1+$W$2))/1048576,"")</f>
        <v/>
      </c>
    </row>
    <row r="526" spans="1:23" ht="15.75" customHeight="1" x14ac:dyDescent="0.25">
      <c r="A526" s="5" t="str">
        <f>IF(ISNONTEXT(deployment_raw[[#This Row],[Column1]]), "", deployment_raw[[#This Row],[Column1]])</f>
        <v/>
      </c>
      <c r="B526" s="6" t="str">
        <f>IF(ISNONTEXT(deployment_raw[[#This Row],[Column2]]), "", deployment_raw[[#This Row],[Column2]])</f>
        <v/>
      </c>
      <c r="C526" s="6" t="str">
        <f>IF(ISNONTEXT(deployment_raw[[#This Row],[Column3]]), "", deployment_raw[[#This Row],[Column3]])</f>
        <v/>
      </c>
      <c r="D526" s="6" t="str">
        <f>IF(ISNONTEXT(deployment_raw[[#This Row],[Column4]]), "", deployment_raw[[#This Row],[Column4]])</f>
        <v/>
      </c>
      <c r="E526" s="7" t="str">
        <f>IF(ISNUMBER(deployment_raw[[#This Row],[Column5]]), deployment_raw[[#This Row],[Column5]],"")</f>
        <v/>
      </c>
      <c r="F526" s="32" t="str">
        <f>IF(ISNUMBER(deployment_raw[[#This Row],[Column17]]), deployment_raw[[#This Row],[Column17]]/IF(OR($E$2="Deployment",deployment_raw[[#This Row],[Column5]]=0),1,deployment_raw[[#This Row],[Column5]]),"")</f>
        <v/>
      </c>
      <c r="G526" s="42" t="str">
        <f>IF(ISNUMBER(deployment_raw[[#This Row],[Column14]]), deployment_raw[[#This Row],[Column14]]/IF(OR($E$2="Deployment",deployment_raw[[#This Row],[Column5]]=0),1,deployment_raw[[#This Row],[Column5]]),"")</f>
        <v/>
      </c>
      <c r="H526" s="79" t="str">
        <f>IF(ISNUMBER(deployment_raw[[#This Row],[Column19]]), IF(I526&lt;&gt;0,(deployment_raw[[#This Row],[Column19]]/IF(OR($E$2="Deployment",deployment_raw[[#This Row],[Column5]]=0),1,deployment_raw[[#This Row],[Column5]]))/I526,0),"")</f>
        <v/>
      </c>
      <c r="I526" s="69" t="str">
        <f>IF(ISNUMBER(deployment_raw[[#This Row],[Column6]]), (deployment_raw[[#This Row],[Column6]] * IF($E$2="Deployment",deployment_raw[[#This Row],[Column5]],1)),"")</f>
        <v/>
      </c>
      <c r="J526" s="79" t="str">
        <f>IF(ISNUMBER(deployment_raw[[#This Row],[Column19]]), IF(K526&lt;&gt;0,(deployment_raw[[#This Row],[Column19]]/IF(OR($E$2="Deployment",deployment_raw[[#This Row],[Column5]]=0),1,deployment_raw[[#This Row],[Column5]]))/K526,0),"")</f>
        <v/>
      </c>
      <c r="K526" s="72" t="str">
        <f>IF(ISNUMBER(deployment_raw[[#This Row],[Column8]]), (deployment_raw[[#This Row],[Column8]]  * IF($E$2="Deployment",deployment_raw[[#This Row],[Column5]],1)),"")</f>
        <v/>
      </c>
      <c r="L52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2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26" s="81" t="str">
        <f>IF(ISNUMBER(deployment_raw[[#This Row],[Column20]]), IF(O526&lt;&gt;0,deployment_raw[[#This Row],[Column20]]/IF(OR($E$2="Deployment",deployment_raw[[#This Row],[Column5]]=0),1,deployment_raw[[#This Row],[Column5]])/1048576/O526,0),"")</f>
        <v/>
      </c>
      <c r="O526" s="74" t="str">
        <f>IF(ISNUMBER(deployment_raw[[#This Row],[Column7]]), (deployment_raw[[#This Row],[Column7]] * IF($E$2="Deployment",deployment_raw[[#This Row],[Column5]],1))/1048576,"")</f>
        <v/>
      </c>
      <c r="P526" s="81" t="str">
        <f>IF(ISNUMBER(deployment_raw[[#This Row],[Column20]]), IF(Q526&lt;&gt;0,deployment_raw[[#This Row],[Column20]]/IF(OR($E$2="Deployment",deployment_raw[[#This Row],[Column5]]=0),1,deployment_raw[[#This Row],[Column5]])/1048576/Q526,0),"")</f>
        <v/>
      </c>
      <c r="Q526" s="76" t="str">
        <f>IF(ISNUMBER(deployment_raw[[#This Row],[Column9]]), (deployment_raw[[#This Row],[Column9]] * IF($E$2="Deployment",deployment_raw[[#This Row],[Column5]],1))/1048576,"")</f>
        <v/>
      </c>
      <c r="R526" s="57" t="str">
        <f>IF(ISNUMBER(deployment_raw[[#This Row],[Column10]]), (deployment_raw[[#This Row],[Column10]] * IF($E$2="Deployment",deployment_raw[[#This Row],[Column5]],1)),"")</f>
        <v/>
      </c>
      <c r="S526" s="48" t="str">
        <f>IF(ISNUMBER(deployment_raw[[#This Row],[Column11]]), (deployment_raw[[#This Row],[Column11]] * IF($E$2="Deployment",deployment_raw[[#This Row],[Column5]],1))/1048576,"")</f>
        <v/>
      </c>
      <c r="T526" s="59" t="str">
        <f>IF(ISNUMBER(deployment_raw[[#This Row],[Column8]]),IF(OR(deployment_raw[[#This Row],[Column5]] &lt;&gt; 0,$E$2 &lt;&gt; "Deployment"), MAX(V526, ($T$2 * IF($E$2="Deployment",deployment_raw[[#This Row],[Column5]],1))), 0),"")</f>
        <v/>
      </c>
      <c r="U526" s="50" t="str">
        <f>IF(ISNUMBER(deployment_raw[[#This Row],[Column9]]),IF(OR(deployment_raw[[#This Row],[Column5]] &lt;&gt; 0,$E$2&lt;&gt;"Deployment"), MAX(W526, ($U$2 * IF($E$2="Deployment",deployment_raw[[#This Row],[Column5]],1))), 0),"")</f>
        <v/>
      </c>
      <c r="V526" s="15" t="str">
        <f>IF(ISNUMBER(deployment_raw[[#This Row],[Column12]]), (deployment_raw[[#This Row],[Column12]] * IF($E$2="Deployment",deployment_raw[[#This Row],[Column5]],1)*(1+$V$2)),"")</f>
        <v/>
      </c>
      <c r="W526" s="14" t="str">
        <f>IF(ISNUMBER(deployment_raw[[#This Row],[Column13]]), (deployment_raw[[#This Row],[Column13]] * IF($E$2="Deployment",deployment_raw[[#This Row],[Column5]],1)*(1+$W$2))/1048576,"")</f>
        <v/>
      </c>
    </row>
    <row r="527" spans="1:23" ht="15.75" customHeight="1" x14ac:dyDescent="0.25">
      <c r="A527" s="5" t="str">
        <f>IF(ISNONTEXT(deployment_raw[[#This Row],[Column1]]), "", deployment_raw[[#This Row],[Column1]])</f>
        <v/>
      </c>
      <c r="B527" s="6" t="str">
        <f>IF(ISNONTEXT(deployment_raw[[#This Row],[Column2]]), "", deployment_raw[[#This Row],[Column2]])</f>
        <v/>
      </c>
      <c r="C527" s="6" t="str">
        <f>IF(ISNONTEXT(deployment_raw[[#This Row],[Column3]]), "", deployment_raw[[#This Row],[Column3]])</f>
        <v/>
      </c>
      <c r="D527" s="6" t="str">
        <f>IF(ISNONTEXT(deployment_raw[[#This Row],[Column4]]), "", deployment_raw[[#This Row],[Column4]])</f>
        <v/>
      </c>
      <c r="E527" s="7" t="str">
        <f>IF(ISNUMBER(deployment_raw[[#This Row],[Column5]]), deployment_raw[[#This Row],[Column5]],"")</f>
        <v/>
      </c>
      <c r="F527" s="32" t="str">
        <f>IF(ISNUMBER(deployment_raw[[#This Row],[Column17]]), deployment_raw[[#This Row],[Column17]]/IF(OR($E$2="Deployment",deployment_raw[[#This Row],[Column5]]=0),1,deployment_raw[[#This Row],[Column5]]),"")</f>
        <v/>
      </c>
      <c r="G527" s="42" t="str">
        <f>IF(ISNUMBER(deployment_raw[[#This Row],[Column14]]), deployment_raw[[#This Row],[Column14]]/IF(OR($E$2="Deployment",deployment_raw[[#This Row],[Column5]]=0),1,deployment_raw[[#This Row],[Column5]]),"")</f>
        <v/>
      </c>
      <c r="H527" s="79" t="str">
        <f>IF(ISNUMBER(deployment_raw[[#This Row],[Column19]]), IF(I527&lt;&gt;0,(deployment_raw[[#This Row],[Column19]]/IF(OR($E$2="Deployment",deployment_raw[[#This Row],[Column5]]=0),1,deployment_raw[[#This Row],[Column5]]))/I527,0),"")</f>
        <v/>
      </c>
      <c r="I527" s="69" t="str">
        <f>IF(ISNUMBER(deployment_raw[[#This Row],[Column6]]), (deployment_raw[[#This Row],[Column6]] * IF($E$2="Deployment",deployment_raw[[#This Row],[Column5]],1)),"")</f>
        <v/>
      </c>
      <c r="J527" s="79" t="str">
        <f>IF(ISNUMBER(deployment_raw[[#This Row],[Column19]]), IF(K527&lt;&gt;0,(deployment_raw[[#This Row],[Column19]]/IF(OR($E$2="Deployment",deployment_raw[[#This Row],[Column5]]=0),1,deployment_raw[[#This Row],[Column5]]))/K527,0),"")</f>
        <v/>
      </c>
      <c r="K527" s="72" t="str">
        <f>IF(ISNUMBER(deployment_raw[[#This Row],[Column8]]), (deployment_raw[[#This Row],[Column8]]  * IF($E$2="Deployment",deployment_raw[[#This Row],[Column5]],1)),"")</f>
        <v/>
      </c>
      <c r="L52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2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27" s="81" t="str">
        <f>IF(ISNUMBER(deployment_raw[[#This Row],[Column20]]), IF(O527&lt;&gt;0,deployment_raw[[#This Row],[Column20]]/IF(OR($E$2="Deployment",deployment_raw[[#This Row],[Column5]]=0),1,deployment_raw[[#This Row],[Column5]])/1048576/O527,0),"")</f>
        <v/>
      </c>
      <c r="O527" s="74" t="str">
        <f>IF(ISNUMBER(deployment_raw[[#This Row],[Column7]]), (deployment_raw[[#This Row],[Column7]] * IF($E$2="Deployment",deployment_raw[[#This Row],[Column5]],1))/1048576,"")</f>
        <v/>
      </c>
      <c r="P527" s="81" t="str">
        <f>IF(ISNUMBER(deployment_raw[[#This Row],[Column20]]), IF(Q527&lt;&gt;0,deployment_raw[[#This Row],[Column20]]/IF(OR($E$2="Deployment",deployment_raw[[#This Row],[Column5]]=0),1,deployment_raw[[#This Row],[Column5]])/1048576/Q527,0),"")</f>
        <v/>
      </c>
      <c r="Q527" s="76" t="str">
        <f>IF(ISNUMBER(deployment_raw[[#This Row],[Column9]]), (deployment_raw[[#This Row],[Column9]] * IF($E$2="Deployment",deployment_raw[[#This Row],[Column5]],1))/1048576,"")</f>
        <v/>
      </c>
      <c r="R527" s="57" t="str">
        <f>IF(ISNUMBER(deployment_raw[[#This Row],[Column10]]), (deployment_raw[[#This Row],[Column10]] * IF($E$2="Deployment",deployment_raw[[#This Row],[Column5]],1)),"")</f>
        <v/>
      </c>
      <c r="S527" s="48" t="str">
        <f>IF(ISNUMBER(deployment_raw[[#This Row],[Column11]]), (deployment_raw[[#This Row],[Column11]] * IF($E$2="Deployment",deployment_raw[[#This Row],[Column5]],1))/1048576,"")</f>
        <v/>
      </c>
      <c r="T527" s="59" t="str">
        <f>IF(ISNUMBER(deployment_raw[[#This Row],[Column8]]),IF(OR(deployment_raw[[#This Row],[Column5]] &lt;&gt; 0,$E$2 &lt;&gt; "Deployment"), MAX(V527, ($T$2 * IF($E$2="Deployment",deployment_raw[[#This Row],[Column5]],1))), 0),"")</f>
        <v/>
      </c>
      <c r="U527" s="50" t="str">
        <f>IF(ISNUMBER(deployment_raw[[#This Row],[Column9]]),IF(OR(deployment_raw[[#This Row],[Column5]] &lt;&gt; 0,$E$2&lt;&gt;"Deployment"), MAX(W527, ($U$2 * IF($E$2="Deployment",deployment_raw[[#This Row],[Column5]],1))), 0),"")</f>
        <v/>
      </c>
      <c r="V527" s="15" t="str">
        <f>IF(ISNUMBER(deployment_raw[[#This Row],[Column12]]), (deployment_raw[[#This Row],[Column12]] * IF($E$2="Deployment",deployment_raw[[#This Row],[Column5]],1)*(1+$V$2)),"")</f>
        <v/>
      </c>
      <c r="W527" s="14" t="str">
        <f>IF(ISNUMBER(deployment_raw[[#This Row],[Column13]]), (deployment_raw[[#This Row],[Column13]] * IF($E$2="Deployment",deployment_raw[[#This Row],[Column5]],1)*(1+$W$2))/1048576,"")</f>
        <v/>
      </c>
    </row>
    <row r="528" spans="1:23" ht="15.75" customHeight="1" x14ac:dyDescent="0.25">
      <c r="A528" s="5" t="str">
        <f>IF(ISNONTEXT(deployment_raw[[#This Row],[Column1]]), "", deployment_raw[[#This Row],[Column1]])</f>
        <v/>
      </c>
      <c r="B528" s="6" t="str">
        <f>IF(ISNONTEXT(deployment_raw[[#This Row],[Column2]]), "", deployment_raw[[#This Row],[Column2]])</f>
        <v/>
      </c>
      <c r="C528" s="6" t="str">
        <f>IF(ISNONTEXT(deployment_raw[[#This Row],[Column3]]), "", deployment_raw[[#This Row],[Column3]])</f>
        <v/>
      </c>
      <c r="D528" s="6" t="str">
        <f>IF(ISNONTEXT(deployment_raw[[#This Row],[Column4]]), "", deployment_raw[[#This Row],[Column4]])</f>
        <v/>
      </c>
      <c r="E528" s="7" t="str">
        <f>IF(ISNUMBER(deployment_raw[[#This Row],[Column5]]), deployment_raw[[#This Row],[Column5]],"")</f>
        <v/>
      </c>
      <c r="F528" s="32" t="str">
        <f>IF(ISNUMBER(deployment_raw[[#This Row],[Column17]]), deployment_raw[[#This Row],[Column17]]/IF(OR($E$2="Deployment",deployment_raw[[#This Row],[Column5]]=0),1,deployment_raw[[#This Row],[Column5]]),"")</f>
        <v/>
      </c>
      <c r="G528" s="42" t="str">
        <f>IF(ISNUMBER(deployment_raw[[#This Row],[Column14]]), deployment_raw[[#This Row],[Column14]]/IF(OR($E$2="Deployment",deployment_raw[[#This Row],[Column5]]=0),1,deployment_raw[[#This Row],[Column5]]),"")</f>
        <v/>
      </c>
      <c r="H528" s="79" t="str">
        <f>IF(ISNUMBER(deployment_raw[[#This Row],[Column19]]), IF(I528&lt;&gt;0,(deployment_raw[[#This Row],[Column19]]/IF(OR($E$2="Deployment",deployment_raw[[#This Row],[Column5]]=0),1,deployment_raw[[#This Row],[Column5]]))/I528,0),"")</f>
        <v/>
      </c>
      <c r="I528" s="69" t="str">
        <f>IF(ISNUMBER(deployment_raw[[#This Row],[Column6]]), (deployment_raw[[#This Row],[Column6]] * IF($E$2="Deployment",deployment_raw[[#This Row],[Column5]],1)),"")</f>
        <v/>
      </c>
      <c r="J528" s="79" t="str">
        <f>IF(ISNUMBER(deployment_raw[[#This Row],[Column19]]), IF(K528&lt;&gt;0,(deployment_raw[[#This Row],[Column19]]/IF(OR($E$2="Deployment",deployment_raw[[#This Row],[Column5]]=0),1,deployment_raw[[#This Row],[Column5]]))/K528,0),"")</f>
        <v/>
      </c>
      <c r="K528" s="72" t="str">
        <f>IF(ISNUMBER(deployment_raw[[#This Row],[Column8]]), (deployment_raw[[#This Row],[Column8]]  * IF($E$2="Deployment",deployment_raw[[#This Row],[Column5]],1)),"")</f>
        <v/>
      </c>
      <c r="L52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2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28" s="81" t="str">
        <f>IF(ISNUMBER(deployment_raw[[#This Row],[Column20]]), IF(O528&lt;&gt;0,deployment_raw[[#This Row],[Column20]]/IF(OR($E$2="Deployment",deployment_raw[[#This Row],[Column5]]=0),1,deployment_raw[[#This Row],[Column5]])/1048576/O528,0),"")</f>
        <v/>
      </c>
      <c r="O528" s="74" t="str">
        <f>IF(ISNUMBER(deployment_raw[[#This Row],[Column7]]), (deployment_raw[[#This Row],[Column7]] * IF($E$2="Deployment",deployment_raw[[#This Row],[Column5]],1))/1048576,"")</f>
        <v/>
      </c>
      <c r="P528" s="81" t="str">
        <f>IF(ISNUMBER(deployment_raw[[#This Row],[Column20]]), IF(Q528&lt;&gt;0,deployment_raw[[#This Row],[Column20]]/IF(OR($E$2="Deployment",deployment_raw[[#This Row],[Column5]]=0),1,deployment_raw[[#This Row],[Column5]])/1048576/Q528,0),"")</f>
        <v/>
      </c>
      <c r="Q528" s="76" t="str">
        <f>IF(ISNUMBER(deployment_raw[[#This Row],[Column9]]), (deployment_raw[[#This Row],[Column9]] * IF($E$2="Deployment",deployment_raw[[#This Row],[Column5]],1))/1048576,"")</f>
        <v/>
      </c>
      <c r="R528" s="57" t="str">
        <f>IF(ISNUMBER(deployment_raw[[#This Row],[Column10]]), (deployment_raw[[#This Row],[Column10]] * IF($E$2="Deployment",deployment_raw[[#This Row],[Column5]],1)),"")</f>
        <v/>
      </c>
      <c r="S528" s="48" t="str">
        <f>IF(ISNUMBER(deployment_raw[[#This Row],[Column11]]), (deployment_raw[[#This Row],[Column11]] * IF($E$2="Deployment",deployment_raw[[#This Row],[Column5]],1))/1048576,"")</f>
        <v/>
      </c>
      <c r="T528" s="59" t="str">
        <f>IF(ISNUMBER(deployment_raw[[#This Row],[Column8]]),IF(OR(deployment_raw[[#This Row],[Column5]] &lt;&gt; 0,$E$2 &lt;&gt; "Deployment"), MAX(V528, ($T$2 * IF($E$2="Deployment",deployment_raw[[#This Row],[Column5]],1))), 0),"")</f>
        <v/>
      </c>
      <c r="U528" s="50" t="str">
        <f>IF(ISNUMBER(deployment_raw[[#This Row],[Column9]]),IF(OR(deployment_raw[[#This Row],[Column5]] &lt;&gt; 0,$E$2&lt;&gt;"Deployment"), MAX(W528, ($U$2 * IF($E$2="Deployment",deployment_raw[[#This Row],[Column5]],1))), 0),"")</f>
        <v/>
      </c>
      <c r="V528" s="15" t="str">
        <f>IF(ISNUMBER(deployment_raw[[#This Row],[Column12]]), (deployment_raw[[#This Row],[Column12]] * IF($E$2="Deployment",deployment_raw[[#This Row],[Column5]],1)*(1+$V$2)),"")</f>
        <v/>
      </c>
      <c r="W528" s="14" t="str">
        <f>IF(ISNUMBER(deployment_raw[[#This Row],[Column13]]), (deployment_raw[[#This Row],[Column13]] * IF($E$2="Deployment",deployment_raw[[#This Row],[Column5]],1)*(1+$W$2))/1048576,"")</f>
        <v/>
      </c>
    </row>
    <row r="529" spans="1:23" ht="15.75" customHeight="1" x14ac:dyDescent="0.25">
      <c r="A529" s="5" t="str">
        <f>IF(ISNONTEXT(deployment_raw[[#This Row],[Column1]]), "", deployment_raw[[#This Row],[Column1]])</f>
        <v/>
      </c>
      <c r="B529" s="6" t="str">
        <f>IF(ISNONTEXT(deployment_raw[[#This Row],[Column2]]), "", deployment_raw[[#This Row],[Column2]])</f>
        <v/>
      </c>
      <c r="C529" s="6" t="str">
        <f>IF(ISNONTEXT(deployment_raw[[#This Row],[Column3]]), "", deployment_raw[[#This Row],[Column3]])</f>
        <v/>
      </c>
      <c r="D529" s="6" t="str">
        <f>IF(ISNONTEXT(deployment_raw[[#This Row],[Column4]]), "", deployment_raw[[#This Row],[Column4]])</f>
        <v/>
      </c>
      <c r="E529" s="7" t="str">
        <f>IF(ISNUMBER(deployment_raw[[#This Row],[Column5]]), deployment_raw[[#This Row],[Column5]],"")</f>
        <v/>
      </c>
      <c r="F529" s="32" t="str">
        <f>IF(ISNUMBER(deployment_raw[[#This Row],[Column17]]), deployment_raw[[#This Row],[Column17]]/IF(OR($E$2="Deployment",deployment_raw[[#This Row],[Column5]]=0),1,deployment_raw[[#This Row],[Column5]]),"")</f>
        <v/>
      </c>
      <c r="G529" s="42" t="str">
        <f>IF(ISNUMBER(deployment_raw[[#This Row],[Column14]]), deployment_raw[[#This Row],[Column14]]/IF(OR($E$2="Deployment",deployment_raw[[#This Row],[Column5]]=0),1,deployment_raw[[#This Row],[Column5]]),"")</f>
        <v/>
      </c>
      <c r="H529" s="79" t="str">
        <f>IF(ISNUMBER(deployment_raw[[#This Row],[Column19]]), IF(I529&lt;&gt;0,(deployment_raw[[#This Row],[Column19]]/IF(OR($E$2="Deployment",deployment_raw[[#This Row],[Column5]]=0),1,deployment_raw[[#This Row],[Column5]]))/I529,0),"")</f>
        <v/>
      </c>
      <c r="I529" s="69" t="str">
        <f>IF(ISNUMBER(deployment_raw[[#This Row],[Column6]]), (deployment_raw[[#This Row],[Column6]] * IF($E$2="Deployment",deployment_raw[[#This Row],[Column5]],1)),"")</f>
        <v/>
      </c>
      <c r="J529" s="79" t="str">
        <f>IF(ISNUMBER(deployment_raw[[#This Row],[Column19]]), IF(K529&lt;&gt;0,(deployment_raw[[#This Row],[Column19]]/IF(OR($E$2="Deployment",deployment_raw[[#This Row],[Column5]]=0),1,deployment_raw[[#This Row],[Column5]]))/K529,0),"")</f>
        <v/>
      </c>
      <c r="K529" s="72" t="str">
        <f>IF(ISNUMBER(deployment_raw[[#This Row],[Column8]]), (deployment_raw[[#This Row],[Column8]]  * IF($E$2="Deployment",deployment_raw[[#This Row],[Column5]],1)),"")</f>
        <v/>
      </c>
      <c r="L52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2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29" s="81" t="str">
        <f>IF(ISNUMBER(deployment_raw[[#This Row],[Column20]]), IF(O529&lt;&gt;0,deployment_raw[[#This Row],[Column20]]/IF(OR($E$2="Deployment",deployment_raw[[#This Row],[Column5]]=0),1,deployment_raw[[#This Row],[Column5]])/1048576/O529,0),"")</f>
        <v/>
      </c>
      <c r="O529" s="74" t="str">
        <f>IF(ISNUMBER(deployment_raw[[#This Row],[Column7]]), (deployment_raw[[#This Row],[Column7]] * IF($E$2="Deployment",deployment_raw[[#This Row],[Column5]],1))/1048576,"")</f>
        <v/>
      </c>
      <c r="P529" s="81" t="str">
        <f>IF(ISNUMBER(deployment_raw[[#This Row],[Column20]]), IF(Q529&lt;&gt;0,deployment_raw[[#This Row],[Column20]]/IF(OR($E$2="Deployment",deployment_raw[[#This Row],[Column5]]=0),1,deployment_raw[[#This Row],[Column5]])/1048576/Q529,0),"")</f>
        <v/>
      </c>
      <c r="Q529" s="76" t="str">
        <f>IF(ISNUMBER(deployment_raw[[#This Row],[Column9]]), (deployment_raw[[#This Row],[Column9]] * IF($E$2="Deployment",deployment_raw[[#This Row],[Column5]],1))/1048576,"")</f>
        <v/>
      </c>
      <c r="R529" s="57" t="str">
        <f>IF(ISNUMBER(deployment_raw[[#This Row],[Column10]]), (deployment_raw[[#This Row],[Column10]] * IF($E$2="Deployment",deployment_raw[[#This Row],[Column5]],1)),"")</f>
        <v/>
      </c>
      <c r="S529" s="48" t="str">
        <f>IF(ISNUMBER(deployment_raw[[#This Row],[Column11]]), (deployment_raw[[#This Row],[Column11]] * IF($E$2="Deployment",deployment_raw[[#This Row],[Column5]],1))/1048576,"")</f>
        <v/>
      </c>
      <c r="T529" s="59" t="str">
        <f>IF(ISNUMBER(deployment_raw[[#This Row],[Column8]]),IF(OR(deployment_raw[[#This Row],[Column5]] &lt;&gt; 0,$E$2 &lt;&gt; "Deployment"), MAX(V529, ($T$2 * IF($E$2="Deployment",deployment_raw[[#This Row],[Column5]],1))), 0),"")</f>
        <v/>
      </c>
      <c r="U529" s="50" t="str">
        <f>IF(ISNUMBER(deployment_raw[[#This Row],[Column9]]),IF(OR(deployment_raw[[#This Row],[Column5]] &lt;&gt; 0,$E$2&lt;&gt;"Deployment"), MAX(W529, ($U$2 * IF($E$2="Deployment",deployment_raw[[#This Row],[Column5]],1))), 0),"")</f>
        <v/>
      </c>
      <c r="V529" s="15" t="str">
        <f>IF(ISNUMBER(deployment_raw[[#This Row],[Column12]]), (deployment_raw[[#This Row],[Column12]] * IF($E$2="Deployment",deployment_raw[[#This Row],[Column5]],1)*(1+$V$2)),"")</f>
        <v/>
      </c>
      <c r="W529" s="14" t="str">
        <f>IF(ISNUMBER(deployment_raw[[#This Row],[Column13]]), (deployment_raw[[#This Row],[Column13]] * IF($E$2="Deployment",deployment_raw[[#This Row],[Column5]],1)*(1+$W$2))/1048576,"")</f>
        <v/>
      </c>
    </row>
    <row r="530" spans="1:23" ht="15.75" customHeight="1" x14ac:dyDescent="0.25">
      <c r="A530" s="5" t="str">
        <f>IF(ISNONTEXT(deployment_raw[[#This Row],[Column1]]), "", deployment_raw[[#This Row],[Column1]])</f>
        <v/>
      </c>
      <c r="B530" s="6" t="str">
        <f>IF(ISNONTEXT(deployment_raw[[#This Row],[Column2]]), "", deployment_raw[[#This Row],[Column2]])</f>
        <v/>
      </c>
      <c r="C530" s="6" t="str">
        <f>IF(ISNONTEXT(deployment_raw[[#This Row],[Column3]]), "", deployment_raw[[#This Row],[Column3]])</f>
        <v/>
      </c>
      <c r="D530" s="6" t="str">
        <f>IF(ISNONTEXT(deployment_raw[[#This Row],[Column4]]), "", deployment_raw[[#This Row],[Column4]])</f>
        <v/>
      </c>
      <c r="E530" s="7" t="str">
        <f>IF(ISNUMBER(deployment_raw[[#This Row],[Column5]]), deployment_raw[[#This Row],[Column5]],"")</f>
        <v/>
      </c>
      <c r="F530" s="32" t="str">
        <f>IF(ISNUMBER(deployment_raw[[#This Row],[Column17]]), deployment_raw[[#This Row],[Column17]]/IF(OR($E$2="Deployment",deployment_raw[[#This Row],[Column5]]=0),1,deployment_raw[[#This Row],[Column5]]),"")</f>
        <v/>
      </c>
      <c r="G530" s="42" t="str">
        <f>IF(ISNUMBER(deployment_raw[[#This Row],[Column14]]), deployment_raw[[#This Row],[Column14]]/IF(OR($E$2="Deployment",deployment_raw[[#This Row],[Column5]]=0),1,deployment_raw[[#This Row],[Column5]]),"")</f>
        <v/>
      </c>
      <c r="H530" s="79" t="str">
        <f>IF(ISNUMBER(deployment_raw[[#This Row],[Column19]]), IF(I530&lt;&gt;0,(deployment_raw[[#This Row],[Column19]]/IF(OR($E$2="Deployment",deployment_raw[[#This Row],[Column5]]=0),1,deployment_raw[[#This Row],[Column5]]))/I530,0),"")</f>
        <v/>
      </c>
      <c r="I530" s="69" t="str">
        <f>IF(ISNUMBER(deployment_raw[[#This Row],[Column6]]), (deployment_raw[[#This Row],[Column6]] * IF($E$2="Deployment",deployment_raw[[#This Row],[Column5]],1)),"")</f>
        <v/>
      </c>
      <c r="J530" s="79" t="str">
        <f>IF(ISNUMBER(deployment_raw[[#This Row],[Column19]]), IF(K530&lt;&gt;0,(deployment_raw[[#This Row],[Column19]]/IF(OR($E$2="Deployment",deployment_raw[[#This Row],[Column5]]=0),1,deployment_raw[[#This Row],[Column5]]))/K530,0),"")</f>
        <v/>
      </c>
      <c r="K530" s="72" t="str">
        <f>IF(ISNUMBER(deployment_raw[[#This Row],[Column8]]), (deployment_raw[[#This Row],[Column8]]  * IF($E$2="Deployment",deployment_raw[[#This Row],[Column5]],1)),"")</f>
        <v/>
      </c>
      <c r="L53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3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30" s="81" t="str">
        <f>IF(ISNUMBER(deployment_raw[[#This Row],[Column20]]), IF(O530&lt;&gt;0,deployment_raw[[#This Row],[Column20]]/IF(OR($E$2="Deployment",deployment_raw[[#This Row],[Column5]]=0),1,deployment_raw[[#This Row],[Column5]])/1048576/O530,0),"")</f>
        <v/>
      </c>
      <c r="O530" s="74" t="str">
        <f>IF(ISNUMBER(deployment_raw[[#This Row],[Column7]]), (deployment_raw[[#This Row],[Column7]] * IF($E$2="Deployment",deployment_raw[[#This Row],[Column5]],1))/1048576,"")</f>
        <v/>
      </c>
      <c r="P530" s="81" t="str">
        <f>IF(ISNUMBER(deployment_raw[[#This Row],[Column20]]), IF(Q530&lt;&gt;0,deployment_raw[[#This Row],[Column20]]/IF(OR($E$2="Deployment",deployment_raw[[#This Row],[Column5]]=0),1,deployment_raw[[#This Row],[Column5]])/1048576/Q530,0),"")</f>
        <v/>
      </c>
      <c r="Q530" s="76" t="str">
        <f>IF(ISNUMBER(deployment_raw[[#This Row],[Column9]]), (deployment_raw[[#This Row],[Column9]] * IF($E$2="Deployment",deployment_raw[[#This Row],[Column5]],1))/1048576,"")</f>
        <v/>
      </c>
      <c r="R530" s="57" t="str">
        <f>IF(ISNUMBER(deployment_raw[[#This Row],[Column10]]), (deployment_raw[[#This Row],[Column10]] * IF($E$2="Deployment",deployment_raw[[#This Row],[Column5]],1)),"")</f>
        <v/>
      </c>
      <c r="S530" s="48" t="str">
        <f>IF(ISNUMBER(deployment_raw[[#This Row],[Column11]]), (deployment_raw[[#This Row],[Column11]] * IF($E$2="Deployment",deployment_raw[[#This Row],[Column5]],1))/1048576,"")</f>
        <v/>
      </c>
      <c r="T530" s="59" t="str">
        <f>IF(ISNUMBER(deployment_raw[[#This Row],[Column8]]),IF(OR(deployment_raw[[#This Row],[Column5]] &lt;&gt; 0,$E$2 &lt;&gt; "Deployment"), MAX(V530, ($T$2 * IF($E$2="Deployment",deployment_raw[[#This Row],[Column5]],1))), 0),"")</f>
        <v/>
      </c>
      <c r="U530" s="50" t="str">
        <f>IF(ISNUMBER(deployment_raw[[#This Row],[Column9]]),IF(OR(deployment_raw[[#This Row],[Column5]] &lt;&gt; 0,$E$2&lt;&gt;"Deployment"), MAX(W530, ($U$2 * IF($E$2="Deployment",deployment_raw[[#This Row],[Column5]],1))), 0),"")</f>
        <v/>
      </c>
      <c r="V530" s="15" t="str">
        <f>IF(ISNUMBER(deployment_raw[[#This Row],[Column12]]), (deployment_raw[[#This Row],[Column12]] * IF($E$2="Deployment",deployment_raw[[#This Row],[Column5]],1)*(1+$V$2)),"")</f>
        <v/>
      </c>
      <c r="W530" s="14" t="str">
        <f>IF(ISNUMBER(deployment_raw[[#This Row],[Column13]]), (deployment_raw[[#This Row],[Column13]] * IF($E$2="Deployment",deployment_raw[[#This Row],[Column5]],1)*(1+$W$2))/1048576,"")</f>
        <v/>
      </c>
    </row>
    <row r="531" spans="1:23" ht="15.75" customHeight="1" x14ac:dyDescent="0.25">
      <c r="A531" s="5" t="str">
        <f>IF(ISNONTEXT(deployment_raw[[#This Row],[Column1]]), "", deployment_raw[[#This Row],[Column1]])</f>
        <v/>
      </c>
      <c r="B531" s="6" t="str">
        <f>IF(ISNONTEXT(deployment_raw[[#This Row],[Column2]]), "", deployment_raw[[#This Row],[Column2]])</f>
        <v/>
      </c>
      <c r="C531" s="6" t="str">
        <f>IF(ISNONTEXT(deployment_raw[[#This Row],[Column3]]), "", deployment_raw[[#This Row],[Column3]])</f>
        <v/>
      </c>
      <c r="D531" s="6" t="str">
        <f>IF(ISNONTEXT(deployment_raw[[#This Row],[Column4]]), "", deployment_raw[[#This Row],[Column4]])</f>
        <v/>
      </c>
      <c r="E531" s="7" t="str">
        <f>IF(ISNUMBER(deployment_raw[[#This Row],[Column5]]), deployment_raw[[#This Row],[Column5]],"")</f>
        <v/>
      </c>
      <c r="F531" s="32" t="str">
        <f>IF(ISNUMBER(deployment_raw[[#This Row],[Column17]]), deployment_raw[[#This Row],[Column17]]/IF(OR($E$2="Deployment",deployment_raw[[#This Row],[Column5]]=0),1,deployment_raw[[#This Row],[Column5]]),"")</f>
        <v/>
      </c>
      <c r="G531" s="42" t="str">
        <f>IF(ISNUMBER(deployment_raw[[#This Row],[Column14]]), deployment_raw[[#This Row],[Column14]]/IF(OR($E$2="Deployment",deployment_raw[[#This Row],[Column5]]=0),1,deployment_raw[[#This Row],[Column5]]),"")</f>
        <v/>
      </c>
      <c r="H531" s="79" t="str">
        <f>IF(ISNUMBER(deployment_raw[[#This Row],[Column19]]), IF(I531&lt;&gt;0,(deployment_raw[[#This Row],[Column19]]/IF(OR($E$2="Deployment",deployment_raw[[#This Row],[Column5]]=0),1,deployment_raw[[#This Row],[Column5]]))/I531,0),"")</f>
        <v/>
      </c>
      <c r="I531" s="69" t="str">
        <f>IF(ISNUMBER(deployment_raw[[#This Row],[Column6]]), (deployment_raw[[#This Row],[Column6]] * IF($E$2="Deployment",deployment_raw[[#This Row],[Column5]],1)),"")</f>
        <v/>
      </c>
      <c r="J531" s="79" t="str">
        <f>IF(ISNUMBER(deployment_raw[[#This Row],[Column19]]), IF(K531&lt;&gt;0,(deployment_raw[[#This Row],[Column19]]/IF(OR($E$2="Deployment",deployment_raw[[#This Row],[Column5]]=0),1,deployment_raw[[#This Row],[Column5]]))/K531,0),"")</f>
        <v/>
      </c>
      <c r="K531" s="72" t="str">
        <f>IF(ISNUMBER(deployment_raw[[#This Row],[Column8]]), (deployment_raw[[#This Row],[Column8]]  * IF($E$2="Deployment",deployment_raw[[#This Row],[Column5]],1)),"")</f>
        <v/>
      </c>
      <c r="L53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3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31" s="81" t="str">
        <f>IF(ISNUMBER(deployment_raw[[#This Row],[Column20]]), IF(O531&lt;&gt;0,deployment_raw[[#This Row],[Column20]]/IF(OR($E$2="Deployment",deployment_raw[[#This Row],[Column5]]=0),1,deployment_raw[[#This Row],[Column5]])/1048576/O531,0),"")</f>
        <v/>
      </c>
      <c r="O531" s="74" t="str">
        <f>IF(ISNUMBER(deployment_raw[[#This Row],[Column7]]), (deployment_raw[[#This Row],[Column7]] * IF($E$2="Deployment",deployment_raw[[#This Row],[Column5]],1))/1048576,"")</f>
        <v/>
      </c>
      <c r="P531" s="81" t="str">
        <f>IF(ISNUMBER(deployment_raw[[#This Row],[Column20]]), IF(Q531&lt;&gt;0,deployment_raw[[#This Row],[Column20]]/IF(OR($E$2="Deployment",deployment_raw[[#This Row],[Column5]]=0),1,deployment_raw[[#This Row],[Column5]])/1048576/Q531,0),"")</f>
        <v/>
      </c>
      <c r="Q531" s="76" t="str">
        <f>IF(ISNUMBER(deployment_raw[[#This Row],[Column9]]), (deployment_raw[[#This Row],[Column9]] * IF($E$2="Deployment",deployment_raw[[#This Row],[Column5]],1))/1048576,"")</f>
        <v/>
      </c>
      <c r="R531" s="57" t="str">
        <f>IF(ISNUMBER(deployment_raw[[#This Row],[Column10]]), (deployment_raw[[#This Row],[Column10]] * IF($E$2="Deployment",deployment_raw[[#This Row],[Column5]],1)),"")</f>
        <v/>
      </c>
      <c r="S531" s="48" t="str">
        <f>IF(ISNUMBER(deployment_raw[[#This Row],[Column11]]), (deployment_raw[[#This Row],[Column11]] * IF($E$2="Deployment",deployment_raw[[#This Row],[Column5]],1))/1048576,"")</f>
        <v/>
      </c>
      <c r="T531" s="59" t="str">
        <f>IF(ISNUMBER(deployment_raw[[#This Row],[Column8]]),IF(OR(deployment_raw[[#This Row],[Column5]] &lt;&gt; 0,$E$2 &lt;&gt; "Deployment"), MAX(V531, ($T$2 * IF($E$2="Deployment",deployment_raw[[#This Row],[Column5]],1))), 0),"")</f>
        <v/>
      </c>
      <c r="U531" s="50" t="str">
        <f>IF(ISNUMBER(deployment_raw[[#This Row],[Column9]]),IF(OR(deployment_raw[[#This Row],[Column5]] &lt;&gt; 0,$E$2&lt;&gt;"Deployment"), MAX(W531, ($U$2 * IF($E$2="Deployment",deployment_raw[[#This Row],[Column5]],1))), 0),"")</f>
        <v/>
      </c>
      <c r="V531" s="15" t="str">
        <f>IF(ISNUMBER(deployment_raw[[#This Row],[Column12]]), (deployment_raw[[#This Row],[Column12]] * IF($E$2="Deployment",deployment_raw[[#This Row],[Column5]],1)*(1+$V$2)),"")</f>
        <v/>
      </c>
      <c r="W531" s="14" t="str">
        <f>IF(ISNUMBER(deployment_raw[[#This Row],[Column13]]), (deployment_raw[[#This Row],[Column13]] * IF($E$2="Deployment",deployment_raw[[#This Row],[Column5]],1)*(1+$W$2))/1048576,"")</f>
        <v/>
      </c>
    </row>
    <row r="532" spans="1:23" ht="15.75" customHeight="1" x14ac:dyDescent="0.25">
      <c r="A532" s="5" t="str">
        <f>IF(ISNONTEXT(deployment_raw[[#This Row],[Column1]]), "", deployment_raw[[#This Row],[Column1]])</f>
        <v/>
      </c>
      <c r="B532" s="6" t="str">
        <f>IF(ISNONTEXT(deployment_raw[[#This Row],[Column2]]), "", deployment_raw[[#This Row],[Column2]])</f>
        <v/>
      </c>
      <c r="C532" s="6" t="str">
        <f>IF(ISNONTEXT(deployment_raw[[#This Row],[Column3]]), "", deployment_raw[[#This Row],[Column3]])</f>
        <v/>
      </c>
      <c r="D532" s="6" t="str">
        <f>IF(ISNONTEXT(deployment_raw[[#This Row],[Column4]]), "", deployment_raw[[#This Row],[Column4]])</f>
        <v/>
      </c>
      <c r="E532" s="7" t="str">
        <f>IF(ISNUMBER(deployment_raw[[#This Row],[Column5]]), deployment_raw[[#This Row],[Column5]],"")</f>
        <v/>
      </c>
      <c r="F532" s="32" t="str">
        <f>IF(ISNUMBER(deployment_raw[[#This Row],[Column17]]), deployment_raw[[#This Row],[Column17]]/IF(OR($E$2="Deployment",deployment_raw[[#This Row],[Column5]]=0),1,deployment_raw[[#This Row],[Column5]]),"")</f>
        <v/>
      </c>
      <c r="G532" s="42" t="str">
        <f>IF(ISNUMBER(deployment_raw[[#This Row],[Column14]]), deployment_raw[[#This Row],[Column14]]/IF(OR($E$2="Deployment",deployment_raw[[#This Row],[Column5]]=0),1,deployment_raw[[#This Row],[Column5]]),"")</f>
        <v/>
      </c>
      <c r="H532" s="79" t="str">
        <f>IF(ISNUMBER(deployment_raw[[#This Row],[Column19]]), IF(I532&lt;&gt;0,(deployment_raw[[#This Row],[Column19]]/IF(OR($E$2="Deployment",deployment_raw[[#This Row],[Column5]]=0),1,deployment_raw[[#This Row],[Column5]]))/I532,0),"")</f>
        <v/>
      </c>
      <c r="I532" s="69" t="str">
        <f>IF(ISNUMBER(deployment_raw[[#This Row],[Column6]]), (deployment_raw[[#This Row],[Column6]] * IF($E$2="Deployment",deployment_raw[[#This Row],[Column5]],1)),"")</f>
        <v/>
      </c>
      <c r="J532" s="79" t="str">
        <f>IF(ISNUMBER(deployment_raw[[#This Row],[Column19]]), IF(K532&lt;&gt;0,(deployment_raw[[#This Row],[Column19]]/IF(OR($E$2="Deployment",deployment_raw[[#This Row],[Column5]]=0),1,deployment_raw[[#This Row],[Column5]]))/K532,0),"")</f>
        <v/>
      </c>
      <c r="K532" s="72" t="str">
        <f>IF(ISNUMBER(deployment_raw[[#This Row],[Column8]]), (deployment_raw[[#This Row],[Column8]]  * IF($E$2="Deployment",deployment_raw[[#This Row],[Column5]],1)),"")</f>
        <v/>
      </c>
      <c r="L53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3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32" s="81" t="str">
        <f>IF(ISNUMBER(deployment_raw[[#This Row],[Column20]]), IF(O532&lt;&gt;0,deployment_raw[[#This Row],[Column20]]/IF(OR($E$2="Deployment",deployment_raw[[#This Row],[Column5]]=0),1,deployment_raw[[#This Row],[Column5]])/1048576/O532,0),"")</f>
        <v/>
      </c>
      <c r="O532" s="74" t="str">
        <f>IF(ISNUMBER(deployment_raw[[#This Row],[Column7]]), (deployment_raw[[#This Row],[Column7]] * IF($E$2="Deployment",deployment_raw[[#This Row],[Column5]],1))/1048576,"")</f>
        <v/>
      </c>
      <c r="P532" s="81" t="str">
        <f>IF(ISNUMBER(deployment_raw[[#This Row],[Column20]]), IF(Q532&lt;&gt;0,deployment_raw[[#This Row],[Column20]]/IF(OR($E$2="Deployment",deployment_raw[[#This Row],[Column5]]=0),1,deployment_raw[[#This Row],[Column5]])/1048576/Q532,0),"")</f>
        <v/>
      </c>
      <c r="Q532" s="76" t="str">
        <f>IF(ISNUMBER(deployment_raw[[#This Row],[Column9]]), (deployment_raw[[#This Row],[Column9]] * IF($E$2="Deployment",deployment_raw[[#This Row],[Column5]],1))/1048576,"")</f>
        <v/>
      </c>
      <c r="R532" s="57" t="str">
        <f>IF(ISNUMBER(deployment_raw[[#This Row],[Column10]]), (deployment_raw[[#This Row],[Column10]] * IF($E$2="Deployment",deployment_raw[[#This Row],[Column5]],1)),"")</f>
        <v/>
      </c>
      <c r="S532" s="48" t="str">
        <f>IF(ISNUMBER(deployment_raw[[#This Row],[Column11]]), (deployment_raw[[#This Row],[Column11]] * IF($E$2="Deployment",deployment_raw[[#This Row],[Column5]],1))/1048576,"")</f>
        <v/>
      </c>
      <c r="T532" s="59" t="str">
        <f>IF(ISNUMBER(deployment_raw[[#This Row],[Column8]]),IF(OR(deployment_raw[[#This Row],[Column5]] &lt;&gt; 0,$E$2 &lt;&gt; "Deployment"), MAX(V532, ($T$2 * IF($E$2="Deployment",deployment_raw[[#This Row],[Column5]],1))), 0),"")</f>
        <v/>
      </c>
      <c r="U532" s="50" t="str">
        <f>IF(ISNUMBER(deployment_raw[[#This Row],[Column9]]),IF(OR(deployment_raw[[#This Row],[Column5]] &lt;&gt; 0,$E$2&lt;&gt;"Deployment"), MAX(W532, ($U$2 * IF($E$2="Deployment",deployment_raw[[#This Row],[Column5]],1))), 0),"")</f>
        <v/>
      </c>
      <c r="V532" s="15" t="str">
        <f>IF(ISNUMBER(deployment_raw[[#This Row],[Column12]]), (deployment_raw[[#This Row],[Column12]] * IF($E$2="Deployment",deployment_raw[[#This Row],[Column5]],1)*(1+$V$2)),"")</f>
        <v/>
      </c>
      <c r="W532" s="14" t="str">
        <f>IF(ISNUMBER(deployment_raw[[#This Row],[Column13]]), (deployment_raw[[#This Row],[Column13]] * IF($E$2="Deployment",deployment_raw[[#This Row],[Column5]],1)*(1+$W$2))/1048576,"")</f>
        <v/>
      </c>
    </row>
    <row r="533" spans="1:23" ht="15.75" customHeight="1" x14ac:dyDescent="0.25">
      <c r="A533" s="5" t="str">
        <f>IF(ISNONTEXT(deployment_raw[[#This Row],[Column1]]), "", deployment_raw[[#This Row],[Column1]])</f>
        <v/>
      </c>
      <c r="B533" s="6" t="str">
        <f>IF(ISNONTEXT(deployment_raw[[#This Row],[Column2]]), "", deployment_raw[[#This Row],[Column2]])</f>
        <v/>
      </c>
      <c r="C533" s="6" t="str">
        <f>IF(ISNONTEXT(deployment_raw[[#This Row],[Column3]]), "", deployment_raw[[#This Row],[Column3]])</f>
        <v/>
      </c>
      <c r="D533" s="6" t="str">
        <f>IF(ISNONTEXT(deployment_raw[[#This Row],[Column4]]), "", deployment_raw[[#This Row],[Column4]])</f>
        <v/>
      </c>
      <c r="E533" s="7" t="str">
        <f>IF(ISNUMBER(deployment_raw[[#This Row],[Column5]]), deployment_raw[[#This Row],[Column5]],"")</f>
        <v/>
      </c>
      <c r="F533" s="32" t="str">
        <f>IF(ISNUMBER(deployment_raw[[#This Row],[Column17]]), deployment_raw[[#This Row],[Column17]]/IF(OR($E$2="Deployment",deployment_raw[[#This Row],[Column5]]=0),1,deployment_raw[[#This Row],[Column5]]),"")</f>
        <v/>
      </c>
      <c r="G533" s="42" t="str">
        <f>IF(ISNUMBER(deployment_raw[[#This Row],[Column14]]), deployment_raw[[#This Row],[Column14]]/IF(OR($E$2="Deployment",deployment_raw[[#This Row],[Column5]]=0),1,deployment_raw[[#This Row],[Column5]]),"")</f>
        <v/>
      </c>
      <c r="H533" s="79" t="str">
        <f>IF(ISNUMBER(deployment_raw[[#This Row],[Column19]]), IF(I533&lt;&gt;0,(deployment_raw[[#This Row],[Column19]]/IF(OR($E$2="Deployment",deployment_raw[[#This Row],[Column5]]=0),1,deployment_raw[[#This Row],[Column5]]))/I533,0),"")</f>
        <v/>
      </c>
      <c r="I533" s="69" t="str">
        <f>IF(ISNUMBER(deployment_raw[[#This Row],[Column6]]), (deployment_raw[[#This Row],[Column6]] * IF($E$2="Deployment",deployment_raw[[#This Row],[Column5]],1)),"")</f>
        <v/>
      </c>
      <c r="J533" s="79" t="str">
        <f>IF(ISNUMBER(deployment_raw[[#This Row],[Column19]]), IF(K533&lt;&gt;0,(deployment_raw[[#This Row],[Column19]]/IF(OR($E$2="Deployment",deployment_raw[[#This Row],[Column5]]=0),1,deployment_raw[[#This Row],[Column5]]))/K533,0),"")</f>
        <v/>
      </c>
      <c r="K533" s="72" t="str">
        <f>IF(ISNUMBER(deployment_raw[[#This Row],[Column8]]), (deployment_raw[[#This Row],[Column8]]  * IF($E$2="Deployment",deployment_raw[[#This Row],[Column5]],1)),"")</f>
        <v/>
      </c>
      <c r="L53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3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33" s="81" t="str">
        <f>IF(ISNUMBER(deployment_raw[[#This Row],[Column20]]), IF(O533&lt;&gt;0,deployment_raw[[#This Row],[Column20]]/IF(OR($E$2="Deployment",deployment_raw[[#This Row],[Column5]]=0),1,deployment_raw[[#This Row],[Column5]])/1048576/O533,0),"")</f>
        <v/>
      </c>
      <c r="O533" s="74" t="str">
        <f>IF(ISNUMBER(deployment_raw[[#This Row],[Column7]]), (deployment_raw[[#This Row],[Column7]] * IF($E$2="Deployment",deployment_raw[[#This Row],[Column5]],1))/1048576,"")</f>
        <v/>
      </c>
      <c r="P533" s="81" t="str">
        <f>IF(ISNUMBER(deployment_raw[[#This Row],[Column20]]), IF(Q533&lt;&gt;0,deployment_raw[[#This Row],[Column20]]/IF(OR($E$2="Deployment",deployment_raw[[#This Row],[Column5]]=0),1,deployment_raw[[#This Row],[Column5]])/1048576/Q533,0),"")</f>
        <v/>
      </c>
      <c r="Q533" s="76" t="str">
        <f>IF(ISNUMBER(deployment_raw[[#This Row],[Column9]]), (deployment_raw[[#This Row],[Column9]] * IF($E$2="Deployment",deployment_raw[[#This Row],[Column5]],1))/1048576,"")</f>
        <v/>
      </c>
      <c r="R533" s="57" t="str">
        <f>IF(ISNUMBER(deployment_raw[[#This Row],[Column10]]), (deployment_raw[[#This Row],[Column10]] * IF($E$2="Deployment",deployment_raw[[#This Row],[Column5]],1)),"")</f>
        <v/>
      </c>
      <c r="S533" s="48" t="str">
        <f>IF(ISNUMBER(deployment_raw[[#This Row],[Column11]]), (deployment_raw[[#This Row],[Column11]] * IF($E$2="Deployment",deployment_raw[[#This Row],[Column5]],1))/1048576,"")</f>
        <v/>
      </c>
      <c r="T533" s="59" t="str">
        <f>IF(ISNUMBER(deployment_raw[[#This Row],[Column8]]),IF(OR(deployment_raw[[#This Row],[Column5]] &lt;&gt; 0,$E$2 &lt;&gt; "Deployment"), MAX(V533, ($T$2 * IF($E$2="Deployment",deployment_raw[[#This Row],[Column5]],1))), 0),"")</f>
        <v/>
      </c>
      <c r="U533" s="50" t="str">
        <f>IF(ISNUMBER(deployment_raw[[#This Row],[Column9]]),IF(OR(deployment_raw[[#This Row],[Column5]] &lt;&gt; 0,$E$2&lt;&gt;"Deployment"), MAX(W533, ($U$2 * IF($E$2="Deployment",deployment_raw[[#This Row],[Column5]],1))), 0),"")</f>
        <v/>
      </c>
      <c r="V533" s="15" t="str">
        <f>IF(ISNUMBER(deployment_raw[[#This Row],[Column12]]), (deployment_raw[[#This Row],[Column12]] * IF($E$2="Deployment",deployment_raw[[#This Row],[Column5]],1)*(1+$V$2)),"")</f>
        <v/>
      </c>
      <c r="W533" s="14" t="str">
        <f>IF(ISNUMBER(deployment_raw[[#This Row],[Column13]]), (deployment_raw[[#This Row],[Column13]] * IF($E$2="Deployment",deployment_raw[[#This Row],[Column5]],1)*(1+$W$2))/1048576,"")</f>
        <v/>
      </c>
    </row>
    <row r="534" spans="1:23" ht="15.75" customHeight="1" x14ac:dyDescent="0.25">
      <c r="A534" s="5" t="str">
        <f>IF(ISNONTEXT(deployment_raw[[#This Row],[Column1]]), "", deployment_raw[[#This Row],[Column1]])</f>
        <v/>
      </c>
      <c r="B534" s="6" t="str">
        <f>IF(ISNONTEXT(deployment_raw[[#This Row],[Column2]]), "", deployment_raw[[#This Row],[Column2]])</f>
        <v/>
      </c>
      <c r="C534" s="6" t="str">
        <f>IF(ISNONTEXT(deployment_raw[[#This Row],[Column3]]), "", deployment_raw[[#This Row],[Column3]])</f>
        <v/>
      </c>
      <c r="D534" s="6" t="str">
        <f>IF(ISNONTEXT(deployment_raw[[#This Row],[Column4]]), "", deployment_raw[[#This Row],[Column4]])</f>
        <v/>
      </c>
      <c r="E534" s="7" t="str">
        <f>IF(ISNUMBER(deployment_raw[[#This Row],[Column5]]), deployment_raw[[#This Row],[Column5]],"")</f>
        <v/>
      </c>
      <c r="F534" s="32" t="str">
        <f>IF(ISNUMBER(deployment_raw[[#This Row],[Column17]]), deployment_raw[[#This Row],[Column17]]/IF(OR($E$2="Deployment",deployment_raw[[#This Row],[Column5]]=0),1,deployment_raw[[#This Row],[Column5]]),"")</f>
        <v/>
      </c>
      <c r="G534" s="42" t="str">
        <f>IF(ISNUMBER(deployment_raw[[#This Row],[Column14]]), deployment_raw[[#This Row],[Column14]]/IF(OR($E$2="Deployment",deployment_raw[[#This Row],[Column5]]=0),1,deployment_raw[[#This Row],[Column5]]),"")</f>
        <v/>
      </c>
      <c r="H534" s="79" t="str">
        <f>IF(ISNUMBER(deployment_raw[[#This Row],[Column19]]), IF(I534&lt;&gt;0,(deployment_raw[[#This Row],[Column19]]/IF(OR($E$2="Deployment",deployment_raw[[#This Row],[Column5]]=0),1,deployment_raw[[#This Row],[Column5]]))/I534,0),"")</f>
        <v/>
      </c>
      <c r="I534" s="69" t="str">
        <f>IF(ISNUMBER(deployment_raw[[#This Row],[Column6]]), (deployment_raw[[#This Row],[Column6]] * IF($E$2="Deployment",deployment_raw[[#This Row],[Column5]],1)),"")</f>
        <v/>
      </c>
      <c r="J534" s="79" t="str">
        <f>IF(ISNUMBER(deployment_raw[[#This Row],[Column19]]), IF(K534&lt;&gt;0,(deployment_raw[[#This Row],[Column19]]/IF(OR($E$2="Deployment",deployment_raw[[#This Row],[Column5]]=0),1,deployment_raw[[#This Row],[Column5]]))/K534,0),"")</f>
        <v/>
      </c>
      <c r="K534" s="72" t="str">
        <f>IF(ISNUMBER(deployment_raw[[#This Row],[Column8]]), (deployment_raw[[#This Row],[Column8]]  * IF($E$2="Deployment",deployment_raw[[#This Row],[Column5]],1)),"")</f>
        <v/>
      </c>
      <c r="L53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3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34" s="81" t="str">
        <f>IF(ISNUMBER(deployment_raw[[#This Row],[Column20]]), IF(O534&lt;&gt;0,deployment_raw[[#This Row],[Column20]]/IF(OR($E$2="Deployment",deployment_raw[[#This Row],[Column5]]=0),1,deployment_raw[[#This Row],[Column5]])/1048576/O534,0),"")</f>
        <v/>
      </c>
      <c r="O534" s="74" t="str">
        <f>IF(ISNUMBER(deployment_raw[[#This Row],[Column7]]), (deployment_raw[[#This Row],[Column7]] * IF($E$2="Deployment",deployment_raw[[#This Row],[Column5]],1))/1048576,"")</f>
        <v/>
      </c>
      <c r="P534" s="81" t="str">
        <f>IF(ISNUMBER(deployment_raw[[#This Row],[Column20]]), IF(Q534&lt;&gt;0,deployment_raw[[#This Row],[Column20]]/IF(OR($E$2="Deployment",deployment_raw[[#This Row],[Column5]]=0),1,deployment_raw[[#This Row],[Column5]])/1048576/Q534,0),"")</f>
        <v/>
      </c>
      <c r="Q534" s="76" t="str">
        <f>IF(ISNUMBER(deployment_raw[[#This Row],[Column9]]), (deployment_raw[[#This Row],[Column9]] * IF($E$2="Deployment",deployment_raw[[#This Row],[Column5]],1))/1048576,"")</f>
        <v/>
      </c>
      <c r="R534" s="57" t="str">
        <f>IF(ISNUMBER(deployment_raw[[#This Row],[Column10]]), (deployment_raw[[#This Row],[Column10]] * IF($E$2="Deployment",deployment_raw[[#This Row],[Column5]],1)),"")</f>
        <v/>
      </c>
      <c r="S534" s="48" t="str">
        <f>IF(ISNUMBER(deployment_raw[[#This Row],[Column11]]), (deployment_raw[[#This Row],[Column11]] * IF($E$2="Deployment",deployment_raw[[#This Row],[Column5]],1))/1048576,"")</f>
        <v/>
      </c>
      <c r="T534" s="59" t="str">
        <f>IF(ISNUMBER(deployment_raw[[#This Row],[Column8]]),IF(OR(deployment_raw[[#This Row],[Column5]] &lt;&gt; 0,$E$2 &lt;&gt; "Deployment"), MAX(V534, ($T$2 * IF($E$2="Deployment",deployment_raw[[#This Row],[Column5]],1))), 0),"")</f>
        <v/>
      </c>
      <c r="U534" s="50" t="str">
        <f>IF(ISNUMBER(deployment_raw[[#This Row],[Column9]]),IF(OR(deployment_raw[[#This Row],[Column5]] &lt;&gt; 0,$E$2&lt;&gt;"Deployment"), MAX(W534, ($U$2 * IF($E$2="Deployment",deployment_raw[[#This Row],[Column5]],1))), 0),"")</f>
        <v/>
      </c>
      <c r="V534" s="15" t="str">
        <f>IF(ISNUMBER(deployment_raw[[#This Row],[Column12]]), (deployment_raw[[#This Row],[Column12]] * IF($E$2="Deployment",deployment_raw[[#This Row],[Column5]],1)*(1+$V$2)),"")</f>
        <v/>
      </c>
      <c r="W534" s="14" t="str">
        <f>IF(ISNUMBER(deployment_raw[[#This Row],[Column13]]), (deployment_raw[[#This Row],[Column13]] * IF($E$2="Deployment",deployment_raw[[#This Row],[Column5]],1)*(1+$W$2))/1048576,"")</f>
        <v/>
      </c>
    </row>
    <row r="535" spans="1:23" ht="15.75" customHeight="1" x14ac:dyDescent="0.25">
      <c r="A535" s="5" t="str">
        <f>IF(ISNONTEXT(deployment_raw[[#This Row],[Column1]]), "", deployment_raw[[#This Row],[Column1]])</f>
        <v/>
      </c>
      <c r="B535" s="6" t="str">
        <f>IF(ISNONTEXT(deployment_raw[[#This Row],[Column2]]), "", deployment_raw[[#This Row],[Column2]])</f>
        <v/>
      </c>
      <c r="C535" s="6" t="str">
        <f>IF(ISNONTEXT(deployment_raw[[#This Row],[Column3]]), "", deployment_raw[[#This Row],[Column3]])</f>
        <v/>
      </c>
      <c r="D535" s="6" t="str">
        <f>IF(ISNONTEXT(deployment_raw[[#This Row],[Column4]]), "", deployment_raw[[#This Row],[Column4]])</f>
        <v/>
      </c>
      <c r="E535" s="7" t="str">
        <f>IF(ISNUMBER(deployment_raw[[#This Row],[Column5]]), deployment_raw[[#This Row],[Column5]],"")</f>
        <v/>
      </c>
      <c r="F535" s="32" t="str">
        <f>IF(ISNUMBER(deployment_raw[[#This Row],[Column17]]), deployment_raw[[#This Row],[Column17]]/IF(OR($E$2="Deployment",deployment_raw[[#This Row],[Column5]]=0),1,deployment_raw[[#This Row],[Column5]]),"")</f>
        <v/>
      </c>
      <c r="G535" s="42" t="str">
        <f>IF(ISNUMBER(deployment_raw[[#This Row],[Column14]]), deployment_raw[[#This Row],[Column14]]/IF(OR($E$2="Deployment",deployment_raw[[#This Row],[Column5]]=0),1,deployment_raw[[#This Row],[Column5]]),"")</f>
        <v/>
      </c>
      <c r="H535" s="79" t="str">
        <f>IF(ISNUMBER(deployment_raw[[#This Row],[Column19]]), IF(I535&lt;&gt;0,(deployment_raw[[#This Row],[Column19]]/IF(OR($E$2="Deployment",deployment_raw[[#This Row],[Column5]]=0),1,deployment_raw[[#This Row],[Column5]]))/I535,0),"")</f>
        <v/>
      </c>
      <c r="I535" s="69" t="str">
        <f>IF(ISNUMBER(deployment_raw[[#This Row],[Column6]]), (deployment_raw[[#This Row],[Column6]] * IF($E$2="Deployment",deployment_raw[[#This Row],[Column5]],1)),"")</f>
        <v/>
      </c>
      <c r="J535" s="79" t="str">
        <f>IF(ISNUMBER(deployment_raw[[#This Row],[Column19]]), IF(K535&lt;&gt;0,(deployment_raw[[#This Row],[Column19]]/IF(OR($E$2="Deployment",deployment_raw[[#This Row],[Column5]]=0),1,deployment_raw[[#This Row],[Column5]]))/K535,0),"")</f>
        <v/>
      </c>
      <c r="K535" s="72" t="str">
        <f>IF(ISNUMBER(deployment_raw[[#This Row],[Column8]]), (deployment_raw[[#This Row],[Column8]]  * IF($E$2="Deployment",deployment_raw[[#This Row],[Column5]],1)),"")</f>
        <v/>
      </c>
      <c r="L53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3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35" s="81" t="str">
        <f>IF(ISNUMBER(deployment_raw[[#This Row],[Column20]]), IF(O535&lt;&gt;0,deployment_raw[[#This Row],[Column20]]/IF(OR($E$2="Deployment",deployment_raw[[#This Row],[Column5]]=0),1,deployment_raw[[#This Row],[Column5]])/1048576/O535,0),"")</f>
        <v/>
      </c>
      <c r="O535" s="74" t="str">
        <f>IF(ISNUMBER(deployment_raw[[#This Row],[Column7]]), (deployment_raw[[#This Row],[Column7]] * IF($E$2="Deployment",deployment_raw[[#This Row],[Column5]],1))/1048576,"")</f>
        <v/>
      </c>
      <c r="P535" s="81" t="str">
        <f>IF(ISNUMBER(deployment_raw[[#This Row],[Column20]]), IF(Q535&lt;&gt;0,deployment_raw[[#This Row],[Column20]]/IF(OR($E$2="Deployment",deployment_raw[[#This Row],[Column5]]=0),1,deployment_raw[[#This Row],[Column5]])/1048576/Q535,0),"")</f>
        <v/>
      </c>
      <c r="Q535" s="76" t="str">
        <f>IF(ISNUMBER(deployment_raw[[#This Row],[Column9]]), (deployment_raw[[#This Row],[Column9]] * IF($E$2="Deployment",deployment_raw[[#This Row],[Column5]],1))/1048576,"")</f>
        <v/>
      </c>
      <c r="R535" s="57" t="str">
        <f>IF(ISNUMBER(deployment_raw[[#This Row],[Column10]]), (deployment_raw[[#This Row],[Column10]] * IF($E$2="Deployment",deployment_raw[[#This Row],[Column5]],1)),"")</f>
        <v/>
      </c>
      <c r="S535" s="48" t="str">
        <f>IF(ISNUMBER(deployment_raw[[#This Row],[Column11]]), (deployment_raw[[#This Row],[Column11]] * IF($E$2="Deployment",deployment_raw[[#This Row],[Column5]],1))/1048576,"")</f>
        <v/>
      </c>
      <c r="T535" s="59" t="str">
        <f>IF(ISNUMBER(deployment_raw[[#This Row],[Column8]]),IF(OR(deployment_raw[[#This Row],[Column5]] &lt;&gt; 0,$E$2 &lt;&gt; "Deployment"), MAX(V535, ($T$2 * IF($E$2="Deployment",deployment_raw[[#This Row],[Column5]],1))), 0),"")</f>
        <v/>
      </c>
      <c r="U535" s="50" t="str">
        <f>IF(ISNUMBER(deployment_raw[[#This Row],[Column9]]),IF(OR(deployment_raw[[#This Row],[Column5]] &lt;&gt; 0,$E$2&lt;&gt;"Deployment"), MAX(W535, ($U$2 * IF($E$2="Deployment",deployment_raw[[#This Row],[Column5]],1))), 0),"")</f>
        <v/>
      </c>
      <c r="V535" s="15" t="str">
        <f>IF(ISNUMBER(deployment_raw[[#This Row],[Column12]]), (deployment_raw[[#This Row],[Column12]] * IF($E$2="Deployment",deployment_raw[[#This Row],[Column5]],1)*(1+$V$2)),"")</f>
        <v/>
      </c>
      <c r="W535" s="14" t="str">
        <f>IF(ISNUMBER(deployment_raw[[#This Row],[Column13]]), (deployment_raw[[#This Row],[Column13]] * IF($E$2="Deployment",deployment_raw[[#This Row],[Column5]],1)*(1+$W$2))/1048576,"")</f>
        <v/>
      </c>
    </row>
    <row r="536" spans="1:23" ht="15.75" customHeight="1" x14ac:dyDescent="0.25">
      <c r="A536" s="5" t="str">
        <f>IF(ISNONTEXT(deployment_raw[[#This Row],[Column1]]), "", deployment_raw[[#This Row],[Column1]])</f>
        <v/>
      </c>
      <c r="B536" s="6" t="str">
        <f>IF(ISNONTEXT(deployment_raw[[#This Row],[Column2]]), "", deployment_raw[[#This Row],[Column2]])</f>
        <v/>
      </c>
      <c r="C536" s="6" t="str">
        <f>IF(ISNONTEXT(deployment_raw[[#This Row],[Column3]]), "", deployment_raw[[#This Row],[Column3]])</f>
        <v/>
      </c>
      <c r="D536" s="6" t="str">
        <f>IF(ISNONTEXT(deployment_raw[[#This Row],[Column4]]), "", deployment_raw[[#This Row],[Column4]])</f>
        <v/>
      </c>
      <c r="E536" s="7" t="str">
        <f>IF(ISNUMBER(deployment_raw[[#This Row],[Column5]]), deployment_raw[[#This Row],[Column5]],"")</f>
        <v/>
      </c>
      <c r="F536" s="32" t="str">
        <f>IF(ISNUMBER(deployment_raw[[#This Row],[Column17]]), deployment_raw[[#This Row],[Column17]]/IF(OR($E$2="Deployment",deployment_raw[[#This Row],[Column5]]=0),1,deployment_raw[[#This Row],[Column5]]),"")</f>
        <v/>
      </c>
      <c r="G536" s="42" t="str">
        <f>IF(ISNUMBER(deployment_raw[[#This Row],[Column14]]), deployment_raw[[#This Row],[Column14]]/IF(OR($E$2="Deployment",deployment_raw[[#This Row],[Column5]]=0),1,deployment_raw[[#This Row],[Column5]]),"")</f>
        <v/>
      </c>
      <c r="H536" s="79" t="str">
        <f>IF(ISNUMBER(deployment_raw[[#This Row],[Column19]]), IF(I536&lt;&gt;0,(deployment_raw[[#This Row],[Column19]]/IF(OR($E$2="Deployment",deployment_raw[[#This Row],[Column5]]=0),1,deployment_raw[[#This Row],[Column5]]))/I536,0),"")</f>
        <v/>
      </c>
      <c r="I536" s="69" t="str">
        <f>IF(ISNUMBER(deployment_raw[[#This Row],[Column6]]), (deployment_raw[[#This Row],[Column6]] * IF($E$2="Deployment",deployment_raw[[#This Row],[Column5]],1)),"")</f>
        <v/>
      </c>
      <c r="J536" s="79" t="str">
        <f>IF(ISNUMBER(deployment_raw[[#This Row],[Column19]]), IF(K536&lt;&gt;0,(deployment_raw[[#This Row],[Column19]]/IF(OR($E$2="Deployment",deployment_raw[[#This Row],[Column5]]=0),1,deployment_raw[[#This Row],[Column5]]))/K536,0),"")</f>
        <v/>
      </c>
      <c r="K536" s="72" t="str">
        <f>IF(ISNUMBER(deployment_raw[[#This Row],[Column8]]), (deployment_raw[[#This Row],[Column8]]  * IF($E$2="Deployment",deployment_raw[[#This Row],[Column5]],1)),"")</f>
        <v/>
      </c>
      <c r="L53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3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36" s="81" t="str">
        <f>IF(ISNUMBER(deployment_raw[[#This Row],[Column20]]), IF(O536&lt;&gt;0,deployment_raw[[#This Row],[Column20]]/IF(OR($E$2="Deployment",deployment_raw[[#This Row],[Column5]]=0),1,deployment_raw[[#This Row],[Column5]])/1048576/O536,0),"")</f>
        <v/>
      </c>
      <c r="O536" s="74" t="str">
        <f>IF(ISNUMBER(deployment_raw[[#This Row],[Column7]]), (deployment_raw[[#This Row],[Column7]] * IF($E$2="Deployment",deployment_raw[[#This Row],[Column5]],1))/1048576,"")</f>
        <v/>
      </c>
      <c r="P536" s="81" t="str">
        <f>IF(ISNUMBER(deployment_raw[[#This Row],[Column20]]), IF(Q536&lt;&gt;0,deployment_raw[[#This Row],[Column20]]/IF(OR($E$2="Deployment",deployment_raw[[#This Row],[Column5]]=0),1,deployment_raw[[#This Row],[Column5]])/1048576/Q536,0),"")</f>
        <v/>
      </c>
      <c r="Q536" s="76" t="str">
        <f>IF(ISNUMBER(deployment_raw[[#This Row],[Column9]]), (deployment_raw[[#This Row],[Column9]] * IF($E$2="Deployment",deployment_raw[[#This Row],[Column5]],1))/1048576,"")</f>
        <v/>
      </c>
      <c r="R536" s="57" t="str">
        <f>IF(ISNUMBER(deployment_raw[[#This Row],[Column10]]), (deployment_raw[[#This Row],[Column10]] * IF($E$2="Deployment",deployment_raw[[#This Row],[Column5]],1)),"")</f>
        <v/>
      </c>
      <c r="S536" s="48" t="str">
        <f>IF(ISNUMBER(deployment_raw[[#This Row],[Column11]]), (deployment_raw[[#This Row],[Column11]] * IF($E$2="Deployment",deployment_raw[[#This Row],[Column5]],1))/1048576,"")</f>
        <v/>
      </c>
      <c r="T536" s="59" t="str">
        <f>IF(ISNUMBER(deployment_raw[[#This Row],[Column8]]),IF(OR(deployment_raw[[#This Row],[Column5]] &lt;&gt; 0,$E$2 &lt;&gt; "Deployment"), MAX(V536, ($T$2 * IF($E$2="Deployment",deployment_raw[[#This Row],[Column5]],1))), 0),"")</f>
        <v/>
      </c>
      <c r="U536" s="50" t="str">
        <f>IF(ISNUMBER(deployment_raw[[#This Row],[Column9]]),IF(OR(deployment_raw[[#This Row],[Column5]] &lt;&gt; 0,$E$2&lt;&gt;"Deployment"), MAX(W536, ($U$2 * IF($E$2="Deployment",deployment_raw[[#This Row],[Column5]],1))), 0),"")</f>
        <v/>
      </c>
      <c r="V536" s="15" t="str">
        <f>IF(ISNUMBER(deployment_raw[[#This Row],[Column12]]), (deployment_raw[[#This Row],[Column12]] * IF($E$2="Deployment",deployment_raw[[#This Row],[Column5]],1)*(1+$V$2)),"")</f>
        <v/>
      </c>
      <c r="W536" s="14" t="str">
        <f>IF(ISNUMBER(deployment_raw[[#This Row],[Column13]]), (deployment_raw[[#This Row],[Column13]] * IF($E$2="Deployment",deployment_raw[[#This Row],[Column5]],1)*(1+$W$2))/1048576,"")</f>
        <v/>
      </c>
    </row>
    <row r="537" spans="1:23" ht="15.75" customHeight="1" x14ac:dyDescent="0.25">
      <c r="A537" s="5" t="str">
        <f>IF(ISNONTEXT(deployment_raw[[#This Row],[Column1]]), "", deployment_raw[[#This Row],[Column1]])</f>
        <v/>
      </c>
      <c r="B537" s="6" t="str">
        <f>IF(ISNONTEXT(deployment_raw[[#This Row],[Column2]]), "", deployment_raw[[#This Row],[Column2]])</f>
        <v/>
      </c>
      <c r="C537" s="6" t="str">
        <f>IF(ISNONTEXT(deployment_raw[[#This Row],[Column3]]), "", deployment_raw[[#This Row],[Column3]])</f>
        <v/>
      </c>
      <c r="D537" s="6" t="str">
        <f>IF(ISNONTEXT(deployment_raw[[#This Row],[Column4]]), "", deployment_raw[[#This Row],[Column4]])</f>
        <v/>
      </c>
      <c r="E537" s="7" t="str">
        <f>IF(ISNUMBER(deployment_raw[[#This Row],[Column5]]), deployment_raw[[#This Row],[Column5]],"")</f>
        <v/>
      </c>
      <c r="F537" s="32" t="str">
        <f>IF(ISNUMBER(deployment_raw[[#This Row],[Column17]]), deployment_raw[[#This Row],[Column17]]/IF(OR($E$2="Deployment",deployment_raw[[#This Row],[Column5]]=0),1,deployment_raw[[#This Row],[Column5]]),"")</f>
        <v/>
      </c>
      <c r="G537" s="42" t="str">
        <f>IF(ISNUMBER(deployment_raw[[#This Row],[Column14]]), deployment_raw[[#This Row],[Column14]]/IF(OR($E$2="Deployment",deployment_raw[[#This Row],[Column5]]=0),1,deployment_raw[[#This Row],[Column5]]),"")</f>
        <v/>
      </c>
      <c r="H537" s="79" t="str">
        <f>IF(ISNUMBER(deployment_raw[[#This Row],[Column19]]), IF(I537&lt;&gt;0,(deployment_raw[[#This Row],[Column19]]/IF(OR($E$2="Deployment",deployment_raw[[#This Row],[Column5]]=0),1,deployment_raw[[#This Row],[Column5]]))/I537,0),"")</f>
        <v/>
      </c>
      <c r="I537" s="69" t="str">
        <f>IF(ISNUMBER(deployment_raw[[#This Row],[Column6]]), (deployment_raw[[#This Row],[Column6]] * IF($E$2="Deployment",deployment_raw[[#This Row],[Column5]],1)),"")</f>
        <v/>
      </c>
      <c r="J537" s="79" t="str">
        <f>IF(ISNUMBER(deployment_raw[[#This Row],[Column19]]), IF(K537&lt;&gt;0,(deployment_raw[[#This Row],[Column19]]/IF(OR($E$2="Deployment",deployment_raw[[#This Row],[Column5]]=0),1,deployment_raw[[#This Row],[Column5]]))/K537,0),"")</f>
        <v/>
      </c>
      <c r="K537" s="72" t="str">
        <f>IF(ISNUMBER(deployment_raw[[#This Row],[Column8]]), (deployment_raw[[#This Row],[Column8]]  * IF($E$2="Deployment",deployment_raw[[#This Row],[Column5]],1)),"")</f>
        <v/>
      </c>
      <c r="L53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3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37" s="81" t="str">
        <f>IF(ISNUMBER(deployment_raw[[#This Row],[Column20]]), IF(O537&lt;&gt;0,deployment_raw[[#This Row],[Column20]]/IF(OR($E$2="Deployment",deployment_raw[[#This Row],[Column5]]=0),1,deployment_raw[[#This Row],[Column5]])/1048576/O537,0),"")</f>
        <v/>
      </c>
      <c r="O537" s="74" t="str">
        <f>IF(ISNUMBER(deployment_raw[[#This Row],[Column7]]), (deployment_raw[[#This Row],[Column7]] * IF($E$2="Deployment",deployment_raw[[#This Row],[Column5]],1))/1048576,"")</f>
        <v/>
      </c>
      <c r="P537" s="81" t="str">
        <f>IF(ISNUMBER(deployment_raw[[#This Row],[Column20]]), IF(Q537&lt;&gt;0,deployment_raw[[#This Row],[Column20]]/IF(OR($E$2="Deployment",deployment_raw[[#This Row],[Column5]]=0),1,deployment_raw[[#This Row],[Column5]])/1048576/Q537,0),"")</f>
        <v/>
      </c>
      <c r="Q537" s="76" t="str">
        <f>IF(ISNUMBER(deployment_raw[[#This Row],[Column9]]), (deployment_raw[[#This Row],[Column9]] * IF($E$2="Deployment",deployment_raw[[#This Row],[Column5]],1))/1048576,"")</f>
        <v/>
      </c>
      <c r="R537" s="57" t="str">
        <f>IF(ISNUMBER(deployment_raw[[#This Row],[Column10]]), (deployment_raw[[#This Row],[Column10]] * IF($E$2="Deployment",deployment_raw[[#This Row],[Column5]],1)),"")</f>
        <v/>
      </c>
      <c r="S537" s="48" t="str">
        <f>IF(ISNUMBER(deployment_raw[[#This Row],[Column11]]), (deployment_raw[[#This Row],[Column11]] * IF($E$2="Deployment",deployment_raw[[#This Row],[Column5]],1))/1048576,"")</f>
        <v/>
      </c>
      <c r="T537" s="59" t="str">
        <f>IF(ISNUMBER(deployment_raw[[#This Row],[Column8]]),IF(OR(deployment_raw[[#This Row],[Column5]] &lt;&gt; 0,$E$2 &lt;&gt; "Deployment"), MAX(V537, ($T$2 * IF($E$2="Deployment",deployment_raw[[#This Row],[Column5]],1))), 0),"")</f>
        <v/>
      </c>
      <c r="U537" s="50" t="str">
        <f>IF(ISNUMBER(deployment_raw[[#This Row],[Column9]]),IF(OR(deployment_raw[[#This Row],[Column5]] &lt;&gt; 0,$E$2&lt;&gt;"Deployment"), MAX(W537, ($U$2 * IF($E$2="Deployment",deployment_raw[[#This Row],[Column5]],1))), 0),"")</f>
        <v/>
      </c>
      <c r="V537" s="15" t="str">
        <f>IF(ISNUMBER(deployment_raw[[#This Row],[Column12]]), (deployment_raw[[#This Row],[Column12]] * IF($E$2="Deployment",deployment_raw[[#This Row],[Column5]],1)*(1+$V$2)),"")</f>
        <v/>
      </c>
      <c r="W537" s="14" t="str">
        <f>IF(ISNUMBER(deployment_raw[[#This Row],[Column13]]), (deployment_raw[[#This Row],[Column13]] * IF($E$2="Deployment",deployment_raw[[#This Row],[Column5]],1)*(1+$W$2))/1048576,"")</f>
        <v/>
      </c>
    </row>
    <row r="538" spans="1:23" ht="15.75" customHeight="1" x14ac:dyDescent="0.25">
      <c r="A538" s="5" t="str">
        <f>IF(ISNONTEXT(deployment_raw[[#This Row],[Column1]]), "", deployment_raw[[#This Row],[Column1]])</f>
        <v/>
      </c>
      <c r="B538" s="6" t="str">
        <f>IF(ISNONTEXT(deployment_raw[[#This Row],[Column2]]), "", deployment_raw[[#This Row],[Column2]])</f>
        <v/>
      </c>
      <c r="C538" s="6" t="str">
        <f>IF(ISNONTEXT(deployment_raw[[#This Row],[Column3]]), "", deployment_raw[[#This Row],[Column3]])</f>
        <v/>
      </c>
      <c r="D538" s="6" t="str">
        <f>IF(ISNONTEXT(deployment_raw[[#This Row],[Column4]]), "", deployment_raw[[#This Row],[Column4]])</f>
        <v/>
      </c>
      <c r="E538" s="7" t="str">
        <f>IF(ISNUMBER(deployment_raw[[#This Row],[Column5]]), deployment_raw[[#This Row],[Column5]],"")</f>
        <v/>
      </c>
      <c r="F538" s="32" t="str">
        <f>IF(ISNUMBER(deployment_raw[[#This Row],[Column17]]), deployment_raw[[#This Row],[Column17]]/IF(OR($E$2="Deployment",deployment_raw[[#This Row],[Column5]]=0),1,deployment_raw[[#This Row],[Column5]]),"")</f>
        <v/>
      </c>
      <c r="G538" s="42" t="str">
        <f>IF(ISNUMBER(deployment_raw[[#This Row],[Column14]]), deployment_raw[[#This Row],[Column14]]/IF(OR($E$2="Deployment",deployment_raw[[#This Row],[Column5]]=0),1,deployment_raw[[#This Row],[Column5]]),"")</f>
        <v/>
      </c>
      <c r="H538" s="79" t="str">
        <f>IF(ISNUMBER(deployment_raw[[#This Row],[Column19]]), IF(I538&lt;&gt;0,(deployment_raw[[#This Row],[Column19]]/IF(OR($E$2="Deployment",deployment_raw[[#This Row],[Column5]]=0),1,deployment_raw[[#This Row],[Column5]]))/I538,0),"")</f>
        <v/>
      </c>
      <c r="I538" s="69" t="str">
        <f>IF(ISNUMBER(deployment_raw[[#This Row],[Column6]]), (deployment_raw[[#This Row],[Column6]] * IF($E$2="Deployment",deployment_raw[[#This Row],[Column5]],1)),"")</f>
        <v/>
      </c>
      <c r="J538" s="79" t="str">
        <f>IF(ISNUMBER(deployment_raw[[#This Row],[Column19]]), IF(K538&lt;&gt;0,(deployment_raw[[#This Row],[Column19]]/IF(OR($E$2="Deployment",deployment_raw[[#This Row],[Column5]]=0),1,deployment_raw[[#This Row],[Column5]]))/K538,0),"")</f>
        <v/>
      </c>
      <c r="K538" s="72" t="str">
        <f>IF(ISNUMBER(deployment_raw[[#This Row],[Column8]]), (deployment_raw[[#This Row],[Column8]]  * IF($E$2="Deployment",deployment_raw[[#This Row],[Column5]],1)),"")</f>
        <v/>
      </c>
      <c r="L53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3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38" s="81" t="str">
        <f>IF(ISNUMBER(deployment_raw[[#This Row],[Column20]]), IF(O538&lt;&gt;0,deployment_raw[[#This Row],[Column20]]/IF(OR($E$2="Deployment",deployment_raw[[#This Row],[Column5]]=0),1,deployment_raw[[#This Row],[Column5]])/1048576/O538,0),"")</f>
        <v/>
      </c>
      <c r="O538" s="74" t="str">
        <f>IF(ISNUMBER(deployment_raw[[#This Row],[Column7]]), (deployment_raw[[#This Row],[Column7]] * IF($E$2="Deployment",deployment_raw[[#This Row],[Column5]],1))/1048576,"")</f>
        <v/>
      </c>
      <c r="P538" s="81" t="str">
        <f>IF(ISNUMBER(deployment_raw[[#This Row],[Column20]]), IF(Q538&lt;&gt;0,deployment_raw[[#This Row],[Column20]]/IF(OR($E$2="Deployment",deployment_raw[[#This Row],[Column5]]=0),1,deployment_raw[[#This Row],[Column5]])/1048576/Q538,0),"")</f>
        <v/>
      </c>
      <c r="Q538" s="76" t="str">
        <f>IF(ISNUMBER(deployment_raw[[#This Row],[Column9]]), (deployment_raw[[#This Row],[Column9]] * IF($E$2="Deployment",deployment_raw[[#This Row],[Column5]],1))/1048576,"")</f>
        <v/>
      </c>
      <c r="R538" s="57" t="str">
        <f>IF(ISNUMBER(deployment_raw[[#This Row],[Column10]]), (deployment_raw[[#This Row],[Column10]] * IF($E$2="Deployment",deployment_raw[[#This Row],[Column5]],1)),"")</f>
        <v/>
      </c>
      <c r="S538" s="48" t="str">
        <f>IF(ISNUMBER(deployment_raw[[#This Row],[Column11]]), (deployment_raw[[#This Row],[Column11]] * IF($E$2="Deployment",deployment_raw[[#This Row],[Column5]],1))/1048576,"")</f>
        <v/>
      </c>
      <c r="T538" s="59" t="str">
        <f>IF(ISNUMBER(deployment_raw[[#This Row],[Column8]]),IF(OR(deployment_raw[[#This Row],[Column5]] &lt;&gt; 0,$E$2 &lt;&gt; "Deployment"), MAX(V538, ($T$2 * IF($E$2="Deployment",deployment_raw[[#This Row],[Column5]],1))), 0),"")</f>
        <v/>
      </c>
      <c r="U538" s="50" t="str">
        <f>IF(ISNUMBER(deployment_raw[[#This Row],[Column9]]),IF(OR(deployment_raw[[#This Row],[Column5]] &lt;&gt; 0,$E$2&lt;&gt;"Deployment"), MAX(W538, ($U$2 * IF($E$2="Deployment",deployment_raw[[#This Row],[Column5]],1))), 0),"")</f>
        <v/>
      </c>
      <c r="V538" s="15" t="str">
        <f>IF(ISNUMBER(deployment_raw[[#This Row],[Column12]]), (deployment_raw[[#This Row],[Column12]] * IF($E$2="Deployment",deployment_raw[[#This Row],[Column5]],1)*(1+$V$2)),"")</f>
        <v/>
      </c>
      <c r="W538" s="14" t="str">
        <f>IF(ISNUMBER(deployment_raw[[#This Row],[Column13]]), (deployment_raw[[#This Row],[Column13]] * IF($E$2="Deployment",deployment_raw[[#This Row],[Column5]],1)*(1+$W$2))/1048576,"")</f>
        <v/>
      </c>
    </row>
    <row r="539" spans="1:23" ht="15.75" customHeight="1" x14ac:dyDescent="0.25">
      <c r="A539" s="5" t="str">
        <f>IF(ISNONTEXT(deployment_raw[[#This Row],[Column1]]), "", deployment_raw[[#This Row],[Column1]])</f>
        <v/>
      </c>
      <c r="B539" s="6" t="str">
        <f>IF(ISNONTEXT(deployment_raw[[#This Row],[Column2]]), "", deployment_raw[[#This Row],[Column2]])</f>
        <v/>
      </c>
      <c r="C539" s="6" t="str">
        <f>IF(ISNONTEXT(deployment_raw[[#This Row],[Column3]]), "", deployment_raw[[#This Row],[Column3]])</f>
        <v/>
      </c>
      <c r="D539" s="6" t="str">
        <f>IF(ISNONTEXT(deployment_raw[[#This Row],[Column4]]), "", deployment_raw[[#This Row],[Column4]])</f>
        <v/>
      </c>
      <c r="E539" s="7" t="str">
        <f>IF(ISNUMBER(deployment_raw[[#This Row],[Column5]]), deployment_raw[[#This Row],[Column5]],"")</f>
        <v/>
      </c>
      <c r="F539" s="32" t="str">
        <f>IF(ISNUMBER(deployment_raw[[#This Row],[Column17]]), deployment_raw[[#This Row],[Column17]]/IF(OR($E$2="Deployment",deployment_raw[[#This Row],[Column5]]=0),1,deployment_raw[[#This Row],[Column5]]),"")</f>
        <v/>
      </c>
      <c r="G539" s="42" t="str">
        <f>IF(ISNUMBER(deployment_raw[[#This Row],[Column14]]), deployment_raw[[#This Row],[Column14]]/IF(OR($E$2="Deployment",deployment_raw[[#This Row],[Column5]]=0),1,deployment_raw[[#This Row],[Column5]]),"")</f>
        <v/>
      </c>
      <c r="H539" s="79" t="str">
        <f>IF(ISNUMBER(deployment_raw[[#This Row],[Column19]]), IF(I539&lt;&gt;0,(deployment_raw[[#This Row],[Column19]]/IF(OR($E$2="Deployment",deployment_raw[[#This Row],[Column5]]=0),1,deployment_raw[[#This Row],[Column5]]))/I539,0),"")</f>
        <v/>
      </c>
      <c r="I539" s="69" t="str">
        <f>IF(ISNUMBER(deployment_raw[[#This Row],[Column6]]), (deployment_raw[[#This Row],[Column6]] * IF($E$2="Deployment",deployment_raw[[#This Row],[Column5]],1)),"")</f>
        <v/>
      </c>
      <c r="J539" s="79" t="str">
        <f>IF(ISNUMBER(deployment_raw[[#This Row],[Column19]]), IF(K539&lt;&gt;0,(deployment_raw[[#This Row],[Column19]]/IF(OR($E$2="Deployment",deployment_raw[[#This Row],[Column5]]=0),1,deployment_raw[[#This Row],[Column5]]))/K539,0),"")</f>
        <v/>
      </c>
      <c r="K539" s="72" t="str">
        <f>IF(ISNUMBER(deployment_raw[[#This Row],[Column8]]), (deployment_raw[[#This Row],[Column8]]  * IF($E$2="Deployment",deployment_raw[[#This Row],[Column5]],1)),"")</f>
        <v/>
      </c>
      <c r="L53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3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39" s="81" t="str">
        <f>IF(ISNUMBER(deployment_raw[[#This Row],[Column20]]), IF(O539&lt;&gt;0,deployment_raw[[#This Row],[Column20]]/IF(OR($E$2="Deployment",deployment_raw[[#This Row],[Column5]]=0),1,deployment_raw[[#This Row],[Column5]])/1048576/O539,0),"")</f>
        <v/>
      </c>
      <c r="O539" s="74" t="str">
        <f>IF(ISNUMBER(deployment_raw[[#This Row],[Column7]]), (deployment_raw[[#This Row],[Column7]] * IF($E$2="Deployment",deployment_raw[[#This Row],[Column5]],1))/1048576,"")</f>
        <v/>
      </c>
      <c r="P539" s="81" t="str">
        <f>IF(ISNUMBER(deployment_raw[[#This Row],[Column20]]), IF(Q539&lt;&gt;0,deployment_raw[[#This Row],[Column20]]/IF(OR($E$2="Deployment",deployment_raw[[#This Row],[Column5]]=0),1,deployment_raw[[#This Row],[Column5]])/1048576/Q539,0),"")</f>
        <v/>
      </c>
      <c r="Q539" s="76" t="str">
        <f>IF(ISNUMBER(deployment_raw[[#This Row],[Column9]]), (deployment_raw[[#This Row],[Column9]] * IF($E$2="Deployment",deployment_raw[[#This Row],[Column5]],1))/1048576,"")</f>
        <v/>
      </c>
      <c r="R539" s="57" t="str">
        <f>IF(ISNUMBER(deployment_raw[[#This Row],[Column10]]), (deployment_raw[[#This Row],[Column10]] * IF($E$2="Deployment",deployment_raw[[#This Row],[Column5]],1)),"")</f>
        <v/>
      </c>
      <c r="S539" s="48" t="str">
        <f>IF(ISNUMBER(deployment_raw[[#This Row],[Column11]]), (deployment_raw[[#This Row],[Column11]] * IF($E$2="Deployment",deployment_raw[[#This Row],[Column5]],1))/1048576,"")</f>
        <v/>
      </c>
      <c r="T539" s="59" t="str">
        <f>IF(ISNUMBER(deployment_raw[[#This Row],[Column8]]),IF(OR(deployment_raw[[#This Row],[Column5]] &lt;&gt; 0,$E$2 &lt;&gt; "Deployment"), MAX(V539, ($T$2 * IF($E$2="Deployment",deployment_raw[[#This Row],[Column5]],1))), 0),"")</f>
        <v/>
      </c>
      <c r="U539" s="50" t="str">
        <f>IF(ISNUMBER(deployment_raw[[#This Row],[Column9]]),IF(OR(deployment_raw[[#This Row],[Column5]] &lt;&gt; 0,$E$2&lt;&gt;"Deployment"), MAX(W539, ($U$2 * IF($E$2="Deployment",deployment_raw[[#This Row],[Column5]],1))), 0),"")</f>
        <v/>
      </c>
      <c r="V539" s="15" t="str">
        <f>IF(ISNUMBER(deployment_raw[[#This Row],[Column12]]), (deployment_raw[[#This Row],[Column12]] * IF($E$2="Deployment",deployment_raw[[#This Row],[Column5]],1)*(1+$V$2)),"")</f>
        <v/>
      </c>
      <c r="W539" s="14" t="str">
        <f>IF(ISNUMBER(deployment_raw[[#This Row],[Column13]]), (deployment_raw[[#This Row],[Column13]] * IF($E$2="Deployment",deployment_raw[[#This Row],[Column5]],1)*(1+$W$2))/1048576,"")</f>
        <v/>
      </c>
    </row>
    <row r="540" spans="1:23" ht="15.75" customHeight="1" x14ac:dyDescent="0.25">
      <c r="A540" s="5" t="str">
        <f>IF(ISNONTEXT(deployment_raw[[#This Row],[Column1]]), "", deployment_raw[[#This Row],[Column1]])</f>
        <v/>
      </c>
      <c r="B540" s="6" t="str">
        <f>IF(ISNONTEXT(deployment_raw[[#This Row],[Column2]]), "", deployment_raw[[#This Row],[Column2]])</f>
        <v/>
      </c>
      <c r="C540" s="6" t="str">
        <f>IF(ISNONTEXT(deployment_raw[[#This Row],[Column3]]), "", deployment_raw[[#This Row],[Column3]])</f>
        <v/>
      </c>
      <c r="D540" s="6" t="str">
        <f>IF(ISNONTEXT(deployment_raw[[#This Row],[Column4]]), "", deployment_raw[[#This Row],[Column4]])</f>
        <v/>
      </c>
      <c r="E540" s="7" t="str">
        <f>IF(ISNUMBER(deployment_raw[[#This Row],[Column5]]), deployment_raw[[#This Row],[Column5]],"")</f>
        <v/>
      </c>
      <c r="F540" s="32" t="str">
        <f>IF(ISNUMBER(deployment_raw[[#This Row],[Column17]]), deployment_raw[[#This Row],[Column17]]/IF(OR($E$2="Deployment",deployment_raw[[#This Row],[Column5]]=0),1,deployment_raw[[#This Row],[Column5]]),"")</f>
        <v/>
      </c>
      <c r="G540" s="42" t="str">
        <f>IF(ISNUMBER(deployment_raw[[#This Row],[Column14]]), deployment_raw[[#This Row],[Column14]]/IF(OR($E$2="Deployment",deployment_raw[[#This Row],[Column5]]=0),1,deployment_raw[[#This Row],[Column5]]),"")</f>
        <v/>
      </c>
      <c r="H540" s="79" t="str">
        <f>IF(ISNUMBER(deployment_raw[[#This Row],[Column19]]), IF(I540&lt;&gt;0,(deployment_raw[[#This Row],[Column19]]/IF(OR($E$2="Deployment",deployment_raw[[#This Row],[Column5]]=0),1,deployment_raw[[#This Row],[Column5]]))/I540,0),"")</f>
        <v/>
      </c>
      <c r="I540" s="69" t="str">
        <f>IF(ISNUMBER(deployment_raw[[#This Row],[Column6]]), (deployment_raw[[#This Row],[Column6]] * IF($E$2="Deployment",deployment_raw[[#This Row],[Column5]],1)),"")</f>
        <v/>
      </c>
      <c r="J540" s="79" t="str">
        <f>IF(ISNUMBER(deployment_raw[[#This Row],[Column19]]), IF(K540&lt;&gt;0,(deployment_raw[[#This Row],[Column19]]/IF(OR($E$2="Deployment",deployment_raw[[#This Row],[Column5]]=0),1,deployment_raw[[#This Row],[Column5]]))/K540,0),"")</f>
        <v/>
      </c>
      <c r="K540" s="72" t="str">
        <f>IF(ISNUMBER(deployment_raw[[#This Row],[Column8]]), (deployment_raw[[#This Row],[Column8]]  * IF($E$2="Deployment",deployment_raw[[#This Row],[Column5]],1)),"")</f>
        <v/>
      </c>
      <c r="L54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4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40" s="81" t="str">
        <f>IF(ISNUMBER(deployment_raw[[#This Row],[Column20]]), IF(O540&lt;&gt;0,deployment_raw[[#This Row],[Column20]]/IF(OR($E$2="Deployment",deployment_raw[[#This Row],[Column5]]=0),1,deployment_raw[[#This Row],[Column5]])/1048576/O540,0),"")</f>
        <v/>
      </c>
      <c r="O540" s="74" t="str">
        <f>IF(ISNUMBER(deployment_raw[[#This Row],[Column7]]), (deployment_raw[[#This Row],[Column7]] * IF($E$2="Deployment",deployment_raw[[#This Row],[Column5]],1))/1048576,"")</f>
        <v/>
      </c>
      <c r="P540" s="81" t="str">
        <f>IF(ISNUMBER(deployment_raw[[#This Row],[Column20]]), IF(Q540&lt;&gt;0,deployment_raw[[#This Row],[Column20]]/IF(OR($E$2="Deployment",deployment_raw[[#This Row],[Column5]]=0),1,deployment_raw[[#This Row],[Column5]])/1048576/Q540,0),"")</f>
        <v/>
      </c>
      <c r="Q540" s="76" t="str">
        <f>IF(ISNUMBER(deployment_raw[[#This Row],[Column9]]), (deployment_raw[[#This Row],[Column9]] * IF($E$2="Deployment",deployment_raw[[#This Row],[Column5]],1))/1048576,"")</f>
        <v/>
      </c>
      <c r="R540" s="57" t="str">
        <f>IF(ISNUMBER(deployment_raw[[#This Row],[Column10]]), (deployment_raw[[#This Row],[Column10]] * IF($E$2="Deployment",deployment_raw[[#This Row],[Column5]],1)),"")</f>
        <v/>
      </c>
      <c r="S540" s="48" t="str">
        <f>IF(ISNUMBER(deployment_raw[[#This Row],[Column11]]), (deployment_raw[[#This Row],[Column11]] * IF($E$2="Deployment",deployment_raw[[#This Row],[Column5]],1))/1048576,"")</f>
        <v/>
      </c>
      <c r="T540" s="59" t="str">
        <f>IF(ISNUMBER(deployment_raw[[#This Row],[Column8]]),IF(OR(deployment_raw[[#This Row],[Column5]] &lt;&gt; 0,$E$2 &lt;&gt; "Deployment"), MAX(V540, ($T$2 * IF($E$2="Deployment",deployment_raw[[#This Row],[Column5]],1))), 0),"")</f>
        <v/>
      </c>
      <c r="U540" s="50" t="str">
        <f>IF(ISNUMBER(deployment_raw[[#This Row],[Column9]]),IF(OR(deployment_raw[[#This Row],[Column5]] &lt;&gt; 0,$E$2&lt;&gt;"Deployment"), MAX(W540, ($U$2 * IF($E$2="Deployment",deployment_raw[[#This Row],[Column5]],1))), 0),"")</f>
        <v/>
      </c>
      <c r="V540" s="15" t="str">
        <f>IF(ISNUMBER(deployment_raw[[#This Row],[Column12]]), (deployment_raw[[#This Row],[Column12]] * IF($E$2="Deployment",deployment_raw[[#This Row],[Column5]],1)*(1+$V$2)),"")</f>
        <v/>
      </c>
      <c r="W540" s="14" t="str">
        <f>IF(ISNUMBER(deployment_raw[[#This Row],[Column13]]), (deployment_raw[[#This Row],[Column13]] * IF($E$2="Deployment",deployment_raw[[#This Row],[Column5]],1)*(1+$W$2))/1048576,"")</f>
        <v/>
      </c>
    </row>
    <row r="541" spans="1:23" ht="15.75" customHeight="1" x14ac:dyDescent="0.25">
      <c r="A541" s="5" t="str">
        <f>IF(ISNONTEXT(deployment_raw[[#This Row],[Column1]]), "", deployment_raw[[#This Row],[Column1]])</f>
        <v/>
      </c>
      <c r="B541" s="6" t="str">
        <f>IF(ISNONTEXT(deployment_raw[[#This Row],[Column2]]), "", deployment_raw[[#This Row],[Column2]])</f>
        <v/>
      </c>
      <c r="C541" s="6" t="str">
        <f>IF(ISNONTEXT(deployment_raw[[#This Row],[Column3]]), "", deployment_raw[[#This Row],[Column3]])</f>
        <v/>
      </c>
      <c r="D541" s="6" t="str">
        <f>IF(ISNONTEXT(deployment_raw[[#This Row],[Column4]]), "", deployment_raw[[#This Row],[Column4]])</f>
        <v/>
      </c>
      <c r="E541" s="7" t="str">
        <f>IF(ISNUMBER(deployment_raw[[#This Row],[Column5]]), deployment_raw[[#This Row],[Column5]],"")</f>
        <v/>
      </c>
      <c r="F541" s="32" t="str">
        <f>IF(ISNUMBER(deployment_raw[[#This Row],[Column17]]), deployment_raw[[#This Row],[Column17]]/IF(OR($E$2="Deployment",deployment_raw[[#This Row],[Column5]]=0),1,deployment_raw[[#This Row],[Column5]]),"")</f>
        <v/>
      </c>
      <c r="G541" s="42" t="str">
        <f>IF(ISNUMBER(deployment_raw[[#This Row],[Column14]]), deployment_raw[[#This Row],[Column14]]/IF(OR($E$2="Deployment",deployment_raw[[#This Row],[Column5]]=0),1,deployment_raw[[#This Row],[Column5]]),"")</f>
        <v/>
      </c>
      <c r="H541" s="79" t="str">
        <f>IF(ISNUMBER(deployment_raw[[#This Row],[Column19]]), IF(I541&lt;&gt;0,(deployment_raw[[#This Row],[Column19]]/IF(OR($E$2="Deployment",deployment_raw[[#This Row],[Column5]]=0),1,deployment_raw[[#This Row],[Column5]]))/I541,0),"")</f>
        <v/>
      </c>
      <c r="I541" s="69" t="str">
        <f>IF(ISNUMBER(deployment_raw[[#This Row],[Column6]]), (deployment_raw[[#This Row],[Column6]] * IF($E$2="Deployment",deployment_raw[[#This Row],[Column5]],1)),"")</f>
        <v/>
      </c>
      <c r="J541" s="79" t="str">
        <f>IF(ISNUMBER(deployment_raw[[#This Row],[Column19]]), IF(K541&lt;&gt;0,(deployment_raw[[#This Row],[Column19]]/IF(OR($E$2="Deployment",deployment_raw[[#This Row],[Column5]]=0),1,deployment_raw[[#This Row],[Column5]]))/K541,0),"")</f>
        <v/>
      </c>
      <c r="K541" s="72" t="str">
        <f>IF(ISNUMBER(deployment_raw[[#This Row],[Column8]]), (deployment_raw[[#This Row],[Column8]]  * IF($E$2="Deployment",deployment_raw[[#This Row],[Column5]],1)),"")</f>
        <v/>
      </c>
      <c r="L54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4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41" s="81" t="str">
        <f>IF(ISNUMBER(deployment_raw[[#This Row],[Column20]]), IF(O541&lt;&gt;0,deployment_raw[[#This Row],[Column20]]/IF(OR($E$2="Deployment",deployment_raw[[#This Row],[Column5]]=0),1,deployment_raw[[#This Row],[Column5]])/1048576/O541,0),"")</f>
        <v/>
      </c>
      <c r="O541" s="74" t="str">
        <f>IF(ISNUMBER(deployment_raw[[#This Row],[Column7]]), (deployment_raw[[#This Row],[Column7]] * IF($E$2="Deployment",deployment_raw[[#This Row],[Column5]],1))/1048576,"")</f>
        <v/>
      </c>
      <c r="P541" s="81" t="str">
        <f>IF(ISNUMBER(deployment_raw[[#This Row],[Column20]]), IF(Q541&lt;&gt;0,deployment_raw[[#This Row],[Column20]]/IF(OR($E$2="Deployment",deployment_raw[[#This Row],[Column5]]=0),1,deployment_raw[[#This Row],[Column5]])/1048576/Q541,0),"")</f>
        <v/>
      </c>
      <c r="Q541" s="76" t="str">
        <f>IF(ISNUMBER(deployment_raw[[#This Row],[Column9]]), (deployment_raw[[#This Row],[Column9]] * IF($E$2="Deployment",deployment_raw[[#This Row],[Column5]],1))/1048576,"")</f>
        <v/>
      </c>
      <c r="R541" s="57" t="str">
        <f>IF(ISNUMBER(deployment_raw[[#This Row],[Column10]]), (deployment_raw[[#This Row],[Column10]] * IF($E$2="Deployment",deployment_raw[[#This Row],[Column5]],1)),"")</f>
        <v/>
      </c>
      <c r="S541" s="48" t="str">
        <f>IF(ISNUMBER(deployment_raw[[#This Row],[Column11]]), (deployment_raw[[#This Row],[Column11]] * IF($E$2="Deployment",deployment_raw[[#This Row],[Column5]],1))/1048576,"")</f>
        <v/>
      </c>
      <c r="T541" s="59" t="str">
        <f>IF(ISNUMBER(deployment_raw[[#This Row],[Column8]]),IF(OR(deployment_raw[[#This Row],[Column5]] &lt;&gt; 0,$E$2 &lt;&gt; "Deployment"), MAX(V541, ($T$2 * IF($E$2="Deployment",deployment_raw[[#This Row],[Column5]],1))), 0),"")</f>
        <v/>
      </c>
      <c r="U541" s="50" t="str">
        <f>IF(ISNUMBER(deployment_raw[[#This Row],[Column9]]),IF(OR(deployment_raw[[#This Row],[Column5]] &lt;&gt; 0,$E$2&lt;&gt;"Deployment"), MAX(W541, ($U$2 * IF($E$2="Deployment",deployment_raw[[#This Row],[Column5]],1))), 0),"")</f>
        <v/>
      </c>
      <c r="V541" s="15" t="str">
        <f>IF(ISNUMBER(deployment_raw[[#This Row],[Column12]]), (deployment_raw[[#This Row],[Column12]] * IF($E$2="Deployment",deployment_raw[[#This Row],[Column5]],1)*(1+$V$2)),"")</f>
        <v/>
      </c>
      <c r="W541" s="14" t="str">
        <f>IF(ISNUMBER(deployment_raw[[#This Row],[Column13]]), (deployment_raw[[#This Row],[Column13]] * IF($E$2="Deployment",deployment_raw[[#This Row],[Column5]],1)*(1+$W$2))/1048576,"")</f>
        <v/>
      </c>
    </row>
    <row r="542" spans="1:23" ht="15.75" customHeight="1" x14ac:dyDescent="0.25">
      <c r="A542" s="5" t="str">
        <f>IF(ISNONTEXT(deployment_raw[[#This Row],[Column1]]), "", deployment_raw[[#This Row],[Column1]])</f>
        <v/>
      </c>
      <c r="B542" s="6" t="str">
        <f>IF(ISNONTEXT(deployment_raw[[#This Row],[Column2]]), "", deployment_raw[[#This Row],[Column2]])</f>
        <v/>
      </c>
      <c r="C542" s="6" t="str">
        <f>IF(ISNONTEXT(deployment_raw[[#This Row],[Column3]]), "", deployment_raw[[#This Row],[Column3]])</f>
        <v/>
      </c>
      <c r="D542" s="6" t="str">
        <f>IF(ISNONTEXT(deployment_raw[[#This Row],[Column4]]), "", deployment_raw[[#This Row],[Column4]])</f>
        <v/>
      </c>
      <c r="E542" s="7" t="str">
        <f>IF(ISNUMBER(deployment_raw[[#This Row],[Column5]]), deployment_raw[[#This Row],[Column5]],"")</f>
        <v/>
      </c>
      <c r="F542" s="32" t="str">
        <f>IF(ISNUMBER(deployment_raw[[#This Row],[Column17]]), deployment_raw[[#This Row],[Column17]]/IF(OR($E$2="Deployment",deployment_raw[[#This Row],[Column5]]=0),1,deployment_raw[[#This Row],[Column5]]),"")</f>
        <v/>
      </c>
      <c r="G542" s="42" t="str">
        <f>IF(ISNUMBER(deployment_raw[[#This Row],[Column14]]), deployment_raw[[#This Row],[Column14]]/IF(OR($E$2="Deployment",deployment_raw[[#This Row],[Column5]]=0),1,deployment_raw[[#This Row],[Column5]]),"")</f>
        <v/>
      </c>
      <c r="H542" s="79" t="str">
        <f>IF(ISNUMBER(deployment_raw[[#This Row],[Column19]]), IF(I542&lt;&gt;0,(deployment_raw[[#This Row],[Column19]]/IF(OR($E$2="Deployment",deployment_raw[[#This Row],[Column5]]=0),1,deployment_raw[[#This Row],[Column5]]))/I542,0),"")</f>
        <v/>
      </c>
      <c r="I542" s="69" t="str">
        <f>IF(ISNUMBER(deployment_raw[[#This Row],[Column6]]), (deployment_raw[[#This Row],[Column6]] * IF($E$2="Deployment",deployment_raw[[#This Row],[Column5]],1)),"")</f>
        <v/>
      </c>
      <c r="J542" s="79" t="str">
        <f>IF(ISNUMBER(deployment_raw[[#This Row],[Column19]]), IF(K542&lt;&gt;0,(deployment_raw[[#This Row],[Column19]]/IF(OR($E$2="Deployment",deployment_raw[[#This Row],[Column5]]=0),1,deployment_raw[[#This Row],[Column5]]))/K542,0),"")</f>
        <v/>
      </c>
      <c r="K542" s="72" t="str">
        <f>IF(ISNUMBER(deployment_raw[[#This Row],[Column8]]), (deployment_raw[[#This Row],[Column8]]  * IF($E$2="Deployment",deployment_raw[[#This Row],[Column5]],1)),"")</f>
        <v/>
      </c>
      <c r="L54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4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42" s="81" t="str">
        <f>IF(ISNUMBER(deployment_raw[[#This Row],[Column20]]), IF(O542&lt;&gt;0,deployment_raw[[#This Row],[Column20]]/IF(OR($E$2="Deployment",deployment_raw[[#This Row],[Column5]]=0),1,deployment_raw[[#This Row],[Column5]])/1048576/O542,0),"")</f>
        <v/>
      </c>
      <c r="O542" s="74" t="str">
        <f>IF(ISNUMBER(deployment_raw[[#This Row],[Column7]]), (deployment_raw[[#This Row],[Column7]] * IF($E$2="Deployment",deployment_raw[[#This Row],[Column5]],1))/1048576,"")</f>
        <v/>
      </c>
      <c r="P542" s="81" t="str">
        <f>IF(ISNUMBER(deployment_raw[[#This Row],[Column20]]), IF(Q542&lt;&gt;0,deployment_raw[[#This Row],[Column20]]/IF(OR($E$2="Deployment",deployment_raw[[#This Row],[Column5]]=0),1,deployment_raw[[#This Row],[Column5]])/1048576/Q542,0),"")</f>
        <v/>
      </c>
      <c r="Q542" s="76" t="str">
        <f>IF(ISNUMBER(deployment_raw[[#This Row],[Column9]]), (deployment_raw[[#This Row],[Column9]] * IF($E$2="Deployment",deployment_raw[[#This Row],[Column5]],1))/1048576,"")</f>
        <v/>
      </c>
      <c r="R542" s="57" t="str">
        <f>IF(ISNUMBER(deployment_raw[[#This Row],[Column10]]), (deployment_raw[[#This Row],[Column10]] * IF($E$2="Deployment",deployment_raw[[#This Row],[Column5]],1)),"")</f>
        <v/>
      </c>
      <c r="S542" s="48" t="str">
        <f>IF(ISNUMBER(deployment_raw[[#This Row],[Column11]]), (deployment_raw[[#This Row],[Column11]] * IF($E$2="Deployment",deployment_raw[[#This Row],[Column5]],1))/1048576,"")</f>
        <v/>
      </c>
      <c r="T542" s="59" t="str">
        <f>IF(ISNUMBER(deployment_raw[[#This Row],[Column8]]),IF(OR(deployment_raw[[#This Row],[Column5]] &lt;&gt; 0,$E$2 &lt;&gt; "Deployment"), MAX(V542, ($T$2 * IF($E$2="Deployment",deployment_raw[[#This Row],[Column5]],1))), 0),"")</f>
        <v/>
      </c>
      <c r="U542" s="50" t="str">
        <f>IF(ISNUMBER(deployment_raw[[#This Row],[Column9]]),IF(OR(deployment_raw[[#This Row],[Column5]] &lt;&gt; 0,$E$2&lt;&gt;"Deployment"), MAX(W542, ($U$2 * IF($E$2="Deployment",deployment_raw[[#This Row],[Column5]],1))), 0),"")</f>
        <v/>
      </c>
      <c r="V542" s="15" t="str">
        <f>IF(ISNUMBER(deployment_raw[[#This Row],[Column12]]), (deployment_raw[[#This Row],[Column12]] * IF($E$2="Deployment",deployment_raw[[#This Row],[Column5]],1)*(1+$V$2)),"")</f>
        <v/>
      </c>
      <c r="W542" s="14" t="str">
        <f>IF(ISNUMBER(deployment_raw[[#This Row],[Column13]]), (deployment_raw[[#This Row],[Column13]] * IF($E$2="Deployment",deployment_raw[[#This Row],[Column5]],1)*(1+$W$2))/1048576,"")</f>
        <v/>
      </c>
    </row>
    <row r="543" spans="1:23" ht="15.75" customHeight="1" x14ac:dyDescent="0.25">
      <c r="A543" s="5" t="str">
        <f>IF(ISNONTEXT(deployment_raw[[#This Row],[Column1]]), "", deployment_raw[[#This Row],[Column1]])</f>
        <v/>
      </c>
      <c r="B543" s="6" t="str">
        <f>IF(ISNONTEXT(deployment_raw[[#This Row],[Column2]]), "", deployment_raw[[#This Row],[Column2]])</f>
        <v/>
      </c>
      <c r="C543" s="6" t="str">
        <f>IF(ISNONTEXT(deployment_raw[[#This Row],[Column3]]), "", deployment_raw[[#This Row],[Column3]])</f>
        <v/>
      </c>
      <c r="D543" s="6" t="str">
        <f>IF(ISNONTEXT(deployment_raw[[#This Row],[Column4]]), "", deployment_raw[[#This Row],[Column4]])</f>
        <v/>
      </c>
      <c r="E543" s="7" t="str">
        <f>IF(ISNUMBER(deployment_raw[[#This Row],[Column5]]), deployment_raw[[#This Row],[Column5]],"")</f>
        <v/>
      </c>
      <c r="F543" s="32" t="str">
        <f>IF(ISNUMBER(deployment_raw[[#This Row],[Column17]]), deployment_raw[[#This Row],[Column17]]/IF(OR($E$2="Deployment",deployment_raw[[#This Row],[Column5]]=0),1,deployment_raw[[#This Row],[Column5]]),"")</f>
        <v/>
      </c>
      <c r="G543" s="42" t="str">
        <f>IF(ISNUMBER(deployment_raw[[#This Row],[Column14]]), deployment_raw[[#This Row],[Column14]]/IF(OR($E$2="Deployment",deployment_raw[[#This Row],[Column5]]=0),1,deployment_raw[[#This Row],[Column5]]),"")</f>
        <v/>
      </c>
      <c r="H543" s="79" t="str">
        <f>IF(ISNUMBER(deployment_raw[[#This Row],[Column19]]), IF(I543&lt;&gt;0,(deployment_raw[[#This Row],[Column19]]/IF(OR($E$2="Deployment",deployment_raw[[#This Row],[Column5]]=0),1,deployment_raw[[#This Row],[Column5]]))/I543,0),"")</f>
        <v/>
      </c>
      <c r="I543" s="69" t="str">
        <f>IF(ISNUMBER(deployment_raw[[#This Row],[Column6]]), (deployment_raw[[#This Row],[Column6]] * IF($E$2="Deployment",deployment_raw[[#This Row],[Column5]],1)),"")</f>
        <v/>
      </c>
      <c r="J543" s="79" t="str">
        <f>IF(ISNUMBER(deployment_raw[[#This Row],[Column19]]), IF(K543&lt;&gt;0,(deployment_raw[[#This Row],[Column19]]/IF(OR($E$2="Deployment",deployment_raw[[#This Row],[Column5]]=0),1,deployment_raw[[#This Row],[Column5]]))/K543,0),"")</f>
        <v/>
      </c>
      <c r="K543" s="72" t="str">
        <f>IF(ISNUMBER(deployment_raw[[#This Row],[Column8]]), (deployment_raw[[#This Row],[Column8]]  * IF($E$2="Deployment",deployment_raw[[#This Row],[Column5]],1)),"")</f>
        <v/>
      </c>
      <c r="L54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4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43" s="81" t="str">
        <f>IF(ISNUMBER(deployment_raw[[#This Row],[Column20]]), IF(O543&lt;&gt;0,deployment_raw[[#This Row],[Column20]]/IF(OR($E$2="Deployment",deployment_raw[[#This Row],[Column5]]=0),1,deployment_raw[[#This Row],[Column5]])/1048576/O543,0),"")</f>
        <v/>
      </c>
      <c r="O543" s="74" t="str">
        <f>IF(ISNUMBER(deployment_raw[[#This Row],[Column7]]), (deployment_raw[[#This Row],[Column7]] * IF($E$2="Deployment",deployment_raw[[#This Row],[Column5]],1))/1048576,"")</f>
        <v/>
      </c>
      <c r="P543" s="81" t="str">
        <f>IF(ISNUMBER(deployment_raw[[#This Row],[Column20]]), IF(Q543&lt;&gt;0,deployment_raw[[#This Row],[Column20]]/IF(OR($E$2="Deployment",deployment_raw[[#This Row],[Column5]]=0),1,deployment_raw[[#This Row],[Column5]])/1048576/Q543,0),"")</f>
        <v/>
      </c>
      <c r="Q543" s="76" t="str">
        <f>IF(ISNUMBER(deployment_raw[[#This Row],[Column9]]), (deployment_raw[[#This Row],[Column9]] * IF($E$2="Deployment",deployment_raw[[#This Row],[Column5]],1))/1048576,"")</f>
        <v/>
      </c>
      <c r="R543" s="57" t="str">
        <f>IF(ISNUMBER(deployment_raw[[#This Row],[Column10]]), (deployment_raw[[#This Row],[Column10]] * IF($E$2="Deployment",deployment_raw[[#This Row],[Column5]],1)),"")</f>
        <v/>
      </c>
      <c r="S543" s="48" t="str">
        <f>IF(ISNUMBER(deployment_raw[[#This Row],[Column11]]), (deployment_raw[[#This Row],[Column11]] * IF($E$2="Deployment",deployment_raw[[#This Row],[Column5]],1))/1048576,"")</f>
        <v/>
      </c>
      <c r="T543" s="59" t="str">
        <f>IF(ISNUMBER(deployment_raw[[#This Row],[Column8]]),IF(OR(deployment_raw[[#This Row],[Column5]] &lt;&gt; 0,$E$2 &lt;&gt; "Deployment"), MAX(V543, ($T$2 * IF($E$2="Deployment",deployment_raw[[#This Row],[Column5]],1))), 0),"")</f>
        <v/>
      </c>
      <c r="U543" s="50" t="str">
        <f>IF(ISNUMBER(deployment_raw[[#This Row],[Column9]]),IF(OR(deployment_raw[[#This Row],[Column5]] &lt;&gt; 0,$E$2&lt;&gt;"Deployment"), MAX(W543, ($U$2 * IF($E$2="Deployment",deployment_raw[[#This Row],[Column5]],1))), 0),"")</f>
        <v/>
      </c>
      <c r="V543" s="15" t="str">
        <f>IF(ISNUMBER(deployment_raw[[#This Row],[Column12]]), (deployment_raw[[#This Row],[Column12]] * IF($E$2="Deployment",deployment_raw[[#This Row],[Column5]],1)*(1+$V$2)),"")</f>
        <v/>
      </c>
      <c r="W543" s="14" t="str">
        <f>IF(ISNUMBER(deployment_raw[[#This Row],[Column13]]), (deployment_raw[[#This Row],[Column13]] * IF($E$2="Deployment",deployment_raw[[#This Row],[Column5]],1)*(1+$W$2))/1048576,"")</f>
        <v/>
      </c>
    </row>
    <row r="544" spans="1:23" ht="15.75" customHeight="1" x14ac:dyDescent="0.25">
      <c r="A544" s="5" t="str">
        <f>IF(ISNONTEXT(deployment_raw[[#This Row],[Column1]]), "", deployment_raw[[#This Row],[Column1]])</f>
        <v/>
      </c>
      <c r="B544" s="6" t="str">
        <f>IF(ISNONTEXT(deployment_raw[[#This Row],[Column2]]), "", deployment_raw[[#This Row],[Column2]])</f>
        <v/>
      </c>
      <c r="C544" s="6" t="str">
        <f>IF(ISNONTEXT(deployment_raw[[#This Row],[Column3]]), "", deployment_raw[[#This Row],[Column3]])</f>
        <v/>
      </c>
      <c r="D544" s="6" t="str">
        <f>IF(ISNONTEXT(deployment_raw[[#This Row],[Column4]]), "", deployment_raw[[#This Row],[Column4]])</f>
        <v/>
      </c>
      <c r="E544" s="7" t="str">
        <f>IF(ISNUMBER(deployment_raw[[#This Row],[Column5]]), deployment_raw[[#This Row],[Column5]],"")</f>
        <v/>
      </c>
      <c r="F544" s="32" t="str">
        <f>IF(ISNUMBER(deployment_raw[[#This Row],[Column17]]), deployment_raw[[#This Row],[Column17]]/IF(OR($E$2="Deployment",deployment_raw[[#This Row],[Column5]]=0),1,deployment_raw[[#This Row],[Column5]]),"")</f>
        <v/>
      </c>
      <c r="G544" s="42" t="str">
        <f>IF(ISNUMBER(deployment_raw[[#This Row],[Column14]]), deployment_raw[[#This Row],[Column14]]/IF(OR($E$2="Deployment",deployment_raw[[#This Row],[Column5]]=0),1,deployment_raw[[#This Row],[Column5]]),"")</f>
        <v/>
      </c>
      <c r="H544" s="79" t="str">
        <f>IF(ISNUMBER(deployment_raw[[#This Row],[Column19]]), IF(I544&lt;&gt;0,(deployment_raw[[#This Row],[Column19]]/IF(OR($E$2="Deployment",deployment_raw[[#This Row],[Column5]]=0),1,deployment_raw[[#This Row],[Column5]]))/I544,0),"")</f>
        <v/>
      </c>
      <c r="I544" s="69" t="str">
        <f>IF(ISNUMBER(deployment_raw[[#This Row],[Column6]]), (deployment_raw[[#This Row],[Column6]] * IF($E$2="Deployment",deployment_raw[[#This Row],[Column5]],1)),"")</f>
        <v/>
      </c>
      <c r="J544" s="79" t="str">
        <f>IF(ISNUMBER(deployment_raw[[#This Row],[Column19]]), IF(K544&lt;&gt;0,(deployment_raw[[#This Row],[Column19]]/IF(OR($E$2="Deployment",deployment_raw[[#This Row],[Column5]]=0),1,deployment_raw[[#This Row],[Column5]]))/K544,0),"")</f>
        <v/>
      </c>
      <c r="K544" s="72" t="str">
        <f>IF(ISNUMBER(deployment_raw[[#This Row],[Column8]]), (deployment_raw[[#This Row],[Column8]]  * IF($E$2="Deployment",deployment_raw[[#This Row],[Column5]],1)),"")</f>
        <v/>
      </c>
      <c r="L54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4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44" s="81" t="str">
        <f>IF(ISNUMBER(deployment_raw[[#This Row],[Column20]]), IF(O544&lt;&gt;0,deployment_raw[[#This Row],[Column20]]/IF(OR($E$2="Deployment",deployment_raw[[#This Row],[Column5]]=0),1,deployment_raw[[#This Row],[Column5]])/1048576/O544,0),"")</f>
        <v/>
      </c>
      <c r="O544" s="74" t="str">
        <f>IF(ISNUMBER(deployment_raw[[#This Row],[Column7]]), (deployment_raw[[#This Row],[Column7]] * IF($E$2="Deployment",deployment_raw[[#This Row],[Column5]],1))/1048576,"")</f>
        <v/>
      </c>
      <c r="P544" s="81" t="str">
        <f>IF(ISNUMBER(deployment_raw[[#This Row],[Column20]]), IF(Q544&lt;&gt;0,deployment_raw[[#This Row],[Column20]]/IF(OR($E$2="Deployment",deployment_raw[[#This Row],[Column5]]=0),1,deployment_raw[[#This Row],[Column5]])/1048576/Q544,0),"")</f>
        <v/>
      </c>
      <c r="Q544" s="76" t="str">
        <f>IF(ISNUMBER(deployment_raw[[#This Row],[Column9]]), (deployment_raw[[#This Row],[Column9]] * IF($E$2="Deployment",deployment_raw[[#This Row],[Column5]],1))/1048576,"")</f>
        <v/>
      </c>
      <c r="R544" s="57" t="str">
        <f>IF(ISNUMBER(deployment_raw[[#This Row],[Column10]]), (deployment_raw[[#This Row],[Column10]] * IF($E$2="Deployment",deployment_raw[[#This Row],[Column5]],1)),"")</f>
        <v/>
      </c>
      <c r="S544" s="48" t="str">
        <f>IF(ISNUMBER(deployment_raw[[#This Row],[Column11]]), (deployment_raw[[#This Row],[Column11]] * IF($E$2="Deployment",deployment_raw[[#This Row],[Column5]],1))/1048576,"")</f>
        <v/>
      </c>
      <c r="T544" s="59" t="str">
        <f>IF(ISNUMBER(deployment_raw[[#This Row],[Column8]]),IF(OR(deployment_raw[[#This Row],[Column5]] &lt;&gt; 0,$E$2 &lt;&gt; "Deployment"), MAX(V544, ($T$2 * IF($E$2="Deployment",deployment_raw[[#This Row],[Column5]],1))), 0),"")</f>
        <v/>
      </c>
      <c r="U544" s="50" t="str">
        <f>IF(ISNUMBER(deployment_raw[[#This Row],[Column9]]),IF(OR(deployment_raw[[#This Row],[Column5]] &lt;&gt; 0,$E$2&lt;&gt;"Deployment"), MAX(W544, ($U$2 * IF($E$2="Deployment",deployment_raw[[#This Row],[Column5]],1))), 0),"")</f>
        <v/>
      </c>
      <c r="V544" s="15" t="str">
        <f>IF(ISNUMBER(deployment_raw[[#This Row],[Column12]]), (deployment_raw[[#This Row],[Column12]] * IF($E$2="Deployment",deployment_raw[[#This Row],[Column5]],1)*(1+$V$2)),"")</f>
        <v/>
      </c>
      <c r="W544" s="14" t="str">
        <f>IF(ISNUMBER(deployment_raw[[#This Row],[Column13]]), (deployment_raw[[#This Row],[Column13]] * IF($E$2="Deployment",deployment_raw[[#This Row],[Column5]],1)*(1+$W$2))/1048576,"")</f>
        <v/>
      </c>
    </row>
    <row r="545" spans="1:23" ht="15.75" customHeight="1" x14ac:dyDescent="0.25">
      <c r="A545" s="5" t="str">
        <f>IF(ISNONTEXT(deployment_raw[[#This Row],[Column1]]), "", deployment_raw[[#This Row],[Column1]])</f>
        <v/>
      </c>
      <c r="B545" s="6" t="str">
        <f>IF(ISNONTEXT(deployment_raw[[#This Row],[Column2]]), "", deployment_raw[[#This Row],[Column2]])</f>
        <v/>
      </c>
      <c r="C545" s="6" t="str">
        <f>IF(ISNONTEXT(deployment_raw[[#This Row],[Column3]]), "", deployment_raw[[#This Row],[Column3]])</f>
        <v/>
      </c>
      <c r="D545" s="6" t="str">
        <f>IF(ISNONTEXT(deployment_raw[[#This Row],[Column4]]), "", deployment_raw[[#This Row],[Column4]])</f>
        <v/>
      </c>
      <c r="E545" s="7" t="str">
        <f>IF(ISNUMBER(deployment_raw[[#This Row],[Column5]]), deployment_raw[[#This Row],[Column5]],"")</f>
        <v/>
      </c>
      <c r="F545" s="32" t="str">
        <f>IF(ISNUMBER(deployment_raw[[#This Row],[Column17]]), deployment_raw[[#This Row],[Column17]]/IF(OR($E$2="Deployment",deployment_raw[[#This Row],[Column5]]=0),1,deployment_raw[[#This Row],[Column5]]),"")</f>
        <v/>
      </c>
      <c r="G545" s="42" t="str">
        <f>IF(ISNUMBER(deployment_raw[[#This Row],[Column14]]), deployment_raw[[#This Row],[Column14]]/IF(OR($E$2="Deployment",deployment_raw[[#This Row],[Column5]]=0),1,deployment_raw[[#This Row],[Column5]]),"")</f>
        <v/>
      </c>
      <c r="H545" s="79" t="str">
        <f>IF(ISNUMBER(deployment_raw[[#This Row],[Column19]]), IF(I545&lt;&gt;0,(deployment_raw[[#This Row],[Column19]]/IF(OR($E$2="Deployment",deployment_raw[[#This Row],[Column5]]=0),1,deployment_raw[[#This Row],[Column5]]))/I545,0),"")</f>
        <v/>
      </c>
      <c r="I545" s="69" t="str">
        <f>IF(ISNUMBER(deployment_raw[[#This Row],[Column6]]), (deployment_raw[[#This Row],[Column6]] * IF($E$2="Deployment",deployment_raw[[#This Row],[Column5]],1)),"")</f>
        <v/>
      </c>
      <c r="J545" s="79" t="str">
        <f>IF(ISNUMBER(deployment_raw[[#This Row],[Column19]]), IF(K545&lt;&gt;0,(deployment_raw[[#This Row],[Column19]]/IF(OR($E$2="Deployment",deployment_raw[[#This Row],[Column5]]=0),1,deployment_raw[[#This Row],[Column5]]))/K545,0),"")</f>
        <v/>
      </c>
      <c r="K545" s="72" t="str">
        <f>IF(ISNUMBER(deployment_raw[[#This Row],[Column8]]), (deployment_raw[[#This Row],[Column8]]  * IF($E$2="Deployment",deployment_raw[[#This Row],[Column5]],1)),"")</f>
        <v/>
      </c>
      <c r="L54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4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45" s="81" t="str">
        <f>IF(ISNUMBER(deployment_raw[[#This Row],[Column20]]), IF(O545&lt;&gt;0,deployment_raw[[#This Row],[Column20]]/IF(OR($E$2="Deployment",deployment_raw[[#This Row],[Column5]]=0),1,deployment_raw[[#This Row],[Column5]])/1048576/O545,0),"")</f>
        <v/>
      </c>
      <c r="O545" s="74" t="str">
        <f>IF(ISNUMBER(deployment_raw[[#This Row],[Column7]]), (deployment_raw[[#This Row],[Column7]] * IF($E$2="Deployment",deployment_raw[[#This Row],[Column5]],1))/1048576,"")</f>
        <v/>
      </c>
      <c r="P545" s="81" t="str">
        <f>IF(ISNUMBER(deployment_raw[[#This Row],[Column20]]), IF(Q545&lt;&gt;0,deployment_raw[[#This Row],[Column20]]/IF(OR($E$2="Deployment",deployment_raw[[#This Row],[Column5]]=0),1,deployment_raw[[#This Row],[Column5]])/1048576/Q545,0),"")</f>
        <v/>
      </c>
      <c r="Q545" s="76" t="str">
        <f>IF(ISNUMBER(deployment_raw[[#This Row],[Column9]]), (deployment_raw[[#This Row],[Column9]] * IF($E$2="Deployment",deployment_raw[[#This Row],[Column5]],1))/1048576,"")</f>
        <v/>
      </c>
      <c r="R545" s="57" t="str">
        <f>IF(ISNUMBER(deployment_raw[[#This Row],[Column10]]), (deployment_raw[[#This Row],[Column10]] * IF($E$2="Deployment",deployment_raw[[#This Row],[Column5]],1)),"")</f>
        <v/>
      </c>
      <c r="S545" s="48" t="str">
        <f>IF(ISNUMBER(deployment_raw[[#This Row],[Column11]]), (deployment_raw[[#This Row],[Column11]] * IF($E$2="Deployment",deployment_raw[[#This Row],[Column5]],1))/1048576,"")</f>
        <v/>
      </c>
      <c r="T545" s="59" t="str">
        <f>IF(ISNUMBER(deployment_raw[[#This Row],[Column8]]),IF(OR(deployment_raw[[#This Row],[Column5]] &lt;&gt; 0,$E$2 &lt;&gt; "Deployment"), MAX(V545, ($T$2 * IF($E$2="Deployment",deployment_raw[[#This Row],[Column5]],1))), 0),"")</f>
        <v/>
      </c>
      <c r="U545" s="50" t="str">
        <f>IF(ISNUMBER(deployment_raw[[#This Row],[Column9]]),IF(OR(deployment_raw[[#This Row],[Column5]] &lt;&gt; 0,$E$2&lt;&gt;"Deployment"), MAX(W545, ($U$2 * IF($E$2="Deployment",deployment_raw[[#This Row],[Column5]],1))), 0),"")</f>
        <v/>
      </c>
      <c r="V545" s="15" t="str">
        <f>IF(ISNUMBER(deployment_raw[[#This Row],[Column12]]), (deployment_raw[[#This Row],[Column12]] * IF($E$2="Deployment",deployment_raw[[#This Row],[Column5]],1)*(1+$V$2)),"")</f>
        <v/>
      </c>
      <c r="W545" s="14" t="str">
        <f>IF(ISNUMBER(deployment_raw[[#This Row],[Column13]]), (deployment_raw[[#This Row],[Column13]] * IF($E$2="Deployment",deployment_raw[[#This Row],[Column5]],1)*(1+$W$2))/1048576,"")</f>
        <v/>
      </c>
    </row>
    <row r="546" spans="1:23" ht="15.75" customHeight="1" x14ac:dyDescent="0.25">
      <c r="A546" s="5" t="str">
        <f>IF(ISNONTEXT(deployment_raw[[#This Row],[Column1]]), "", deployment_raw[[#This Row],[Column1]])</f>
        <v/>
      </c>
      <c r="B546" s="6" t="str">
        <f>IF(ISNONTEXT(deployment_raw[[#This Row],[Column2]]), "", deployment_raw[[#This Row],[Column2]])</f>
        <v/>
      </c>
      <c r="C546" s="6" t="str">
        <f>IF(ISNONTEXT(deployment_raw[[#This Row],[Column3]]), "", deployment_raw[[#This Row],[Column3]])</f>
        <v/>
      </c>
      <c r="D546" s="6" t="str">
        <f>IF(ISNONTEXT(deployment_raw[[#This Row],[Column4]]), "", deployment_raw[[#This Row],[Column4]])</f>
        <v/>
      </c>
      <c r="E546" s="7" t="str">
        <f>IF(ISNUMBER(deployment_raw[[#This Row],[Column5]]), deployment_raw[[#This Row],[Column5]],"")</f>
        <v/>
      </c>
      <c r="F546" s="32" t="str">
        <f>IF(ISNUMBER(deployment_raw[[#This Row],[Column17]]), deployment_raw[[#This Row],[Column17]]/IF(OR($E$2="Deployment",deployment_raw[[#This Row],[Column5]]=0),1,deployment_raw[[#This Row],[Column5]]),"")</f>
        <v/>
      </c>
      <c r="G546" s="42" t="str">
        <f>IF(ISNUMBER(deployment_raw[[#This Row],[Column14]]), deployment_raw[[#This Row],[Column14]]/IF(OR($E$2="Deployment",deployment_raw[[#This Row],[Column5]]=0),1,deployment_raw[[#This Row],[Column5]]),"")</f>
        <v/>
      </c>
      <c r="H546" s="79" t="str">
        <f>IF(ISNUMBER(deployment_raw[[#This Row],[Column19]]), IF(I546&lt;&gt;0,(deployment_raw[[#This Row],[Column19]]/IF(OR($E$2="Deployment",deployment_raw[[#This Row],[Column5]]=0),1,deployment_raw[[#This Row],[Column5]]))/I546,0),"")</f>
        <v/>
      </c>
      <c r="I546" s="69" t="str">
        <f>IF(ISNUMBER(deployment_raw[[#This Row],[Column6]]), (deployment_raw[[#This Row],[Column6]] * IF($E$2="Deployment",deployment_raw[[#This Row],[Column5]],1)),"")</f>
        <v/>
      </c>
      <c r="J546" s="79" t="str">
        <f>IF(ISNUMBER(deployment_raw[[#This Row],[Column19]]), IF(K546&lt;&gt;0,(deployment_raw[[#This Row],[Column19]]/IF(OR($E$2="Deployment",deployment_raw[[#This Row],[Column5]]=0),1,deployment_raw[[#This Row],[Column5]]))/K546,0),"")</f>
        <v/>
      </c>
      <c r="K546" s="72" t="str">
        <f>IF(ISNUMBER(deployment_raw[[#This Row],[Column8]]), (deployment_raw[[#This Row],[Column8]]  * IF($E$2="Deployment",deployment_raw[[#This Row],[Column5]],1)),"")</f>
        <v/>
      </c>
      <c r="L54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4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46" s="81" t="str">
        <f>IF(ISNUMBER(deployment_raw[[#This Row],[Column20]]), IF(O546&lt;&gt;0,deployment_raw[[#This Row],[Column20]]/IF(OR($E$2="Deployment",deployment_raw[[#This Row],[Column5]]=0),1,deployment_raw[[#This Row],[Column5]])/1048576/O546,0),"")</f>
        <v/>
      </c>
      <c r="O546" s="74" t="str">
        <f>IF(ISNUMBER(deployment_raw[[#This Row],[Column7]]), (deployment_raw[[#This Row],[Column7]] * IF($E$2="Deployment",deployment_raw[[#This Row],[Column5]],1))/1048576,"")</f>
        <v/>
      </c>
      <c r="P546" s="81" t="str">
        <f>IF(ISNUMBER(deployment_raw[[#This Row],[Column20]]), IF(Q546&lt;&gt;0,deployment_raw[[#This Row],[Column20]]/IF(OR($E$2="Deployment",deployment_raw[[#This Row],[Column5]]=0),1,deployment_raw[[#This Row],[Column5]])/1048576/Q546,0),"")</f>
        <v/>
      </c>
      <c r="Q546" s="76" t="str">
        <f>IF(ISNUMBER(deployment_raw[[#This Row],[Column9]]), (deployment_raw[[#This Row],[Column9]] * IF($E$2="Deployment",deployment_raw[[#This Row],[Column5]],1))/1048576,"")</f>
        <v/>
      </c>
      <c r="R546" s="57" t="str">
        <f>IF(ISNUMBER(deployment_raw[[#This Row],[Column10]]), (deployment_raw[[#This Row],[Column10]] * IF($E$2="Deployment",deployment_raw[[#This Row],[Column5]],1)),"")</f>
        <v/>
      </c>
      <c r="S546" s="48" t="str">
        <f>IF(ISNUMBER(deployment_raw[[#This Row],[Column11]]), (deployment_raw[[#This Row],[Column11]] * IF($E$2="Deployment",deployment_raw[[#This Row],[Column5]],1))/1048576,"")</f>
        <v/>
      </c>
      <c r="T546" s="59" t="str">
        <f>IF(ISNUMBER(deployment_raw[[#This Row],[Column8]]),IF(OR(deployment_raw[[#This Row],[Column5]] &lt;&gt; 0,$E$2 &lt;&gt; "Deployment"), MAX(V546, ($T$2 * IF($E$2="Deployment",deployment_raw[[#This Row],[Column5]],1))), 0),"")</f>
        <v/>
      </c>
      <c r="U546" s="50" t="str">
        <f>IF(ISNUMBER(deployment_raw[[#This Row],[Column9]]),IF(OR(deployment_raw[[#This Row],[Column5]] &lt;&gt; 0,$E$2&lt;&gt;"Deployment"), MAX(W546, ($U$2 * IF($E$2="Deployment",deployment_raw[[#This Row],[Column5]],1))), 0),"")</f>
        <v/>
      </c>
      <c r="V546" s="15" t="str">
        <f>IF(ISNUMBER(deployment_raw[[#This Row],[Column12]]), (deployment_raw[[#This Row],[Column12]] * IF($E$2="Deployment",deployment_raw[[#This Row],[Column5]],1)*(1+$V$2)),"")</f>
        <v/>
      </c>
      <c r="W546" s="14" t="str">
        <f>IF(ISNUMBER(deployment_raw[[#This Row],[Column13]]), (deployment_raw[[#This Row],[Column13]] * IF($E$2="Deployment",deployment_raw[[#This Row],[Column5]],1)*(1+$W$2))/1048576,"")</f>
        <v/>
      </c>
    </row>
    <row r="547" spans="1:23" ht="15.75" customHeight="1" x14ac:dyDescent="0.25">
      <c r="A547" s="5" t="str">
        <f>IF(ISNONTEXT(deployment_raw[[#This Row],[Column1]]), "", deployment_raw[[#This Row],[Column1]])</f>
        <v/>
      </c>
      <c r="B547" s="6" t="str">
        <f>IF(ISNONTEXT(deployment_raw[[#This Row],[Column2]]), "", deployment_raw[[#This Row],[Column2]])</f>
        <v/>
      </c>
      <c r="C547" s="6" t="str">
        <f>IF(ISNONTEXT(deployment_raw[[#This Row],[Column3]]), "", deployment_raw[[#This Row],[Column3]])</f>
        <v/>
      </c>
      <c r="D547" s="6" t="str">
        <f>IF(ISNONTEXT(deployment_raw[[#This Row],[Column4]]), "", deployment_raw[[#This Row],[Column4]])</f>
        <v/>
      </c>
      <c r="E547" s="7" t="str">
        <f>IF(ISNUMBER(deployment_raw[[#This Row],[Column5]]), deployment_raw[[#This Row],[Column5]],"")</f>
        <v/>
      </c>
      <c r="F547" s="32" t="str">
        <f>IF(ISNUMBER(deployment_raw[[#This Row],[Column17]]), deployment_raw[[#This Row],[Column17]]/IF(OR($E$2="Deployment",deployment_raw[[#This Row],[Column5]]=0),1,deployment_raw[[#This Row],[Column5]]),"")</f>
        <v/>
      </c>
      <c r="G547" s="42" t="str">
        <f>IF(ISNUMBER(deployment_raw[[#This Row],[Column14]]), deployment_raw[[#This Row],[Column14]]/IF(OR($E$2="Deployment",deployment_raw[[#This Row],[Column5]]=0),1,deployment_raw[[#This Row],[Column5]]),"")</f>
        <v/>
      </c>
      <c r="H547" s="79" t="str">
        <f>IF(ISNUMBER(deployment_raw[[#This Row],[Column19]]), IF(I547&lt;&gt;0,(deployment_raw[[#This Row],[Column19]]/IF(OR($E$2="Deployment",deployment_raw[[#This Row],[Column5]]=0),1,deployment_raw[[#This Row],[Column5]]))/I547,0),"")</f>
        <v/>
      </c>
      <c r="I547" s="69" t="str">
        <f>IF(ISNUMBER(deployment_raw[[#This Row],[Column6]]), (deployment_raw[[#This Row],[Column6]] * IF($E$2="Deployment",deployment_raw[[#This Row],[Column5]],1)),"")</f>
        <v/>
      </c>
      <c r="J547" s="79" t="str">
        <f>IF(ISNUMBER(deployment_raw[[#This Row],[Column19]]), IF(K547&lt;&gt;0,(deployment_raw[[#This Row],[Column19]]/IF(OR($E$2="Deployment",deployment_raw[[#This Row],[Column5]]=0),1,deployment_raw[[#This Row],[Column5]]))/K547,0),"")</f>
        <v/>
      </c>
      <c r="K547" s="72" t="str">
        <f>IF(ISNUMBER(deployment_raw[[#This Row],[Column8]]), (deployment_raw[[#This Row],[Column8]]  * IF($E$2="Deployment",deployment_raw[[#This Row],[Column5]],1)),"")</f>
        <v/>
      </c>
      <c r="L54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4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47" s="81" t="str">
        <f>IF(ISNUMBER(deployment_raw[[#This Row],[Column20]]), IF(O547&lt;&gt;0,deployment_raw[[#This Row],[Column20]]/IF(OR($E$2="Deployment",deployment_raw[[#This Row],[Column5]]=0),1,deployment_raw[[#This Row],[Column5]])/1048576/O547,0),"")</f>
        <v/>
      </c>
      <c r="O547" s="74" t="str">
        <f>IF(ISNUMBER(deployment_raw[[#This Row],[Column7]]), (deployment_raw[[#This Row],[Column7]] * IF($E$2="Deployment",deployment_raw[[#This Row],[Column5]],1))/1048576,"")</f>
        <v/>
      </c>
      <c r="P547" s="81" t="str">
        <f>IF(ISNUMBER(deployment_raw[[#This Row],[Column20]]), IF(Q547&lt;&gt;0,deployment_raw[[#This Row],[Column20]]/IF(OR($E$2="Deployment",deployment_raw[[#This Row],[Column5]]=0),1,deployment_raw[[#This Row],[Column5]])/1048576/Q547,0),"")</f>
        <v/>
      </c>
      <c r="Q547" s="76" t="str">
        <f>IF(ISNUMBER(deployment_raw[[#This Row],[Column9]]), (deployment_raw[[#This Row],[Column9]] * IF($E$2="Deployment",deployment_raw[[#This Row],[Column5]],1))/1048576,"")</f>
        <v/>
      </c>
      <c r="R547" s="57" t="str">
        <f>IF(ISNUMBER(deployment_raw[[#This Row],[Column10]]), (deployment_raw[[#This Row],[Column10]] * IF($E$2="Deployment",deployment_raw[[#This Row],[Column5]],1)),"")</f>
        <v/>
      </c>
      <c r="S547" s="48" t="str">
        <f>IF(ISNUMBER(deployment_raw[[#This Row],[Column11]]), (deployment_raw[[#This Row],[Column11]] * IF($E$2="Deployment",deployment_raw[[#This Row],[Column5]],1))/1048576,"")</f>
        <v/>
      </c>
      <c r="T547" s="59" t="str">
        <f>IF(ISNUMBER(deployment_raw[[#This Row],[Column8]]),IF(OR(deployment_raw[[#This Row],[Column5]] &lt;&gt; 0,$E$2 &lt;&gt; "Deployment"), MAX(V547, ($T$2 * IF($E$2="Deployment",deployment_raw[[#This Row],[Column5]],1))), 0),"")</f>
        <v/>
      </c>
      <c r="U547" s="50" t="str">
        <f>IF(ISNUMBER(deployment_raw[[#This Row],[Column9]]),IF(OR(deployment_raw[[#This Row],[Column5]] &lt;&gt; 0,$E$2&lt;&gt;"Deployment"), MAX(W547, ($U$2 * IF($E$2="Deployment",deployment_raw[[#This Row],[Column5]],1))), 0),"")</f>
        <v/>
      </c>
      <c r="V547" s="15" t="str">
        <f>IF(ISNUMBER(deployment_raw[[#This Row],[Column12]]), (deployment_raw[[#This Row],[Column12]] * IF($E$2="Deployment",deployment_raw[[#This Row],[Column5]],1)*(1+$V$2)),"")</f>
        <v/>
      </c>
      <c r="W547" s="14" t="str">
        <f>IF(ISNUMBER(deployment_raw[[#This Row],[Column13]]), (deployment_raw[[#This Row],[Column13]] * IF($E$2="Deployment",deployment_raw[[#This Row],[Column5]],1)*(1+$W$2))/1048576,"")</f>
        <v/>
      </c>
    </row>
    <row r="548" spans="1:23" ht="15.75" customHeight="1" x14ac:dyDescent="0.25">
      <c r="A548" s="5" t="str">
        <f>IF(ISNONTEXT(deployment_raw[[#This Row],[Column1]]), "", deployment_raw[[#This Row],[Column1]])</f>
        <v/>
      </c>
      <c r="B548" s="6" t="str">
        <f>IF(ISNONTEXT(deployment_raw[[#This Row],[Column2]]), "", deployment_raw[[#This Row],[Column2]])</f>
        <v/>
      </c>
      <c r="C548" s="6" t="str">
        <f>IF(ISNONTEXT(deployment_raw[[#This Row],[Column3]]), "", deployment_raw[[#This Row],[Column3]])</f>
        <v/>
      </c>
      <c r="D548" s="6" t="str">
        <f>IF(ISNONTEXT(deployment_raw[[#This Row],[Column4]]), "", deployment_raw[[#This Row],[Column4]])</f>
        <v/>
      </c>
      <c r="E548" s="7" t="str">
        <f>IF(ISNUMBER(deployment_raw[[#This Row],[Column5]]), deployment_raw[[#This Row],[Column5]],"")</f>
        <v/>
      </c>
      <c r="F548" s="32" t="str">
        <f>IF(ISNUMBER(deployment_raw[[#This Row],[Column17]]), deployment_raw[[#This Row],[Column17]]/IF(OR($E$2="Deployment",deployment_raw[[#This Row],[Column5]]=0),1,deployment_raw[[#This Row],[Column5]]),"")</f>
        <v/>
      </c>
      <c r="G548" s="42" t="str">
        <f>IF(ISNUMBER(deployment_raw[[#This Row],[Column14]]), deployment_raw[[#This Row],[Column14]]/IF(OR($E$2="Deployment",deployment_raw[[#This Row],[Column5]]=0),1,deployment_raw[[#This Row],[Column5]]),"")</f>
        <v/>
      </c>
      <c r="H548" s="79" t="str">
        <f>IF(ISNUMBER(deployment_raw[[#This Row],[Column19]]), IF(I548&lt;&gt;0,(deployment_raw[[#This Row],[Column19]]/IF(OR($E$2="Deployment",deployment_raw[[#This Row],[Column5]]=0),1,deployment_raw[[#This Row],[Column5]]))/I548,0),"")</f>
        <v/>
      </c>
      <c r="I548" s="69" t="str">
        <f>IF(ISNUMBER(deployment_raw[[#This Row],[Column6]]), (deployment_raw[[#This Row],[Column6]] * IF($E$2="Deployment",deployment_raw[[#This Row],[Column5]],1)),"")</f>
        <v/>
      </c>
      <c r="J548" s="79" t="str">
        <f>IF(ISNUMBER(deployment_raw[[#This Row],[Column19]]), IF(K548&lt;&gt;0,(deployment_raw[[#This Row],[Column19]]/IF(OR($E$2="Deployment",deployment_raw[[#This Row],[Column5]]=0),1,deployment_raw[[#This Row],[Column5]]))/K548,0),"")</f>
        <v/>
      </c>
      <c r="K548" s="72" t="str">
        <f>IF(ISNUMBER(deployment_raw[[#This Row],[Column8]]), (deployment_raw[[#This Row],[Column8]]  * IF($E$2="Deployment",deployment_raw[[#This Row],[Column5]],1)),"")</f>
        <v/>
      </c>
      <c r="L54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4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48" s="81" t="str">
        <f>IF(ISNUMBER(deployment_raw[[#This Row],[Column20]]), IF(O548&lt;&gt;0,deployment_raw[[#This Row],[Column20]]/IF(OR($E$2="Deployment",deployment_raw[[#This Row],[Column5]]=0),1,deployment_raw[[#This Row],[Column5]])/1048576/O548,0),"")</f>
        <v/>
      </c>
      <c r="O548" s="74" t="str">
        <f>IF(ISNUMBER(deployment_raw[[#This Row],[Column7]]), (deployment_raw[[#This Row],[Column7]] * IF($E$2="Deployment",deployment_raw[[#This Row],[Column5]],1))/1048576,"")</f>
        <v/>
      </c>
      <c r="P548" s="81" t="str">
        <f>IF(ISNUMBER(deployment_raw[[#This Row],[Column20]]), IF(Q548&lt;&gt;0,deployment_raw[[#This Row],[Column20]]/IF(OR($E$2="Deployment",deployment_raw[[#This Row],[Column5]]=0),1,deployment_raw[[#This Row],[Column5]])/1048576/Q548,0),"")</f>
        <v/>
      </c>
      <c r="Q548" s="76" t="str">
        <f>IF(ISNUMBER(deployment_raw[[#This Row],[Column9]]), (deployment_raw[[#This Row],[Column9]] * IF($E$2="Deployment",deployment_raw[[#This Row],[Column5]],1))/1048576,"")</f>
        <v/>
      </c>
      <c r="R548" s="57" t="str">
        <f>IF(ISNUMBER(deployment_raw[[#This Row],[Column10]]), (deployment_raw[[#This Row],[Column10]] * IF($E$2="Deployment",deployment_raw[[#This Row],[Column5]],1)),"")</f>
        <v/>
      </c>
      <c r="S548" s="48" t="str">
        <f>IF(ISNUMBER(deployment_raw[[#This Row],[Column11]]), (deployment_raw[[#This Row],[Column11]] * IF($E$2="Deployment",deployment_raw[[#This Row],[Column5]],1))/1048576,"")</f>
        <v/>
      </c>
      <c r="T548" s="59" t="str">
        <f>IF(ISNUMBER(deployment_raw[[#This Row],[Column8]]),IF(OR(deployment_raw[[#This Row],[Column5]] &lt;&gt; 0,$E$2 &lt;&gt; "Deployment"), MAX(V548, ($T$2 * IF($E$2="Deployment",deployment_raw[[#This Row],[Column5]],1))), 0),"")</f>
        <v/>
      </c>
      <c r="U548" s="50" t="str">
        <f>IF(ISNUMBER(deployment_raw[[#This Row],[Column9]]),IF(OR(deployment_raw[[#This Row],[Column5]] &lt;&gt; 0,$E$2&lt;&gt;"Deployment"), MAX(W548, ($U$2 * IF($E$2="Deployment",deployment_raw[[#This Row],[Column5]],1))), 0),"")</f>
        <v/>
      </c>
      <c r="V548" s="15" t="str">
        <f>IF(ISNUMBER(deployment_raw[[#This Row],[Column12]]), (deployment_raw[[#This Row],[Column12]] * IF($E$2="Deployment",deployment_raw[[#This Row],[Column5]],1)*(1+$V$2)),"")</f>
        <v/>
      </c>
      <c r="W548" s="14" t="str">
        <f>IF(ISNUMBER(deployment_raw[[#This Row],[Column13]]), (deployment_raw[[#This Row],[Column13]] * IF($E$2="Deployment",deployment_raw[[#This Row],[Column5]],1)*(1+$W$2))/1048576,"")</f>
        <v/>
      </c>
    </row>
    <row r="549" spans="1:23" ht="15.75" customHeight="1" x14ac:dyDescent="0.25">
      <c r="A549" s="5" t="str">
        <f>IF(ISNONTEXT(deployment_raw[[#This Row],[Column1]]), "", deployment_raw[[#This Row],[Column1]])</f>
        <v/>
      </c>
      <c r="B549" s="6" t="str">
        <f>IF(ISNONTEXT(deployment_raw[[#This Row],[Column2]]), "", deployment_raw[[#This Row],[Column2]])</f>
        <v/>
      </c>
      <c r="C549" s="6" t="str">
        <f>IF(ISNONTEXT(deployment_raw[[#This Row],[Column3]]), "", deployment_raw[[#This Row],[Column3]])</f>
        <v/>
      </c>
      <c r="D549" s="6" t="str">
        <f>IF(ISNONTEXT(deployment_raw[[#This Row],[Column4]]), "", deployment_raw[[#This Row],[Column4]])</f>
        <v/>
      </c>
      <c r="E549" s="7" t="str">
        <f>IF(ISNUMBER(deployment_raw[[#This Row],[Column5]]), deployment_raw[[#This Row],[Column5]],"")</f>
        <v/>
      </c>
      <c r="F549" s="32" t="str">
        <f>IF(ISNUMBER(deployment_raw[[#This Row],[Column17]]), deployment_raw[[#This Row],[Column17]]/IF(OR($E$2="Deployment",deployment_raw[[#This Row],[Column5]]=0),1,deployment_raw[[#This Row],[Column5]]),"")</f>
        <v/>
      </c>
      <c r="G549" s="42" t="str">
        <f>IF(ISNUMBER(deployment_raw[[#This Row],[Column14]]), deployment_raw[[#This Row],[Column14]]/IF(OR($E$2="Deployment",deployment_raw[[#This Row],[Column5]]=0),1,deployment_raw[[#This Row],[Column5]]),"")</f>
        <v/>
      </c>
      <c r="H549" s="79" t="str">
        <f>IF(ISNUMBER(deployment_raw[[#This Row],[Column19]]), IF(I549&lt;&gt;0,(deployment_raw[[#This Row],[Column19]]/IF(OR($E$2="Deployment",deployment_raw[[#This Row],[Column5]]=0),1,deployment_raw[[#This Row],[Column5]]))/I549,0),"")</f>
        <v/>
      </c>
      <c r="I549" s="69" t="str">
        <f>IF(ISNUMBER(deployment_raw[[#This Row],[Column6]]), (deployment_raw[[#This Row],[Column6]] * IF($E$2="Deployment",deployment_raw[[#This Row],[Column5]],1)),"")</f>
        <v/>
      </c>
      <c r="J549" s="79" t="str">
        <f>IF(ISNUMBER(deployment_raw[[#This Row],[Column19]]), IF(K549&lt;&gt;0,(deployment_raw[[#This Row],[Column19]]/IF(OR($E$2="Deployment",deployment_raw[[#This Row],[Column5]]=0),1,deployment_raw[[#This Row],[Column5]]))/K549,0),"")</f>
        <v/>
      </c>
      <c r="K549" s="72" t="str">
        <f>IF(ISNUMBER(deployment_raw[[#This Row],[Column8]]), (deployment_raw[[#This Row],[Column8]]  * IF($E$2="Deployment",deployment_raw[[#This Row],[Column5]],1)),"")</f>
        <v/>
      </c>
      <c r="L54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4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49" s="81" t="str">
        <f>IF(ISNUMBER(deployment_raw[[#This Row],[Column20]]), IF(O549&lt;&gt;0,deployment_raw[[#This Row],[Column20]]/IF(OR($E$2="Deployment",deployment_raw[[#This Row],[Column5]]=0),1,deployment_raw[[#This Row],[Column5]])/1048576/O549,0),"")</f>
        <v/>
      </c>
      <c r="O549" s="74" t="str">
        <f>IF(ISNUMBER(deployment_raw[[#This Row],[Column7]]), (deployment_raw[[#This Row],[Column7]] * IF($E$2="Deployment",deployment_raw[[#This Row],[Column5]],1))/1048576,"")</f>
        <v/>
      </c>
      <c r="P549" s="81" t="str">
        <f>IF(ISNUMBER(deployment_raw[[#This Row],[Column20]]), IF(Q549&lt;&gt;0,deployment_raw[[#This Row],[Column20]]/IF(OR($E$2="Deployment",deployment_raw[[#This Row],[Column5]]=0),1,deployment_raw[[#This Row],[Column5]])/1048576/Q549,0),"")</f>
        <v/>
      </c>
      <c r="Q549" s="76" t="str">
        <f>IF(ISNUMBER(deployment_raw[[#This Row],[Column9]]), (deployment_raw[[#This Row],[Column9]] * IF($E$2="Deployment",deployment_raw[[#This Row],[Column5]],1))/1048576,"")</f>
        <v/>
      </c>
      <c r="R549" s="57" t="str">
        <f>IF(ISNUMBER(deployment_raw[[#This Row],[Column10]]), (deployment_raw[[#This Row],[Column10]] * IF($E$2="Deployment",deployment_raw[[#This Row],[Column5]],1)),"")</f>
        <v/>
      </c>
      <c r="S549" s="48" t="str">
        <f>IF(ISNUMBER(deployment_raw[[#This Row],[Column11]]), (deployment_raw[[#This Row],[Column11]] * IF($E$2="Deployment",deployment_raw[[#This Row],[Column5]],1))/1048576,"")</f>
        <v/>
      </c>
      <c r="T549" s="59" t="str">
        <f>IF(ISNUMBER(deployment_raw[[#This Row],[Column8]]),IF(OR(deployment_raw[[#This Row],[Column5]] &lt;&gt; 0,$E$2 &lt;&gt; "Deployment"), MAX(V549, ($T$2 * IF($E$2="Deployment",deployment_raw[[#This Row],[Column5]],1))), 0),"")</f>
        <v/>
      </c>
      <c r="U549" s="50" t="str">
        <f>IF(ISNUMBER(deployment_raw[[#This Row],[Column9]]),IF(OR(deployment_raw[[#This Row],[Column5]] &lt;&gt; 0,$E$2&lt;&gt;"Deployment"), MAX(W549, ($U$2 * IF($E$2="Deployment",deployment_raw[[#This Row],[Column5]],1))), 0),"")</f>
        <v/>
      </c>
      <c r="V549" s="15" t="str">
        <f>IF(ISNUMBER(deployment_raw[[#This Row],[Column12]]), (deployment_raw[[#This Row],[Column12]] * IF($E$2="Deployment",deployment_raw[[#This Row],[Column5]],1)*(1+$V$2)),"")</f>
        <v/>
      </c>
      <c r="W549" s="14" t="str">
        <f>IF(ISNUMBER(deployment_raw[[#This Row],[Column13]]), (deployment_raw[[#This Row],[Column13]] * IF($E$2="Deployment",deployment_raw[[#This Row],[Column5]],1)*(1+$W$2))/1048576,"")</f>
        <v/>
      </c>
    </row>
    <row r="550" spans="1:23" ht="15.75" customHeight="1" x14ac:dyDescent="0.25">
      <c r="A550" s="5" t="str">
        <f>IF(ISNONTEXT(deployment_raw[[#This Row],[Column1]]), "", deployment_raw[[#This Row],[Column1]])</f>
        <v/>
      </c>
      <c r="B550" s="6" t="str">
        <f>IF(ISNONTEXT(deployment_raw[[#This Row],[Column2]]), "", deployment_raw[[#This Row],[Column2]])</f>
        <v/>
      </c>
      <c r="C550" s="6" t="str">
        <f>IF(ISNONTEXT(deployment_raw[[#This Row],[Column3]]), "", deployment_raw[[#This Row],[Column3]])</f>
        <v/>
      </c>
      <c r="D550" s="6" t="str">
        <f>IF(ISNONTEXT(deployment_raw[[#This Row],[Column4]]), "", deployment_raw[[#This Row],[Column4]])</f>
        <v/>
      </c>
      <c r="E550" s="7" t="str">
        <f>IF(ISNUMBER(deployment_raw[[#This Row],[Column5]]), deployment_raw[[#This Row],[Column5]],"")</f>
        <v/>
      </c>
      <c r="F550" s="32" t="str">
        <f>IF(ISNUMBER(deployment_raw[[#This Row],[Column17]]), deployment_raw[[#This Row],[Column17]]/IF(OR($E$2="Deployment",deployment_raw[[#This Row],[Column5]]=0),1,deployment_raw[[#This Row],[Column5]]),"")</f>
        <v/>
      </c>
      <c r="G550" s="42" t="str">
        <f>IF(ISNUMBER(deployment_raw[[#This Row],[Column14]]), deployment_raw[[#This Row],[Column14]]/IF(OR($E$2="Deployment",deployment_raw[[#This Row],[Column5]]=0),1,deployment_raw[[#This Row],[Column5]]),"")</f>
        <v/>
      </c>
      <c r="H550" s="79" t="str">
        <f>IF(ISNUMBER(deployment_raw[[#This Row],[Column19]]), IF(I550&lt;&gt;0,(deployment_raw[[#This Row],[Column19]]/IF(OR($E$2="Deployment",deployment_raw[[#This Row],[Column5]]=0),1,deployment_raw[[#This Row],[Column5]]))/I550,0),"")</f>
        <v/>
      </c>
      <c r="I550" s="69" t="str">
        <f>IF(ISNUMBER(deployment_raw[[#This Row],[Column6]]), (deployment_raw[[#This Row],[Column6]] * IF($E$2="Deployment",deployment_raw[[#This Row],[Column5]],1)),"")</f>
        <v/>
      </c>
      <c r="J550" s="79" t="str">
        <f>IF(ISNUMBER(deployment_raw[[#This Row],[Column19]]), IF(K550&lt;&gt;0,(deployment_raw[[#This Row],[Column19]]/IF(OR($E$2="Deployment",deployment_raw[[#This Row],[Column5]]=0),1,deployment_raw[[#This Row],[Column5]]))/K550,0),"")</f>
        <v/>
      </c>
      <c r="K550" s="72" t="str">
        <f>IF(ISNUMBER(deployment_raw[[#This Row],[Column8]]), (deployment_raw[[#This Row],[Column8]]  * IF($E$2="Deployment",deployment_raw[[#This Row],[Column5]],1)),"")</f>
        <v/>
      </c>
      <c r="L55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5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50" s="81" t="str">
        <f>IF(ISNUMBER(deployment_raw[[#This Row],[Column20]]), IF(O550&lt;&gt;0,deployment_raw[[#This Row],[Column20]]/IF(OR($E$2="Deployment",deployment_raw[[#This Row],[Column5]]=0),1,deployment_raw[[#This Row],[Column5]])/1048576/O550,0),"")</f>
        <v/>
      </c>
      <c r="O550" s="74" t="str">
        <f>IF(ISNUMBER(deployment_raw[[#This Row],[Column7]]), (deployment_raw[[#This Row],[Column7]] * IF($E$2="Deployment",deployment_raw[[#This Row],[Column5]],1))/1048576,"")</f>
        <v/>
      </c>
      <c r="P550" s="81" t="str">
        <f>IF(ISNUMBER(deployment_raw[[#This Row],[Column20]]), IF(Q550&lt;&gt;0,deployment_raw[[#This Row],[Column20]]/IF(OR($E$2="Deployment",deployment_raw[[#This Row],[Column5]]=0),1,deployment_raw[[#This Row],[Column5]])/1048576/Q550,0),"")</f>
        <v/>
      </c>
      <c r="Q550" s="76" t="str">
        <f>IF(ISNUMBER(deployment_raw[[#This Row],[Column9]]), (deployment_raw[[#This Row],[Column9]] * IF($E$2="Deployment",deployment_raw[[#This Row],[Column5]],1))/1048576,"")</f>
        <v/>
      </c>
      <c r="R550" s="57" t="str">
        <f>IF(ISNUMBER(deployment_raw[[#This Row],[Column10]]), (deployment_raw[[#This Row],[Column10]] * IF($E$2="Deployment",deployment_raw[[#This Row],[Column5]],1)),"")</f>
        <v/>
      </c>
      <c r="S550" s="48" t="str">
        <f>IF(ISNUMBER(deployment_raw[[#This Row],[Column11]]), (deployment_raw[[#This Row],[Column11]] * IF($E$2="Deployment",deployment_raw[[#This Row],[Column5]],1))/1048576,"")</f>
        <v/>
      </c>
      <c r="T550" s="59" t="str">
        <f>IF(ISNUMBER(deployment_raw[[#This Row],[Column8]]),IF(OR(deployment_raw[[#This Row],[Column5]] &lt;&gt; 0,$E$2 &lt;&gt; "Deployment"), MAX(V550, ($T$2 * IF($E$2="Deployment",deployment_raw[[#This Row],[Column5]],1))), 0),"")</f>
        <v/>
      </c>
      <c r="U550" s="50" t="str">
        <f>IF(ISNUMBER(deployment_raw[[#This Row],[Column9]]),IF(OR(deployment_raw[[#This Row],[Column5]] &lt;&gt; 0,$E$2&lt;&gt;"Deployment"), MAX(W550, ($U$2 * IF($E$2="Deployment",deployment_raw[[#This Row],[Column5]],1))), 0),"")</f>
        <v/>
      </c>
      <c r="V550" s="15" t="str">
        <f>IF(ISNUMBER(deployment_raw[[#This Row],[Column12]]), (deployment_raw[[#This Row],[Column12]] * IF($E$2="Deployment",deployment_raw[[#This Row],[Column5]],1)*(1+$V$2)),"")</f>
        <v/>
      </c>
      <c r="W550" s="14" t="str">
        <f>IF(ISNUMBER(deployment_raw[[#This Row],[Column13]]), (deployment_raw[[#This Row],[Column13]] * IF($E$2="Deployment",deployment_raw[[#This Row],[Column5]],1)*(1+$W$2))/1048576,"")</f>
        <v/>
      </c>
    </row>
    <row r="551" spans="1:23" ht="15.75" customHeight="1" x14ac:dyDescent="0.25">
      <c r="A551" s="5" t="str">
        <f>IF(ISNONTEXT(deployment_raw[[#This Row],[Column1]]), "", deployment_raw[[#This Row],[Column1]])</f>
        <v/>
      </c>
      <c r="B551" s="6" t="str">
        <f>IF(ISNONTEXT(deployment_raw[[#This Row],[Column2]]), "", deployment_raw[[#This Row],[Column2]])</f>
        <v/>
      </c>
      <c r="C551" s="6" t="str">
        <f>IF(ISNONTEXT(deployment_raw[[#This Row],[Column3]]), "", deployment_raw[[#This Row],[Column3]])</f>
        <v/>
      </c>
      <c r="D551" s="6" t="str">
        <f>IF(ISNONTEXT(deployment_raw[[#This Row],[Column4]]), "", deployment_raw[[#This Row],[Column4]])</f>
        <v/>
      </c>
      <c r="E551" s="7" t="str">
        <f>IF(ISNUMBER(deployment_raw[[#This Row],[Column5]]), deployment_raw[[#This Row],[Column5]],"")</f>
        <v/>
      </c>
      <c r="F551" s="32" t="str">
        <f>IF(ISNUMBER(deployment_raw[[#This Row],[Column17]]), deployment_raw[[#This Row],[Column17]]/IF(OR($E$2="Deployment",deployment_raw[[#This Row],[Column5]]=0),1,deployment_raw[[#This Row],[Column5]]),"")</f>
        <v/>
      </c>
      <c r="G551" s="42" t="str">
        <f>IF(ISNUMBER(deployment_raw[[#This Row],[Column14]]), deployment_raw[[#This Row],[Column14]]/IF(OR($E$2="Deployment",deployment_raw[[#This Row],[Column5]]=0),1,deployment_raw[[#This Row],[Column5]]),"")</f>
        <v/>
      </c>
      <c r="H551" s="79" t="str">
        <f>IF(ISNUMBER(deployment_raw[[#This Row],[Column19]]), IF(I551&lt;&gt;0,(deployment_raw[[#This Row],[Column19]]/IF(OR($E$2="Deployment",deployment_raw[[#This Row],[Column5]]=0),1,deployment_raw[[#This Row],[Column5]]))/I551,0),"")</f>
        <v/>
      </c>
      <c r="I551" s="69" t="str">
        <f>IF(ISNUMBER(deployment_raw[[#This Row],[Column6]]), (deployment_raw[[#This Row],[Column6]] * IF($E$2="Deployment",deployment_raw[[#This Row],[Column5]],1)),"")</f>
        <v/>
      </c>
      <c r="J551" s="79" t="str">
        <f>IF(ISNUMBER(deployment_raw[[#This Row],[Column19]]), IF(K551&lt;&gt;0,(deployment_raw[[#This Row],[Column19]]/IF(OR($E$2="Deployment",deployment_raw[[#This Row],[Column5]]=0),1,deployment_raw[[#This Row],[Column5]]))/K551,0),"")</f>
        <v/>
      </c>
      <c r="K551" s="72" t="str">
        <f>IF(ISNUMBER(deployment_raw[[#This Row],[Column8]]), (deployment_raw[[#This Row],[Column8]]  * IF($E$2="Deployment",deployment_raw[[#This Row],[Column5]],1)),"")</f>
        <v/>
      </c>
      <c r="L55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5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51" s="81" t="str">
        <f>IF(ISNUMBER(deployment_raw[[#This Row],[Column20]]), IF(O551&lt;&gt;0,deployment_raw[[#This Row],[Column20]]/IF(OR($E$2="Deployment",deployment_raw[[#This Row],[Column5]]=0),1,deployment_raw[[#This Row],[Column5]])/1048576/O551,0),"")</f>
        <v/>
      </c>
      <c r="O551" s="74" t="str">
        <f>IF(ISNUMBER(deployment_raw[[#This Row],[Column7]]), (deployment_raw[[#This Row],[Column7]] * IF($E$2="Deployment",deployment_raw[[#This Row],[Column5]],1))/1048576,"")</f>
        <v/>
      </c>
      <c r="P551" s="81" t="str">
        <f>IF(ISNUMBER(deployment_raw[[#This Row],[Column20]]), IF(Q551&lt;&gt;0,deployment_raw[[#This Row],[Column20]]/IF(OR($E$2="Deployment",deployment_raw[[#This Row],[Column5]]=0),1,deployment_raw[[#This Row],[Column5]])/1048576/Q551,0),"")</f>
        <v/>
      </c>
      <c r="Q551" s="76" t="str">
        <f>IF(ISNUMBER(deployment_raw[[#This Row],[Column9]]), (deployment_raw[[#This Row],[Column9]] * IF($E$2="Deployment",deployment_raw[[#This Row],[Column5]],1))/1048576,"")</f>
        <v/>
      </c>
      <c r="R551" s="57" t="str">
        <f>IF(ISNUMBER(deployment_raw[[#This Row],[Column10]]), (deployment_raw[[#This Row],[Column10]] * IF($E$2="Deployment",deployment_raw[[#This Row],[Column5]],1)),"")</f>
        <v/>
      </c>
      <c r="S551" s="48" t="str">
        <f>IF(ISNUMBER(deployment_raw[[#This Row],[Column11]]), (deployment_raw[[#This Row],[Column11]] * IF($E$2="Deployment",deployment_raw[[#This Row],[Column5]],1))/1048576,"")</f>
        <v/>
      </c>
      <c r="T551" s="59" t="str">
        <f>IF(ISNUMBER(deployment_raw[[#This Row],[Column8]]),IF(OR(deployment_raw[[#This Row],[Column5]] &lt;&gt; 0,$E$2 &lt;&gt; "Deployment"), MAX(V551, ($T$2 * IF($E$2="Deployment",deployment_raw[[#This Row],[Column5]],1))), 0),"")</f>
        <v/>
      </c>
      <c r="U551" s="50" t="str">
        <f>IF(ISNUMBER(deployment_raw[[#This Row],[Column9]]),IF(OR(deployment_raw[[#This Row],[Column5]] &lt;&gt; 0,$E$2&lt;&gt;"Deployment"), MAX(W551, ($U$2 * IF($E$2="Deployment",deployment_raw[[#This Row],[Column5]],1))), 0),"")</f>
        <v/>
      </c>
      <c r="V551" s="15" t="str">
        <f>IF(ISNUMBER(deployment_raw[[#This Row],[Column12]]), (deployment_raw[[#This Row],[Column12]] * IF($E$2="Deployment",deployment_raw[[#This Row],[Column5]],1)*(1+$V$2)),"")</f>
        <v/>
      </c>
      <c r="W551" s="14" t="str">
        <f>IF(ISNUMBER(deployment_raw[[#This Row],[Column13]]), (deployment_raw[[#This Row],[Column13]] * IF($E$2="Deployment",deployment_raw[[#This Row],[Column5]],1)*(1+$W$2))/1048576,"")</f>
        <v/>
      </c>
    </row>
    <row r="552" spans="1:23" ht="15.75" customHeight="1" x14ac:dyDescent="0.25">
      <c r="A552" s="5" t="str">
        <f>IF(ISNONTEXT(deployment_raw[[#This Row],[Column1]]), "", deployment_raw[[#This Row],[Column1]])</f>
        <v/>
      </c>
      <c r="B552" s="6" t="str">
        <f>IF(ISNONTEXT(deployment_raw[[#This Row],[Column2]]), "", deployment_raw[[#This Row],[Column2]])</f>
        <v/>
      </c>
      <c r="C552" s="6" t="str">
        <f>IF(ISNONTEXT(deployment_raw[[#This Row],[Column3]]), "", deployment_raw[[#This Row],[Column3]])</f>
        <v/>
      </c>
      <c r="D552" s="6" t="str">
        <f>IF(ISNONTEXT(deployment_raw[[#This Row],[Column4]]), "", deployment_raw[[#This Row],[Column4]])</f>
        <v/>
      </c>
      <c r="E552" s="7" t="str">
        <f>IF(ISNUMBER(deployment_raw[[#This Row],[Column5]]), deployment_raw[[#This Row],[Column5]],"")</f>
        <v/>
      </c>
      <c r="F552" s="32" t="str">
        <f>IF(ISNUMBER(deployment_raw[[#This Row],[Column17]]), deployment_raw[[#This Row],[Column17]]/IF(OR($E$2="Deployment",deployment_raw[[#This Row],[Column5]]=0),1,deployment_raw[[#This Row],[Column5]]),"")</f>
        <v/>
      </c>
      <c r="G552" s="42" t="str">
        <f>IF(ISNUMBER(deployment_raw[[#This Row],[Column14]]), deployment_raw[[#This Row],[Column14]]/IF(OR($E$2="Deployment",deployment_raw[[#This Row],[Column5]]=0),1,deployment_raw[[#This Row],[Column5]]),"")</f>
        <v/>
      </c>
      <c r="H552" s="79" t="str">
        <f>IF(ISNUMBER(deployment_raw[[#This Row],[Column19]]), IF(I552&lt;&gt;0,(deployment_raw[[#This Row],[Column19]]/IF(OR($E$2="Deployment",deployment_raw[[#This Row],[Column5]]=0),1,deployment_raw[[#This Row],[Column5]]))/I552,0),"")</f>
        <v/>
      </c>
      <c r="I552" s="69" t="str">
        <f>IF(ISNUMBER(deployment_raw[[#This Row],[Column6]]), (deployment_raw[[#This Row],[Column6]] * IF($E$2="Deployment",deployment_raw[[#This Row],[Column5]],1)),"")</f>
        <v/>
      </c>
      <c r="J552" s="79" t="str">
        <f>IF(ISNUMBER(deployment_raw[[#This Row],[Column19]]), IF(K552&lt;&gt;0,(deployment_raw[[#This Row],[Column19]]/IF(OR($E$2="Deployment",deployment_raw[[#This Row],[Column5]]=0),1,deployment_raw[[#This Row],[Column5]]))/K552,0),"")</f>
        <v/>
      </c>
      <c r="K552" s="72" t="str">
        <f>IF(ISNUMBER(deployment_raw[[#This Row],[Column8]]), (deployment_raw[[#This Row],[Column8]]  * IF($E$2="Deployment",deployment_raw[[#This Row],[Column5]],1)),"")</f>
        <v/>
      </c>
      <c r="L55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5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52" s="81" t="str">
        <f>IF(ISNUMBER(deployment_raw[[#This Row],[Column20]]), IF(O552&lt;&gt;0,deployment_raw[[#This Row],[Column20]]/IF(OR($E$2="Deployment",deployment_raw[[#This Row],[Column5]]=0),1,deployment_raw[[#This Row],[Column5]])/1048576/O552,0),"")</f>
        <v/>
      </c>
      <c r="O552" s="74" t="str">
        <f>IF(ISNUMBER(deployment_raw[[#This Row],[Column7]]), (deployment_raw[[#This Row],[Column7]] * IF($E$2="Deployment",deployment_raw[[#This Row],[Column5]],1))/1048576,"")</f>
        <v/>
      </c>
      <c r="P552" s="81" t="str">
        <f>IF(ISNUMBER(deployment_raw[[#This Row],[Column20]]), IF(Q552&lt;&gt;0,deployment_raw[[#This Row],[Column20]]/IF(OR($E$2="Deployment",deployment_raw[[#This Row],[Column5]]=0),1,deployment_raw[[#This Row],[Column5]])/1048576/Q552,0),"")</f>
        <v/>
      </c>
      <c r="Q552" s="76" t="str">
        <f>IF(ISNUMBER(deployment_raw[[#This Row],[Column9]]), (deployment_raw[[#This Row],[Column9]] * IF($E$2="Deployment",deployment_raw[[#This Row],[Column5]],1))/1048576,"")</f>
        <v/>
      </c>
      <c r="R552" s="57" t="str">
        <f>IF(ISNUMBER(deployment_raw[[#This Row],[Column10]]), (deployment_raw[[#This Row],[Column10]] * IF($E$2="Deployment",deployment_raw[[#This Row],[Column5]],1)),"")</f>
        <v/>
      </c>
      <c r="S552" s="48" t="str">
        <f>IF(ISNUMBER(deployment_raw[[#This Row],[Column11]]), (deployment_raw[[#This Row],[Column11]] * IF($E$2="Deployment",deployment_raw[[#This Row],[Column5]],1))/1048576,"")</f>
        <v/>
      </c>
      <c r="T552" s="59" t="str">
        <f>IF(ISNUMBER(deployment_raw[[#This Row],[Column8]]),IF(OR(deployment_raw[[#This Row],[Column5]] &lt;&gt; 0,$E$2 &lt;&gt; "Deployment"), MAX(V552, ($T$2 * IF($E$2="Deployment",deployment_raw[[#This Row],[Column5]],1))), 0),"")</f>
        <v/>
      </c>
      <c r="U552" s="50" t="str">
        <f>IF(ISNUMBER(deployment_raw[[#This Row],[Column9]]),IF(OR(deployment_raw[[#This Row],[Column5]] &lt;&gt; 0,$E$2&lt;&gt;"Deployment"), MAX(W552, ($U$2 * IF($E$2="Deployment",deployment_raw[[#This Row],[Column5]],1))), 0),"")</f>
        <v/>
      </c>
      <c r="V552" s="15" t="str">
        <f>IF(ISNUMBER(deployment_raw[[#This Row],[Column12]]), (deployment_raw[[#This Row],[Column12]] * IF($E$2="Deployment",deployment_raw[[#This Row],[Column5]],1)*(1+$V$2)),"")</f>
        <v/>
      </c>
      <c r="W552" s="14" t="str">
        <f>IF(ISNUMBER(deployment_raw[[#This Row],[Column13]]), (deployment_raw[[#This Row],[Column13]] * IF($E$2="Deployment",deployment_raw[[#This Row],[Column5]],1)*(1+$W$2))/1048576,"")</f>
        <v/>
      </c>
    </row>
    <row r="553" spans="1:23" ht="15.75" customHeight="1" x14ac:dyDescent="0.25">
      <c r="A553" s="5" t="str">
        <f>IF(ISNONTEXT(deployment_raw[[#This Row],[Column1]]), "", deployment_raw[[#This Row],[Column1]])</f>
        <v/>
      </c>
      <c r="B553" s="6" t="str">
        <f>IF(ISNONTEXT(deployment_raw[[#This Row],[Column2]]), "", deployment_raw[[#This Row],[Column2]])</f>
        <v/>
      </c>
      <c r="C553" s="6" t="str">
        <f>IF(ISNONTEXT(deployment_raw[[#This Row],[Column3]]), "", deployment_raw[[#This Row],[Column3]])</f>
        <v/>
      </c>
      <c r="D553" s="6" t="str">
        <f>IF(ISNONTEXT(deployment_raw[[#This Row],[Column4]]), "", deployment_raw[[#This Row],[Column4]])</f>
        <v/>
      </c>
      <c r="E553" s="7" t="str">
        <f>IF(ISNUMBER(deployment_raw[[#This Row],[Column5]]), deployment_raw[[#This Row],[Column5]],"")</f>
        <v/>
      </c>
      <c r="F553" s="32" t="str">
        <f>IF(ISNUMBER(deployment_raw[[#This Row],[Column17]]), deployment_raw[[#This Row],[Column17]]/IF(OR($E$2="Deployment",deployment_raw[[#This Row],[Column5]]=0),1,deployment_raw[[#This Row],[Column5]]),"")</f>
        <v/>
      </c>
      <c r="G553" s="42" t="str">
        <f>IF(ISNUMBER(deployment_raw[[#This Row],[Column14]]), deployment_raw[[#This Row],[Column14]]/IF(OR($E$2="Deployment",deployment_raw[[#This Row],[Column5]]=0),1,deployment_raw[[#This Row],[Column5]]),"")</f>
        <v/>
      </c>
      <c r="H553" s="79" t="str">
        <f>IF(ISNUMBER(deployment_raw[[#This Row],[Column19]]), IF(I553&lt;&gt;0,(deployment_raw[[#This Row],[Column19]]/IF(OR($E$2="Deployment",deployment_raw[[#This Row],[Column5]]=0),1,deployment_raw[[#This Row],[Column5]]))/I553,0),"")</f>
        <v/>
      </c>
      <c r="I553" s="69" t="str">
        <f>IF(ISNUMBER(deployment_raw[[#This Row],[Column6]]), (deployment_raw[[#This Row],[Column6]] * IF($E$2="Deployment",deployment_raw[[#This Row],[Column5]],1)),"")</f>
        <v/>
      </c>
      <c r="J553" s="79" t="str">
        <f>IF(ISNUMBER(deployment_raw[[#This Row],[Column19]]), IF(K553&lt;&gt;0,(deployment_raw[[#This Row],[Column19]]/IF(OR($E$2="Deployment",deployment_raw[[#This Row],[Column5]]=0),1,deployment_raw[[#This Row],[Column5]]))/K553,0),"")</f>
        <v/>
      </c>
      <c r="K553" s="72" t="str">
        <f>IF(ISNUMBER(deployment_raw[[#This Row],[Column8]]), (deployment_raw[[#This Row],[Column8]]  * IF($E$2="Deployment",deployment_raw[[#This Row],[Column5]],1)),"")</f>
        <v/>
      </c>
      <c r="L55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5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53" s="81" t="str">
        <f>IF(ISNUMBER(deployment_raw[[#This Row],[Column20]]), IF(O553&lt;&gt;0,deployment_raw[[#This Row],[Column20]]/IF(OR($E$2="Deployment",deployment_raw[[#This Row],[Column5]]=0),1,deployment_raw[[#This Row],[Column5]])/1048576/O553,0),"")</f>
        <v/>
      </c>
      <c r="O553" s="74" t="str">
        <f>IF(ISNUMBER(deployment_raw[[#This Row],[Column7]]), (deployment_raw[[#This Row],[Column7]] * IF($E$2="Deployment",deployment_raw[[#This Row],[Column5]],1))/1048576,"")</f>
        <v/>
      </c>
      <c r="P553" s="81" t="str">
        <f>IF(ISNUMBER(deployment_raw[[#This Row],[Column20]]), IF(Q553&lt;&gt;0,deployment_raw[[#This Row],[Column20]]/IF(OR($E$2="Deployment",deployment_raw[[#This Row],[Column5]]=0),1,deployment_raw[[#This Row],[Column5]])/1048576/Q553,0),"")</f>
        <v/>
      </c>
      <c r="Q553" s="76" t="str">
        <f>IF(ISNUMBER(deployment_raw[[#This Row],[Column9]]), (deployment_raw[[#This Row],[Column9]] * IF($E$2="Deployment",deployment_raw[[#This Row],[Column5]],1))/1048576,"")</f>
        <v/>
      </c>
      <c r="R553" s="57" t="str">
        <f>IF(ISNUMBER(deployment_raw[[#This Row],[Column10]]), (deployment_raw[[#This Row],[Column10]] * IF($E$2="Deployment",deployment_raw[[#This Row],[Column5]],1)),"")</f>
        <v/>
      </c>
      <c r="S553" s="48" t="str">
        <f>IF(ISNUMBER(deployment_raw[[#This Row],[Column11]]), (deployment_raw[[#This Row],[Column11]] * IF($E$2="Deployment",deployment_raw[[#This Row],[Column5]],1))/1048576,"")</f>
        <v/>
      </c>
      <c r="T553" s="59" t="str">
        <f>IF(ISNUMBER(deployment_raw[[#This Row],[Column8]]),IF(OR(deployment_raw[[#This Row],[Column5]] &lt;&gt; 0,$E$2 &lt;&gt; "Deployment"), MAX(V553, ($T$2 * IF($E$2="Deployment",deployment_raw[[#This Row],[Column5]],1))), 0),"")</f>
        <v/>
      </c>
      <c r="U553" s="50" t="str">
        <f>IF(ISNUMBER(deployment_raw[[#This Row],[Column9]]),IF(OR(deployment_raw[[#This Row],[Column5]] &lt;&gt; 0,$E$2&lt;&gt;"Deployment"), MAX(W553, ($U$2 * IF($E$2="Deployment",deployment_raw[[#This Row],[Column5]],1))), 0),"")</f>
        <v/>
      </c>
      <c r="V553" s="15" t="str">
        <f>IF(ISNUMBER(deployment_raw[[#This Row],[Column12]]), (deployment_raw[[#This Row],[Column12]] * IF($E$2="Deployment",deployment_raw[[#This Row],[Column5]],1)*(1+$V$2)),"")</f>
        <v/>
      </c>
      <c r="W553" s="14" t="str">
        <f>IF(ISNUMBER(deployment_raw[[#This Row],[Column13]]), (deployment_raw[[#This Row],[Column13]] * IF($E$2="Deployment",deployment_raw[[#This Row],[Column5]],1)*(1+$W$2))/1048576,"")</f>
        <v/>
      </c>
    </row>
    <row r="554" spans="1:23" ht="15.75" customHeight="1" x14ac:dyDescent="0.25">
      <c r="A554" s="5" t="str">
        <f>IF(ISNONTEXT(deployment_raw[[#This Row],[Column1]]), "", deployment_raw[[#This Row],[Column1]])</f>
        <v/>
      </c>
      <c r="B554" s="6" t="str">
        <f>IF(ISNONTEXT(deployment_raw[[#This Row],[Column2]]), "", deployment_raw[[#This Row],[Column2]])</f>
        <v/>
      </c>
      <c r="C554" s="6" t="str">
        <f>IF(ISNONTEXT(deployment_raw[[#This Row],[Column3]]), "", deployment_raw[[#This Row],[Column3]])</f>
        <v/>
      </c>
      <c r="D554" s="6" t="str">
        <f>IF(ISNONTEXT(deployment_raw[[#This Row],[Column4]]), "", deployment_raw[[#This Row],[Column4]])</f>
        <v/>
      </c>
      <c r="E554" s="7" t="str">
        <f>IF(ISNUMBER(deployment_raw[[#This Row],[Column5]]), deployment_raw[[#This Row],[Column5]],"")</f>
        <v/>
      </c>
      <c r="F554" s="32" t="str">
        <f>IF(ISNUMBER(deployment_raw[[#This Row],[Column17]]), deployment_raw[[#This Row],[Column17]]/IF(OR($E$2="Deployment",deployment_raw[[#This Row],[Column5]]=0),1,deployment_raw[[#This Row],[Column5]]),"")</f>
        <v/>
      </c>
      <c r="G554" s="42" t="str">
        <f>IF(ISNUMBER(deployment_raw[[#This Row],[Column14]]), deployment_raw[[#This Row],[Column14]]/IF(OR($E$2="Deployment",deployment_raw[[#This Row],[Column5]]=0),1,deployment_raw[[#This Row],[Column5]]),"")</f>
        <v/>
      </c>
      <c r="H554" s="79" t="str">
        <f>IF(ISNUMBER(deployment_raw[[#This Row],[Column19]]), IF(I554&lt;&gt;0,(deployment_raw[[#This Row],[Column19]]/IF(OR($E$2="Deployment",deployment_raw[[#This Row],[Column5]]=0),1,deployment_raw[[#This Row],[Column5]]))/I554,0),"")</f>
        <v/>
      </c>
      <c r="I554" s="69" t="str">
        <f>IF(ISNUMBER(deployment_raw[[#This Row],[Column6]]), (deployment_raw[[#This Row],[Column6]] * IF($E$2="Deployment",deployment_raw[[#This Row],[Column5]],1)),"")</f>
        <v/>
      </c>
      <c r="J554" s="79" t="str">
        <f>IF(ISNUMBER(deployment_raw[[#This Row],[Column19]]), IF(K554&lt;&gt;0,(deployment_raw[[#This Row],[Column19]]/IF(OR($E$2="Deployment",deployment_raw[[#This Row],[Column5]]=0),1,deployment_raw[[#This Row],[Column5]]))/K554,0),"")</f>
        <v/>
      </c>
      <c r="K554" s="72" t="str">
        <f>IF(ISNUMBER(deployment_raw[[#This Row],[Column8]]), (deployment_raw[[#This Row],[Column8]]  * IF($E$2="Deployment",deployment_raw[[#This Row],[Column5]],1)),"")</f>
        <v/>
      </c>
      <c r="L55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5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54" s="81" t="str">
        <f>IF(ISNUMBER(deployment_raw[[#This Row],[Column20]]), IF(O554&lt;&gt;0,deployment_raw[[#This Row],[Column20]]/IF(OR($E$2="Deployment",deployment_raw[[#This Row],[Column5]]=0),1,deployment_raw[[#This Row],[Column5]])/1048576/O554,0),"")</f>
        <v/>
      </c>
      <c r="O554" s="74" t="str">
        <f>IF(ISNUMBER(deployment_raw[[#This Row],[Column7]]), (deployment_raw[[#This Row],[Column7]] * IF($E$2="Deployment",deployment_raw[[#This Row],[Column5]],1))/1048576,"")</f>
        <v/>
      </c>
      <c r="P554" s="81" t="str">
        <f>IF(ISNUMBER(deployment_raw[[#This Row],[Column20]]), IF(Q554&lt;&gt;0,deployment_raw[[#This Row],[Column20]]/IF(OR($E$2="Deployment",deployment_raw[[#This Row],[Column5]]=0),1,deployment_raw[[#This Row],[Column5]])/1048576/Q554,0),"")</f>
        <v/>
      </c>
      <c r="Q554" s="76" t="str">
        <f>IF(ISNUMBER(deployment_raw[[#This Row],[Column9]]), (deployment_raw[[#This Row],[Column9]] * IF($E$2="Deployment",deployment_raw[[#This Row],[Column5]],1))/1048576,"")</f>
        <v/>
      </c>
      <c r="R554" s="57" t="str">
        <f>IF(ISNUMBER(deployment_raw[[#This Row],[Column10]]), (deployment_raw[[#This Row],[Column10]] * IF($E$2="Deployment",deployment_raw[[#This Row],[Column5]],1)),"")</f>
        <v/>
      </c>
      <c r="S554" s="48" t="str">
        <f>IF(ISNUMBER(deployment_raw[[#This Row],[Column11]]), (deployment_raw[[#This Row],[Column11]] * IF($E$2="Deployment",deployment_raw[[#This Row],[Column5]],1))/1048576,"")</f>
        <v/>
      </c>
      <c r="T554" s="59" t="str">
        <f>IF(ISNUMBER(deployment_raw[[#This Row],[Column8]]),IF(OR(deployment_raw[[#This Row],[Column5]] &lt;&gt; 0,$E$2 &lt;&gt; "Deployment"), MAX(V554, ($T$2 * IF($E$2="Deployment",deployment_raw[[#This Row],[Column5]],1))), 0),"")</f>
        <v/>
      </c>
      <c r="U554" s="50" t="str">
        <f>IF(ISNUMBER(deployment_raw[[#This Row],[Column9]]),IF(OR(deployment_raw[[#This Row],[Column5]] &lt;&gt; 0,$E$2&lt;&gt;"Deployment"), MAX(W554, ($U$2 * IF($E$2="Deployment",deployment_raw[[#This Row],[Column5]],1))), 0),"")</f>
        <v/>
      </c>
      <c r="V554" s="15" t="str">
        <f>IF(ISNUMBER(deployment_raw[[#This Row],[Column12]]), (deployment_raw[[#This Row],[Column12]] * IF($E$2="Deployment",deployment_raw[[#This Row],[Column5]],1)*(1+$V$2)),"")</f>
        <v/>
      </c>
      <c r="W554" s="14" t="str">
        <f>IF(ISNUMBER(deployment_raw[[#This Row],[Column13]]), (deployment_raw[[#This Row],[Column13]] * IF($E$2="Deployment",deployment_raw[[#This Row],[Column5]],1)*(1+$W$2))/1048576,"")</f>
        <v/>
      </c>
    </row>
    <row r="555" spans="1:23" ht="15.75" customHeight="1" x14ac:dyDescent="0.25">
      <c r="A555" s="5" t="str">
        <f>IF(ISNONTEXT(deployment_raw[[#This Row],[Column1]]), "", deployment_raw[[#This Row],[Column1]])</f>
        <v/>
      </c>
      <c r="B555" s="6" t="str">
        <f>IF(ISNONTEXT(deployment_raw[[#This Row],[Column2]]), "", deployment_raw[[#This Row],[Column2]])</f>
        <v/>
      </c>
      <c r="C555" s="6" t="str">
        <f>IF(ISNONTEXT(deployment_raw[[#This Row],[Column3]]), "", deployment_raw[[#This Row],[Column3]])</f>
        <v/>
      </c>
      <c r="D555" s="6" t="str">
        <f>IF(ISNONTEXT(deployment_raw[[#This Row],[Column4]]), "", deployment_raw[[#This Row],[Column4]])</f>
        <v/>
      </c>
      <c r="E555" s="7" t="str">
        <f>IF(ISNUMBER(deployment_raw[[#This Row],[Column5]]), deployment_raw[[#This Row],[Column5]],"")</f>
        <v/>
      </c>
      <c r="F555" s="32" t="str">
        <f>IF(ISNUMBER(deployment_raw[[#This Row],[Column17]]), deployment_raw[[#This Row],[Column17]]/IF(OR($E$2="Deployment",deployment_raw[[#This Row],[Column5]]=0),1,deployment_raw[[#This Row],[Column5]]),"")</f>
        <v/>
      </c>
      <c r="G555" s="42" t="str">
        <f>IF(ISNUMBER(deployment_raw[[#This Row],[Column14]]), deployment_raw[[#This Row],[Column14]]/IF(OR($E$2="Deployment",deployment_raw[[#This Row],[Column5]]=0),1,deployment_raw[[#This Row],[Column5]]),"")</f>
        <v/>
      </c>
      <c r="H555" s="79" t="str">
        <f>IF(ISNUMBER(deployment_raw[[#This Row],[Column19]]), IF(I555&lt;&gt;0,(deployment_raw[[#This Row],[Column19]]/IF(OR($E$2="Deployment",deployment_raw[[#This Row],[Column5]]=0),1,deployment_raw[[#This Row],[Column5]]))/I555,0),"")</f>
        <v/>
      </c>
      <c r="I555" s="69" t="str">
        <f>IF(ISNUMBER(deployment_raw[[#This Row],[Column6]]), (deployment_raw[[#This Row],[Column6]] * IF($E$2="Deployment",deployment_raw[[#This Row],[Column5]],1)),"")</f>
        <v/>
      </c>
      <c r="J555" s="79" t="str">
        <f>IF(ISNUMBER(deployment_raw[[#This Row],[Column19]]), IF(K555&lt;&gt;0,(deployment_raw[[#This Row],[Column19]]/IF(OR($E$2="Deployment",deployment_raw[[#This Row],[Column5]]=0),1,deployment_raw[[#This Row],[Column5]]))/K555,0),"")</f>
        <v/>
      </c>
      <c r="K555" s="72" t="str">
        <f>IF(ISNUMBER(deployment_raw[[#This Row],[Column8]]), (deployment_raw[[#This Row],[Column8]]  * IF($E$2="Deployment",deployment_raw[[#This Row],[Column5]],1)),"")</f>
        <v/>
      </c>
      <c r="L55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5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55" s="81" t="str">
        <f>IF(ISNUMBER(deployment_raw[[#This Row],[Column20]]), IF(O555&lt;&gt;0,deployment_raw[[#This Row],[Column20]]/IF(OR($E$2="Deployment",deployment_raw[[#This Row],[Column5]]=0),1,deployment_raw[[#This Row],[Column5]])/1048576/O555,0),"")</f>
        <v/>
      </c>
      <c r="O555" s="74" t="str">
        <f>IF(ISNUMBER(deployment_raw[[#This Row],[Column7]]), (deployment_raw[[#This Row],[Column7]] * IF($E$2="Deployment",deployment_raw[[#This Row],[Column5]],1))/1048576,"")</f>
        <v/>
      </c>
      <c r="P555" s="81" t="str">
        <f>IF(ISNUMBER(deployment_raw[[#This Row],[Column20]]), IF(Q555&lt;&gt;0,deployment_raw[[#This Row],[Column20]]/IF(OR($E$2="Deployment",deployment_raw[[#This Row],[Column5]]=0),1,deployment_raw[[#This Row],[Column5]])/1048576/Q555,0),"")</f>
        <v/>
      </c>
      <c r="Q555" s="76" t="str">
        <f>IF(ISNUMBER(deployment_raw[[#This Row],[Column9]]), (deployment_raw[[#This Row],[Column9]] * IF($E$2="Deployment",deployment_raw[[#This Row],[Column5]],1))/1048576,"")</f>
        <v/>
      </c>
      <c r="R555" s="57" t="str">
        <f>IF(ISNUMBER(deployment_raw[[#This Row],[Column10]]), (deployment_raw[[#This Row],[Column10]] * IF($E$2="Deployment",deployment_raw[[#This Row],[Column5]],1)),"")</f>
        <v/>
      </c>
      <c r="S555" s="48" t="str">
        <f>IF(ISNUMBER(deployment_raw[[#This Row],[Column11]]), (deployment_raw[[#This Row],[Column11]] * IF($E$2="Deployment",deployment_raw[[#This Row],[Column5]],1))/1048576,"")</f>
        <v/>
      </c>
      <c r="T555" s="59" t="str">
        <f>IF(ISNUMBER(deployment_raw[[#This Row],[Column8]]),IF(OR(deployment_raw[[#This Row],[Column5]] &lt;&gt; 0,$E$2 &lt;&gt; "Deployment"), MAX(V555, ($T$2 * IF($E$2="Deployment",deployment_raw[[#This Row],[Column5]],1))), 0),"")</f>
        <v/>
      </c>
      <c r="U555" s="50" t="str">
        <f>IF(ISNUMBER(deployment_raw[[#This Row],[Column9]]),IF(OR(deployment_raw[[#This Row],[Column5]] &lt;&gt; 0,$E$2&lt;&gt;"Deployment"), MAX(W555, ($U$2 * IF($E$2="Deployment",deployment_raw[[#This Row],[Column5]],1))), 0),"")</f>
        <v/>
      </c>
      <c r="V555" s="15" t="str">
        <f>IF(ISNUMBER(deployment_raw[[#This Row],[Column12]]), (deployment_raw[[#This Row],[Column12]] * IF($E$2="Deployment",deployment_raw[[#This Row],[Column5]],1)*(1+$V$2)),"")</f>
        <v/>
      </c>
      <c r="W555" s="14" t="str">
        <f>IF(ISNUMBER(deployment_raw[[#This Row],[Column13]]), (deployment_raw[[#This Row],[Column13]] * IF($E$2="Deployment",deployment_raw[[#This Row],[Column5]],1)*(1+$W$2))/1048576,"")</f>
        <v/>
      </c>
    </row>
    <row r="556" spans="1:23" ht="15.75" customHeight="1" x14ac:dyDescent="0.25">
      <c r="A556" s="5" t="str">
        <f>IF(ISNONTEXT(deployment_raw[[#This Row],[Column1]]), "", deployment_raw[[#This Row],[Column1]])</f>
        <v/>
      </c>
      <c r="B556" s="6" t="str">
        <f>IF(ISNONTEXT(deployment_raw[[#This Row],[Column2]]), "", deployment_raw[[#This Row],[Column2]])</f>
        <v/>
      </c>
      <c r="C556" s="6" t="str">
        <f>IF(ISNONTEXT(deployment_raw[[#This Row],[Column3]]), "", deployment_raw[[#This Row],[Column3]])</f>
        <v/>
      </c>
      <c r="D556" s="6" t="str">
        <f>IF(ISNONTEXT(deployment_raw[[#This Row],[Column4]]), "", deployment_raw[[#This Row],[Column4]])</f>
        <v/>
      </c>
      <c r="E556" s="7" t="str">
        <f>IF(ISNUMBER(deployment_raw[[#This Row],[Column5]]), deployment_raw[[#This Row],[Column5]],"")</f>
        <v/>
      </c>
      <c r="F556" s="32" t="str">
        <f>IF(ISNUMBER(deployment_raw[[#This Row],[Column17]]), deployment_raw[[#This Row],[Column17]]/IF(OR($E$2="Deployment",deployment_raw[[#This Row],[Column5]]=0),1,deployment_raw[[#This Row],[Column5]]),"")</f>
        <v/>
      </c>
      <c r="G556" s="42" t="str">
        <f>IF(ISNUMBER(deployment_raw[[#This Row],[Column14]]), deployment_raw[[#This Row],[Column14]]/IF(OR($E$2="Deployment",deployment_raw[[#This Row],[Column5]]=0),1,deployment_raw[[#This Row],[Column5]]),"")</f>
        <v/>
      </c>
      <c r="H556" s="79" t="str">
        <f>IF(ISNUMBER(deployment_raw[[#This Row],[Column19]]), IF(I556&lt;&gt;0,(deployment_raw[[#This Row],[Column19]]/IF(OR($E$2="Deployment",deployment_raw[[#This Row],[Column5]]=0),1,deployment_raw[[#This Row],[Column5]]))/I556,0),"")</f>
        <v/>
      </c>
      <c r="I556" s="69" t="str">
        <f>IF(ISNUMBER(deployment_raw[[#This Row],[Column6]]), (deployment_raw[[#This Row],[Column6]] * IF($E$2="Deployment",deployment_raw[[#This Row],[Column5]],1)),"")</f>
        <v/>
      </c>
      <c r="J556" s="79" t="str">
        <f>IF(ISNUMBER(deployment_raw[[#This Row],[Column19]]), IF(K556&lt;&gt;0,(deployment_raw[[#This Row],[Column19]]/IF(OR($E$2="Deployment",deployment_raw[[#This Row],[Column5]]=0),1,deployment_raw[[#This Row],[Column5]]))/K556,0),"")</f>
        <v/>
      </c>
      <c r="K556" s="72" t="str">
        <f>IF(ISNUMBER(deployment_raw[[#This Row],[Column8]]), (deployment_raw[[#This Row],[Column8]]  * IF($E$2="Deployment",deployment_raw[[#This Row],[Column5]],1)),"")</f>
        <v/>
      </c>
      <c r="L55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5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56" s="81" t="str">
        <f>IF(ISNUMBER(deployment_raw[[#This Row],[Column20]]), IF(O556&lt;&gt;0,deployment_raw[[#This Row],[Column20]]/IF(OR($E$2="Deployment",deployment_raw[[#This Row],[Column5]]=0),1,deployment_raw[[#This Row],[Column5]])/1048576/O556,0),"")</f>
        <v/>
      </c>
      <c r="O556" s="74" t="str">
        <f>IF(ISNUMBER(deployment_raw[[#This Row],[Column7]]), (deployment_raw[[#This Row],[Column7]] * IF($E$2="Deployment",deployment_raw[[#This Row],[Column5]],1))/1048576,"")</f>
        <v/>
      </c>
      <c r="P556" s="81" t="str">
        <f>IF(ISNUMBER(deployment_raw[[#This Row],[Column20]]), IF(Q556&lt;&gt;0,deployment_raw[[#This Row],[Column20]]/IF(OR($E$2="Deployment",deployment_raw[[#This Row],[Column5]]=0),1,deployment_raw[[#This Row],[Column5]])/1048576/Q556,0),"")</f>
        <v/>
      </c>
      <c r="Q556" s="76" t="str">
        <f>IF(ISNUMBER(deployment_raw[[#This Row],[Column9]]), (deployment_raw[[#This Row],[Column9]] * IF($E$2="Deployment",deployment_raw[[#This Row],[Column5]],1))/1048576,"")</f>
        <v/>
      </c>
      <c r="R556" s="57" t="str">
        <f>IF(ISNUMBER(deployment_raw[[#This Row],[Column10]]), (deployment_raw[[#This Row],[Column10]] * IF($E$2="Deployment",deployment_raw[[#This Row],[Column5]],1)),"")</f>
        <v/>
      </c>
      <c r="S556" s="48" t="str">
        <f>IF(ISNUMBER(deployment_raw[[#This Row],[Column11]]), (deployment_raw[[#This Row],[Column11]] * IF($E$2="Deployment",deployment_raw[[#This Row],[Column5]],1))/1048576,"")</f>
        <v/>
      </c>
      <c r="T556" s="59" t="str">
        <f>IF(ISNUMBER(deployment_raw[[#This Row],[Column8]]),IF(OR(deployment_raw[[#This Row],[Column5]] &lt;&gt; 0,$E$2 &lt;&gt; "Deployment"), MAX(V556, ($T$2 * IF($E$2="Deployment",deployment_raw[[#This Row],[Column5]],1))), 0),"")</f>
        <v/>
      </c>
      <c r="U556" s="50" t="str">
        <f>IF(ISNUMBER(deployment_raw[[#This Row],[Column9]]),IF(OR(deployment_raw[[#This Row],[Column5]] &lt;&gt; 0,$E$2&lt;&gt;"Deployment"), MAX(W556, ($U$2 * IF($E$2="Deployment",deployment_raw[[#This Row],[Column5]],1))), 0),"")</f>
        <v/>
      </c>
      <c r="V556" s="15" t="str">
        <f>IF(ISNUMBER(deployment_raw[[#This Row],[Column12]]), (deployment_raw[[#This Row],[Column12]] * IF($E$2="Deployment",deployment_raw[[#This Row],[Column5]],1)*(1+$V$2)),"")</f>
        <v/>
      </c>
      <c r="W556" s="14" t="str">
        <f>IF(ISNUMBER(deployment_raw[[#This Row],[Column13]]), (deployment_raw[[#This Row],[Column13]] * IF($E$2="Deployment",deployment_raw[[#This Row],[Column5]],1)*(1+$W$2))/1048576,"")</f>
        <v/>
      </c>
    </row>
    <row r="557" spans="1:23" ht="15.75" customHeight="1" x14ac:dyDescent="0.25">
      <c r="A557" s="5" t="str">
        <f>IF(ISNONTEXT(deployment_raw[[#This Row],[Column1]]), "", deployment_raw[[#This Row],[Column1]])</f>
        <v/>
      </c>
      <c r="B557" s="6" t="str">
        <f>IF(ISNONTEXT(deployment_raw[[#This Row],[Column2]]), "", deployment_raw[[#This Row],[Column2]])</f>
        <v/>
      </c>
      <c r="C557" s="6" t="str">
        <f>IF(ISNONTEXT(deployment_raw[[#This Row],[Column3]]), "", deployment_raw[[#This Row],[Column3]])</f>
        <v/>
      </c>
      <c r="D557" s="6" t="str">
        <f>IF(ISNONTEXT(deployment_raw[[#This Row],[Column4]]), "", deployment_raw[[#This Row],[Column4]])</f>
        <v/>
      </c>
      <c r="E557" s="7" t="str">
        <f>IF(ISNUMBER(deployment_raw[[#This Row],[Column5]]), deployment_raw[[#This Row],[Column5]],"")</f>
        <v/>
      </c>
      <c r="F557" s="32" t="str">
        <f>IF(ISNUMBER(deployment_raw[[#This Row],[Column17]]), deployment_raw[[#This Row],[Column17]]/IF(OR($E$2="Deployment",deployment_raw[[#This Row],[Column5]]=0),1,deployment_raw[[#This Row],[Column5]]),"")</f>
        <v/>
      </c>
      <c r="G557" s="42" t="str">
        <f>IF(ISNUMBER(deployment_raw[[#This Row],[Column14]]), deployment_raw[[#This Row],[Column14]]/IF(OR($E$2="Deployment",deployment_raw[[#This Row],[Column5]]=0),1,deployment_raw[[#This Row],[Column5]]),"")</f>
        <v/>
      </c>
      <c r="H557" s="79" t="str">
        <f>IF(ISNUMBER(deployment_raw[[#This Row],[Column19]]), IF(I557&lt;&gt;0,(deployment_raw[[#This Row],[Column19]]/IF(OR($E$2="Deployment",deployment_raw[[#This Row],[Column5]]=0),1,deployment_raw[[#This Row],[Column5]]))/I557,0),"")</f>
        <v/>
      </c>
      <c r="I557" s="69" t="str">
        <f>IF(ISNUMBER(deployment_raw[[#This Row],[Column6]]), (deployment_raw[[#This Row],[Column6]] * IF($E$2="Deployment",deployment_raw[[#This Row],[Column5]],1)),"")</f>
        <v/>
      </c>
      <c r="J557" s="79" t="str">
        <f>IF(ISNUMBER(deployment_raw[[#This Row],[Column19]]), IF(K557&lt;&gt;0,(deployment_raw[[#This Row],[Column19]]/IF(OR($E$2="Deployment",deployment_raw[[#This Row],[Column5]]=0),1,deployment_raw[[#This Row],[Column5]]))/K557,0),"")</f>
        <v/>
      </c>
      <c r="K557" s="72" t="str">
        <f>IF(ISNUMBER(deployment_raw[[#This Row],[Column8]]), (deployment_raw[[#This Row],[Column8]]  * IF($E$2="Deployment",deployment_raw[[#This Row],[Column5]],1)),"")</f>
        <v/>
      </c>
      <c r="L55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5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57" s="81" t="str">
        <f>IF(ISNUMBER(deployment_raw[[#This Row],[Column20]]), IF(O557&lt;&gt;0,deployment_raw[[#This Row],[Column20]]/IF(OR($E$2="Deployment",deployment_raw[[#This Row],[Column5]]=0),1,deployment_raw[[#This Row],[Column5]])/1048576/O557,0),"")</f>
        <v/>
      </c>
      <c r="O557" s="74" t="str">
        <f>IF(ISNUMBER(deployment_raw[[#This Row],[Column7]]), (deployment_raw[[#This Row],[Column7]] * IF($E$2="Deployment",deployment_raw[[#This Row],[Column5]],1))/1048576,"")</f>
        <v/>
      </c>
      <c r="P557" s="81" t="str">
        <f>IF(ISNUMBER(deployment_raw[[#This Row],[Column20]]), IF(Q557&lt;&gt;0,deployment_raw[[#This Row],[Column20]]/IF(OR($E$2="Deployment",deployment_raw[[#This Row],[Column5]]=0),1,deployment_raw[[#This Row],[Column5]])/1048576/Q557,0),"")</f>
        <v/>
      </c>
      <c r="Q557" s="76" t="str">
        <f>IF(ISNUMBER(deployment_raw[[#This Row],[Column9]]), (deployment_raw[[#This Row],[Column9]] * IF($E$2="Deployment",deployment_raw[[#This Row],[Column5]],1))/1048576,"")</f>
        <v/>
      </c>
      <c r="R557" s="57" t="str">
        <f>IF(ISNUMBER(deployment_raw[[#This Row],[Column10]]), (deployment_raw[[#This Row],[Column10]] * IF($E$2="Deployment",deployment_raw[[#This Row],[Column5]],1)),"")</f>
        <v/>
      </c>
      <c r="S557" s="48" t="str">
        <f>IF(ISNUMBER(deployment_raw[[#This Row],[Column11]]), (deployment_raw[[#This Row],[Column11]] * IF($E$2="Deployment",deployment_raw[[#This Row],[Column5]],1))/1048576,"")</f>
        <v/>
      </c>
      <c r="T557" s="59" t="str">
        <f>IF(ISNUMBER(deployment_raw[[#This Row],[Column8]]),IF(OR(deployment_raw[[#This Row],[Column5]] &lt;&gt; 0,$E$2 &lt;&gt; "Deployment"), MAX(V557, ($T$2 * IF($E$2="Deployment",deployment_raw[[#This Row],[Column5]],1))), 0),"")</f>
        <v/>
      </c>
      <c r="U557" s="50" t="str">
        <f>IF(ISNUMBER(deployment_raw[[#This Row],[Column9]]),IF(OR(deployment_raw[[#This Row],[Column5]] &lt;&gt; 0,$E$2&lt;&gt;"Deployment"), MAX(W557, ($U$2 * IF($E$2="Deployment",deployment_raw[[#This Row],[Column5]],1))), 0),"")</f>
        <v/>
      </c>
      <c r="V557" s="15" t="str">
        <f>IF(ISNUMBER(deployment_raw[[#This Row],[Column12]]), (deployment_raw[[#This Row],[Column12]] * IF($E$2="Deployment",deployment_raw[[#This Row],[Column5]],1)*(1+$V$2)),"")</f>
        <v/>
      </c>
      <c r="W557" s="14" t="str">
        <f>IF(ISNUMBER(deployment_raw[[#This Row],[Column13]]), (deployment_raw[[#This Row],[Column13]] * IF($E$2="Deployment",deployment_raw[[#This Row],[Column5]],1)*(1+$W$2))/1048576,"")</f>
        <v/>
      </c>
    </row>
    <row r="558" spans="1:23" ht="15.75" customHeight="1" x14ac:dyDescent="0.25">
      <c r="A558" s="5" t="str">
        <f>IF(ISNONTEXT(deployment_raw[[#This Row],[Column1]]), "", deployment_raw[[#This Row],[Column1]])</f>
        <v/>
      </c>
      <c r="B558" s="6" t="str">
        <f>IF(ISNONTEXT(deployment_raw[[#This Row],[Column2]]), "", deployment_raw[[#This Row],[Column2]])</f>
        <v/>
      </c>
      <c r="C558" s="6" t="str">
        <f>IF(ISNONTEXT(deployment_raw[[#This Row],[Column3]]), "", deployment_raw[[#This Row],[Column3]])</f>
        <v/>
      </c>
      <c r="D558" s="6" t="str">
        <f>IF(ISNONTEXT(deployment_raw[[#This Row],[Column4]]), "", deployment_raw[[#This Row],[Column4]])</f>
        <v/>
      </c>
      <c r="E558" s="7" t="str">
        <f>IF(ISNUMBER(deployment_raw[[#This Row],[Column5]]), deployment_raw[[#This Row],[Column5]],"")</f>
        <v/>
      </c>
      <c r="F558" s="32" t="str">
        <f>IF(ISNUMBER(deployment_raw[[#This Row],[Column17]]), deployment_raw[[#This Row],[Column17]]/IF(OR($E$2="Deployment",deployment_raw[[#This Row],[Column5]]=0),1,deployment_raw[[#This Row],[Column5]]),"")</f>
        <v/>
      </c>
      <c r="G558" s="42" t="str">
        <f>IF(ISNUMBER(deployment_raw[[#This Row],[Column14]]), deployment_raw[[#This Row],[Column14]]/IF(OR($E$2="Deployment",deployment_raw[[#This Row],[Column5]]=0),1,deployment_raw[[#This Row],[Column5]]),"")</f>
        <v/>
      </c>
      <c r="H558" s="79" t="str">
        <f>IF(ISNUMBER(deployment_raw[[#This Row],[Column19]]), IF(I558&lt;&gt;0,(deployment_raw[[#This Row],[Column19]]/IF(OR($E$2="Deployment",deployment_raw[[#This Row],[Column5]]=0),1,deployment_raw[[#This Row],[Column5]]))/I558,0),"")</f>
        <v/>
      </c>
      <c r="I558" s="69" t="str">
        <f>IF(ISNUMBER(deployment_raw[[#This Row],[Column6]]), (deployment_raw[[#This Row],[Column6]] * IF($E$2="Deployment",deployment_raw[[#This Row],[Column5]],1)),"")</f>
        <v/>
      </c>
      <c r="J558" s="79" t="str">
        <f>IF(ISNUMBER(deployment_raw[[#This Row],[Column19]]), IF(K558&lt;&gt;0,(deployment_raw[[#This Row],[Column19]]/IF(OR($E$2="Deployment",deployment_raw[[#This Row],[Column5]]=0),1,deployment_raw[[#This Row],[Column5]]))/K558,0),"")</f>
        <v/>
      </c>
      <c r="K558" s="72" t="str">
        <f>IF(ISNUMBER(deployment_raw[[#This Row],[Column8]]), (deployment_raw[[#This Row],[Column8]]  * IF($E$2="Deployment",deployment_raw[[#This Row],[Column5]],1)),"")</f>
        <v/>
      </c>
      <c r="L55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5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58" s="81" t="str">
        <f>IF(ISNUMBER(deployment_raw[[#This Row],[Column20]]), IF(O558&lt;&gt;0,deployment_raw[[#This Row],[Column20]]/IF(OR($E$2="Deployment",deployment_raw[[#This Row],[Column5]]=0),1,deployment_raw[[#This Row],[Column5]])/1048576/O558,0),"")</f>
        <v/>
      </c>
      <c r="O558" s="74" t="str">
        <f>IF(ISNUMBER(deployment_raw[[#This Row],[Column7]]), (deployment_raw[[#This Row],[Column7]] * IF($E$2="Deployment",deployment_raw[[#This Row],[Column5]],1))/1048576,"")</f>
        <v/>
      </c>
      <c r="P558" s="81" t="str">
        <f>IF(ISNUMBER(deployment_raw[[#This Row],[Column20]]), IF(Q558&lt;&gt;0,deployment_raw[[#This Row],[Column20]]/IF(OR($E$2="Deployment",deployment_raw[[#This Row],[Column5]]=0),1,deployment_raw[[#This Row],[Column5]])/1048576/Q558,0),"")</f>
        <v/>
      </c>
      <c r="Q558" s="76" t="str">
        <f>IF(ISNUMBER(deployment_raw[[#This Row],[Column9]]), (deployment_raw[[#This Row],[Column9]] * IF($E$2="Deployment",deployment_raw[[#This Row],[Column5]],1))/1048576,"")</f>
        <v/>
      </c>
      <c r="R558" s="57" t="str">
        <f>IF(ISNUMBER(deployment_raw[[#This Row],[Column10]]), (deployment_raw[[#This Row],[Column10]] * IF($E$2="Deployment",deployment_raw[[#This Row],[Column5]],1)),"")</f>
        <v/>
      </c>
      <c r="S558" s="48" t="str">
        <f>IF(ISNUMBER(deployment_raw[[#This Row],[Column11]]), (deployment_raw[[#This Row],[Column11]] * IF($E$2="Deployment",deployment_raw[[#This Row],[Column5]],1))/1048576,"")</f>
        <v/>
      </c>
      <c r="T558" s="59" t="str">
        <f>IF(ISNUMBER(deployment_raw[[#This Row],[Column8]]),IF(OR(deployment_raw[[#This Row],[Column5]] &lt;&gt; 0,$E$2 &lt;&gt; "Deployment"), MAX(V558, ($T$2 * IF($E$2="Deployment",deployment_raw[[#This Row],[Column5]],1))), 0),"")</f>
        <v/>
      </c>
      <c r="U558" s="50" t="str">
        <f>IF(ISNUMBER(deployment_raw[[#This Row],[Column9]]),IF(OR(deployment_raw[[#This Row],[Column5]] &lt;&gt; 0,$E$2&lt;&gt;"Deployment"), MAX(W558, ($U$2 * IF($E$2="Deployment",deployment_raw[[#This Row],[Column5]],1))), 0),"")</f>
        <v/>
      </c>
      <c r="V558" s="15" t="str">
        <f>IF(ISNUMBER(deployment_raw[[#This Row],[Column12]]), (deployment_raw[[#This Row],[Column12]] * IF($E$2="Deployment",deployment_raw[[#This Row],[Column5]],1)*(1+$V$2)),"")</f>
        <v/>
      </c>
      <c r="W558" s="14" t="str">
        <f>IF(ISNUMBER(deployment_raw[[#This Row],[Column13]]), (deployment_raw[[#This Row],[Column13]] * IF($E$2="Deployment",deployment_raw[[#This Row],[Column5]],1)*(1+$W$2))/1048576,"")</f>
        <v/>
      </c>
    </row>
    <row r="559" spans="1:23" ht="15.75" customHeight="1" x14ac:dyDescent="0.25">
      <c r="A559" s="5" t="str">
        <f>IF(ISNONTEXT(deployment_raw[[#This Row],[Column1]]), "", deployment_raw[[#This Row],[Column1]])</f>
        <v/>
      </c>
      <c r="B559" s="6" t="str">
        <f>IF(ISNONTEXT(deployment_raw[[#This Row],[Column2]]), "", deployment_raw[[#This Row],[Column2]])</f>
        <v/>
      </c>
      <c r="C559" s="6" t="str">
        <f>IF(ISNONTEXT(deployment_raw[[#This Row],[Column3]]), "", deployment_raw[[#This Row],[Column3]])</f>
        <v/>
      </c>
      <c r="D559" s="6" t="str">
        <f>IF(ISNONTEXT(deployment_raw[[#This Row],[Column4]]), "", deployment_raw[[#This Row],[Column4]])</f>
        <v/>
      </c>
      <c r="E559" s="7" t="str">
        <f>IF(ISNUMBER(deployment_raw[[#This Row],[Column5]]), deployment_raw[[#This Row],[Column5]],"")</f>
        <v/>
      </c>
      <c r="F559" s="32" t="str">
        <f>IF(ISNUMBER(deployment_raw[[#This Row],[Column17]]), deployment_raw[[#This Row],[Column17]]/IF(OR($E$2="Deployment",deployment_raw[[#This Row],[Column5]]=0),1,deployment_raw[[#This Row],[Column5]]),"")</f>
        <v/>
      </c>
      <c r="G559" s="42" t="str">
        <f>IF(ISNUMBER(deployment_raw[[#This Row],[Column14]]), deployment_raw[[#This Row],[Column14]]/IF(OR($E$2="Deployment",deployment_raw[[#This Row],[Column5]]=0),1,deployment_raw[[#This Row],[Column5]]),"")</f>
        <v/>
      </c>
      <c r="H559" s="79" t="str">
        <f>IF(ISNUMBER(deployment_raw[[#This Row],[Column19]]), IF(I559&lt;&gt;0,(deployment_raw[[#This Row],[Column19]]/IF(OR($E$2="Deployment",deployment_raw[[#This Row],[Column5]]=0),1,deployment_raw[[#This Row],[Column5]]))/I559,0),"")</f>
        <v/>
      </c>
      <c r="I559" s="69" t="str">
        <f>IF(ISNUMBER(deployment_raw[[#This Row],[Column6]]), (deployment_raw[[#This Row],[Column6]] * IF($E$2="Deployment",deployment_raw[[#This Row],[Column5]],1)),"")</f>
        <v/>
      </c>
      <c r="J559" s="79" t="str">
        <f>IF(ISNUMBER(deployment_raw[[#This Row],[Column19]]), IF(K559&lt;&gt;0,(deployment_raw[[#This Row],[Column19]]/IF(OR($E$2="Deployment",deployment_raw[[#This Row],[Column5]]=0),1,deployment_raw[[#This Row],[Column5]]))/K559,0),"")</f>
        <v/>
      </c>
      <c r="K559" s="72" t="str">
        <f>IF(ISNUMBER(deployment_raw[[#This Row],[Column8]]), (deployment_raw[[#This Row],[Column8]]  * IF($E$2="Deployment",deployment_raw[[#This Row],[Column5]],1)),"")</f>
        <v/>
      </c>
      <c r="L55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5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59" s="81" t="str">
        <f>IF(ISNUMBER(deployment_raw[[#This Row],[Column20]]), IF(O559&lt;&gt;0,deployment_raw[[#This Row],[Column20]]/IF(OR($E$2="Deployment",deployment_raw[[#This Row],[Column5]]=0),1,deployment_raw[[#This Row],[Column5]])/1048576/O559,0),"")</f>
        <v/>
      </c>
      <c r="O559" s="74" t="str">
        <f>IF(ISNUMBER(deployment_raw[[#This Row],[Column7]]), (deployment_raw[[#This Row],[Column7]] * IF($E$2="Deployment",deployment_raw[[#This Row],[Column5]],1))/1048576,"")</f>
        <v/>
      </c>
      <c r="P559" s="81" t="str">
        <f>IF(ISNUMBER(deployment_raw[[#This Row],[Column20]]), IF(Q559&lt;&gt;0,deployment_raw[[#This Row],[Column20]]/IF(OR($E$2="Deployment",deployment_raw[[#This Row],[Column5]]=0),1,deployment_raw[[#This Row],[Column5]])/1048576/Q559,0),"")</f>
        <v/>
      </c>
      <c r="Q559" s="76" t="str">
        <f>IF(ISNUMBER(deployment_raw[[#This Row],[Column9]]), (deployment_raw[[#This Row],[Column9]] * IF($E$2="Deployment",deployment_raw[[#This Row],[Column5]],1))/1048576,"")</f>
        <v/>
      </c>
      <c r="R559" s="57" t="str">
        <f>IF(ISNUMBER(deployment_raw[[#This Row],[Column10]]), (deployment_raw[[#This Row],[Column10]] * IF($E$2="Deployment",deployment_raw[[#This Row],[Column5]],1)),"")</f>
        <v/>
      </c>
      <c r="S559" s="48" t="str">
        <f>IF(ISNUMBER(deployment_raw[[#This Row],[Column11]]), (deployment_raw[[#This Row],[Column11]] * IF($E$2="Deployment",deployment_raw[[#This Row],[Column5]],1))/1048576,"")</f>
        <v/>
      </c>
      <c r="T559" s="59" t="str">
        <f>IF(ISNUMBER(deployment_raw[[#This Row],[Column8]]),IF(OR(deployment_raw[[#This Row],[Column5]] &lt;&gt; 0,$E$2 &lt;&gt; "Deployment"), MAX(V559, ($T$2 * IF($E$2="Deployment",deployment_raw[[#This Row],[Column5]],1))), 0),"")</f>
        <v/>
      </c>
      <c r="U559" s="50" t="str">
        <f>IF(ISNUMBER(deployment_raw[[#This Row],[Column9]]),IF(OR(deployment_raw[[#This Row],[Column5]] &lt;&gt; 0,$E$2&lt;&gt;"Deployment"), MAX(W559, ($U$2 * IF($E$2="Deployment",deployment_raw[[#This Row],[Column5]],1))), 0),"")</f>
        <v/>
      </c>
      <c r="V559" s="15" t="str">
        <f>IF(ISNUMBER(deployment_raw[[#This Row],[Column12]]), (deployment_raw[[#This Row],[Column12]] * IF($E$2="Deployment",deployment_raw[[#This Row],[Column5]],1)*(1+$V$2)),"")</f>
        <v/>
      </c>
      <c r="W559" s="14" t="str">
        <f>IF(ISNUMBER(deployment_raw[[#This Row],[Column13]]), (deployment_raw[[#This Row],[Column13]] * IF($E$2="Deployment",deployment_raw[[#This Row],[Column5]],1)*(1+$W$2))/1048576,"")</f>
        <v/>
      </c>
    </row>
    <row r="560" spans="1:23" ht="15.75" customHeight="1" x14ac:dyDescent="0.25">
      <c r="A560" s="5" t="str">
        <f>IF(ISNONTEXT(deployment_raw[[#This Row],[Column1]]), "", deployment_raw[[#This Row],[Column1]])</f>
        <v/>
      </c>
      <c r="B560" s="6" t="str">
        <f>IF(ISNONTEXT(deployment_raw[[#This Row],[Column2]]), "", deployment_raw[[#This Row],[Column2]])</f>
        <v/>
      </c>
      <c r="C560" s="6" t="str">
        <f>IF(ISNONTEXT(deployment_raw[[#This Row],[Column3]]), "", deployment_raw[[#This Row],[Column3]])</f>
        <v/>
      </c>
      <c r="D560" s="6" t="str">
        <f>IF(ISNONTEXT(deployment_raw[[#This Row],[Column4]]), "", deployment_raw[[#This Row],[Column4]])</f>
        <v/>
      </c>
      <c r="E560" s="7" t="str">
        <f>IF(ISNUMBER(deployment_raw[[#This Row],[Column5]]), deployment_raw[[#This Row],[Column5]],"")</f>
        <v/>
      </c>
      <c r="F560" s="32" t="str">
        <f>IF(ISNUMBER(deployment_raw[[#This Row],[Column17]]), deployment_raw[[#This Row],[Column17]]/IF(OR($E$2="Deployment",deployment_raw[[#This Row],[Column5]]=0),1,deployment_raw[[#This Row],[Column5]]),"")</f>
        <v/>
      </c>
      <c r="G560" s="42" t="str">
        <f>IF(ISNUMBER(deployment_raw[[#This Row],[Column14]]), deployment_raw[[#This Row],[Column14]]/IF(OR($E$2="Deployment",deployment_raw[[#This Row],[Column5]]=0),1,deployment_raw[[#This Row],[Column5]]),"")</f>
        <v/>
      </c>
      <c r="H560" s="79" t="str">
        <f>IF(ISNUMBER(deployment_raw[[#This Row],[Column19]]), IF(I560&lt;&gt;0,(deployment_raw[[#This Row],[Column19]]/IF(OR($E$2="Deployment",deployment_raw[[#This Row],[Column5]]=0),1,deployment_raw[[#This Row],[Column5]]))/I560,0),"")</f>
        <v/>
      </c>
      <c r="I560" s="69" t="str">
        <f>IF(ISNUMBER(deployment_raw[[#This Row],[Column6]]), (deployment_raw[[#This Row],[Column6]] * IF($E$2="Deployment",deployment_raw[[#This Row],[Column5]],1)),"")</f>
        <v/>
      </c>
      <c r="J560" s="79" t="str">
        <f>IF(ISNUMBER(deployment_raw[[#This Row],[Column19]]), IF(K560&lt;&gt;0,(deployment_raw[[#This Row],[Column19]]/IF(OR($E$2="Deployment",deployment_raw[[#This Row],[Column5]]=0),1,deployment_raw[[#This Row],[Column5]]))/K560,0),"")</f>
        <v/>
      </c>
      <c r="K560" s="72" t="str">
        <f>IF(ISNUMBER(deployment_raw[[#This Row],[Column8]]), (deployment_raw[[#This Row],[Column8]]  * IF($E$2="Deployment",deployment_raw[[#This Row],[Column5]],1)),"")</f>
        <v/>
      </c>
      <c r="L56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6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60" s="81" t="str">
        <f>IF(ISNUMBER(deployment_raw[[#This Row],[Column20]]), IF(O560&lt;&gt;0,deployment_raw[[#This Row],[Column20]]/IF(OR($E$2="Deployment",deployment_raw[[#This Row],[Column5]]=0),1,deployment_raw[[#This Row],[Column5]])/1048576/O560,0),"")</f>
        <v/>
      </c>
      <c r="O560" s="74" t="str">
        <f>IF(ISNUMBER(deployment_raw[[#This Row],[Column7]]), (deployment_raw[[#This Row],[Column7]] * IF($E$2="Deployment",deployment_raw[[#This Row],[Column5]],1))/1048576,"")</f>
        <v/>
      </c>
      <c r="P560" s="81" t="str">
        <f>IF(ISNUMBER(deployment_raw[[#This Row],[Column20]]), IF(Q560&lt;&gt;0,deployment_raw[[#This Row],[Column20]]/IF(OR($E$2="Deployment",deployment_raw[[#This Row],[Column5]]=0),1,deployment_raw[[#This Row],[Column5]])/1048576/Q560,0),"")</f>
        <v/>
      </c>
      <c r="Q560" s="76" t="str">
        <f>IF(ISNUMBER(deployment_raw[[#This Row],[Column9]]), (deployment_raw[[#This Row],[Column9]] * IF($E$2="Deployment",deployment_raw[[#This Row],[Column5]],1))/1048576,"")</f>
        <v/>
      </c>
      <c r="R560" s="57" t="str">
        <f>IF(ISNUMBER(deployment_raw[[#This Row],[Column10]]), (deployment_raw[[#This Row],[Column10]] * IF($E$2="Deployment",deployment_raw[[#This Row],[Column5]],1)),"")</f>
        <v/>
      </c>
      <c r="S560" s="48" t="str">
        <f>IF(ISNUMBER(deployment_raw[[#This Row],[Column11]]), (deployment_raw[[#This Row],[Column11]] * IF($E$2="Deployment",deployment_raw[[#This Row],[Column5]],1))/1048576,"")</f>
        <v/>
      </c>
      <c r="T560" s="59" t="str">
        <f>IF(ISNUMBER(deployment_raw[[#This Row],[Column8]]),IF(OR(deployment_raw[[#This Row],[Column5]] &lt;&gt; 0,$E$2 &lt;&gt; "Deployment"), MAX(V560, ($T$2 * IF($E$2="Deployment",deployment_raw[[#This Row],[Column5]],1))), 0),"")</f>
        <v/>
      </c>
      <c r="U560" s="50" t="str">
        <f>IF(ISNUMBER(deployment_raw[[#This Row],[Column9]]),IF(OR(deployment_raw[[#This Row],[Column5]] &lt;&gt; 0,$E$2&lt;&gt;"Deployment"), MAX(W560, ($U$2 * IF($E$2="Deployment",deployment_raw[[#This Row],[Column5]],1))), 0),"")</f>
        <v/>
      </c>
      <c r="V560" s="15" t="str">
        <f>IF(ISNUMBER(deployment_raw[[#This Row],[Column12]]), (deployment_raw[[#This Row],[Column12]] * IF($E$2="Deployment",deployment_raw[[#This Row],[Column5]],1)*(1+$V$2)),"")</f>
        <v/>
      </c>
      <c r="W560" s="14" t="str">
        <f>IF(ISNUMBER(deployment_raw[[#This Row],[Column13]]), (deployment_raw[[#This Row],[Column13]] * IF($E$2="Deployment",deployment_raw[[#This Row],[Column5]],1)*(1+$W$2))/1048576,"")</f>
        <v/>
      </c>
    </row>
    <row r="561" spans="1:23" ht="15.75" customHeight="1" x14ac:dyDescent="0.25">
      <c r="A561" s="5" t="str">
        <f>IF(ISNONTEXT(deployment_raw[[#This Row],[Column1]]), "", deployment_raw[[#This Row],[Column1]])</f>
        <v/>
      </c>
      <c r="B561" s="6" t="str">
        <f>IF(ISNONTEXT(deployment_raw[[#This Row],[Column2]]), "", deployment_raw[[#This Row],[Column2]])</f>
        <v/>
      </c>
      <c r="C561" s="6" t="str">
        <f>IF(ISNONTEXT(deployment_raw[[#This Row],[Column3]]), "", deployment_raw[[#This Row],[Column3]])</f>
        <v/>
      </c>
      <c r="D561" s="6" t="str">
        <f>IF(ISNONTEXT(deployment_raw[[#This Row],[Column4]]), "", deployment_raw[[#This Row],[Column4]])</f>
        <v/>
      </c>
      <c r="E561" s="7" t="str">
        <f>IF(ISNUMBER(deployment_raw[[#This Row],[Column5]]), deployment_raw[[#This Row],[Column5]],"")</f>
        <v/>
      </c>
      <c r="F561" s="32" t="str">
        <f>IF(ISNUMBER(deployment_raw[[#This Row],[Column17]]), deployment_raw[[#This Row],[Column17]]/IF(OR($E$2="Deployment",deployment_raw[[#This Row],[Column5]]=0),1,deployment_raw[[#This Row],[Column5]]),"")</f>
        <v/>
      </c>
      <c r="G561" s="42" t="str">
        <f>IF(ISNUMBER(deployment_raw[[#This Row],[Column14]]), deployment_raw[[#This Row],[Column14]]/IF(OR($E$2="Deployment",deployment_raw[[#This Row],[Column5]]=0),1,deployment_raw[[#This Row],[Column5]]),"")</f>
        <v/>
      </c>
      <c r="H561" s="79" t="str">
        <f>IF(ISNUMBER(deployment_raw[[#This Row],[Column19]]), IF(I561&lt;&gt;0,(deployment_raw[[#This Row],[Column19]]/IF(OR($E$2="Deployment",deployment_raw[[#This Row],[Column5]]=0),1,deployment_raw[[#This Row],[Column5]]))/I561,0),"")</f>
        <v/>
      </c>
      <c r="I561" s="69" t="str">
        <f>IF(ISNUMBER(deployment_raw[[#This Row],[Column6]]), (deployment_raw[[#This Row],[Column6]] * IF($E$2="Deployment",deployment_raw[[#This Row],[Column5]],1)),"")</f>
        <v/>
      </c>
      <c r="J561" s="79" t="str">
        <f>IF(ISNUMBER(deployment_raw[[#This Row],[Column19]]), IF(K561&lt;&gt;0,(deployment_raw[[#This Row],[Column19]]/IF(OR($E$2="Deployment",deployment_raw[[#This Row],[Column5]]=0),1,deployment_raw[[#This Row],[Column5]]))/K561,0),"")</f>
        <v/>
      </c>
      <c r="K561" s="72" t="str">
        <f>IF(ISNUMBER(deployment_raw[[#This Row],[Column8]]), (deployment_raw[[#This Row],[Column8]]  * IF($E$2="Deployment",deployment_raw[[#This Row],[Column5]],1)),"")</f>
        <v/>
      </c>
      <c r="L56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6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61" s="81" t="str">
        <f>IF(ISNUMBER(deployment_raw[[#This Row],[Column20]]), IF(O561&lt;&gt;0,deployment_raw[[#This Row],[Column20]]/IF(OR($E$2="Deployment",deployment_raw[[#This Row],[Column5]]=0),1,deployment_raw[[#This Row],[Column5]])/1048576/O561,0),"")</f>
        <v/>
      </c>
      <c r="O561" s="74" t="str">
        <f>IF(ISNUMBER(deployment_raw[[#This Row],[Column7]]), (deployment_raw[[#This Row],[Column7]] * IF($E$2="Deployment",deployment_raw[[#This Row],[Column5]],1))/1048576,"")</f>
        <v/>
      </c>
      <c r="P561" s="81" t="str">
        <f>IF(ISNUMBER(deployment_raw[[#This Row],[Column20]]), IF(Q561&lt;&gt;0,deployment_raw[[#This Row],[Column20]]/IF(OR($E$2="Deployment",deployment_raw[[#This Row],[Column5]]=0),1,deployment_raw[[#This Row],[Column5]])/1048576/Q561,0),"")</f>
        <v/>
      </c>
      <c r="Q561" s="76" t="str">
        <f>IF(ISNUMBER(deployment_raw[[#This Row],[Column9]]), (deployment_raw[[#This Row],[Column9]] * IF($E$2="Deployment",deployment_raw[[#This Row],[Column5]],1))/1048576,"")</f>
        <v/>
      </c>
      <c r="R561" s="57" t="str">
        <f>IF(ISNUMBER(deployment_raw[[#This Row],[Column10]]), (deployment_raw[[#This Row],[Column10]] * IF($E$2="Deployment",deployment_raw[[#This Row],[Column5]],1)),"")</f>
        <v/>
      </c>
      <c r="S561" s="48" t="str">
        <f>IF(ISNUMBER(deployment_raw[[#This Row],[Column11]]), (deployment_raw[[#This Row],[Column11]] * IF($E$2="Deployment",deployment_raw[[#This Row],[Column5]],1))/1048576,"")</f>
        <v/>
      </c>
      <c r="T561" s="59" t="str">
        <f>IF(ISNUMBER(deployment_raw[[#This Row],[Column8]]),IF(OR(deployment_raw[[#This Row],[Column5]] &lt;&gt; 0,$E$2 &lt;&gt; "Deployment"), MAX(V561, ($T$2 * IF($E$2="Deployment",deployment_raw[[#This Row],[Column5]],1))), 0),"")</f>
        <v/>
      </c>
      <c r="U561" s="50" t="str">
        <f>IF(ISNUMBER(deployment_raw[[#This Row],[Column9]]),IF(OR(deployment_raw[[#This Row],[Column5]] &lt;&gt; 0,$E$2&lt;&gt;"Deployment"), MAX(W561, ($U$2 * IF($E$2="Deployment",deployment_raw[[#This Row],[Column5]],1))), 0),"")</f>
        <v/>
      </c>
      <c r="V561" s="15" t="str">
        <f>IF(ISNUMBER(deployment_raw[[#This Row],[Column12]]), (deployment_raw[[#This Row],[Column12]] * IF($E$2="Deployment",deployment_raw[[#This Row],[Column5]],1)*(1+$V$2)),"")</f>
        <v/>
      </c>
      <c r="W561" s="14" t="str">
        <f>IF(ISNUMBER(deployment_raw[[#This Row],[Column13]]), (deployment_raw[[#This Row],[Column13]] * IF($E$2="Deployment",deployment_raw[[#This Row],[Column5]],1)*(1+$W$2))/1048576,"")</f>
        <v/>
      </c>
    </row>
    <row r="562" spans="1:23" ht="15.75" customHeight="1" x14ac:dyDescent="0.25">
      <c r="A562" s="5" t="str">
        <f>IF(ISNONTEXT(deployment_raw[[#This Row],[Column1]]), "", deployment_raw[[#This Row],[Column1]])</f>
        <v/>
      </c>
      <c r="B562" s="6" t="str">
        <f>IF(ISNONTEXT(deployment_raw[[#This Row],[Column2]]), "", deployment_raw[[#This Row],[Column2]])</f>
        <v/>
      </c>
      <c r="C562" s="6" t="str">
        <f>IF(ISNONTEXT(deployment_raw[[#This Row],[Column3]]), "", deployment_raw[[#This Row],[Column3]])</f>
        <v/>
      </c>
      <c r="D562" s="6" t="str">
        <f>IF(ISNONTEXT(deployment_raw[[#This Row],[Column4]]), "", deployment_raw[[#This Row],[Column4]])</f>
        <v/>
      </c>
      <c r="E562" s="7" t="str">
        <f>IF(ISNUMBER(deployment_raw[[#This Row],[Column5]]), deployment_raw[[#This Row],[Column5]],"")</f>
        <v/>
      </c>
      <c r="F562" s="32" t="str">
        <f>IF(ISNUMBER(deployment_raw[[#This Row],[Column17]]), deployment_raw[[#This Row],[Column17]]/IF(OR($E$2="Deployment",deployment_raw[[#This Row],[Column5]]=0),1,deployment_raw[[#This Row],[Column5]]),"")</f>
        <v/>
      </c>
      <c r="G562" s="42" t="str">
        <f>IF(ISNUMBER(deployment_raw[[#This Row],[Column14]]), deployment_raw[[#This Row],[Column14]]/IF(OR($E$2="Deployment",deployment_raw[[#This Row],[Column5]]=0),1,deployment_raw[[#This Row],[Column5]]),"")</f>
        <v/>
      </c>
      <c r="H562" s="79" t="str">
        <f>IF(ISNUMBER(deployment_raw[[#This Row],[Column19]]), IF(I562&lt;&gt;0,(deployment_raw[[#This Row],[Column19]]/IF(OR($E$2="Deployment",deployment_raw[[#This Row],[Column5]]=0),1,deployment_raw[[#This Row],[Column5]]))/I562,0),"")</f>
        <v/>
      </c>
      <c r="I562" s="69" t="str">
        <f>IF(ISNUMBER(deployment_raw[[#This Row],[Column6]]), (deployment_raw[[#This Row],[Column6]] * IF($E$2="Deployment",deployment_raw[[#This Row],[Column5]],1)),"")</f>
        <v/>
      </c>
      <c r="J562" s="79" t="str">
        <f>IF(ISNUMBER(deployment_raw[[#This Row],[Column19]]), IF(K562&lt;&gt;0,(deployment_raw[[#This Row],[Column19]]/IF(OR($E$2="Deployment",deployment_raw[[#This Row],[Column5]]=0),1,deployment_raw[[#This Row],[Column5]]))/K562,0),"")</f>
        <v/>
      </c>
      <c r="K562" s="72" t="str">
        <f>IF(ISNUMBER(deployment_raw[[#This Row],[Column8]]), (deployment_raw[[#This Row],[Column8]]  * IF($E$2="Deployment",deployment_raw[[#This Row],[Column5]],1)),"")</f>
        <v/>
      </c>
      <c r="L56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6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62" s="81" t="str">
        <f>IF(ISNUMBER(deployment_raw[[#This Row],[Column20]]), IF(O562&lt;&gt;0,deployment_raw[[#This Row],[Column20]]/IF(OR($E$2="Deployment",deployment_raw[[#This Row],[Column5]]=0),1,deployment_raw[[#This Row],[Column5]])/1048576/O562,0),"")</f>
        <v/>
      </c>
      <c r="O562" s="74" t="str">
        <f>IF(ISNUMBER(deployment_raw[[#This Row],[Column7]]), (deployment_raw[[#This Row],[Column7]] * IF($E$2="Deployment",deployment_raw[[#This Row],[Column5]],1))/1048576,"")</f>
        <v/>
      </c>
      <c r="P562" s="81" t="str">
        <f>IF(ISNUMBER(deployment_raw[[#This Row],[Column20]]), IF(Q562&lt;&gt;0,deployment_raw[[#This Row],[Column20]]/IF(OR($E$2="Deployment",deployment_raw[[#This Row],[Column5]]=0),1,deployment_raw[[#This Row],[Column5]])/1048576/Q562,0),"")</f>
        <v/>
      </c>
      <c r="Q562" s="76" t="str">
        <f>IF(ISNUMBER(deployment_raw[[#This Row],[Column9]]), (deployment_raw[[#This Row],[Column9]] * IF($E$2="Deployment",deployment_raw[[#This Row],[Column5]],1))/1048576,"")</f>
        <v/>
      </c>
      <c r="R562" s="57" t="str">
        <f>IF(ISNUMBER(deployment_raw[[#This Row],[Column10]]), (deployment_raw[[#This Row],[Column10]] * IF($E$2="Deployment",deployment_raw[[#This Row],[Column5]],1)),"")</f>
        <v/>
      </c>
      <c r="S562" s="48" t="str">
        <f>IF(ISNUMBER(deployment_raw[[#This Row],[Column11]]), (deployment_raw[[#This Row],[Column11]] * IF($E$2="Deployment",deployment_raw[[#This Row],[Column5]],1))/1048576,"")</f>
        <v/>
      </c>
      <c r="T562" s="59" t="str">
        <f>IF(ISNUMBER(deployment_raw[[#This Row],[Column8]]),IF(OR(deployment_raw[[#This Row],[Column5]] &lt;&gt; 0,$E$2 &lt;&gt; "Deployment"), MAX(V562, ($T$2 * IF($E$2="Deployment",deployment_raw[[#This Row],[Column5]],1))), 0),"")</f>
        <v/>
      </c>
      <c r="U562" s="50" t="str">
        <f>IF(ISNUMBER(deployment_raw[[#This Row],[Column9]]),IF(OR(deployment_raw[[#This Row],[Column5]] &lt;&gt; 0,$E$2&lt;&gt;"Deployment"), MAX(W562, ($U$2 * IF($E$2="Deployment",deployment_raw[[#This Row],[Column5]],1))), 0),"")</f>
        <v/>
      </c>
      <c r="V562" s="15" t="str">
        <f>IF(ISNUMBER(deployment_raw[[#This Row],[Column12]]), (deployment_raw[[#This Row],[Column12]] * IF($E$2="Deployment",deployment_raw[[#This Row],[Column5]],1)*(1+$V$2)),"")</f>
        <v/>
      </c>
      <c r="W562" s="14" t="str">
        <f>IF(ISNUMBER(deployment_raw[[#This Row],[Column13]]), (deployment_raw[[#This Row],[Column13]] * IF($E$2="Deployment",deployment_raw[[#This Row],[Column5]],1)*(1+$W$2))/1048576,"")</f>
        <v/>
      </c>
    </row>
    <row r="563" spans="1:23" ht="15.75" customHeight="1" x14ac:dyDescent="0.25">
      <c r="A563" s="5" t="str">
        <f>IF(ISNONTEXT(deployment_raw[[#This Row],[Column1]]), "", deployment_raw[[#This Row],[Column1]])</f>
        <v/>
      </c>
      <c r="B563" s="6" t="str">
        <f>IF(ISNONTEXT(deployment_raw[[#This Row],[Column2]]), "", deployment_raw[[#This Row],[Column2]])</f>
        <v/>
      </c>
      <c r="C563" s="6" t="str">
        <f>IF(ISNONTEXT(deployment_raw[[#This Row],[Column3]]), "", deployment_raw[[#This Row],[Column3]])</f>
        <v/>
      </c>
      <c r="D563" s="6" t="str">
        <f>IF(ISNONTEXT(deployment_raw[[#This Row],[Column4]]), "", deployment_raw[[#This Row],[Column4]])</f>
        <v/>
      </c>
      <c r="E563" s="7" t="str">
        <f>IF(ISNUMBER(deployment_raw[[#This Row],[Column5]]), deployment_raw[[#This Row],[Column5]],"")</f>
        <v/>
      </c>
      <c r="F563" s="32" t="str">
        <f>IF(ISNUMBER(deployment_raw[[#This Row],[Column17]]), deployment_raw[[#This Row],[Column17]]/IF(OR($E$2="Deployment",deployment_raw[[#This Row],[Column5]]=0),1,deployment_raw[[#This Row],[Column5]]),"")</f>
        <v/>
      </c>
      <c r="G563" s="42" t="str">
        <f>IF(ISNUMBER(deployment_raw[[#This Row],[Column14]]), deployment_raw[[#This Row],[Column14]]/IF(OR($E$2="Deployment",deployment_raw[[#This Row],[Column5]]=0),1,deployment_raw[[#This Row],[Column5]]),"")</f>
        <v/>
      </c>
      <c r="H563" s="79" t="str">
        <f>IF(ISNUMBER(deployment_raw[[#This Row],[Column19]]), IF(I563&lt;&gt;0,(deployment_raw[[#This Row],[Column19]]/IF(OR($E$2="Deployment",deployment_raw[[#This Row],[Column5]]=0),1,deployment_raw[[#This Row],[Column5]]))/I563,0),"")</f>
        <v/>
      </c>
      <c r="I563" s="69" t="str">
        <f>IF(ISNUMBER(deployment_raw[[#This Row],[Column6]]), (deployment_raw[[#This Row],[Column6]] * IF($E$2="Deployment",deployment_raw[[#This Row],[Column5]],1)),"")</f>
        <v/>
      </c>
      <c r="J563" s="79" t="str">
        <f>IF(ISNUMBER(deployment_raw[[#This Row],[Column19]]), IF(K563&lt;&gt;0,(deployment_raw[[#This Row],[Column19]]/IF(OR($E$2="Deployment",deployment_raw[[#This Row],[Column5]]=0),1,deployment_raw[[#This Row],[Column5]]))/K563,0),"")</f>
        <v/>
      </c>
      <c r="K563" s="72" t="str">
        <f>IF(ISNUMBER(deployment_raw[[#This Row],[Column8]]), (deployment_raw[[#This Row],[Column8]]  * IF($E$2="Deployment",deployment_raw[[#This Row],[Column5]],1)),"")</f>
        <v/>
      </c>
      <c r="L56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6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63" s="81" t="str">
        <f>IF(ISNUMBER(deployment_raw[[#This Row],[Column20]]), IF(O563&lt;&gt;0,deployment_raw[[#This Row],[Column20]]/IF(OR($E$2="Deployment",deployment_raw[[#This Row],[Column5]]=0),1,deployment_raw[[#This Row],[Column5]])/1048576/O563,0),"")</f>
        <v/>
      </c>
      <c r="O563" s="74" t="str">
        <f>IF(ISNUMBER(deployment_raw[[#This Row],[Column7]]), (deployment_raw[[#This Row],[Column7]] * IF($E$2="Deployment",deployment_raw[[#This Row],[Column5]],1))/1048576,"")</f>
        <v/>
      </c>
      <c r="P563" s="81" t="str">
        <f>IF(ISNUMBER(deployment_raw[[#This Row],[Column20]]), IF(Q563&lt;&gt;0,deployment_raw[[#This Row],[Column20]]/IF(OR($E$2="Deployment",deployment_raw[[#This Row],[Column5]]=0),1,deployment_raw[[#This Row],[Column5]])/1048576/Q563,0),"")</f>
        <v/>
      </c>
      <c r="Q563" s="76" t="str">
        <f>IF(ISNUMBER(deployment_raw[[#This Row],[Column9]]), (deployment_raw[[#This Row],[Column9]] * IF($E$2="Deployment",deployment_raw[[#This Row],[Column5]],1))/1048576,"")</f>
        <v/>
      </c>
      <c r="R563" s="57" t="str">
        <f>IF(ISNUMBER(deployment_raw[[#This Row],[Column10]]), (deployment_raw[[#This Row],[Column10]] * IF($E$2="Deployment",deployment_raw[[#This Row],[Column5]],1)),"")</f>
        <v/>
      </c>
      <c r="S563" s="48" t="str">
        <f>IF(ISNUMBER(deployment_raw[[#This Row],[Column11]]), (deployment_raw[[#This Row],[Column11]] * IF($E$2="Deployment",deployment_raw[[#This Row],[Column5]],1))/1048576,"")</f>
        <v/>
      </c>
      <c r="T563" s="59" t="str">
        <f>IF(ISNUMBER(deployment_raw[[#This Row],[Column8]]),IF(OR(deployment_raw[[#This Row],[Column5]] &lt;&gt; 0,$E$2 &lt;&gt; "Deployment"), MAX(V563, ($T$2 * IF($E$2="Deployment",deployment_raw[[#This Row],[Column5]],1))), 0),"")</f>
        <v/>
      </c>
      <c r="U563" s="50" t="str">
        <f>IF(ISNUMBER(deployment_raw[[#This Row],[Column9]]),IF(OR(deployment_raw[[#This Row],[Column5]] &lt;&gt; 0,$E$2&lt;&gt;"Deployment"), MAX(W563, ($U$2 * IF($E$2="Deployment",deployment_raw[[#This Row],[Column5]],1))), 0),"")</f>
        <v/>
      </c>
      <c r="V563" s="15" t="str">
        <f>IF(ISNUMBER(deployment_raw[[#This Row],[Column12]]), (deployment_raw[[#This Row],[Column12]] * IF($E$2="Deployment",deployment_raw[[#This Row],[Column5]],1)*(1+$V$2)),"")</f>
        <v/>
      </c>
      <c r="W563" s="14" t="str">
        <f>IF(ISNUMBER(deployment_raw[[#This Row],[Column13]]), (deployment_raw[[#This Row],[Column13]] * IF($E$2="Deployment",deployment_raw[[#This Row],[Column5]],1)*(1+$W$2))/1048576,"")</f>
        <v/>
      </c>
    </row>
    <row r="564" spans="1:23" ht="15.75" customHeight="1" x14ac:dyDescent="0.25">
      <c r="A564" s="5" t="str">
        <f>IF(ISNONTEXT(deployment_raw[[#This Row],[Column1]]), "", deployment_raw[[#This Row],[Column1]])</f>
        <v/>
      </c>
      <c r="B564" s="6" t="str">
        <f>IF(ISNONTEXT(deployment_raw[[#This Row],[Column2]]), "", deployment_raw[[#This Row],[Column2]])</f>
        <v/>
      </c>
      <c r="C564" s="6" t="str">
        <f>IF(ISNONTEXT(deployment_raw[[#This Row],[Column3]]), "", deployment_raw[[#This Row],[Column3]])</f>
        <v/>
      </c>
      <c r="D564" s="6" t="str">
        <f>IF(ISNONTEXT(deployment_raw[[#This Row],[Column4]]), "", deployment_raw[[#This Row],[Column4]])</f>
        <v/>
      </c>
      <c r="E564" s="7" t="str">
        <f>IF(ISNUMBER(deployment_raw[[#This Row],[Column5]]), deployment_raw[[#This Row],[Column5]],"")</f>
        <v/>
      </c>
      <c r="F564" s="32" t="str">
        <f>IF(ISNUMBER(deployment_raw[[#This Row],[Column17]]), deployment_raw[[#This Row],[Column17]]/IF(OR($E$2="Deployment",deployment_raw[[#This Row],[Column5]]=0),1,deployment_raw[[#This Row],[Column5]]),"")</f>
        <v/>
      </c>
      <c r="G564" s="42" t="str">
        <f>IF(ISNUMBER(deployment_raw[[#This Row],[Column14]]), deployment_raw[[#This Row],[Column14]]/IF(OR($E$2="Deployment",deployment_raw[[#This Row],[Column5]]=0),1,deployment_raw[[#This Row],[Column5]]),"")</f>
        <v/>
      </c>
      <c r="H564" s="79" t="str">
        <f>IF(ISNUMBER(deployment_raw[[#This Row],[Column19]]), IF(I564&lt;&gt;0,(deployment_raw[[#This Row],[Column19]]/IF(OR($E$2="Deployment",deployment_raw[[#This Row],[Column5]]=0),1,deployment_raw[[#This Row],[Column5]]))/I564,0),"")</f>
        <v/>
      </c>
      <c r="I564" s="69" t="str">
        <f>IF(ISNUMBER(deployment_raw[[#This Row],[Column6]]), (deployment_raw[[#This Row],[Column6]] * IF($E$2="Deployment",deployment_raw[[#This Row],[Column5]],1)),"")</f>
        <v/>
      </c>
      <c r="J564" s="79" t="str">
        <f>IF(ISNUMBER(deployment_raw[[#This Row],[Column19]]), IF(K564&lt;&gt;0,(deployment_raw[[#This Row],[Column19]]/IF(OR($E$2="Deployment",deployment_raw[[#This Row],[Column5]]=0),1,deployment_raw[[#This Row],[Column5]]))/K564,0),"")</f>
        <v/>
      </c>
      <c r="K564" s="72" t="str">
        <f>IF(ISNUMBER(deployment_raw[[#This Row],[Column8]]), (deployment_raw[[#This Row],[Column8]]  * IF($E$2="Deployment",deployment_raw[[#This Row],[Column5]],1)),"")</f>
        <v/>
      </c>
      <c r="L56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6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64" s="81" t="str">
        <f>IF(ISNUMBER(deployment_raw[[#This Row],[Column20]]), IF(O564&lt;&gt;0,deployment_raw[[#This Row],[Column20]]/IF(OR($E$2="Deployment",deployment_raw[[#This Row],[Column5]]=0),1,deployment_raw[[#This Row],[Column5]])/1048576/O564,0),"")</f>
        <v/>
      </c>
      <c r="O564" s="74" t="str">
        <f>IF(ISNUMBER(deployment_raw[[#This Row],[Column7]]), (deployment_raw[[#This Row],[Column7]] * IF($E$2="Deployment",deployment_raw[[#This Row],[Column5]],1))/1048576,"")</f>
        <v/>
      </c>
      <c r="P564" s="81" t="str">
        <f>IF(ISNUMBER(deployment_raw[[#This Row],[Column20]]), IF(Q564&lt;&gt;0,deployment_raw[[#This Row],[Column20]]/IF(OR($E$2="Deployment",deployment_raw[[#This Row],[Column5]]=0),1,deployment_raw[[#This Row],[Column5]])/1048576/Q564,0),"")</f>
        <v/>
      </c>
      <c r="Q564" s="76" t="str">
        <f>IF(ISNUMBER(deployment_raw[[#This Row],[Column9]]), (deployment_raw[[#This Row],[Column9]] * IF($E$2="Deployment",deployment_raw[[#This Row],[Column5]],1))/1048576,"")</f>
        <v/>
      </c>
      <c r="R564" s="57" t="str">
        <f>IF(ISNUMBER(deployment_raw[[#This Row],[Column10]]), (deployment_raw[[#This Row],[Column10]] * IF($E$2="Deployment",deployment_raw[[#This Row],[Column5]],1)),"")</f>
        <v/>
      </c>
      <c r="S564" s="48" t="str">
        <f>IF(ISNUMBER(deployment_raw[[#This Row],[Column11]]), (deployment_raw[[#This Row],[Column11]] * IF($E$2="Deployment",deployment_raw[[#This Row],[Column5]],1))/1048576,"")</f>
        <v/>
      </c>
      <c r="T564" s="59" t="str">
        <f>IF(ISNUMBER(deployment_raw[[#This Row],[Column8]]),IF(OR(deployment_raw[[#This Row],[Column5]] &lt;&gt; 0,$E$2 &lt;&gt; "Deployment"), MAX(V564, ($T$2 * IF($E$2="Deployment",deployment_raw[[#This Row],[Column5]],1))), 0),"")</f>
        <v/>
      </c>
      <c r="U564" s="50" t="str">
        <f>IF(ISNUMBER(deployment_raw[[#This Row],[Column9]]),IF(OR(deployment_raw[[#This Row],[Column5]] &lt;&gt; 0,$E$2&lt;&gt;"Deployment"), MAX(W564, ($U$2 * IF($E$2="Deployment",deployment_raw[[#This Row],[Column5]],1))), 0),"")</f>
        <v/>
      </c>
      <c r="V564" s="15" t="str">
        <f>IF(ISNUMBER(deployment_raw[[#This Row],[Column12]]), (deployment_raw[[#This Row],[Column12]] * IF($E$2="Deployment",deployment_raw[[#This Row],[Column5]],1)*(1+$V$2)),"")</f>
        <v/>
      </c>
      <c r="W564" s="14" t="str">
        <f>IF(ISNUMBER(deployment_raw[[#This Row],[Column13]]), (deployment_raw[[#This Row],[Column13]] * IF($E$2="Deployment",deployment_raw[[#This Row],[Column5]],1)*(1+$W$2))/1048576,"")</f>
        <v/>
      </c>
    </row>
    <row r="565" spans="1:23" ht="15.75" customHeight="1" x14ac:dyDescent="0.25">
      <c r="A565" s="5" t="str">
        <f>IF(ISNONTEXT(deployment_raw[[#This Row],[Column1]]), "", deployment_raw[[#This Row],[Column1]])</f>
        <v/>
      </c>
      <c r="B565" s="6" t="str">
        <f>IF(ISNONTEXT(deployment_raw[[#This Row],[Column2]]), "", deployment_raw[[#This Row],[Column2]])</f>
        <v/>
      </c>
      <c r="C565" s="6" t="str">
        <f>IF(ISNONTEXT(deployment_raw[[#This Row],[Column3]]), "", deployment_raw[[#This Row],[Column3]])</f>
        <v/>
      </c>
      <c r="D565" s="6" t="str">
        <f>IF(ISNONTEXT(deployment_raw[[#This Row],[Column4]]), "", deployment_raw[[#This Row],[Column4]])</f>
        <v/>
      </c>
      <c r="E565" s="7" t="str">
        <f>IF(ISNUMBER(deployment_raw[[#This Row],[Column5]]), deployment_raw[[#This Row],[Column5]],"")</f>
        <v/>
      </c>
      <c r="F565" s="32" t="str">
        <f>IF(ISNUMBER(deployment_raw[[#This Row],[Column17]]), deployment_raw[[#This Row],[Column17]]/IF(OR($E$2="Deployment",deployment_raw[[#This Row],[Column5]]=0),1,deployment_raw[[#This Row],[Column5]]),"")</f>
        <v/>
      </c>
      <c r="G565" s="42" t="str">
        <f>IF(ISNUMBER(deployment_raw[[#This Row],[Column14]]), deployment_raw[[#This Row],[Column14]]/IF(OR($E$2="Deployment",deployment_raw[[#This Row],[Column5]]=0),1,deployment_raw[[#This Row],[Column5]]),"")</f>
        <v/>
      </c>
      <c r="H565" s="79" t="str">
        <f>IF(ISNUMBER(deployment_raw[[#This Row],[Column19]]), IF(I565&lt;&gt;0,(deployment_raw[[#This Row],[Column19]]/IF(OR($E$2="Deployment",deployment_raw[[#This Row],[Column5]]=0),1,deployment_raw[[#This Row],[Column5]]))/I565,0),"")</f>
        <v/>
      </c>
      <c r="I565" s="69" t="str">
        <f>IF(ISNUMBER(deployment_raw[[#This Row],[Column6]]), (deployment_raw[[#This Row],[Column6]] * IF($E$2="Deployment",deployment_raw[[#This Row],[Column5]],1)),"")</f>
        <v/>
      </c>
      <c r="J565" s="79" t="str">
        <f>IF(ISNUMBER(deployment_raw[[#This Row],[Column19]]), IF(K565&lt;&gt;0,(deployment_raw[[#This Row],[Column19]]/IF(OR($E$2="Deployment",deployment_raw[[#This Row],[Column5]]=0),1,deployment_raw[[#This Row],[Column5]]))/K565,0),"")</f>
        <v/>
      </c>
      <c r="K565" s="72" t="str">
        <f>IF(ISNUMBER(deployment_raw[[#This Row],[Column8]]), (deployment_raw[[#This Row],[Column8]]  * IF($E$2="Deployment",deployment_raw[[#This Row],[Column5]],1)),"")</f>
        <v/>
      </c>
      <c r="L56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6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65" s="81" t="str">
        <f>IF(ISNUMBER(deployment_raw[[#This Row],[Column20]]), IF(O565&lt;&gt;0,deployment_raw[[#This Row],[Column20]]/IF(OR($E$2="Deployment",deployment_raw[[#This Row],[Column5]]=0),1,deployment_raw[[#This Row],[Column5]])/1048576/O565,0),"")</f>
        <v/>
      </c>
      <c r="O565" s="74" t="str">
        <f>IF(ISNUMBER(deployment_raw[[#This Row],[Column7]]), (deployment_raw[[#This Row],[Column7]] * IF($E$2="Deployment",deployment_raw[[#This Row],[Column5]],1))/1048576,"")</f>
        <v/>
      </c>
      <c r="P565" s="81" t="str">
        <f>IF(ISNUMBER(deployment_raw[[#This Row],[Column20]]), IF(Q565&lt;&gt;0,deployment_raw[[#This Row],[Column20]]/IF(OR($E$2="Deployment",deployment_raw[[#This Row],[Column5]]=0),1,deployment_raw[[#This Row],[Column5]])/1048576/Q565,0),"")</f>
        <v/>
      </c>
      <c r="Q565" s="76" t="str">
        <f>IF(ISNUMBER(deployment_raw[[#This Row],[Column9]]), (deployment_raw[[#This Row],[Column9]] * IF($E$2="Deployment",deployment_raw[[#This Row],[Column5]],1))/1048576,"")</f>
        <v/>
      </c>
      <c r="R565" s="57" t="str">
        <f>IF(ISNUMBER(deployment_raw[[#This Row],[Column10]]), (deployment_raw[[#This Row],[Column10]] * IF($E$2="Deployment",deployment_raw[[#This Row],[Column5]],1)),"")</f>
        <v/>
      </c>
      <c r="S565" s="48" t="str">
        <f>IF(ISNUMBER(deployment_raw[[#This Row],[Column11]]), (deployment_raw[[#This Row],[Column11]] * IF($E$2="Deployment",deployment_raw[[#This Row],[Column5]],1))/1048576,"")</f>
        <v/>
      </c>
      <c r="T565" s="59" t="str">
        <f>IF(ISNUMBER(deployment_raw[[#This Row],[Column8]]),IF(OR(deployment_raw[[#This Row],[Column5]] &lt;&gt; 0,$E$2 &lt;&gt; "Deployment"), MAX(V565, ($T$2 * IF($E$2="Deployment",deployment_raw[[#This Row],[Column5]],1))), 0),"")</f>
        <v/>
      </c>
      <c r="U565" s="50" t="str">
        <f>IF(ISNUMBER(deployment_raw[[#This Row],[Column9]]),IF(OR(deployment_raw[[#This Row],[Column5]] &lt;&gt; 0,$E$2&lt;&gt;"Deployment"), MAX(W565, ($U$2 * IF($E$2="Deployment",deployment_raw[[#This Row],[Column5]],1))), 0),"")</f>
        <v/>
      </c>
      <c r="V565" s="15" t="str">
        <f>IF(ISNUMBER(deployment_raw[[#This Row],[Column12]]), (deployment_raw[[#This Row],[Column12]] * IF($E$2="Deployment",deployment_raw[[#This Row],[Column5]],1)*(1+$V$2)),"")</f>
        <v/>
      </c>
      <c r="W565" s="14" t="str">
        <f>IF(ISNUMBER(deployment_raw[[#This Row],[Column13]]), (deployment_raw[[#This Row],[Column13]] * IF($E$2="Deployment",deployment_raw[[#This Row],[Column5]],1)*(1+$W$2))/1048576,"")</f>
        <v/>
      </c>
    </row>
    <row r="566" spans="1:23" ht="15.75" customHeight="1" x14ac:dyDescent="0.25">
      <c r="A566" s="5" t="str">
        <f>IF(ISNONTEXT(deployment_raw[[#This Row],[Column1]]), "", deployment_raw[[#This Row],[Column1]])</f>
        <v/>
      </c>
      <c r="B566" s="6" t="str">
        <f>IF(ISNONTEXT(deployment_raw[[#This Row],[Column2]]), "", deployment_raw[[#This Row],[Column2]])</f>
        <v/>
      </c>
      <c r="C566" s="6" t="str">
        <f>IF(ISNONTEXT(deployment_raw[[#This Row],[Column3]]), "", deployment_raw[[#This Row],[Column3]])</f>
        <v/>
      </c>
      <c r="D566" s="6" t="str">
        <f>IF(ISNONTEXT(deployment_raw[[#This Row],[Column4]]), "", deployment_raw[[#This Row],[Column4]])</f>
        <v/>
      </c>
      <c r="E566" s="7" t="str">
        <f>IF(ISNUMBER(deployment_raw[[#This Row],[Column5]]), deployment_raw[[#This Row],[Column5]],"")</f>
        <v/>
      </c>
      <c r="F566" s="32" t="str">
        <f>IF(ISNUMBER(deployment_raw[[#This Row],[Column17]]), deployment_raw[[#This Row],[Column17]]/IF(OR($E$2="Deployment",deployment_raw[[#This Row],[Column5]]=0),1,deployment_raw[[#This Row],[Column5]]),"")</f>
        <v/>
      </c>
      <c r="G566" s="42" t="str">
        <f>IF(ISNUMBER(deployment_raw[[#This Row],[Column14]]), deployment_raw[[#This Row],[Column14]]/IF(OR($E$2="Deployment",deployment_raw[[#This Row],[Column5]]=0),1,deployment_raw[[#This Row],[Column5]]),"")</f>
        <v/>
      </c>
      <c r="H566" s="79" t="str">
        <f>IF(ISNUMBER(deployment_raw[[#This Row],[Column19]]), IF(I566&lt;&gt;0,(deployment_raw[[#This Row],[Column19]]/IF(OR($E$2="Deployment",deployment_raw[[#This Row],[Column5]]=0),1,deployment_raw[[#This Row],[Column5]]))/I566,0),"")</f>
        <v/>
      </c>
      <c r="I566" s="69" t="str">
        <f>IF(ISNUMBER(deployment_raw[[#This Row],[Column6]]), (deployment_raw[[#This Row],[Column6]] * IF($E$2="Deployment",deployment_raw[[#This Row],[Column5]],1)),"")</f>
        <v/>
      </c>
      <c r="J566" s="79" t="str">
        <f>IF(ISNUMBER(deployment_raw[[#This Row],[Column19]]), IF(K566&lt;&gt;0,(deployment_raw[[#This Row],[Column19]]/IF(OR($E$2="Deployment",deployment_raw[[#This Row],[Column5]]=0),1,deployment_raw[[#This Row],[Column5]]))/K566,0),"")</f>
        <v/>
      </c>
      <c r="K566" s="72" t="str">
        <f>IF(ISNUMBER(deployment_raw[[#This Row],[Column8]]), (deployment_raw[[#This Row],[Column8]]  * IF($E$2="Deployment",deployment_raw[[#This Row],[Column5]],1)),"")</f>
        <v/>
      </c>
      <c r="L56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6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66" s="81" t="str">
        <f>IF(ISNUMBER(deployment_raw[[#This Row],[Column20]]), IF(O566&lt;&gt;0,deployment_raw[[#This Row],[Column20]]/IF(OR($E$2="Deployment",deployment_raw[[#This Row],[Column5]]=0),1,deployment_raw[[#This Row],[Column5]])/1048576/O566,0),"")</f>
        <v/>
      </c>
      <c r="O566" s="74" t="str">
        <f>IF(ISNUMBER(deployment_raw[[#This Row],[Column7]]), (deployment_raw[[#This Row],[Column7]] * IF($E$2="Deployment",deployment_raw[[#This Row],[Column5]],1))/1048576,"")</f>
        <v/>
      </c>
      <c r="P566" s="81" t="str">
        <f>IF(ISNUMBER(deployment_raw[[#This Row],[Column20]]), IF(Q566&lt;&gt;0,deployment_raw[[#This Row],[Column20]]/IF(OR($E$2="Deployment",deployment_raw[[#This Row],[Column5]]=0),1,deployment_raw[[#This Row],[Column5]])/1048576/Q566,0),"")</f>
        <v/>
      </c>
      <c r="Q566" s="76" t="str">
        <f>IF(ISNUMBER(deployment_raw[[#This Row],[Column9]]), (deployment_raw[[#This Row],[Column9]] * IF($E$2="Deployment",deployment_raw[[#This Row],[Column5]],1))/1048576,"")</f>
        <v/>
      </c>
      <c r="R566" s="57" t="str">
        <f>IF(ISNUMBER(deployment_raw[[#This Row],[Column10]]), (deployment_raw[[#This Row],[Column10]] * IF($E$2="Deployment",deployment_raw[[#This Row],[Column5]],1)),"")</f>
        <v/>
      </c>
      <c r="S566" s="48" t="str">
        <f>IF(ISNUMBER(deployment_raw[[#This Row],[Column11]]), (deployment_raw[[#This Row],[Column11]] * IF($E$2="Deployment",deployment_raw[[#This Row],[Column5]],1))/1048576,"")</f>
        <v/>
      </c>
      <c r="T566" s="59" t="str">
        <f>IF(ISNUMBER(deployment_raw[[#This Row],[Column8]]),IF(OR(deployment_raw[[#This Row],[Column5]] &lt;&gt; 0,$E$2 &lt;&gt; "Deployment"), MAX(V566, ($T$2 * IF($E$2="Deployment",deployment_raw[[#This Row],[Column5]],1))), 0),"")</f>
        <v/>
      </c>
      <c r="U566" s="50" t="str">
        <f>IF(ISNUMBER(deployment_raw[[#This Row],[Column9]]),IF(OR(deployment_raw[[#This Row],[Column5]] &lt;&gt; 0,$E$2&lt;&gt;"Deployment"), MAX(W566, ($U$2 * IF($E$2="Deployment",deployment_raw[[#This Row],[Column5]],1))), 0),"")</f>
        <v/>
      </c>
      <c r="V566" s="15" t="str">
        <f>IF(ISNUMBER(deployment_raw[[#This Row],[Column12]]), (deployment_raw[[#This Row],[Column12]] * IF($E$2="Deployment",deployment_raw[[#This Row],[Column5]],1)*(1+$V$2)),"")</f>
        <v/>
      </c>
      <c r="W566" s="14" t="str">
        <f>IF(ISNUMBER(deployment_raw[[#This Row],[Column13]]), (deployment_raw[[#This Row],[Column13]] * IF($E$2="Deployment",deployment_raw[[#This Row],[Column5]],1)*(1+$W$2))/1048576,"")</f>
        <v/>
      </c>
    </row>
    <row r="567" spans="1:23" ht="15.75" customHeight="1" x14ac:dyDescent="0.25">
      <c r="A567" s="5" t="str">
        <f>IF(ISNONTEXT(deployment_raw[[#This Row],[Column1]]), "", deployment_raw[[#This Row],[Column1]])</f>
        <v/>
      </c>
      <c r="B567" s="6" t="str">
        <f>IF(ISNONTEXT(deployment_raw[[#This Row],[Column2]]), "", deployment_raw[[#This Row],[Column2]])</f>
        <v/>
      </c>
      <c r="C567" s="6" t="str">
        <f>IF(ISNONTEXT(deployment_raw[[#This Row],[Column3]]), "", deployment_raw[[#This Row],[Column3]])</f>
        <v/>
      </c>
      <c r="D567" s="6" t="str">
        <f>IF(ISNONTEXT(deployment_raw[[#This Row],[Column4]]), "", deployment_raw[[#This Row],[Column4]])</f>
        <v/>
      </c>
      <c r="E567" s="7" t="str">
        <f>IF(ISNUMBER(deployment_raw[[#This Row],[Column5]]), deployment_raw[[#This Row],[Column5]],"")</f>
        <v/>
      </c>
      <c r="F567" s="32" t="str">
        <f>IF(ISNUMBER(deployment_raw[[#This Row],[Column17]]), deployment_raw[[#This Row],[Column17]]/IF(OR($E$2="Deployment",deployment_raw[[#This Row],[Column5]]=0),1,deployment_raw[[#This Row],[Column5]]),"")</f>
        <v/>
      </c>
      <c r="G567" s="42" t="str">
        <f>IF(ISNUMBER(deployment_raw[[#This Row],[Column14]]), deployment_raw[[#This Row],[Column14]]/IF(OR($E$2="Deployment",deployment_raw[[#This Row],[Column5]]=0),1,deployment_raw[[#This Row],[Column5]]),"")</f>
        <v/>
      </c>
      <c r="H567" s="79" t="str">
        <f>IF(ISNUMBER(deployment_raw[[#This Row],[Column19]]), IF(I567&lt;&gt;0,(deployment_raw[[#This Row],[Column19]]/IF(OR($E$2="Deployment",deployment_raw[[#This Row],[Column5]]=0),1,deployment_raw[[#This Row],[Column5]]))/I567,0),"")</f>
        <v/>
      </c>
      <c r="I567" s="69" t="str">
        <f>IF(ISNUMBER(deployment_raw[[#This Row],[Column6]]), (deployment_raw[[#This Row],[Column6]] * IF($E$2="Deployment",deployment_raw[[#This Row],[Column5]],1)),"")</f>
        <v/>
      </c>
      <c r="J567" s="79" t="str">
        <f>IF(ISNUMBER(deployment_raw[[#This Row],[Column19]]), IF(K567&lt;&gt;0,(deployment_raw[[#This Row],[Column19]]/IF(OR($E$2="Deployment",deployment_raw[[#This Row],[Column5]]=0),1,deployment_raw[[#This Row],[Column5]]))/K567,0),"")</f>
        <v/>
      </c>
      <c r="K567" s="72" t="str">
        <f>IF(ISNUMBER(deployment_raw[[#This Row],[Column8]]), (deployment_raw[[#This Row],[Column8]]  * IF($E$2="Deployment",deployment_raw[[#This Row],[Column5]],1)),"")</f>
        <v/>
      </c>
      <c r="L56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6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67" s="81" t="str">
        <f>IF(ISNUMBER(deployment_raw[[#This Row],[Column20]]), IF(O567&lt;&gt;0,deployment_raw[[#This Row],[Column20]]/IF(OR($E$2="Deployment",deployment_raw[[#This Row],[Column5]]=0),1,deployment_raw[[#This Row],[Column5]])/1048576/O567,0),"")</f>
        <v/>
      </c>
      <c r="O567" s="74" t="str">
        <f>IF(ISNUMBER(deployment_raw[[#This Row],[Column7]]), (deployment_raw[[#This Row],[Column7]] * IF($E$2="Deployment",deployment_raw[[#This Row],[Column5]],1))/1048576,"")</f>
        <v/>
      </c>
      <c r="P567" s="81" t="str">
        <f>IF(ISNUMBER(deployment_raw[[#This Row],[Column20]]), IF(Q567&lt;&gt;0,deployment_raw[[#This Row],[Column20]]/IF(OR($E$2="Deployment",deployment_raw[[#This Row],[Column5]]=0),1,deployment_raw[[#This Row],[Column5]])/1048576/Q567,0),"")</f>
        <v/>
      </c>
      <c r="Q567" s="76" t="str">
        <f>IF(ISNUMBER(deployment_raw[[#This Row],[Column9]]), (deployment_raw[[#This Row],[Column9]] * IF($E$2="Deployment",deployment_raw[[#This Row],[Column5]],1))/1048576,"")</f>
        <v/>
      </c>
      <c r="R567" s="57" t="str">
        <f>IF(ISNUMBER(deployment_raw[[#This Row],[Column10]]), (deployment_raw[[#This Row],[Column10]] * IF($E$2="Deployment",deployment_raw[[#This Row],[Column5]],1)),"")</f>
        <v/>
      </c>
      <c r="S567" s="48" t="str">
        <f>IF(ISNUMBER(deployment_raw[[#This Row],[Column11]]), (deployment_raw[[#This Row],[Column11]] * IF($E$2="Deployment",deployment_raw[[#This Row],[Column5]],1))/1048576,"")</f>
        <v/>
      </c>
      <c r="T567" s="59" t="str">
        <f>IF(ISNUMBER(deployment_raw[[#This Row],[Column8]]),IF(OR(deployment_raw[[#This Row],[Column5]] &lt;&gt; 0,$E$2 &lt;&gt; "Deployment"), MAX(V567, ($T$2 * IF($E$2="Deployment",deployment_raw[[#This Row],[Column5]],1))), 0),"")</f>
        <v/>
      </c>
      <c r="U567" s="50" t="str">
        <f>IF(ISNUMBER(deployment_raw[[#This Row],[Column9]]),IF(OR(deployment_raw[[#This Row],[Column5]] &lt;&gt; 0,$E$2&lt;&gt;"Deployment"), MAX(W567, ($U$2 * IF($E$2="Deployment",deployment_raw[[#This Row],[Column5]],1))), 0),"")</f>
        <v/>
      </c>
      <c r="V567" s="15" t="str">
        <f>IF(ISNUMBER(deployment_raw[[#This Row],[Column12]]), (deployment_raw[[#This Row],[Column12]] * IF($E$2="Deployment",deployment_raw[[#This Row],[Column5]],1)*(1+$V$2)),"")</f>
        <v/>
      </c>
      <c r="W567" s="14" t="str">
        <f>IF(ISNUMBER(deployment_raw[[#This Row],[Column13]]), (deployment_raw[[#This Row],[Column13]] * IF($E$2="Deployment",deployment_raw[[#This Row],[Column5]],1)*(1+$W$2))/1048576,"")</f>
        <v/>
      </c>
    </row>
    <row r="568" spans="1:23" ht="15.75" customHeight="1" x14ac:dyDescent="0.25">
      <c r="A568" s="5" t="str">
        <f>IF(ISNONTEXT(deployment_raw[[#This Row],[Column1]]), "", deployment_raw[[#This Row],[Column1]])</f>
        <v/>
      </c>
      <c r="B568" s="6" t="str">
        <f>IF(ISNONTEXT(deployment_raw[[#This Row],[Column2]]), "", deployment_raw[[#This Row],[Column2]])</f>
        <v/>
      </c>
      <c r="C568" s="6" t="str">
        <f>IF(ISNONTEXT(deployment_raw[[#This Row],[Column3]]), "", deployment_raw[[#This Row],[Column3]])</f>
        <v/>
      </c>
      <c r="D568" s="6" t="str">
        <f>IF(ISNONTEXT(deployment_raw[[#This Row],[Column4]]), "", deployment_raw[[#This Row],[Column4]])</f>
        <v/>
      </c>
      <c r="E568" s="7" t="str">
        <f>IF(ISNUMBER(deployment_raw[[#This Row],[Column5]]), deployment_raw[[#This Row],[Column5]],"")</f>
        <v/>
      </c>
      <c r="F568" s="32" t="str">
        <f>IF(ISNUMBER(deployment_raw[[#This Row],[Column17]]), deployment_raw[[#This Row],[Column17]]/IF(OR($E$2="Deployment",deployment_raw[[#This Row],[Column5]]=0),1,deployment_raw[[#This Row],[Column5]]),"")</f>
        <v/>
      </c>
      <c r="G568" s="42" t="str">
        <f>IF(ISNUMBER(deployment_raw[[#This Row],[Column14]]), deployment_raw[[#This Row],[Column14]]/IF(OR($E$2="Deployment",deployment_raw[[#This Row],[Column5]]=0),1,deployment_raw[[#This Row],[Column5]]),"")</f>
        <v/>
      </c>
      <c r="H568" s="79" t="str">
        <f>IF(ISNUMBER(deployment_raw[[#This Row],[Column19]]), IF(I568&lt;&gt;0,(deployment_raw[[#This Row],[Column19]]/IF(OR($E$2="Deployment",deployment_raw[[#This Row],[Column5]]=0),1,deployment_raw[[#This Row],[Column5]]))/I568,0),"")</f>
        <v/>
      </c>
      <c r="I568" s="69" t="str">
        <f>IF(ISNUMBER(deployment_raw[[#This Row],[Column6]]), (deployment_raw[[#This Row],[Column6]] * IF($E$2="Deployment",deployment_raw[[#This Row],[Column5]],1)),"")</f>
        <v/>
      </c>
      <c r="J568" s="79" t="str">
        <f>IF(ISNUMBER(deployment_raw[[#This Row],[Column19]]), IF(K568&lt;&gt;0,(deployment_raw[[#This Row],[Column19]]/IF(OR($E$2="Deployment",deployment_raw[[#This Row],[Column5]]=0),1,deployment_raw[[#This Row],[Column5]]))/K568,0),"")</f>
        <v/>
      </c>
      <c r="K568" s="72" t="str">
        <f>IF(ISNUMBER(deployment_raw[[#This Row],[Column8]]), (deployment_raw[[#This Row],[Column8]]  * IF($E$2="Deployment",deployment_raw[[#This Row],[Column5]],1)),"")</f>
        <v/>
      </c>
      <c r="L56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6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68" s="81" t="str">
        <f>IF(ISNUMBER(deployment_raw[[#This Row],[Column20]]), IF(O568&lt;&gt;0,deployment_raw[[#This Row],[Column20]]/IF(OR($E$2="Deployment",deployment_raw[[#This Row],[Column5]]=0),1,deployment_raw[[#This Row],[Column5]])/1048576/O568,0),"")</f>
        <v/>
      </c>
      <c r="O568" s="74" t="str">
        <f>IF(ISNUMBER(deployment_raw[[#This Row],[Column7]]), (deployment_raw[[#This Row],[Column7]] * IF($E$2="Deployment",deployment_raw[[#This Row],[Column5]],1))/1048576,"")</f>
        <v/>
      </c>
      <c r="P568" s="81" t="str">
        <f>IF(ISNUMBER(deployment_raw[[#This Row],[Column20]]), IF(Q568&lt;&gt;0,deployment_raw[[#This Row],[Column20]]/IF(OR($E$2="Deployment",deployment_raw[[#This Row],[Column5]]=0),1,deployment_raw[[#This Row],[Column5]])/1048576/Q568,0),"")</f>
        <v/>
      </c>
      <c r="Q568" s="76" t="str">
        <f>IF(ISNUMBER(deployment_raw[[#This Row],[Column9]]), (deployment_raw[[#This Row],[Column9]] * IF($E$2="Deployment",deployment_raw[[#This Row],[Column5]],1))/1048576,"")</f>
        <v/>
      </c>
      <c r="R568" s="57" t="str">
        <f>IF(ISNUMBER(deployment_raw[[#This Row],[Column10]]), (deployment_raw[[#This Row],[Column10]] * IF($E$2="Deployment",deployment_raw[[#This Row],[Column5]],1)),"")</f>
        <v/>
      </c>
      <c r="S568" s="48" t="str">
        <f>IF(ISNUMBER(deployment_raw[[#This Row],[Column11]]), (deployment_raw[[#This Row],[Column11]] * IF($E$2="Deployment",deployment_raw[[#This Row],[Column5]],1))/1048576,"")</f>
        <v/>
      </c>
      <c r="T568" s="59" t="str">
        <f>IF(ISNUMBER(deployment_raw[[#This Row],[Column8]]),IF(OR(deployment_raw[[#This Row],[Column5]] &lt;&gt; 0,$E$2 &lt;&gt; "Deployment"), MAX(V568, ($T$2 * IF($E$2="Deployment",deployment_raw[[#This Row],[Column5]],1))), 0),"")</f>
        <v/>
      </c>
      <c r="U568" s="50" t="str">
        <f>IF(ISNUMBER(deployment_raw[[#This Row],[Column9]]),IF(OR(deployment_raw[[#This Row],[Column5]] &lt;&gt; 0,$E$2&lt;&gt;"Deployment"), MAX(W568, ($U$2 * IF($E$2="Deployment",deployment_raw[[#This Row],[Column5]],1))), 0),"")</f>
        <v/>
      </c>
      <c r="V568" s="15" t="str">
        <f>IF(ISNUMBER(deployment_raw[[#This Row],[Column12]]), (deployment_raw[[#This Row],[Column12]] * IF($E$2="Deployment",deployment_raw[[#This Row],[Column5]],1)*(1+$V$2)),"")</f>
        <v/>
      </c>
      <c r="W568" s="14" t="str">
        <f>IF(ISNUMBER(deployment_raw[[#This Row],[Column13]]), (deployment_raw[[#This Row],[Column13]] * IF($E$2="Deployment",deployment_raw[[#This Row],[Column5]],1)*(1+$W$2))/1048576,"")</f>
        <v/>
      </c>
    </row>
    <row r="569" spans="1:23" ht="15.75" customHeight="1" x14ac:dyDescent="0.25">
      <c r="A569" s="5" t="str">
        <f>IF(ISNONTEXT(deployment_raw[[#This Row],[Column1]]), "", deployment_raw[[#This Row],[Column1]])</f>
        <v/>
      </c>
      <c r="B569" s="6" t="str">
        <f>IF(ISNONTEXT(deployment_raw[[#This Row],[Column2]]), "", deployment_raw[[#This Row],[Column2]])</f>
        <v/>
      </c>
      <c r="C569" s="6" t="str">
        <f>IF(ISNONTEXT(deployment_raw[[#This Row],[Column3]]), "", deployment_raw[[#This Row],[Column3]])</f>
        <v/>
      </c>
      <c r="D569" s="6" t="str">
        <f>IF(ISNONTEXT(deployment_raw[[#This Row],[Column4]]), "", deployment_raw[[#This Row],[Column4]])</f>
        <v/>
      </c>
      <c r="E569" s="7" t="str">
        <f>IF(ISNUMBER(deployment_raw[[#This Row],[Column5]]), deployment_raw[[#This Row],[Column5]],"")</f>
        <v/>
      </c>
      <c r="F569" s="32" t="str">
        <f>IF(ISNUMBER(deployment_raw[[#This Row],[Column17]]), deployment_raw[[#This Row],[Column17]]/IF(OR($E$2="Deployment",deployment_raw[[#This Row],[Column5]]=0),1,deployment_raw[[#This Row],[Column5]]),"")</f>
        <v/>
      </c>
      <c r="G569" s="42" t="str">
        <f>IF(ISNUMBER(deployment_raw[[#This Row],[Column14]]), deployment_raw[[#This Row],[Column14]]/IF(OR($E$2="Deployment",deployment_raw[[#This Row],[Column5]]=0),1,deployment_raw[[#This Row],[Column5]]),"")</f>
        <v/>
      </c>
      <c r="H569" s="79" t="str">
        <f>IF(ISNUMBER(deployment_raw[[#This Row],[Column19]]), IF(I569&lt;&gt;0,(deployment_raw[[#This Row],[Column19]]/IF(OR($E$2="Deployment",deployment_raw[[#This Row],[Column5]]=0),1,deployment_raw[[#This Row],[Column5]]))/I569,0),"")</f>
        <v/>
      </c>
      <c r="I569" s="69" t="str">
        <f>IF(ISNUMBER(deployment_raw[[#This Row],[Column6]]), (deployment_raw[[#This Row],[Column6]] * IF($E$2="Deployment",deployment_raw[[#This Row],[Column5]],1)),"")</f>
        <v/>
      </c>
      <c r="J569" s="79" t="str">
        <f>IF(ISNUMBER(deployment_raw[[#This Row],[Column19]]), IF(K569&lt;&gt;0,(deployment_raw[[#This Row],[Column19]]/IF(OR($E$2="Deployment",deployment_raw[[#This Row],[Column5]]=0),1,deployment_raw[[#This Row],[Column5]]))/K569,0),"")</f>
        <v/>
      </c>
      <c r="K569" s="72" t="str">
        <f>IF(ISNUMBER(deployment_raw[[#This Row],[Column8]]), (deployment_raw[[#This Row],[Column8]]  * IF($E$2="Deployment",deployment_raw[[#This Row],[Column5]],1)),"")</f>
        <v/>
      </c>
      <c r="L56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6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69" s="81" t="str">
        <f>IF(ISNUMBER(deployment_raw[[#This Row],[Column20]]), IF(O569&lt;&gt;0,deployment_raw[[#This Row],[Column20]]/IF(OR($E$2="Deployment",deployment_raw[[#This Row],[Column5]]=0),1,deployment_raw[[#This Row],[Column5]])/1048576/O569,0),"")</f>
        <v/>
      </c>
      <c r="O569" s="74" t="str">
        <f>IF(ISNUMBER(deployment_raw[[#This Row],[Column7]]), (deployment_raw[[#This Row],[Column7]] * IF($E$2="Deployment",deployment_raw[[#This Row],[Column5]],1))/1048576,"")</f>
        <v/>
      </c>
      <c r="P569" s="81" t="str">
        <f>IF(ISNUMBER(deployment_raw[[#This Row],[Column20]]), IF(Q569&lt;&gt;0,deployment_raw[[#This Row],[Column20]]/IF(OR($E$2="Deployment",deployment_raw[[#This Row],[Column5]]=0),1,deployment_raw[[#This Row],[Column5]])/1048576/Q569,0),"")</f>
        <v/>
      </c>
      <c r="Q569" s="76" t="str">
        <f>IF(ISNUMBER(deployment_raw[[#This Row],[Column9]]), (deployment_raw[[#This Row],[Column9]] * IF($E$2="Deployment",deployment_raw[[#This Row],[Column5]],1))/1048576,"")</f>
        <v/>
      </c>
      <c r="R569" s="57" t="str">
        <f>IF(ISNUMBER(deployment_raw[[#This Row],[Column10]]), (deployment_raw[[#This Row],[Column10]] * IF($E$2="Deployment",deployment_raw[[#This Row],[Column5]],1)),"")</f>
        <v/>
      </c>
      <c r="S569" s="48" t="str">
        <f>IF(ISNUMBER(deployment_raw[[#This Row],[Column11]]), (deployment_raw[[#This Row],[Column11]] * IF($E$2="Deployment",deployment_raw[[#This Row],[Column5]],1))/1048576,"")</f>
        <v/>
      </c>
      <c r="T569" s="59" t="str">
        <f>IF(ISNUMBER(deployment_raw[[#This Row],[Column8]]),IF(OR(deployment_raw[[#This Row],[Column5]] &lt;&gt; 0,$E$2 &lt;&gt; "Deployment"), MAX(V569, ($T$2 * IF($E$2="Deployment",deployment_raw[[#This Row],[Column5]],1))), 0),"")</f>
        <v/>
      </c>
      <c r="U569" s="50" t="str">
        <f>IF(ISNUMBER(deployment_raw[[#This Row],[Column9]]),IF(OR(deployment_raw[[#This Row],[Column5]] &lt;&gt; 0,$E$2&lt;&gt;"Deployment"), MAX(W569, ($U$2 * IF($E$2="Deployment",deployment_raw[[#This Row],[Column5]],1))), 0),"")</f>
        <v/>
      </c>
      <c r="V569" s="15" t="str">
        <f>IF(ISNUMBER(deployment_raw[[#This Row],[Column12]]), (deployment_raw[[#This Row],[Column12]] * IF($E$2="Deployment",deployment_raw[[#This Row],[Column5]],1)*(1+$V$2)),"")</f>
        <v/>
      </c>
      <c r="W569" s="14" t="str">
        <f>IF(ISNUMBER(deployment_raw[[#This Row],[Column13]]), (deployment_raw[[#This Row],[Column13]] * IF($E$2="Deployment",deployment_raw[[#This Row],[Column5]],1)*(1+$W$2))/1048576,"")</f>
        <v/>
      </c>
    </row>
    <row r="570" spans="1:23" ht="15.75" customHeight="1" x14ac:dyDescent="0.25">
      <c r="A570" s="5" t="str">
        <f>IF(ISNONTEXT(deployment_raw[[#This Row],[Column1]]), "", deployment_raw[[#This Row],[Column1]])</f>
        <v/>
      </c>
      <c r="B570" s="6" t="str">
        <f>IF(ISNONTEXT(deployment_raw[[#This Row],[Column2]]), "", deployment_raw[[#This Row],[Column2]])</f>
        <v/>
      </c>
      <c r="C570" s="6" t="str">
        <f>IF(ISNONTEXT(deployment_raw[[#This Row],[Column3]]), "", deployment_raw[[#This Row],[Column3]])</f>
        <v/>
      </c>
      <c r="D570" s="6" t="str">
        <f>IF(ISNONTEXT(deployment_raw[[#This Row],[Column4]]), "", deployment_raw[[#This Row],[Column4]])</f>
        <v/>
      </c>
      <c r="E570" s="7" t="str">
        <f>IF(ISNUMBER(deployment_raw[[#This Row],[Column5]]), deployment_raw[[#This Row],[Column5]],"")</f>
        <v/>
      </c>
      <c r="F570" s="32" t="str">
        <f>IF(ISNUMBER(deployment_raw[[#This Row],[Column17]]), deployment_raw[[#This Row],[Column17]]/IF(OR($E$2="Deployment",deployment_raw[[#This Row],[Column5]]=0),1,deployment_raw[[#This Row],[Column5]]),"")</f>
        <v/>
      </c>
      <c r="G570" s="42" t="str">
        <f>IF(ISNUMBER(deployment_raw[[#This Row],[Column14]]), deployment_raw[[#This Row],[Column14]]/IF(OR($E$2="Deployment",deployment_raw[[#This Row],[Column5]]=0),1,deployment_raw[[#This Row],[Column5]]),"")</f>
        <v/>
      </c>
      <c r="H570" s="79" t="str">
        <f>IF(ISNUMBER(deployment_raw[[#This Row],[Column19]]), IF(I570&lt;&gt;0,(deployment_raw[[#This Row],[Column19]]/IF(OR($E$2="Deployment",deployment_raw[[#This Row],[Column5]]=0),1,deployment_raw[[#This Row],[Column5]]))/I570,0),"")</f>
        <v/>
      </c>
      <c r="I570" s="69" t="str">
        <f>IF(ISNUMBER(deployment_raw[[#This Row],[Column6]]), (deployment_raw[[#This Row],[Column6]] * IF($E$2="Deployment",deployment_raw[[#This Row],[Column5]],1)),"")</f>
        <v/>
      </c>
      <c r="J570" s="79" t="str">
        <f>IF(ISNUMBER(deployment_raw[[#This Row],[Column19]]), IF(K570&lt;&gt;0,(deployment_raw[[#This Row],[Column19]]/IF(OR($E$2="Deployment",deployment_raw[[#This Row],[Column5]]=0),1,deployment_raw[[#This Row],[Column5]]))/K570,0),"")</f>
        <v/>
      </c>
      <c r="K570" s="72" t="str">
        <f>IF(ISNUMBER(deployment_raw[[#This Row],[Column8]]), (deployment_raw[[#This Row],[Column8]]  * IF($E$2="Deployment",deployment_raw[[#This Row],[Column5]],1)),"")</f>
        <v/>
      </c>
      <c r="L57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7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70" s="81" t="str">
        <f>IF(ISNUMBER(deployment_raw[[#This Row],[Column20]]), IF(O570&lt;&gt;0,deployment_raw[[#This Row],[Column20]]/IF(OR($E$2="Deployment",deployment_raw[[#This Row],[Column5]]=0),1,deployment_raw[[#This Row],[Column5]])/1048576/O570,0),"")</f>
        <v/>
      </c>
      <c r="O570" s="74" t="str">
        <f>IF(ISNUMBER(deployment_raw[[#This Row],[Column7]]), (deployment_raw[[#This Row],[Column7]] * IF($E$2="Deployment",deployment_raw[[#This Row],[Column5]],1))/1048576,"")</f>
        <v/>
      </c>
      <c r="P570" s="81" t="str">
        <f>IF(ISNUMBER(deployment_raw[[#This Row],[Column20]]), IF(Q570&lt;&gt;0,deployment_raw[[#This Row],[Column20]]/IF(OR($E$2="Deployment",deployment_raw[[#This Row],[Column5]]=0),1,deployment_raw[[#This Row],[Column5]])/1048576/Q570,0),"")</f>
        <v/>
      </c>
      <c r="Q570" s="76" t="str">
        <f>IF(ISNUMBER(deployment_raw[[#This Row],[Column9]]), (deployment_raw[[#This Row],[Column9]] * IF($E$2="Deployment",deployment_raw[[#This Row],[Column5]],1))/1048576,"")</f>
        <v/>
      </c>
      <c r="R570" s="57" t="str">
        <f>IF(ISNUMBER(deployment_raw[[#This Row],[Column10]]), (deployment_raw[[#This Row],[Column10]] * IF($E$2="Deployment",deployment_raw[[#This Row],[Column5]],1)),"")</f>
        <v/>
      </c>
      <c r="S570" s="48" t="str">
        <f>IF(ISNUMBER(deployment_raw[[#This Row],[Column11]]), (deployment_raw[[#This Row],[Column11]] * IF($E$2="Deployment",deployment_raw[[#This Row],[Column5]],1))/1048576,"")</f>
        <v/>
      </c>
      <c r="T570" s="59" t="str">
        <f>IF(ISNUMBER(deployment_raw[[#This Row],[Column8]]),IF(OR(deployment_raw[[#This Row],[Column5]] &lt;&gt; 0,$E$2 &lt;&gt; "Deployment"), MAX(V570, ($T$2 * IF($E$2="Deployment",deployment_raw[[#This Row],[Column5]],1))), 0),"")</f>
        <v/>
      </c>
      <c r="U570" s="50" t="str">
        <f>IF(ISNUMBER(deployment_raw[[#This Row],[Column9]]),IF(OR(deployment_raw[[#This Row],[Column5]] &lt;&gt; 0,$E$2&lt;&gt;"Deployment"), MAX(W570, ($U$2 * IF($E$2="Deployment",deployment_raw[[#This Row],[Column5]],1))), 0),"")</f>
        <v/>
      </c>
      <c r="V570" s="15" t="str">
        <f>IF(ISNUMBER(deployment_raw[[#This Row],[Column12]]), (deployment_raw[[#This Row],[Column12]] * IF($E$2="Deployment",deployment_raw[[#This Row],[Column5]],1)*(1+$V$2)),"")</f>
        <v/>
      </c>
      <c r="W570" s="14" t="str">
        <f>IF(ISNUMBER(deployment_raw[[#This Row],[Column13]]), (deployment_raw[[#This Row],[Column13]] * IF($E$2="Deployment",deployment_raw[[#This Row],[Column5]],1)*(1+$W$2))/1048576,"")</f>
        <v/>
      </c>
    </row>
    <row r="571" spans="1:23" ht="15.75" customHeight="1" x14ac:dyDescent="0.25">
      <c r="A571" s="5" t="str">
        <f>IF(ISNONTEXT(deployment_raw[[#This Row],[Column1]]), "", deployment_raw[[#This Row],[Column1]])</f>
        <v/>
      </c>
      <c r="B571" s="6" t="str">
        <f>IF(ISNONTEXT(deployment_raw[[#This Row],[Column2]]), "", deployment_raw[[#This Row],[Column2]])</f>
        <v/>
      </c>
      <c r="C571" s="6" t="str">
        <f>IF(ISNONTEXT(deployment_raw[[#This Row],[Column3]]), "", deployment_raw[[#This Row],[Column3]])</f>
        <v/>
      </c>
      <c r="D571" s="6" t="str">
        <f>IF(ISNONTEXT(deployment_raw[[#This Row],[Column4]]), "", deployment_raw[[#This Row],[Column4]])</f>
        <v/>
      </c>
      <c r="E571" s="7" t="str">
        <f>IF(ISNUMBER(deployment_raw[[#This Row],[Column5]]), deployment_raw[[#This Row],[Column5]],"")</f>
        <v/>
      </c>
      <c r="F571" s="32" t="str">
        <f>IF(ISNUMBER(deployment_raw[[#This Row],[Column17]]), deployment_raw[[#This Row],[Column17]]/IF(OR($E$2="Deployment",deployment_raw[[#This Row],[Column5]]=0),1,deployment_raw[[#This Row],[Column5]]),"")</f>
        <v/>
      </c>
      <c r="G571" s="42" t="str">
        <f>IF(ISNUMBER(deployment_raw[[#This Row],[Column14]]), deployment_raw[[#This Row],[Column14]]/IF(OR($E$2="Deployment",deployment_raw[[#This Row],[Column5]]=0),1,deployment_raw[[#This Row],[Column5]]),"")</f>
        <v/>
      </c>
      <c r="H571" s="79" t="str">
        <f>IF(ISNUMBER(deployment_raw[[#This Row],[Column19]]), IF(I571&lt;&gt;0,(deployment_raw[[#This Row],[Column19]]/IF(OR($E$2="Deployment",deployment_raw[[#This Row],[Column5]]=0),1,deployment_raw[[#This Row],[Column5]]))/I571,0),"")</f>
        <v/>
      </c>
      <c r="I571" s="69" t="str">
        <f>IF(ISNUMBER(deployment_raw[[#This Row],[Column6]]), (deployment_raw[[#This Row],[Column6]] * IF($E$2="Deployment",deployment_raw[[#This Row],[Column5]],1)),"")</f>
        <v/>
      </c>
      <c r="J571" s="79" t="str">
        <f>IF(ISNUMBER(deployment_raw[[#This Row],[Column19]]), IF(K571&lt;&gt;0,(deployment_raw[[#This Row],[Column19]]/IF(OR($E$2="Deployment",deployment_raw[[#This Row],[Column5]]=0),1,deployment_raw[[#This Row],[Column5]]))/K571,0),"")</f>
        <v/>
      </c>
      <c r="K571" s="72" t="str">
        <f>IF(ISNUMBER(deployment_raw[[#This Row],[Column8]]), (deployment_raw[[#This Row],[Column8]]  * IF($E$2="Deployment",deployment_raw[[#This Row],[Column5]],1)),"")</f>
        <v/>
      </c>
      <c r="L57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7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71" s="81" t="str">
        <f>IF(ISNUMBER(deployment_raw[[#This Row],[Column20]]), IF(O571&lt;&gt;0,deployment_raw[[#This Row],[Column20]]/IF(OR($E$2="Deployment",deployment_raw[[#This Row],[Column5]]=0),1,deployment_raw[[#This Row],[Column5]])/1048576/O571,0),"")</f>
        <v/>
      </c>
      <c r="O571" s="74" t="str">
        <f>IF(ISNUMBER(deployment_raw[[#This Row],[Column7]]), (deployment_raw[[#This Row],[Column7]] * IF($E$2="Deployment",deployment_raw[[#This Row],[Column5]],1))/1048576,"")</f>
        <v/>
      </c>
      <c r="P571" s="81" t="str">
        <f>IF(ISNUMBER(deployment_raw[[#This Row],[Column20]]), IF(Q571&lt;&gt;0,deployment_raw[[#This Row],[Column20]]/IF(OR($E$2="Deployment",deployment_raw[[#This Row],[Column5]]=0),1,deployment_raw[[#This Row],[Column5]])/1048576/Q571,0),"")</f>
        <v/>
      </c>
      <c r="Q571" s="76" t="str">
        <f>IF(ISNUMBER(deployment_raw[[#This Row],[Column9]]), (deployment_raw[[#This Row],[Column9]] * IF($E$2="Deployment",deployment_raw[[#This Row],[Column5]],1))/1048576,"")</f>
        <v/>
      </c>
      <c r="R571" s="57" t="str">
        <f>IF(ISNUMBER(deployment_raw[[#This Row],[Column10]]), (deployment_raw[[#This Row],[Column10]] * IF($E$2="Deployment",deployment_raw[[#This Row],[Column5]],1)),"")</f>
        <v/>
      </c>
      <c r="S571" s="48" t="str">
        <f>IF(ISNUMBER(deployment_raw[[#This Row],[Column11]]), (deployment_raw[[#This Row],[Column11]] * IF($E$2="Deployment",deployment_raw[[#This Row],[Column5]],1))/1048576,"")</f>
        <v/>
      </c>
      <c r="T571" s="59" t="str">
        <f>IF(ISNUMBER(deployment_raw[[#This Row],[Column8]]),IF(OR(deployment_raw[[#This Row],[Column5]] &lt;&gt; 0,$E$2 &lt;&gt; "Deployment"), MAX(V571, ($T$2 * IF($E$2="Deployment",deployment_raw[[#This Row],[Column5]],1))), 0),"")</f>
        <v/>
      </c>
      <c r="U571" s="50" t="str">
        <f>IF(ISNUMBER(deployment_raw[[#This Row],[Column9]]),IF(OR(deployment_raw[[#This Row],[Column5]] &lt;&gt; 0,$E$2&lt;&gt;"Deployment"), MAX(W571, ($U$2 * IF($E$2="Deployment",deployment_raw[[#This Row],[Column5]],1))), 0),"")</f>
        <v/>
      </c>
      <c r="V571" s="15" t="str">
        <f>IF(ISNUMBER(deployment_raw[[#This Row],[Column12]]), (deployment_raw[[#This Row],[Column12]] * IF($E$2="Deployment",deployment_raw[[#This Row],[Column5]],1)*(1+$V$2)),"")</f>
        <v/>
      </c>
      <c r="W571" s="14" t="str">
        <f>IF(ISNUMBER(deployment_raw[[#This Row],[Column13]]), (deployment_raw[[#This Row],[Column13]] * IF($E$2="Deployment",deployment_raw[[#This Row],[Column5]],1)*(1+$W$2))/1048576,"")</f>
        <v/>
      </c>
    </row>
    <row r="572" spans="1:23" ht="15.75" customHeight="1" x14ac:dyDescent="0.25">
      <c r="A572" s="5" t="str">
        <f>IF(ISNONTEXT(deployment_raw[[#This Row],[Column1]]), "", deployment_raw[[#This Row],[Column1]])</f>
        <v/>
      </c>
      <c r="B572" s="6" t="str">
        <f>IF(ISNONTEXT(deployment_raw[[#This Row],[Column2]]), "", deployment_raw[[#This Row],[Column2]])</f>
        <v/>
      </c>
      <c r="C572" s="6" t="str">
        <f>IF(ISNONTEXT(deployment_raw[[#This Row],[Column3]]), "", deployment_raw[[#This Row],[Column3]])</f>
        <v/>
      </c>
      <c r="D572" s="6" t="str">
        <f>IF(ISNONTEXT(deployment_raw[[#This Row],[Column4]]), "", deployment_raw[[#This Row],[Column4]])</f>
        <v/>
      </c>
      <c r="E572" s="7" t="str">
        <f>IF(ISNUMBER(deployment_raw[[#This Row],[Column5]]), deployment_raw[[#This Row],[Column5]],"")</f>
        <v/>
      </c>
      <c r="F572" s="32" t="str">
        <f>IF(ISNUMBER(deployment_raw[[#This Row],[Column17]]), deployment_raw[[#This Row],[Column17]]/IF(OR($E$2="Deployment",deployment_raw[[#This Row],[Column5]]=0),1,deployment_raw[[#This Row],[Column5]]),"")</f>
        <v/>
      </c>
      <c r="G572" s="42" t="str">
        <f>IF(ISNUMBER(deployment_raw[[#This Row],[Column14]]), deployment_raw[[#This Row],[Column14]]/IF(OR($E$2="Deployment",deployment_raw[[#This Row],[Column5]]=0),1,deployment_raw[[#This Row],[Column5]]),"")</f>
        <v/>
      </c>
      <c r="H572" s="79" t="str">
        <f>IF(ISNUMBER(deployment_raw[[#This Row],[Column19]]), IF(I572&lt;&gt;0,(deployment_raw[[#This Row],[Column19]]/IF(OR($E$2="Deployment",deployment_raw[[#This Row],[Column5]]=0),1,deployment_raw[[#This Row],[Column5]]))/I572,0),"")</f>
        <v/>
      </c>
      <c r="I572" s="69" t="str">
        <f>IF(ISNUMBER(deployment_raw[[#This Row],[Column6]]), (deployment_raw[[#This Row],[Column6]] * IF($E$2="Deployment",deployment_raw[[#This Row],[Column5]],1)),"")</f>
        <v/>
      </c>
      <c r="J572" s="79" t="str">
        <f>IF(ISNUMBER(deployment_raw[[#This Row],[Column19]]), IF(K572&lt;&gt;0,(deployment_raw[[#This Row],[Column19]]/IF(OR($E$2="Deployment",deployment_raw[[#This Row],[Column5]]=0),1,deployment_raw[[#This Row],[Column5]]))/K572,0),"")</f>
        <v/>
      </c>
      <c r="K572" s="72" t="str">
        <f>IF(ISNUMBER(deployment_raw[[#This Row],[Column8]]), (deployment_raw[[#This Row],[Column8]]  * IF($E$2="Deployment",deployment_raw[[#This Row],[Column5]],1)),"")</f>
        <v/>
      </c>
      <c r="L57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7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72" s="81" t="str">
        <f>IF(ISNUMBER(deployment_raw[[#This Row],[Column20]]), IF(O572&lt;&gt;0,deployment_raw[[#This Row],[Column20]]/IF(OR($E$2="Deployment",deployment_raw[[#This Row],[Column5]]=0),1,deployment_raw[[#This Row],[Column5]])/1048576/O572,0),"")</f>
        <v/>
      </c>
      <c r="O572" s="74" t="str">
        <f>IF(ISNUMBER(deployment_raw[[#This Row],[Column7]]), (deployment_raw[[#This Row],[Column7]] * IF($E$2="Deployment",deployment_raw[[#This Row],[Column5]],1))/1048576,"")</f>
        <v/>
      </c>
      <c r="P572" s="81" t="str">
        <f>IF(ISNUMBER(deployment_raw[[#This Row],[Column20]]), IF(Q572&lt;&gt;0,deployment_raw[[#This Row],[Column20]]/IF(OR($E$2="Deployment",deployment_raw[[#This Row],[Column5]]=0),1,deployment_raw[[#This Row],[Column5]])/1048576/Q572,0),"")</f>
        <v/>
      </c>
      <c r="Q572" s="76" t="str">
        <f>IF(ISNUMBER(deployment_raw[[#This Row],[Column9]]), (deployment_raw[[#This Row],[Column9]] * IF($E$2="Deployment",deployment_raw[[#This Row],[Column5]],1))/1048576,"")</f>
        <v/>
      </c>
      <c r="R572" s="57" t="str">
        <f>IF(ISNUMBER(deployment_raw[[#This Row],[Column10]]), (deployment_raw[[#This Row],[Column10]] * IF($E$2="Deployment",deployment_raw[[#This Row],[Column5]],1)),"")</f>
        <v/>
      </c>
      <c r="S572" s="48" t="str">
        <f>IF(ISNUMBER(deployment_raw[[#This Row],[Column11]]), (deployment_raw[[#This Row],[Column11]] * IF($E$2="Deployment",deployment_raw[[#This Row],[Column5]],1))/1048576,"")</f>
        <v/>
      </c>
      <c r="T572" s="59" t="str">
        <f>IF(ISNUMBER(deployment_raw[[#This Row],[Column8]]),IF(OR(deployment_raw[[#This Row],[Column5]] &lt;&gt; 0,$E$2 &lt;&gt; "Deployment"), MAX(V572, ($T$2 * IF($E$2="Deployment",deployment_raw[[#This Row],[Column5]],1))), 0),"")</f>
        <v/>
      </c>
      <c r="U572" s="50" t="str">
        <f>IF(ISNUMBER(deployment_raw[[#This Row],[Column9]]),IF(OR(deployment_raw[[#This Row],[Column5]] &lt;&gt; 0,$E$2&lt;&gt;"Deployment"), MAX(W572, ($U$2 * IF($E$2="Deployment",deployment_raw[[#This Row],[Column5]],1))), 0),"")</f>
        <v/>
      </c>
      <c r="V572" s="15" t="str">
        <f>IF(ISNUMBER(deployment_raw[[#This Row],[Column12]]), (deployment_raw[[#This Row],[Column12]] * IF($E$2="Deployment",deployment_raw[[#This Row],[Column5]],1)*(1+$V$2)),"")</f>
        <v/>
      </c>
      <c r="W572" s="14" t="str">
        <f>IF(ISNUMBER(deployment_raw[[#This Row],[Column13]]), (deployment_raw[[#This Row],[Column13]] * IF($E$2="Deployment",deployment_raw[[#This Row],[Column5]],1)*(1+$W$2))/1048576,"")</f>
        <v/>
      </c>
    </row>
    <row r="573" spans="1:23" ht="15.75" customHeight="1" x14ac:dyDescent="0.25">
      <c r="A573" s="5" t="str">
        <f>IF(ISNONTEXT(deployment_raw[[#This Row],[Column1]]), "", deployment_raw[[#This Row],[Column1]])</f>
        <v/>
      </c>
      <c r="B573" s="6" t="str">
        <f>IF(ISNONTEXT(deployment_raw[[#This Row],[Column2]]), "", deployment_raw[[#This Row],[Column2]])</f>
        <v/>
      </c>
      <c r="C573" s="6" t="str">
        <f>IF(ISNONTEXT(deployment_raw[[#This Row],[Column3]]), "", deployment_raw[[#This Row],[Column3]])</f>
        <v/>
      </c>
      <c r="D573" s="6" t="str">
        <f>IF(ISNONTEXT(deployment_raw[[#This Row],[Column4]]), "", deployment_raw[[#This Row],[Column4]])</f>
        <v/>
      </c>
      <c r="E573" s="7" t="str">
        <f>IF(ISNUMBER(deployment_raw[[#This Row],[Column5]]), deployment_raw[[#This Row],[Column5]],"")</f>
        <v/>
      </c>
      <c r="F573" s="32" t="str">
        <f>IF(ISNUMBER(deployment_raw[[#This Row],[Column17]]), deployment_raw[[#This Row],[Column17]]/IF(OR($E$2="Deployment",deployment_raw[[#This Row],[Column5]]=0),1,deployment_raw[[#This Row],[Column5]]),"")</f>
        <v/>
      </c>
      <c r="G573" s="42" t="str">
        <f>IF(ISNUMBER(deployment_raw[[#This Row],[Column14]]), deployment_raw[[#This Row],[Column14]]/IF(OR($E$2="Deployment",deployment_raw[[#This Row],[Column5]]=0),1,deployment_raw[[#This Row],[Column5]]),"")</f>
        <v/>
      </c>
      <c r="H573" s="79" t="str">
        <f>IF(ISNUMBER(deployment_raw[[#This Row],[Column19]]), IF(I573&lt;&gt;0,(deployment_raw[[#This Row],[Column19]]/IF(OR($E$2="Deployment",deployment_raw[[#This Row],[Column5]]=0),1,deployment_raw[[#This Row],[Column5]]))/I573,0),"")</f>
        <v/>
      </c>
      <c r="I573" s="69" t="str">
        <f>IF(ISNUMBER(deployment_raw[[#This Row],[Column6]]), (deployment_raw[[#This Row],[Column6]] * IF($E$2="Deployment",deployment_raw[[#This Row],[Column5]],1)),"")</f>
        <v/>
      </c>
      <c r="J573" s="79" t="str">
        <f>IF(ISNUMBER(deployment_raw[[#This Row],[Column19]]), IF(K573&lt;&gt;0,(deployment_raw[[#This Row],[Column19]]/IF(OR($E$2="Deployment",deployment_raw[[#This Row],[Column5]]=0),1,deployment_raw[[#This Row],[Column5]]))/K573,0),"")</f>
        <v/>
      </c>
      <c r="K573" s="72" t="str">
        <f>IF(ISNUMBER(deployment_raw[[#This Row],[Column8]]), (deployment_raw[[#This Row],[Column8]]  * IF($E$2="Deployment",deployment_raw[[#This Row],[Column5]],1)),"")</f>
        <v/>
      </c>
      <c r="L57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7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73" s="81" t="str">
        <f>IF(ISNUMBER(deployment_raw[[#This Row],[Column20]]), IF(O573&lt;&gt;0,deployment_raw[[#This Row],[Column20]]/IF(OR($E$2="Deployment",deployment_raw[[#This Row],[Column5]]=0),1,deployment_raw[[#This Row],[Column5]])/1048576/O573,0),"")</f>
        <v/>
      </c>
      <c r="O573" s="74" t="str">
        <f>IF(ISNUMBER(deployment_raw[[#This Row],[Column7]]), (deployment_raw[[#This Row],[Column7]] * IF($E$2="Deployment",deployment_raw[[#This Row],[Column5]],1))/1048576,"")</f>
        <v/>
      </c>
      <c r="P573" s="81" t="str">
        <f>IF(ISNUMBER(deployment_raw[[#This Row],[Column20]]), IF(Q573&lt;&gt;0,deployment_raw[[#This Row],[Column20]]/IF(OR($E$2="Deployment",deployment_raw[[#This Row],[Column5]]=0),1,deployment_raw[[#This Row],[Column5]])/1048576/Q573,0),"")</f>
        <v/>
      </c>
      <c r="Q573" s="76" t="str">
        <f>IF(ISNUMBER(deployment_raw[[#This Row],[Column9]]), (deployment_raw[[#This Row],[Column9]] * IF($E$2="Deployment",deployment_raw[[#This Row],[Column5]],1))/1048576,"")</f>
        <v/>
      </c>
      <c r="R573" s="57" t="str">
        <f>IF(ISNUMBER(deployment_raw[[#This Row],[Column10]]), (deployment_raw[[#This Row],[Column10]] * IF($E$2="Deployment",deployment_raw[[#This Row],[Column5]],1)),"")</f>
        <v/>
      </c>
      <c r="S573" s="48" t="str">
        <f>IF(ISNUMBER(deployment_raw[[#This Row],[Column11]]), (deployment_raw[[#This Row],[Column11]] * IF($E$2="Deployment",deployment_raw[[#This Row],[Column5]],1))/1048576,"")</f>
        <v/>
      </c>
      <c r="T573" s="59" t="str">
        <f>IF(ISNUMBER(deployment_raw[[#This Row],[Column8]]),IF(OR(deployment_raw[[#This Row],[Column5]] &lt;&gt; 0,$E$2 &lt;&gt; "Deployment"), MAX(V573, ($T$2 * IF($E$2="Deployment",deployment_raw[[#This Row],[Column5]],1))), 0),"")</f>
        <v/>
      </c>
      <c r="U573" s="50" t="str">
        <f>IF(ISNUMBER(deployment_raw[[#This Row],[Column9]]),IF(OR(deployment_raw[[#This Row],[Column5]] &lt;&gt; 0,$E$2&lt;&gt;"Deployment"), MAX(W573, ($U$2 * IF($E$2="Deployment",deployment_raw[[#This Row],[Column5]],1))), 0),"")</f>
        <v/>
      </c>
      <c r="V573" s="15" t="str">
        <f>IF(ISNUMBER(deployment_raw[[#This Row],[Column12]]), (deployment_raw[[#This Row],[Column12]] * IF($E$2="Deployment",deployment_raw[[#This Row],[Column5]],1)*(1+$V$2)),"")</f>
        <v/>
      </c>
      <c r="W573" s="14" t="str">
        <f>IF(ISNUMBER(deployment_raw[[#This Row],[Column13]]), (deployment_raw[[#This Row],[Column13]] * IF($E$2="Deployment",deployment_raw[[#This Row],[Column5]],1)*(1+$W$2))/1048576,"")</f>
        <v/>
      </c>
    </row>
    <row r="574" spans="1:23" ht="15.75" customHeight="1" x14ac:dyDescent="0.25">
      <c r="A574" s="5" t="str">
        <f>IF(ISNONTEXT(deployment_raw[[#This Row],[Column1]]), "", deployment_raw[[#This Row],[Column1]])</f>
        <v/>
      </c>
      <c r="B574" s="6" t="str">
        <f>IF(ISNONTEXT(deployment_raw[[#This Row],[Column2]]), "", deployment_raw[[#This Row],[Column2]])</f>
        <v/>
      </c>
      <c r="C574" s="6" t="str">
        <f>IF(ISNONTEXT(deployment_raw[[#This Row],[Column3]]), "", deployment_raw[[#This Row],[Column3]])</f>
        <v/>
      </c>
      <c r="D574" s="6" t="str">
        <f>IF(ISNONTEXT(deployment_raw[[#This Row],[Column4]]), "", deployment_raw[[#This Row],[Column4]])</f>
        <v/>
      </c>
      <c r="E574" s="7" t="str">
        <f>IF(ISNUMBER(deployment_raw[[#This Row],[Column5]]), deployment_raw[[#This Row],[Column5]],"")</f>
        <v/>
      </c>
      <c r="F574" s="32" t="str">
        <f>IF(ISNUMBER(deployment_raw[[#This Row],[Column17]]), deployment_raw[[#This Row],[Column17]]/IF(OR($E$2="Deployment",deployment_raw[[#This Row],[Column5]]=0),1,deployment_raw[[#This Row],[Column5]]),"")</f>
        <v/>
      </c>
      <c r="G574" s="42" t="str">
        <f>IF(ISNUMBER(deployment_raw[[#This Row],[Column14]]), deployment_raw[[#This Row],[Column14]]/IF(OR($E$2="Deployment",deployment_raw[[#This Row],[Column5]]=0),1,deployment_raw[[#This Row],[Column5]]),"")</f>
        <v/>
      </c>
      <c r="H574" s="79" t="str">
        <f>IF(ISNUMBER(deployment_raw[[#This Row],[Column19]]), IF(I574&lt;&gt;0,(deployment_raw[[#This Row],[Column19]]/IF(OR($E$2="Deployment",deployment_raw[[#This Row],[Column5]]=0),1,deployment_raw[[#This Row],[Column5]]))/I574,0),"")</f>
        <v/>
      </c>
      <c r="I574" s="69" t="str">
        <f>IF(ISNUMBER(deployment_raw[[#This Row],[Column6]]), (deployment_raw[[#This Row],[Column6]] * IF($E$2="Deployment",deployment_raw[[#This Row],[Column5]],1)),"")</f>
        <v/>
      </c>
      <c r="J574" s="79" t="str">
        <f>IF(ISNUMBER(deployment_raw[[#This Row],[Column19]]), IF(K574&lt;&gt;0,(deployment_raw[[#This Row],[Column19]]/IF(OR($E$2="Deployment",deployment_raw[[#This Row],[Column5]]=0),1,deployment_raw[[#This Row],[Column5]]))/K574,0),"")</f>
        <v/>
      </c>
      <c r="K574" s="72" t="str">
        <f>IF(ISNUMBER(deployment_raw[[#This Row],[Column8]]), (deployment_raw[[#This Row],[Column8]]  * IF($E$2="Deployment",deployment_raw[[#This Row],[Column5]],1)),"")</f>
        <v/>
      </c>
      <c r="L57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7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74" s="81" t="str">
        <f>IF(ISNUMBER(deployment_raw[[#This Row],[Column20]]), IF(O574&lt;&gt;0,deployment_raw[[#This Row],[Column20]]/IF(OR($E$2="Deployment",deployment_raw[[#This Row],[Column5]]=0),1,deployment_raw[[#This Row],[Column5]])/1048576/O574,0),"")</f>
        <v/>
      </c>
      <c r="O574" s="74" t="str">
        <f>IF(ISNUMBER(deployment_raw[[#This Row],[Column7]]), (deployment_raw[[#This Row],[Column7]] * IF($E$2="Deployment",deployment_raw[[#This Row],[Column5]],1))/1048576,"")</f>
        <v/>
      </c>
      <c r="P574" s="81" t="str">
        <f>IF(ISNUMBER(deployment_raw[[#This Row],[Column20]]), IF(Q574&lt;&gt;0,deployment_raw[[#This Row],[Column20]]/IF(OR($E$2="Deployment",deployment_raw[[#This Row],[Column5]]=0),1,deployment_raw[[#This Row],[Column5]])/1048576/Q574,0),"")</f>
        <v/>
      </c>
      <c r="Q574" s="76" t="str">
        <f>IF(ISNUMBER(deployment_raw[[#This Row],[Column9]]), (deployment_raw[[#This Row],[Column9]] * IF($E$2="Deployment",deployment_raw[[#This Row],[Column5]],1))/1048576,"")</f>
        <v/>
      </c>
      <c r="R574" s="57" t="str">
        <f>IF(ISNUMBER(deployment_raw[[#This Row],[Column10]]), (deployment_raw[[#This Row],[Column10]] * IF($E$2="Deployment",deployment_raw[[#This Row],[Column5]],1)),"")</f>
        <v/>
      </c>
      <c r="S574" s="48" t="str">
        <f>IF(ISNUMBER(deployment_raw[[#This Row],[Column11]]), (deployment_raw[[#This Row],[Column11]] * IF($E$2="Deployment",deployment_raw[[#This Row],[Column5]],1))/1048576,"")</f>
        <v/>
      </c>
      <c r="T574" s="59" t="str">
        <f>IF(ISNUMBER(deployment_raw[[#This Row],[Column8]]),IF(OR(deployment_raw[[#This Row],[Column5]] &lt;&gt; 0,$E$2 &lt;&gt; "Deployment"), MAX(V574, ($T$2 * IF($E$2="Deployment",deployment_raw[[#This Row],[Column5]],1))), 0),"")</f>
        <v/>
      </c>
      <c r="U574" s="50" t="str">
        <f>IF(ISNUMBER(deployment_raw[[#This Row],[Column9]]),IF(OR(deployment_raw[[#This Row],[Column5]] &lt;&gt; 0,$E$2&lt;&gt;"Deployment"), MAX(W574, ($U$2 * IF($E$2="Deployment",deployment_raw[[#This Row],[Column5]],1))), 0),"")</f>
        <v/>
      </c>
      <c r="V574" s="15" t="str">
        <f>IF(ISNUMBER(deployment_raw[[#This Row],[Column12]]), (deployment_raw[[#This Row],[Column12]] * IF($E$2="Deployment",deployment_raw[[#This Row],[Column5]],1)*(1+$V$2)),"")</f>
        <v/>
      </c>
      <c r="W574" s="14" t="str">
        <f>IF(ISNUMBER(deployment_raw[[#This Row],[Column13]]), (deployment_raw[[#This Row],[Column13]] * IF($E$2="Deployment",deployment_raw[[#This Row],[Column5]],1)*(1+$W$2))/1048576,"")</f>
        <v/>
      </c>
    </row>
    <row r="575" spans="1:23" ht="15.75" customHeight="1" x14ac:dyDescent="0.25">
      <c r="A575" s="5" t="str">
        <f>IF(ISNONTEXT(deployment_raw[[#This Row],[Column1]]), "", deployment_raw[[#This Row],[Column1]])</f>
        <v/>
      </c>
      <c r="B575" s="6" t="str">
        <f>IF(ISNONTEXT(deployment_raw[[#This Row],[Column2]]), "", deployment_raw[[#This Row],[Column2]])</f>
        <v/>
      </c>
      <c r="C575" s="6" t="str">
        <f>IF(ISNONTEXT(deployment_raw[[#This Row],[Column3]]), "", deployment_raw[[#This Row],[Column3]])</f>
        <v/>
      </c>
      <c r="D575" s="6" t="str">
        <f>IF(ISNONTEXT(deployment_raw[[#This Row],[Column4]]), "", deployment_raw[[#This Row],[Column4]])</f>
        <v/>
      </c>
      <c r="E575" s="7" t="str">
        <f>IF(ISNUMBER(deployment_raw[[#This Row],[Column5]]), deployment_raw[[#This Row],[Column5]],"")</f>
        <v/>
      </c>
      <c r="F575" s="32" t="str">
        <f>IF(ISNUMBER(deployment_raw[[#This Row],[Column17]]), deployment_raw[[#This Row],[Column17]]/IF(OR($E$2="Deployment",deployment_raw[[#This Row],[Column5]]=0),1,deployment_raw[[#This Row],[Column5]]),"")</f>
        <v/>
      </c>
      <c r="G575" s="42" t="str">
        <f>IF(ISNUMBER(deployment_raw[[#This Row],[Column14]]), deployment_raw[[#This Row],[Column14]]/IF(OR($E$2="Deployment",deployment_raw[[#This Row],[Column5]]=0),1,deployment_raw[[#This Row],[Column5]]),"")</f>
        <v/>
      </c>
      <c r="H575" s="79" t="str">
        <f>IF(ISNUMBER(deployment_raw[[#This Row],[Column19]]), IF(I575&lt;&gt;0,(deployment_raw[[#This Row],[Column19]]/IF(OR($E$2="Deployment",deployment_raw[[#This Row],[Column5]]=0),1,deployment_raw[[#This Row],[Column5]]))/I575,0),"")</f>
        <v/>
      </c>
      <c r="I575" s="69" t="str">
        <f>IF(ISNUMBER(deployment_raw[[#This Row],[Column6]]), (deployment_raw[[#This Row],[Column6]] * IF($E$2="Deployment",deployment_raw[[#This Row],[Column5]],1)),"")</f>
        <v/>
      </c>
      <c r="J575" s="79" t="str">
        <f>IF(ISNUMBER(deployment_raw[[#This Row],[Column19]]), IF(K575&lt;&gt;0,(deployment_raw[[#This Row],[Column19]]/IF(OR($E$2="Deployment",deployment_raw[[#This Row],[Column5]]=0),1,deployment_raw[[#This Row],[Column5]]))/K575,0),"")</f>
        <v/>
      </c>
      <c r="K575" s="72" t="str">
        <f>IF(ISNUMBER(deployment_raw[[#This Row],[Column8]]), (deployment_raw[[#This Row],[Column8]]  * IF($E$2="Deployment",deployment_raw[[#This Row],[Column5]],1)),"")</f>
        <v/>
      </c>
      <c r="L57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7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75" s="81" t="str">
        <f>IF(ISNUMBER(deployment_raw[[#This Row],[Column20]]), IF(O575&lt;&gt;0,deployment_raw[[#This Row],[Column20]]/IF(OR($E$2="Deployment",deployment_raw[[#This Row],[Column5]]=0),1,deployment_raw[[#This Row],[Column5]])/1048576/O575,0),"")</f>
        <v/>
      </c>
      <c r="O575" s="74" t="str">
        <f>IF(ISNUMBER(deployment_raw[[#This Row],[Column7]]), (deployment_raw[[#This Row],[Column7]] * IF($E$2="Deployment",deployment_raw[[#This Row],[Column5]],1))/1048576,"")</f>
        <v/>
      </c>
      <c r="P575" s="81" t="str">
        <f>IF(ISNUMBER(deployment_raw[[#This Row],[Column20]]), IF(Q575&lt;&gt;0,deployment_raw[[#This Row],[Column20]]/IF(OR($E$2="Deployment",deployment_raw[[#This Row],[Column5]]=0),1,deployment_raw[[#This Row],[Column5]])/1048576/Q575,0),"")</f>
        <v/>
      </c>
      <c r="Q575" s="76" t="str">
        <f>IF(ISNUMBER(deployment_raw[[#This Row],[Column9]]), (deployment_raw[[#This Row],[Column9]] * IF($E$2="Deployment",deployment_raw[[#This Row],[Column5]],1))/1048576,"")</f>
        <v/>
      </c>
      <c r="R575" s="57" t="str">
        <f>IF(ISNUMBER(deployment_raw[[#This Row],[Column10]]), (deployment_raw[[#This Row],[Column10]] * IF($E$2="Deployment",deployment_raw[[#This Row],[Column5]],1)),"")</f>
        <v/>
      </c>
      <c r="S575" s="48" t="str">
        <f>IF(ISNUMBER(deployment_raw[[#This Row],[Column11]]), (deployment_raw[[#This Row],[Column11]] * IF($E$2="Deployment",deployment_raw[[#This Row],[Column5]],1))/1048576,"")</f>
        <v/>
      </c>
      <c r="T575" s="59" t="str">
        <f>IF(ISNUMBER(deployment_raw[[#This Row],[Column8]]),IF(OR(deployment_raw[[#This Row],[Column5]] &lt;&gt; 0,$E$2 &lt;&gt; "Deployment"), MAX(V575, ($T$2 * IF($E$2="Deployment",deployment_raw[[#This Row],[Column5]],1))), 0),"")</f>
        <v/>
      </c>
      <c r="U575" s="50" t="str">
        <f>IF(ISNUMBER(deployment_raw[[#This Row],[Column9]]),IF(OR(deployment_raw[[#This Row],[Column5]] &lt;&gt; 0,$E$2&lt;&gt;"Deployment"), MAX(W575, ($U$2 * IF($E$2="Deployment",deployment_raw[[#This Row],[Column5]],1))), 0),"")</f>
        <v/>
      </c>
      <c r="V575" s="15" t="str">
        <f>IF(ISNUMBER(deployment_raw[[#This Row],[Column12]]), (deployment_raw[[#This Row],[Column12]] * IF($E$2="Deployment",deployment_raw[[#This Row],[Column5]],1)*(1+$V$2)),"")</f>
        <v/>
      </c>
      <c r="W575" s="14" t="str">
        <f>IF(ISNUMBER(deployment_raw[[#This Row],[Column13]]), (deployment_raw[[#This Row],[Column13]] * IF($E$2="Deployment",deployment_raw[[#This Row],[Column5]],1)*(1+$W$2))/1048576,"")</f>
        <v/>
      </c>
    </row>
    <row r="576" spans="1:23" ht="15.75" customHeight="1" x14ac:dyDescent="0.25">
      <c r="A576" s="5" t="str">
        <f>IF(ISNONTEXT(deployment_raw[[#This Row],[Column1]]), "", deployment_raw[[#This Row],[Column1]])</f>
        <v/>
      </c>
      <c r="B576" s="6" t="str">
        <f>IF(ISNONTEXT(deployment_raw[[#This Row],[Column2]]), "", deployment_raw[[#This Row],[Column2]])</f>
        <v/>
      </c>
      <c r="C576" s="6" t="str">
        <f>IF(ISNONTEXT(deployment_raw[[#This Row],[Column3]]), "", deployment_raw[[#This Row],[Column3]])</f>
        <v/>
      </c>
      <c r="D576" s="6" t="str">
        <f>IF(ISNONTEXT(deployment_raw[[#This Row],[Column4]]), "", deployment_raw[[#This Row],[Column4]])</f>
        <v/>
      </c>
      <c r="E576" s="7" t="str">
        <f>IF(ISNUMBER(deployment_raw[[#This Row],[Column5]]), deployment_raw[[#This Row],[Column5]],"")</f>
        <v/>
      </c>
      <c r="F576" s="32" t="str">
        <f>IF(ISNUMBER(deployment_raw[[#This Row],[Column17]]), deployment_raw[[#This Row],[Column17]]/IF(OR($E$2="Deployment",deployment_raw[[#This Row],[Column5]]=0),1,deployment_raw[[#This Row],[Column5]]),"")</f>
        <v/>
      </c>
      <c r="G576" s="42" t="str">
        <f>IF(ISNUMBER(deployment_raw[[#This Row],[Column14]]), deployment_raw[[#This Row],[Column14]]/IF(OR($E$2="Deployment",deployment_raw[[#This Row],[Column5]]=0),1,deployment_raw[[#This Row],[Column5]]),"")</f>
        <v/>
      </c>
      <c r="H576" s="79" t="str">
        <f>IF(ISNUMBER(deployment_raw[[#This Row],[Column19]]), IF(I576&lt;&gt;0,(deployment_raw[[#This Row],[Column19]]/IF(OR($E$2="Deployment",deployment_raw[[#This Row],[Column5]]=0),1,deployment_raw[[#This Row],[Column5]]))/I576,0),"")</f>
        <v/>
      </c>
      <c r="I576" s="69" t="str">
        <f>IF(ISNUMBER(deployment_raw[[#This Row],[Column6]]), (deployment_raw[[#This Row],[Column6]] * IF($E$2="Deployment",deployment_raw[[#This Row],[Column5]],1)),"")</f>
        <v/>
      </c>
      <c r="J576" s="79" t="str">
        <f>IF(ISNUMBER(deployment_raw[[#This Row],[Column19]]), IF(K576&lt;&gt;0,(deployment_raw[[#This Row],[Column19]]/IF(OR($E$2="Deployment",deployment_raw[[#This Row],[Column5]]=0),1,deployment_raw[[#This Row],[Column5]]))/K576,0),"")</f>
        <v/>
      </c>
      <c r="K576" s="72" t="str">
        <f>IF(ISNUMBER(deployment_raw[[#This Row],[Column8]]), (deployment_raw[[#This Row],[Column8]]  * IF($E$2="Deployment",deployment_raw[[#This Row],[Column5]],1)),"")</f>
        <v/>
      </c>
      <c r="L57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7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76" s="81" t="str">
        <f>IF(ISNUMBER(deployment_raw[[#This Row],[Column20]]), IF(O576&lt;&gt;0,deployment_raw[[#This Row],[Column20]]/IF(OR($E$2="Deployment",deployment_raw[[#This Row],[Column5]]=0),1,deployment_raw[[#This Row],[Column5]])/1048576/O576,0),"")</f>
        <v/>
      </c>
      <c r="O576" s="74" t="str">
        <f>IF(ISNUMBER(deployment_raw[[#This Row],[Column7]]), (deployment_raw[[#This Row],[Column7]] * IF($E$2="Deployment",deployment_raw[[#This Row],[Column5]],1))/1048576,"")</f>
        <v/>
      </c>
      <c r="P576" s="81" t="str">
        <f>IF(ISNUMBER(deployment_raw[[#This Row],[Column20]]), IF(Q576&lt;&gt;0,deployment_raw[[#This Row],[Column20]]/IF(OR($E$2="Deployment",deployment_raw[[#This Row],[Column5]]=0),1,deployment_raw[[#This Row],[Column5]])/1048576/Q576,0),"")</f>
        <v/>
      </c>
      <c r="Q576" s="76" t="str">
        <f>IF(ISNUMBER(deployment_raw[[#This Row],[Column9]]), (deployment_raw[[#This Row],[Column9]] * IF($E$2="Deployment",deployment_raw[[#This Row],[Column5]],1))/1048576,"")</f>
        <v/>
      </c>
      <c r="R576" s="57" t="str">
        <f>IF(ISNUMBER(deployment_raw[[#This Row],[Column10]]), (deployment_raw[[#This Row],[Column10]] * IF($E$2="Deployment",deployment_raw[[#This Row],[Column5]],1)),"")</f>
        <v/>
      </c>
      <c r="S576" s="48" t="str">
        <f>IF(ISNUMBER(deployment_raw[[#This Row],[Column11]]), (deployment_raw[[#This Row],[Column11]] * IF($E$2="Deployment",deployment_raw[[#This Row],[Column5]],1))/1048576,"")</f>
        <v/>
      </c>
      <c r="T576" s="59" t="str">
        <f>IF(ISNUMBER(deployment_raw[[#This Row],[Column8]]),IF(OR(deployment_raw[[#This Row],[Column5]] &lt;&gt; 0,$E$2 &lt;&gt; "Deployment"), MAX(V576, ($T$2 * IF($E$2="Deployment",deployment_raw[[#This Row],[Column5]],1))), 0),"")</f>
        <v/>
      </c>
      <c r="U576" s="50" t="str">
        <f>IF(ISNUMBER(deployment_raw[[#This Row],[Column9]]),IF(OR(deployment_raw[[#This Row],[Column5]] &lt;&gt; 0,$E$2&lt;&gt;"Deployment"), MAX(W576, ($U$2 * IF($E$2="Deployment",deployment_raw[[#This Row],[Column5]],1))), 0),"")</f>
        <v/>
      </c>
      <c r="V576" s="15" t="str">
        <f>IF(ISNUMBER(deployment_raw[[#This Row],[Column12]]), (deployment_raw[[#This Row],[Column12]] * IF($E$2="Deployment",deployment_raw[[#This Row],[Column5]],1)*(1+$V$2)),"")</f>
        <v/>
      </c>
      <c r="W576" s="14" t="str">
        <f>IF(ISNUMBER(deployment_raw[[#This Row],[Column13]]), (deployment_raw[[#This Row],[Column13]] * IF($E$2="Deployment",deployment_raw[[#This Row],[Column5]],1)*(1+$W$2))/1048576,"")</f>
        <v/>
      </c>
    </row>
    <row r="577" spans="1:23" ht="15.75" customHeight="1" x14ac:dyDescent="0.25">
      <c r="A577" s="5" t="str">
        <f>IF(ISNONTEXT(deployment_raw[[#This Row],[Column1]]), "", deployment_raw[[#This Row],[Column1]])</f>
        <v/>
      </c>
      <c r="B577" s="6" t="str">
        <f>IF(ISNONTEXT(deployment_raw[[#This Row],[Column2]]), "", deployment_raw[[#This Row],[Column2]])</f>
        <v/>
      </c>
      <c r="C577" s="6" t="str">
        <f>IF(ISNONTEXT(deployment_raw[[#This Row],[Column3]]), "", deployment_raw[[#This Row],[Column3]])</f>
        <v/>
      </c>
      <c r="D577" s="6" t="str">
        <f>IF(ISNONTEXT(deployment_raw[[#This Row],[Column4]]), "", deployment_raw[[#This Row],[Column4]])</f>
        <v/>
      </c>
      <c r="E577" s="7" t="str">
        <f>IF(ISNUMBER(deployment_raw[[#This Row],[Column5]]), deployment_raw[[#This Row],[Column5]],"")</f>
        <v/>
      </c>
      <c r="F577" s="32" t="str">
        <f>IF(ISNUMBER(deployment_raw[[#This Row],[Column17]]), deployment_raw[[#This Row],[Column17]]/IF(OR($E$2="Deployment",deployment_raw[[#This Row],[Column5]]=0),1,deployment_raw[[#This Row],[Column5]]),"")</f>
        <v/>
      </c>
      <c r="G577" s="42" t="str">
        <f>IF(ISNUMBER(deployment_raw[[#This Row],[Column14]]), deployment_raw[[#This Row],[Column14]]/IF(OR($E$2="Deployment",deployment_raw[[#This Row],[Column5]]=0),1,deployment_raw[[#This Row],[Column5]]),"")</f>
        <v/>
      </c>
      <c r="H577" s="79" t="str">
        <f>IF(ISNUMBER(deployment_raw[[#This Row],[Column19]]), IF(I577&lt;&gt;0,(deployment_raw[[#This Row],[Column19]]/IF(OR($E$2="Deployment",deployment_raw[[#This Row],[Column5]]=0),1,deployment_raw[[#This Row],[Column5]]))/I577,0),"")</f>
        <v/>
      </c>
      <c r="I577" s="69" t="str">
        <f>IF(ISNUMBER(deployment_raw[[#This Row],[Column6]]), (deployment_raw[[#This Row],[Column6]] * IF($E$2="Deployment",deployment_raw[[#This Row],[Column5]],1)),"")</f>
        <v/>
      </c>
      <c r="J577" s="79" t="str">
        <f>IF(ISNUMBER(deployment_raw[[#This Row],[Column19]]), IF(K577&lt;&gt;0,(deployment_raw[[#This Row],[Column19]]/IF(OR($E$2="Deployment",deployment_raw[[#This Row],[Column5]]=0),1,deployment_raw[[#This Row],[Column5]]))/K577,0),"")</f>
        <v/>
      </c>
      <c r="K577" s="72" t="str">
        <f>IF(ISNUMBER(deployment_raw[[#This Row],[Column8]]), (deployment_raw[[#This Row],[Column8]]  * IF($E$2="Deployment",deployment_raw[[#This Row],[Column5]],1)),"")</f>
        <v/>
      </c>
      <c r="L57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7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77" s="81" t="str">
        <f>IF(ISNUMBER(deployment_raw[[#This Row],[Column20]]), IF(O577&lt;&gt;0,deployment_raw[[#This Row],[Column20]]/IF(OR($E$2="Deployment",deployment_raw[[#This Row],[Column5]]=0),1,deployment_raw[[#This Row],[Column5]])/1048576/O577,0),"")</f>
        <v/>
      </c>
      <c r="O577" s="74" t="str">
        <f>IF(ISNUMBER(deployment_raw[[#This Row],[Column7]]), (deployment_raw[[#This Row],[Column7]] * IF($E$2="Deployment",deployment_raw[[#This Row],[Column5]],1))/1048576,"")</f>
        <v/>
      </c>
      <c r="P577" s="81" t="str">
        <f>IF(ISNUMBER(deployment_raw[[#This Row],[Column20]]), IF(Q577&lt;&gt;0,deployment_raw[[#This Row],[Column20]]/IF(OR($E$2="Deployment",deployment_raw[[#This Row],[Column5]]=0),1,deployment_raw[[#This Row],[Column5]])/1048576/Q577,0),"")</f>
        <v/>
      </c>
      <c r="Q577" s="76" t="str">
        <f>IF(ISNUMBER(deployment_raw[[#This Row],[Column9]]), (deployment_raw[[#This Row],[Column9]] * IF($E$2="Deployment",deployment_raw[[#This Row],[Column5]],1))/1048576,"")</f>
        <v/>
      </c>
      <c r="R577" s="57" t="str">
        <f>IF(ISNUMBER(deployment_raw[[#This Row],[Column10]]), (deployment_raw[[#This Row],[Column10]] * IF($E$2="Deployment",deployment_raw[[#This Row],[Column5]],1)),"")</f>
        <v/>
      </c>
      <c r="S577" s="48" t="str">
        <f>IF(ISNUMBER(deployment_raw[[#This Row],[Column11]]), (deployment_raw[[#This Row],[Column11]] * IF($E$2="Deployment",deployment_raw[[#This Row],[Column5]],1))/1048576,"")</f>
        <v/>
      </c>
      <c r="T577" s="59" t="str">
        <f>IF(ISNUMBER(deployment_raw[[#This Row],[Column8]]),IF(OR(deployment_raw[[#This Row],[Column5]] &lt;&gt; 0,$E$2 &lt;&gt; "Deployment"), MAX(V577, ($T$2 * IF($E$2="Deployment",deployment_raw[[#This Row],[Column5]],1))), 0),"")</f>
        <v/>
      </c>
      <c r="U577" s="50" t="str">
        <f>IF(ISNUMBER(deployment_raw[[#This Row],[Column9]]),IF(OR(deployment_raw[[#This Row],[Column5]] &lt;&gt; 0,$E$2&lt;&gt;"Deployment"), MAX(W577, ($U$2 * IF($E$2="Deployment",deployment_raw[[#This Row],[Column5]],1))), 0),"")</f>
        <v/>
      </c>
      <c r="V577" s="15" t="str">
        <f>IF(ISNUMBER(deployment_raw[[#This Row],[Column12]]), (deployment_raw[[#This Row],[Column12]] * IF($E$2="Deployment",deployment_raw[[#This Row],[Column5]],1)*(1+$V$2)),"")</f>
        <v/>
      </c>
      <c r="W577" s="14" t="str">
        <f>IF(ISNUMBER(deployment_raw[[#This Row],[Column13]]), (deployment_raw[[#This Row],[Column13]] * IF($E$2="Deployment",deployment_raw[[#This Row],[Column5]],1)*(1+$W$2))/1048576,"")</f>
        <v/>
      </c>
    </row>
    <row r="578" spans="1:23" ht="15.75" customHeight="1" x14ac:dyDescent="0.25">
      <c r="A578" s="5" t="str">
        <f>IF(ISNONTEXT(deployment_raw[[#This Row],[Column1]]), "", deployment_raw[[#This Row],[Column1]])</f>
        <v/>
      </c>
      <c r="B578" s="6" t="str">
        <f>IF(ISNONTEXT(deployment_raw[[#This Row],[Column2]]), "", deployment_raw[[#This Row],[Column2]])</f>
        <v/>
      </c>
      <c r="C578" s="6" t="str">
        <f>IF(ISNONTEXT(deployment_raw[[#This Row],[Column3]]), "", deployment_raw[[#This Row],[Column3]])</f>
        <v/>
      </c>
      <c r="D578" s="6" t="str">
        <f>IF(ISNONTEXT(deployment_raw[[#This Row],[Column4]]), "", deployment_raw[[#This Row],[Column4]])</f>
        <v/>
      </c>
      <c r="E578" s="7" t="str">
        <f>IF(ISNUMBER(deployment_raw[[#This Row],[Column5]]), deployment_raw[[#This Row],[Column5]],"")</f>
        <v/>
      </c>
      <c r="F578" s="32" t="str">
        <f>IF(ISNUMBER(deployment_raw[[#This Row],[Column17]]), deployment_raw[[#This Row],[Column17]]/IF(OR($E$2="Deployment",deployment_raw[[#This Row],[Column5]]=0),1,deployment_raw[[#This Row],[Column5]]),"")</f>
        <v/>
      </c>
      <c r="G578" s="42" t="str">
        <f>IF(ISNUMBER(deployment_raw[[#This Row],[Column14]]), deployment_raw[[#This Row],[Column14]]/IF(OR($E$2="Deployment",deployment_raw[[#This Row],[Column5]]=0),1,deployment_raw[[#This Row],[Column5]]),"")</f>
        <v/>
      </c>
      <c r="H578" s="79" t="str">
        <f>IF(ISNUMBER(deployment_raw[[#This Row],[Column19]]), IF(I578&lt;&gt;0,(deployment_raw[[#This Row],[Column19]]/IF(OR($E$2="Deployment",deployment_raw[[#This Row],[Column5]]=0),1,deployment_raw[[#This Row],[Column5]]))/I578,0),"")</f>
        <v/>
      </c>
      <c r="I578" s="69" t="str">
        <f>IF(ISNUMBER(deployment_raw[[#This Row],[Column6]]), (deployment_raw[[#This Row],[Column6]] * IF($E$2="Deployment",deployment_raw[[#This Row],[Column5]],1)),"")</f>
        <v/>
      </c>
      <c r="J578" s="79" t="str">
        <f>IF(ISNUMBER(deployment_raw[[#This Row],[Column19]]), IF(K578&lt;&gt;0,(deployment_raw[[#This Row],[Column19]]/IF(OR($E$2="Deployment",deployment_raw[[#This Row],[Column5]]=0),1,deployment_raw[[#This Row],[Column5]]))/K578,0),"")</f>
        <v/>
      </c>
      <c r="K578" s="72" t="str">
        <f>IF(ISNUMBER(deployment_raw[[#This Row],[Column8]]), (deployment_raw[[#This Row],[Column8]]  * IF($E$2="Deployment",deployment_raw[[#This Row],[Column5]],1)),"")</f>
        <v/>
      </c>
      <c r="L57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7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78" s="81" t="str">
        <f>IF(ISNUMBER(deployment_raw[[#This Row],[Column20]]), IF(O578&lt;&gt;0,deployment_raw[[#This Row],[Column20]]/IF(OR($E$2="Deployment",deployment_raw[[#This Row],[Column5]]=0),1,deployment_raw[[#This Row],[Column5]])/1048576/O578,0),"")</f>
        <v/>
      </c>
      <c r="O578" s="74" t="str">
        <f>IF(ISNUMBER(deployment_raw[[#This Row],[Column7]]), (deployment_raw[[#This Row],[Column7]] * IF($E$2="Deployment",deployment_raw[[#This Row],[Column5]],1))/1048576,"")</f>
        <v/>
      </c>
      <c r="P578" s="81" t="str">
        <f>IF(ISNUMBER(deployment_raw[[#This Row],[Column20]]), IF(Q578&lt;&gt;0,deployment_raw[[#This Row],[Column20]]/IF(OR($E$2="Deployment",deployment_raw[[#This Row],[Column5]]=0),1,deployment_raw[[#This Row],[Column5]])/1048576/Q578,0),"")</f>
        <v/>
      </c>
      <c r="Q578" s="76" t="str">
        <f>IF(ISNUMBER(deployment_raw[[#This Row],[Column9]]), (deployment_raw[[#This Row],[Column9]] * IF($E$2="Deployment",deployment_raw[[#This Row],[Column5]],1))/1048576,"")</f>
        <v/>
      </c>
      <c r="R578" s="57" t="str">
        <f>IF(ISNUMBER(deployment_raw[[#This Row],[Column10]]), (deployment_raw[[#This Row],[Column10]] * IF($E$2="Deployment",deployment_raw[[#This Row],[Column5]],1)),"")</f>
        <v/>
      </c>
      <c r="S578" s="48" t="str">
        <f>IF(ISNUMBER(deployment_raw[[#This Row],[Column11]]), (deployment_raw[[#This Row],[Column11]] * IF($E$2="Deployment",deployment_raw[[#This Row],[Column5]],1))/1048576,"")</f>
        <v/>
      </c>
      <c r="T578" s="59" t="str">
        <f>IF(ISNUMBER(deployment_raw[[#This Row],[Column8]]),IF(OR(deployment_raw[[#This Row],[Column5]] &lt;&gt; 0,$E$2 &lt;&gt; "Deployment"), MAX(V578, ($T$2 * IF($E$2="Deployment",deployment_raw[[#This Row],[Column5]],1))), 0),"")</f>
        <v/>
      </c>
      <c r="U578" s="50" t="str">
        <f>IF(ISNUMBER(deployment_raw[[#This Row],[Column9]]),IF(OR(deployment_raw[[#This Row],[Column5]] &lt;&gt; 0,$E$2&lt;&gt;"Deployment"), MAX(W578, ($U$2 * IF($E$2="Deployment",deployment_raw[[#This Row],[Column5]],1))), 0),"")</f>
        <v/>
      </c>
      <c r="V578" s="15" t="str">
        <f>IF(ISNUMBER(deployment_raw[[#This Row],[Column12]]), (deployment_raw[[#This Row],[Column12]] * IF($E$2="Deployment",deployment_raw[[#This Row],[Column5]],1)*(1+$V$2)),"")</f>
        <v/>
      </c>
      <c r="W578" s="14" t="str">
        <f>IF(ISNUMBER(deployment_raw[[#This Row],[Column13]]), (deployment_raw[[#This Row],[Column13]] * IF($E$2="Deployment",deployment_raw[[#This Row],[Column5]],1)*(1+$W$2))/1048576,"")</f>
        <v/>
      </c>
    </row>
    <row r="579" spans="1:23" ht="15.75" customHeight="1" x14ac:dyDescent="0.25">
      <c r="A579" s="5" t="str">
        <f>IF(ISNONTEXT(deployment_raw[[#This Row],[Column1]]), "", deployment_raw[[#This Row],[Column1]])</f>
        <v/>
      </c>
      <c r="B579" s="6" t="str">
        <f>IF(ISNONTEXT(deployment_raw[[#This Row],[Column2]]), "", deployment_raw[[#This Row],[Column2]])</f>
        <v/>
      </c>
      <c r="C579" s="6" t="str">
        <f>IF(ISNONTEXT(deployment_raw[[#This Row],[Column3]]), "", deployment_raw[[#This Row],[Column3]])</f>
        <v/>
      </c>
      <c r="D579" s="6" t="str">
        <f>IF(ISNONTEXT(deployment_raw[[#This Row],[Column4]]), "", deployment_raw[[#This Row],[Column4]])</f>
        <v/>
      </c>
      <c r="E579" s="7" t="str">
        <f>IF(ISNUMBER(deployment_raw[[#This Row],[Column5]]), deployment_raw[[#This Row],[Column5]],"")</f>
        <v/>
      </c>
      <c r="F579" s="32" t="str">
        <f>IF(ISNUMBER(deployment_raw[[#This Row],[Column17]]), deployment_raw[[#This Row],[Column17]]/IF(OR($E$2="Deployment",deployment_raw[[#This Row],[Column5]]=0),1,deployment_raw[[#This Row],[Column5]]),"")</f>
        <v/>
      </c>
      <c r="G579" s="42" t="str">
        <f>IF(ISNUMBER(deployment_raw[[#This Row],[Column14]]), deployment_raw[[#This Row],[Column14]]/IF(OR($E$2="Deployment",deployment_raw[[#This Row],[Column5]]=0),1,deployment_raw[[#This Row],[Column5]]),"")</f>
        <v/>
      </c>
      <c r="H579" s="79" t="str">
        <f>IF(ISNUMBER(deployment_raw[[#This Row],[Column19]]), IF(I579&lt;&gt;0,(deployment_raw[[#This Row],[Column19]]/IF(OR($E$2="Deployment",deployment_raw[[#This Row],[Column5]]=0),1,deployment_raw[[#This Row],[Column5]]))/I579,0),"")</f>
        <v/>
      </c>
      <c r="I579" s="69" t="str">
        <f>IF(ISNUMBER(deployment_raw[[#This Row],[Column6]]), (deployment_raw[[#This Row],[Column6]] * IF($E$2="Deployment",deployment_raw[[#This Row],[Column5]],1)),"")</f>
        <v/>
      </c>
      <c r="J579" s="79" t="str">
        <f>IF(ISNUMBER(deployment_raw[[#This Row],[Column19]]), IF(K579&lt;&gt;0,(deployment_raw[[#This Row],[Column19]]/IF(OR($E$2="Deployment",deployment_raw[[#This Row],[Column5]]=0),1,deployment_raw[[#This Row],[Column5]]))/K579,0),"")</f>
        <v/>
      </c>
      <c r="K579" s="72" t="str">
        <f>IF(ISNUMBER(deployment_raw[[#This Row],[Column8]]), (deployment_raw[[#This Row],[Column8]]  * IF($E$2="Deployment",deployment_raw[[#This Row],[Column5]],1)),"")</f>
        <v/>
      </c>
      <c r="L57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7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79" s="81" t="str">
        <f>IF(ISNUMBER(deployment_raw[[#This Row],[Column20]]), IF(O579&lt;&gt;0,deployment_raw[[#This Row],[Column20]]/IF(OR($E$2="Deployment",deployment_raw[[#This Row],[Column5]]=0),1,deployment_raw[[#This Row],[Column5]])/1048576/O579,0),"")</f>
        <v/>
      </c>
      <c r="O579" s="74" t="str">
        <f>IF(ISNUMBER(deployment_raw[[#This Row],[Column7]]), (deployment_raw[[#This Row],[Column7]] * IF($E$2="Deployment",deployment_raw[[#This Row],[Column5]],1))/1048576,"")</f>
        <v/>
      </c>
      <c r="P579" s="81" t="str">
        <f>IF(ISNUMBER(deployment_raw[[#This Row],[Column20]]), IF(Q579&lt;&gt;0,deployment_raw[[#This Row],[Column20]]/IF(OR($E$2="Deployment",deployment_raw[[#This Row],[Column5]]=0),1,deployment_raw[[#This Row],[Column5]])/1048576/Q579,0),"")</f>
        <v/>
      </c>
      <c r="Q579" s="76" t="str">
        <f>IF(ISNUMBER(deployment_raw[[#This Row],[Column9]]), (deployment_raw[[#This Row],[Column9]] * IF($E$2="Deployment",deployment_raw[[#This Row],[Column5]],1))/1048576,"")</f>
        <v/>
      </c>
      <c r="R579" s="57" t="str">
        <f>IF(ISNUMBER(deployment_raw[[#This Row],[Column10]]), (deployment_raw[[#This Row],[Column10]] * IF($E$2="Deployment",deployment_raw[[#This Row],[Column5]],1)),"")</f>
        <v/>
      </c>
      <c r="S579" s="48" t="str">
        <f>IF(ISNUMBER(deployment_raw[[#This Row],[Column11]]), (deployment_raw[[#This Row],[Column11]] * IF($E$2="Deployment",deployment_raw[[#This Row],[Column5]],1))/1048576,"")</f>
        <v/>
      </c>
      <c r="T579" s="59" t="str">
        <f>IF(ISNUMBER(deployment_raw[[#This Row],[Column8]]),IF(OR(deployment_raw[[#This Row],[Column5]] &lt;&gt; 0,$E$2 &lt;&gt; "Deployment"), MAX(V579, ($T$2 * IF($E$2="Deployment",deployment_raw[[#This Row],[Column5]],1))), 0),"")</f>
        <v/>
      </c>
      <c r="U579" s="50" t="str">
        <f>IF(ISNUMBER(deployment_raw[[#This Row],[Column9]]),IF(OR(deployment_raw[[#This Row],[Column5]] &lt;&gt; 0,$E$2&lt;&gt;"Deployment"), MAX(W579, ($U$2 * IF($E$2="Deployment",deployment_raw[[#This Row],[Column5]],1))), 0),"")</f>
        <v/>
      </c>
      <c r="V579" s="15" t="str">
        <f>IF(ISNUMBER(deployment_raw[[#This Row],[Column12]]), (deployment_raw[[#This Row],[Column12]] * IF($E$2="Deployment",deployment_raw[[#This Row],[Column5]],1)*(1+$V$2)),"")</f>
        <v/>
      </c>
      <c r="W579" s="14" t="str">
        <f>IF(ISNUMBER(deployment_raw[[#This Row],[Column13]]), (deployment_raw[[#This Row],[Column13]] * IF($E$2="Deployment",deployment_raw[[#This Row],[Column5]],1)*(1+$W$2))/1048576,"")</f>
        <v/>
      </c>
    </row>
    <row r="580" spans="1:23" ht="15.75" customHeight="1" x14ac:dyDescent="0.25">
      <c r="A580" s="5" t="str">
        <f>IF(ISNONTEXT(deployment_raw[[#This Row],[Column1]]), "", deployment_raw[[#This Row],[Column1]])</f>
        <v/>
      </c>
      <c r="B580" s="6" t="str">
        <f>IF(ISNONTEXT(deployment_raw[[#This Row],[Column2]]), "", deployment_raw[[#This Row],[Column2]])</f>
        <v/>
      </c>
      <c r="C580" s="6" t="str">
        <f>IF(ISNONTEXT(deployment_raw[[#This Row],[Column3]]), "", deployment_raw[[#This Row],[Column3]])</f>
        <v/>
      </c>
      <c r="D580" s="6" t="str">
        <f>IF(ISNONTEXT(deployment_raw[[#This Row],[Column4]]), "", deployment_raw[[#This Row],[Column4]])</f>
        <v/>
      </c>
      <c r="E580" s="7" t="str">
        <f>IF(ISNUMBER(deployment_raw[[#This Row],[Column5]]), deployment_raw[[#This Row],[Column5]],"")</f>
        <v/>
      </c>
      <c r="F580" s="32" t="str">
        <f>IF(ISNUMBER(deployment_raw[[#This Row],[Column17]]), deployment_raw[[#This Row],[Column17]]/IF(OR($E$2="Deployment",deployment_raw[[#This Row],[Column5]]=0),1,deployment_raw[[#This Row],[Column5]]),"")</f>
        <v/>
      </c>
      <c r="G580" s="42" t="str">
        <f>IF(ISNUMBER(deployment_raw[[#This Row],[Column14]]), deployment_raw[[#This Row],[Column14]]/IF(OR($E$2="Deployment",deployment_raw[[#This Row],[Column5]]=0),1,deployment_raw[[#This Row],[Column5]]),"")</f>
        <v/>
      </c>
      <c r="H580" s="79" t="str">
        <f>IF(ISNUMBER(deployment_raw[[#This Row],[Column19]]), IF(I580&lt;&gt;0,(deployment_raw[[#This Row],[Column19]]/IF(OR($E$2="Deployment",deployment_raw[[#This Row],[Column5]]=0),1,deployment_raw[[#This Row],[Column5]]))/I580,0),"")</f>
        <v/>
      </c>
      <c r="I580" s="69" t="str">
        <f>IF(ISNUMBER(deployment_raw[[#This Row],[Column6]]), (deployment_raw[[#This Row],[Column6]] * IF($E$2="Deployment",deployment_raw[[#This Row],[Column5]],1)),"")</f>
        <v/>
      </c>
      <c r="J580" s="79" t="str">
        <f>IF(ISNUMBER(deployment_raw[[#This Row],[Column19]]), IF(K580&lt;&gt;0,(deployment_raw[[#This Row],[Column19]]/IF(OR($E$2="Deployment",deployment_raw[[#This Row],[Column5]]=0),1,deployment_raw[[#This Row],[Column5]]))/K580,0),"")</f>
        <v/>
      </c>
      <c r="K580" s="72" t="str">
        <f>IF(ISNUMBER(deployment_raw[[#This Row],[Column8]]), (deployment_raw[[#This Row],[Column8]]  * IF($E$2="Deployment",deployment_raw[[#This Row],[Column5]],1)),"")</f>
        <v/>
      </c>
      <c r="L58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8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80" s="81" t="str">
        <f>IF(ISNUMBER(deployment_raw[[#This Row],[Column20]]), IF(O580&lt;&gt;0,deployment_raw[[#This Row],[Column20]]/IF(OR($E$2="Deployment",deployment_raw[[#This Row],[Column5]]=0),1,deployment_raw[[#This Row],[Column5]])/1048576/O580,0),"")</f>
        <v/>
      </c>
      <c r="O580" s="74" t="str">
        <f>IF(ISNUMBER(deployment_raw[[#This Row],[Column7]]), (deployment_raw[[#This Row],[Column7]] * IF($E$2="Deployment",deployment_raw[[#This Row],[Column5]],1))/1048576,"")</f>
        <v/>
      </c>
      <c r="P580" s="81" t="str">
        <f>IF(ISNUMBER(deployment_raw[[#This Row],[Column20]]), IF(Q580&lt;&gt;0,deployment_raw[[#This Row],[Column20]]/IF(OR($E$2="Deployment",deployment_raw[[#This Row],[Column5]]=0),1,deployment_raw[[#This Row],[Column5]])/1048576/Q580,0),"")</f>
        <v/>
      </c>
      <c r="Q580" s="76" t="str">
        <f>IF(ISNUMBER(deployment_raw[[#This Row],[Column9]]), (deployment_raw[[#This Row],[Column9]] * IF($E$2="Deployment",deployment_raw[[#This Row],[Column5]],1))/1048576,"")</f>
        <v/>
      </c>
      <c r="R580" s="57" t="str">
        <f>IF(ISNUMBER(deployment_raw[[#This Row],[Column10]]), (deployment_raw[[#This Row],[Column10]] * IF($E$2="Deployment",deployment_raw[[#This Row],[Column5]],1)),"")</f>
        <v/>
      </c>
      <c r="S580" s="48" t="str">
        <f>IF(ISNUMBER(deployment_raw[[#This Row],[Column11]]), (deployment_raw[[#This Row],[Column11]] * IF($E$2="Deployment",deployment_raw[[#This Row],[Column5]],1))/1048576,"")</f>
        <v/>
      </c>
      <c r="T580" s="59" t="str">
        <f>IF(ISNUMBER(deployment_raw[[#This Row],[Column8]]),IF(OR(deployment_raw[[#This Row],[Column5]] &lt;&gt; 0,$E$2 &lt;&gt; "Deployment"), MAX(V580, ($T$2 * IF($E$2="Deployment",deployment_raw[[#This Row],[Column5]],1))), 0),"")</f>
        <v/>
      </c>
      <c r="U580" s="50" t="str">
        <f>IF(ISNUMBER(deployment_raw[[#This Row],[Column9]]),IF(OR(deployment_raw[[#This Row],[Column5]] &lt;&gt; 0,$E$2&lt;&gt;"Deployment"), MAX(W580, ($U$2 * IF($E$2="Deployment",deployment_raw[[#This Row],[Column5]],1))), 0),"")</f>
        <v/>
      </c>
      <c r="V580" s="15" t="str">
        <f>IF(ISNUMBER(deployment_raw[[#This Row],[Column12]]), (deployment_raw[[#This Row],[Column12]] * IF($E$2="Deployment",deployment_raw[[#This Row],[Column5]],1)*(1+$V$2)),"")</f>
        <v/>
      </c>
      <c r="W580" s="14" t="str">
        <f>IF(ISNUMBER(deployment_raw[[#This Row],[Column13]]), (deployment_raw[[#This Row],[Column13]] * IF($E$2="Deployment",deployment_raw[[#This Row],[Column5]],1)*(1+$W$2))/1048576,"")</f>
        <v/>
      </c>
    </row>
    <row r="581" spans="1:23" ht="15.75" customHeight="1" x14ac:dyDescent="0.25">
      <c r="A581" s="5" t="str">
        <f>IF(ISNONTEXT(deployment_raw[[#This Row],[Column1]]), "", deployment_raw[[#This Row],[Column1]])</f>
        <v/>
      </c>
      <c r="B581" s="6" t="str">
        <f>IF(ISNONTEXT(deployment_raw[[#This Row],[Column2]]), "", deployment_raw[[#This Row],[Column2]])</f>
        <v/>
      </c>
      <c r="C581" s="6" t="str">
        <f>IF(ISNONTEXT(deployment_raw[[#This Row],[Column3]]), "", deployment_raw[[#This Row],[Column3]])</f>
        <v/>
      </c>
      <c r="D581" s="6" t="str">
        <f>IF(ISNONTEXT(deployment_raw[[#This Row],[Column4]]), "", deployment_raw[[#This Row],[Column4]])</f>
        <v/>
      </c>
      <c r="E581" s="7" t="str">
        <f>IF(ISNUMBER(deployment_raw[[#This Row],[Column5]]), deployment_raw[[#This Row],[Column5]],"")</f>
        <v/>
      </c>
      <c r="F581" s="32" t="str">
        <f>IF(ISNUMBER(deployment_raw[[#This Row],[Column17]]), deployment_raw[[#This Row],[Column17]]/IF(OR($E$2="Deployment",deployment_raw[[#This Row],[Column5]]=0),1,deployment_raw[[#This Row],[Column5]]),"")</f>
        <v/>
      </c>
      <c r="G581" s="42" t="str">
        <f>IF(ISNUMBER(deployment_raw[[#This Row],[Column14]]), deployment_raw[[#This Row],[Column14]]/IF(OR($E$2="Deployment",deployment_raw[[#This Row],[Column5]]=0),1,deployment_raw[[#This Row],[Column5]]),"")</f>
        <v/>
      </c>
      <c r="H581" s="79" t="str">
        <f>IF(ISNUMBER(deployment_raw[[#This Row],[Column19]]), IF(I581&lt;&gt;0,(deployment_raw[[#This Row],[Column19]]/IF(OR($E$2="Deployment",deployment_raw[[#This Row],[Column5]]=0),1,deployment_raw[[#This Row],[Column5]]))/I581,0),"")</f>
        <v/>
      </c>
      <c r="I581" s="69" t="str">
        <f>IF(ISNUMBER(deployment_raw[[#This Row],[Column6]]), (deployment_raw[[#This Row],[Column6]] * IF($E$2="Deployment",deployment_raw[[#This Row],[Column5]],1)),"")</f>
        <v/>
      </c>
      <c r="J581" s="79" t="str">
        <f>IF(ISNUMBER(deployment_raw[[#This Row],[Column19]]), IF(K581&lt;&gt;0,(deployment_raw[[#This Row],[Column19]]/IF(OR($E$2="Deployment",deployment_raw[[#This Row],[Column5]]=0),1,deployment_raw[[#This Row],[Column5]]))/K581,0),"")</f>
        <v/>
      </c>
      <c r="K581" s="72" t="str">
        <f>IF(ISNUMBER(deployment_raw[[#This Row],[Column8]]), (deployment_raw[[#This Row],[Column8]]  * IF($E$2="Deployment",deployment_raw[[#This Row],[Column5]],1)),"")</f>
        <v/>
      </c>
      <c r="L58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8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81" s="81" t="str">
        <f>IF(ISNUMBER(deployment_raw[[#This Row],[Column20]]), IF(O581&lt;&gt;0,deployment_raw[[#This Row],[Column20]]/IF(OR($E$2="Deployment",deployment_raw[[#This Row],[Column5]]=0),1,deployment_raw[[#This Row],[Column5]])/1048576/O581,0),"")</f>
        <v/>
      </c>
      <c r="O581" s="74" t="str">
        <f>IF(ISNUMBER(deployment_raw[[#This Row],[Column7]]), (deployment_raw[[#This Row],[Column7]] * IF($E$2="Deployment",deployment_raw[[#This Row],[Column5]],1))/1048576,"")</f>
        <v/>
      </c>
      <c r="P581" s="81" t="str">
        <f>IF(ISNUMBER(deployment_raw[[#This Row],[Column20]]), IF(Q581&lt;&gt;0,deployment_raw[[#This Row],[Column20]]/IF(OR($E$2="Deployment",deployment_raw[[#This Row],[Column5]]=0),1,deployment_raw[[#This Row],[Column5]])/1048576/Q581,0),"")</f>
        <v/>
      </c>
      <c r="Q581" s="76" t="str">
        <f>IF(ISNUMBER(deployment_raw[[#This Row],[Column9]]), (deployment_raw[[#This Row],[Column9]] * IF($E$2="Deployment",deployment_raw[[#This Row],[Column5]],1))/1048576,"")</f>
        <v/>
      </c>
      <c r="R581" s="57" t="str">
        <f>IF(ISNUMBER(deployment_raw[[#This Row],[Column10]]), (deployment_raw[[#This Row],[Column10]] * IF($E$2="Deployment",deployment_raw[[#This Row],[Column5]],1)),"")</f>
        <v/>
      </c>
      <c r="S581" s="48" t="str">
        <f>IF(ISNUMBER(deployment_raw[[#This Row],[Column11]]), (deployment_raw[[#This Row],[Column11]] * IF($E$2="Deployment",deployment_raw[[#This Row],[Column5]],1))/1048576,"")</f>
        <v/>
      </c>
      <c r="T581" s="59" t="str">
        <f>IF(ISNUMBER(deployment_raw[[#This Row],[Column8]]),IF(OR(deployment_raw[[#This Row],[Column5]] &lt;&gt; 0,$E$2 &lt;&gt; "Deployment"), MAX(V581, ($T$2 * IF($E$2="Deployment",deployment_raw[[#This Row],[Column5]],1))), 0),"")</f>
        <v/>
      </c>
      <c r="U581" s="50" t="str">
        <f>IF(ISNUMBER(deployment_raw[[#This Row],[Column9]]),IF(OR(deployment_raw[[#This Row],[Column5]] &lt;&gt; 0,$E$2&lt;&gt;"Deployment"), MAX(W581, ($U$2 * IF($E$2="Deployment",deployment_raw[[#This Row],[Column5]],1))), 0),"")</f>
        <v/>
      </c>
      <c r="V581" s="15" t="str">
        <f>IF(ISNUMBER(deployment_raw[[#This Row],[Column12]]), (deployment_raw[[#This Row],[Column12]] * IF($E$2="Deployment",deployment_raw[[#This Row],[Column5]],1)*(1+$V$2)),"")</f>
        <v/>
      </c>
      <c r="W581" s="14" t="str">
        <f>IF(ISNUMBER(deployment_raw[[#This Row],[Column13]]), (deployment_raw[[#This Row],[Column13]] * IF($E$2="Deployment",deployment_raw[[#This Row],[Column5]],1)*(1+$W$2))/1048576,"")</f>
        <v/>
      </c>
    </row>
    <row r="582" spans="1:23" ht="15.75" customHeight="1" x14ac:dyDescent="0.25">
      <c r="A582" s="5" t="str">
        <f>IF(ISNONTEXT(deployment_raw[[#This Row],[Column1]]), "", deployment_raw[[#This Row],[Column1]])</f>
        <v/>
      </c>
      <c r="B582" s="6" t="str">
        <f>IF(ISNONTEXT(deployment_raw[[#This Row],[Column2]]), "", deployment_raw[[#This Row],[Column2]])</f>
        <v/>
      </c>
      <c r="C582" s="6" t="str">
        <f>IF(ISNONTEXT(deployment_raw[[#This Row],[Column3]]), "", deployment_raw[[#This Row],[Column3]])</f>
        <v/>
      </c>
      <c r="D582" s="6" t="str">
        <f>IF(ISNONTEXT(deployment_raw[[#This Row],[Column4]]), "", deployment_raw[[#This Row],[Column4]])</f>
        <v/>
      </c>
      <c r="E582" s="7" t="str">
        <f>IF(ISNUMBER(deployment_raw[[#This Row],[Column5]]), deployment_raw[[#This Row],[Column5]],"")</f>
        <v/>
      </c>
      <c r="F582" s="32" t="str">
        <f>IF(ISNUMBER(deployment_raw[[#This Row],[Column17]]), deployment_raw[[#This Row],[Column17]]/IF(OR($E$2="Deployment",deployment_raw[[#This Row],[Column5]]=0),1,deployment_raw[[#This Row],[Column5]]),"")</f>
        <v/>
      </c>
      <c r="G582" s="42" t="str">
        <f>IF(ISNUMBER(deployment_raw[[#This Row],[Column14]]), deployment_raw[[#This Row],[Column14]]/IF(OR($E$2="Deployment",deployment_raw[[#This Row],[Column5]]=0),1,deployment_raw[[#This Row],[Column5]]),"")</f>
        <v/>
      </c>
      <c r="H582" s="79" t="str">
        <f>IF(ISNUMBER(deployment_raw[[#This Row],[Column19]]), IF(I582&lt;&gt;0,(deployment_raw[[#This Row],[Column19]]/IF(OR($E$2="Deployment",deployment_raw[[#This Row],[Column5]]=0),1,deployment_raw[[#This Row],[Column5]]))/I582,0),"")</f>
        <v/>
      </c>
      <c r="I582" s="69" t="str">
        <f>IF(ISNUMBER(deployment_raw[[#This Row],[Column6]]), (deployment_raw[[#This Row],[Column6]] * IF($E$2="Deployment",deployment_raw[[#This Row],[Column5]],1)),"")</f>
        <v/>
      </c>
      <c r="J582" s="79" t="str">
        <f>IF(ISNUMBER(deployment_raw[[#This Row],[Column19]]), IF(K582&lt;&gt;0,(deployment_raw[[#This Row],[Column19]]/IF(OR($E$2="Deployment",deployment_raw[[#This Row],[Column5]]=0),1,deployment_raw[[#This Row],[Column5]]))/K582,0),"")</f>
        <v/>
      </c>
      <c r="K582" s="72" t="str">
        <f>IF(ISNUMBER(deployment_raw[[#This Row],[Column8]]), (deployment_raw[[#This Row],[Column8]]  * IF($E$2="Deployment",deployment_raw[[#This Row],[Column5]],1)),"")</f>
        <v/>
      </c>
      <c r="L58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8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82" s="81" t="str">
        <f>IF(ISNUMBER(deployment_raw[[#This Row],[Column20]]), IF(O582&lt;&gt;0,deployment_raw[[#This Row],[Column20]]/IF(OR($E$2="Deployment",deployment_raw[[#This Row],[Column5]]=0),1,deployment_raw[[#This Row],[Column5]])/1048576/O582,0),"")</f>
        <v/>
      </c>
      <c r="O582" s="74" t="str">
        <f>IF(ISNUMBER(deployment_raw[[#This Row],[Column7]]), (deployment_raw[[#This Row],[Column7]] * IF($E$2="Deployment",deployment_raw[[#This Row],[Column5]],1))/1048576,"")</f>
        <v/>
      </c>
      <c r="P582" s="81" t="str">
        <f>IF(ISNUMBER(deployment_raw[[#This Row],[Column20]]), IF(Q582&lt;&gt;0,deployment_raw[[#This Row],[Column20]]/IF(OR($E$2="Deployment",deployment_raw[[#This Row],[Column5]]=0),1,deployment_raw[[#This Row],[Column5]])/1048576/Q582,0),"")</f>
        <v/>
      </c>
      <c r="Q582" s="76" t="str">
        <f>IF(ISNUMBER(deployment_raw[[#This Row],[Column9]]), (deployment_raw[[#This Row],[Column9]] * IF($E$2="Deployment",deployment_raw[[#This Row],[Column5]],1))/1048576,"")</f>
        <v/>
      </c>
      <c r="R582" s="57" t="str">
        <f>IF(ISNUMBER(deployment_raw[[#This Row],[Column10]]), (deployment_raw[[#This Row],[Column10]] * IF($E$2="Deployment",deployment_raw[[#This Row],[Column5]],1)),"")</f>
        <v/>
      </c>
      <c r="S582" s="48" t="str">
        <f>IF(ISNUMBER(deployment_raw[[#This Row],[Column11]]), (deployment_raw[[#This Row],[Column11]] * IF($E$2="Deployment",deployment_raw[[#This Row],[Column5]],1))/1048576,"")</f>
        <v/>
      </c>
      <c r="T582" s="59" t="str">
        <f>IF(ISNUMBER(deployment_raw[[#This Row],[Column8]]),IF(OR(deployment_raw[[#This Row],[Column5]] &lt;&gt; 0,$E$2 &lt;&gt; "Deployment"), MAX(V582, ($T$2 * IF($E$2="Deployment",deployment_raw[[#This Row],[Column5]],1))), 0),"")</f>
        <v/>
      </c>
      <c r="U582" s="50" t="str">
        <f>IF(ISNUMBER(deployment_raw[[#This Row],[Column9]]),IF(OR(deployment_raw[[#This Row],[Column5]] &lt;&gt; 0,$E$2&lt;&gt;"Deployment"), MAX(W582, ($U$2 * IF($E$2="Deployment",deployment_raw[[#This Row],[Column5]],1))), 0),"")</f>
        <v/>
      </c>
      <c r="V582" s="15" t="str">
        <f>IF(ISNUMBER(deployment_raw[[#This Row],[Column12]]), (deployment_raw[[#This Row],[Column12]] * IF($E$2="Deployment",deployment_raw[[#This Row],[Column5]],1)*(1+$V$2)),"")</f>
        <v/>
      </c>
      <c r="W582" s="14" t="str">
        <f>IF(ISNUMBER(deployment_raw[[#This Row],[Column13]]), (deployment_raw[[#This Row],[Column13]] * IF($E$2="Deployment",deployment_raw[[#This Row],[Column5]],1)*(1+$W$2))/1048576,"")</f>
        <v/>
      </c>
    </row>
    <row r="583" spans="1:23" ht="15.75" customHeight="1" x14ac:dyDescent="0.25">
      <c r="A583" s="5" t="str">
        <f>IF(ISNONTEXT(deployment_raw[[#This Row],[Column1]]), "", deployment_raw[[#This Row],[Column1]])</f>
        <v/>
      </c>
      <c r="B583" s="6" t="str">
        <f>IF(ISNONTEXT(deployment_raw[[#This Row],[Column2]]), "", deployment_raw[[#This Row],[Column2]])</f>
        <v/>
      </c>
      <c r="C583" s="6" t="str">
        <f>IF(ISNONTEXT(deployment_raw[[#This Row],[Column3]]), "", deployment_raw[[#This Row],[Column3]])</f>
        <v/>
      </c>
      <c r="D583" s="6" t="str">
        <f>IF(ISNONTEXT(deployment_raw[[#This Row],[Column4]]), "", deployment_raw[[#This Row],[Column4]])</f>
        <v/>
      </c>
      <c r="E583" s="7" t="str">
        <f>IF(ISNUMBER(deployment_raw[[#This Row],[Column5]]), deployment_raw[[#This Row],[Column5]],"")</f>
        <v/>
      </c>
      <c r="F583" s="32" t="str">
        <f>IF(ISNUMBER(deployment_raw[[#This Row],[Column17]]), deployment_raw[[#This Row],[Column17]]/IF(OR($E$2="Deployment",deployment_raw[[#This Row],[Column5]]=0),1,deployment_raw[[#This Row],[Column5]]),"")</f>
        <v/>
      </c>
      <c r="G583" s="42" t="str">
        <f>IF(ISNUMBER(deployment_raw[[#This Row],[Column14]]), deployment_raw[[#This Row],[Column14]]/IF(OR($E$2="Deployment",deployment_raw[[#This Row],[Column5]]=0),1,deployment_raw[[#This Row],[Column5]]),"")</f>
        <v/>
      </c>
      <c r="H583" s="79" t="str">
        <f>IF(ISNUMBER(deployment_raw[[#This Row],[Column19]]), IF(I583&lt;&gt;0,(deployment_raw[[#This Row],[Column19]]/IF(OR($E$2="Deployment",deployment_raw[[#This Row],[Column5]]=0),1,deployment_raw[[#This Row],[Column5]]))/I583,0),"")</f>
        <v/>
      </c>
      <c r="I583" s="69" t="str">
        <f>IF(ISNUMBER(deployment_raw[[#This Row],[Column6]]), (deployment_raw[[#This Row],[Column6]] * IF($E$2="Deployment",deployment_raw[[#This Row],[Column5]],1)),"")</f>
        <v/>
      </c>
      <c r="J583" s="79" t="str">
        <f>IF(ISNUMBER(deployment_raw[[#This Row],[Column19]]), IF(K583&lt;&gt;0,(deployment_raw[[#This Row],[Column19]]/IF(OR($E$2="Deployment",deployment_raw[[#This Row],[Column5]]=0),1,deployment_raw[[#This Row],[Column5]]))/K583,0),"")</f>
        <v/>
      </c>
      <c r="K583" s="72" t="str">
        <f>IF(ISNUMBER(deployment_raw[[#This Row],[Column8]]), (deployment_raw[[#This Row],[Column8]]  * IF($E$2="Deployment",deployment_raw[[#This Row],[Column5]],1)),"")</f>
        <v/>
      </c>
      <c r="L58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8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83" s="81" t="str">
        <f>IF(ISNUMBER(deployment_raw[[#This Row],[Column20]]), IF(O583&lt;&gt;0,deployment_raw[[#This Row],[Column20]]/IF(OR($E$2="Deployment",deployment_raw[[#This Row],[Column5]]=0),1,deployment_raw[[#This Row],[Column5]])/1048576/O583,0),"")</f>
        <v/>
      </c>
      <c r="O583" s="74" t="str">
        <f>IF(ISNUMBER(deployment_raw[[#This Row],[Column7]]), (deployment_raw[[#This Row],[Column7]] * IF($E$2="Deployment",deployment_raw[[#This Row],[Column5]],1))/1048576,"")</f>
        <v/>
      </c>
      <c r="P583" s="81" t="str">
        <f>IF(ISNUMBER(deployment_raw[[#This Row],[Column20]]), IF(Q583&lt;&gt;0,deployment_raw[[#This Row],[Column20]]/IF(OR($E$2="Deployment",deployment_raw[[#This Row],[Column5]]=0),1,deployment_raw[[#This Row],[Column5]])/1048576/Q583,0),"")</f>
        <v/>
      </c>
      <c r="Q583" s="76" t="str">
        <f>IF(ISNUMBER(deployment_raw[[#This Row],[Column9]]), (deployment_raw[[#This Row],[Column9]] * IF($E$2="Deployment",deployment_raw[[#This Row],[Column5]],1))/1048576,"")</f>
        <v/>
      </c>
      <c r="R583" s="57" t="str">
        <f>IF(ISNUMBER(deployment_raw[[#This Row],[Column10]]), (deployment_raw[[#This Row],[Column10]] * IF($E$2="Deployment",deployment_raw[[#This Row],[Column5]],1)),"")</f>
        <v/>
      </c>
      <c r="S583" s="48" t="str">
        <f>IF(ISNUMBER(deployment_raw[[#This Row],[Column11]]), (deployment_raw[[#This Row],[Column11]] * IF($E$2="Deployment",deployment_raw[[#This Row],[Column5]],1))/1048576,"")</f>
        <v/>
      </c>
      <c r="T583" s="59" t="str">
        <f>IF(ISNUMBER(deployment_raw[[#This Row],[Column8]]),IF(OR(deployment_raw[[#This Row],[Column5]] &lt;&gt; 0,$E$2 &lt;&gt; "Deployment"), MAX(V583, ($T$2 * IF($E$2="Deployment",deployment_raw[[#This Row],[Column5]],1))), 0),"")</f>
        <v/>
      </c>
      <c r="U583" s="50" t="str">
        <f>IF(ISNUMBER(deployment_raw[[#This Row],[Column9]]),IF(OR(deployment_raw[[#This Row],[Column5]] &lt;&gt; 0,$E$2&lt;&gt;"Deployment"), MAX(W583, ($U$2 * IF($E$2="Deployment",deployment_raw[[#This Row],[Column5]],1))), 0),"")</f>
        <v/>
      </c>
      <c r="V583" s="15" t="str">
        <f>IF(ISNUMBER(deployment_raw[[#This Row],[Column12]]), (deployment_raw[[#This Row],[Column12]] * IF($E$2="Deployment",deployment_raw[[#This Row],[Column5]],1)*(1+$V$2)),"")</f>
        <v/>
      </c>
      <c r="W583" s="14" t="str">
        <f>IF(ISNUMBER(deployment_raw[[#This Row],[Column13]]), (deployment_raw[[#This Row],[Column13]] * IF($E$2="Deployment",deployment_raw[[#This Row],[Column5]],1)*(1+$W$2))/1048576,"")</f>
        <v/>
      </c>
    </row>
    <row r="584" spans="1:23" ht="15.75" customHeight="1" x14ac:dyDescent="0.25">
      <c r="A584" s="5" t="str">
        <f>IF(ISNONTEXT(deployment_raw[[#This Row],[Column1]]), "", deployment_raw[[#This Row],[Column1]])</f>
        <v/>
      </c>
      <c r="B584" s="6" t="str">
        <f>IF(ISNONTEXT(deployment_raw[[#This Row],[Column2]]), "", deployment_raw[[#This Row],[Column2]])</f>
        <v/>
      </c>
      <c r="C584" s="6" t="str">
        <f>IF(ISNONTEXT(deployment_raw[[#This Row],[Column3]]), "", deployment_raw[[#This Row],[Column3]])</f>
        <v/>
      </c>
      <c r="D584" s="6" t="str">
        <f>IF(ISNONTEXT(deployment_raw[[#This Row],[Column4]]), "", deployment_raw[[#This Row],[Column4]])</f>
        <v/>
      </c>
      <c r="E584" s="7" t="str">
        <f>IF(ISNUMBER(deployment_raw[[#This Row],[Column5]]), deployment_raw[[#This Row],[Column5]],"")</f>
        <v/>
      </c>
      <c r="F584" s="32" t="str">
        <f>IF(ISNUMBER(deployment_raw[[#This Row],[Column17]]), deployment_raw[[#This Row],[Column17]]/IF(OR($E$2="Deployment",deployment_raw[[#This Row],[Column5]]=0),1,deployment_raw[[#This Row],[Column5]]),"")</f>
        <v/>
      </c>
      <c r="G584" s="42" t="str">
        <f>IF(ISNUMBER(deployment_raw[[#This Row],[Column14]]), deployment_raw[[#This Row],[Column14]]/IF(OR($E$2="Deployment",deployment_raw[[#This Row],[Column5]]=0),1,deployment_raw[[#This Row],[Column5]]),"")</f>
        <v/>
      </c>
      <c r="H584" s="79" t="str">
        <f>IF(ISNUMBER(deployment_raw[[#This Row],[Column19]]), IF(I584&lt;&gt;0,(deployment_raw[[#This Row],[Column19]]/IF(OR($E$2="Deployment",deployment_raw[[#This Row],[Column5]]=0),1,deployment_raw[[#This Row],[Column5]]))/I584,0),"")</f>
        <v/>
      </c>
      <c r="I584" s="69" t="str">
        <f>IF(ISNUMBER(deployment_raw[[#This Row],[Column6]]), (deployment_raw[[#This Row],[Column6]] * IF($E$2="Deployment",deployment_raw[[#This Row],[Column5]],1)),"")</f>
        <v/>
      </c>
      <c r="J584" s="79" t="str">
        <f>IF(ISNUMBER(deployment_raw[[#This Row],[Column19]]), IF(K584&lt;&gt;0,(deployment_raw[[#This Row],[Column19]]/IF(OR($E$2="Deployment",deployment_raw[[#This Row],[Column5]]=0),1,deployment_raw[[#This Row],[Column5]]))/K584,0),"")</f>
        <v/>
      </c>
      <c r="K584" s="72" t="str">
        <f>IF(ISNUMBER(deployment_raw[[#This Row],[Column8]]), (deployment_raw[[#This Row],[Column8]]  * IF($E$2="Deployment",deployment_raw[[#This Row],[Column5]],1)),"")</f>
        <v/>
      </c>
      <c r="L58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8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84" s="81" t="str">
        <f>IF(ISNUMBER(deployment_raw[[#This Row],[Column20]]), IF(O584&lt;&gt;0,deployment_raw[[#This Row],[Column20]]/IF(OR($E$2="Deployment",deployment_raw[[#This Row],[Column5]]=0),1,deployment_raw[[#This Row],[Column5]])/1048576/O584,0),"")</f>
        <v/>
      </c>
      <c r="O584" s="74" t="str">
        <f>IF(ISNUMBER(deployment_raw[[#This Row],[Column7]]), (deployment_raw[[#This Row],[Column7]] * IF($E$2="Deployment",deployment_raw[[#This Row],[Column5]],1))/1048576,"")</f>
        <v/>
      </c>
      <c r="P584" s="81" t="str">
        <f>IF(ISNUMBER(deployment_raw[[#This Row],[Column20]]), IF(Q584&lt;&gt;0,deployment_raw[[#This Row],[Column20]]/IF(OR($E$2="Deployment",deployment_raw[[#This Row],[Column5]]=0),1,deployment_raw[[#This Row],[Column5]])/1048576/Q584,0),"")</f>
        <v/>
      </c>
      <c r="Q584" s="76" t="str">
        <f>IF(ISNUMBER(deployment_raw[[#This Row],[Column9]]), (deployment_raw[[#This Row],[Column9]] * IF($E$2="Deployment",deployment_raw[[#This Row],[Column5]],1))/1048576,"")</f>
        <v/>
      </c>
      <c r="R584" s="57" t="str">
        <f>IF(ISNUMBER(deployment_raw[[#This Row],[Column10]]), (deployment_raw[[#This Row],[Column10]] * IF($E$2="Deployment",deployment_raw[[#This Row],[Column5]],1)),"")</f>
        <v/>
      </c>
      <c r="S584" s="48" t="str">
        <f>IF(ISNUMBER(deployment_raw[[#This Row],[Column11]]), (deployment_raw[[#This Row],[Column11]] * IF($E$2="Deployment",deployment_raw[[#This Row],[Column5]],1))/1048576,"")</f>
        <v/>
      </c>
      <c r="T584" s="59" t="str">
        <f>IF(ISNUMBER(deployment_raw[[#This Row],[Column8]]),IF(OR(deployment_raw[[#This Row],[Column5]] &lt;&gt; 0,$E$2 &lt;&gt; "Deployment"), MAX(V584, ($T$2 * IF($E$2="Deployment",deployment_raw[[#This Row],[Column5]],1))), 0),"")</f>
        <v/>
      </c>
      <c r="U584" s="50" t="str">
        <f>IF(ISNUMBER(deployment_raw[[#This Row],[Column9]]),IF(OR(deployment_raw[[#This Row],[Column5]] &lt;&gt; 0,$E$2&lt;&gt;"Deployment"), MAX(W584, ($U$2 * IF($E$2="Deployment",deployment_raw[[#This Row],[Column5]],1))), 0),"")</f>
        <v/>
      </c>
      <c r="V584" s="15" t="str">
        <f>IF(ISNUMBER(deployment_raw[[#This Row],[Column12]]), (deployment_raw[[#This Row],[Column12]] * IF($E$2="Deployment",deployment_raw[[#This Row],[Column5]],1)*(1+$V$2)),"")</f>
        <v/>
      </c>
      <c r="W584" s="14" t="str">
        <f>IF(ISNUMBER(deployment_raw[[#This Row],[Column13]]), (deployment_raw[[#This Row],[Column13]] * IF($E$2="Deployment",deployment_raw[[#This Row],[Column5]],1)*(1+$W$2))/1048576,"")</f>
        <v/>
      </c>
    </row>
    <row r="585" spans="1:23" ht="15.75" customHeight="1" x14ac:dyDescent="0.25">
      <c r="A585" s="5" t="str">
        <f>IF(ISNONTEXT(deployment_raw[[#This Row],[Column1]]), "", deployment_raw[[#This Row],[Column1]])</f>
        <v/>
      </c>
      <c r="B585" s="6" t="str">
        <f>IF(ISNONTEXT(deployment_raw[[#This Row],[Column2]]), "", deployment_raw[[#This Row],[Column2]])</f>
        <v/>
      </c>
      <c r="C585" s="6" t="str">
        <f>IF(ISNONTEXT(deployment_raw[[#This Row],[Column3]]), "", deployment_raw[[#This Row],[Column3]])</f>
        <v/>
      </c>
      <c r="D585" s="6" t="str">
        <f>IF(ISNONTEXT(deployment_raw[[#This Row],[Column4]]), "", deployment_raw[[#This Row],[Column4]])</f>
        <v/>
      </c>
      <c r="E585" s="7" t="str">
        <f>IF(ISNUMBER(deployment_raw[[#This Row],[Column5]]), deployment_raw[[#This Row],[Column5]],"")</f>
        <v/>
      </c>
      <c r="F585" s="32" t="str">
        <f>IF(ISNUMBER(deployment_raw[[#This Row],[Column17]]), deployment_raw[[#This Row],[Column17]]/IF(OR($E$2="Deployment",deployment_raw[[#This Row],[Column5]]=0),1,deployment_raw[[#This Row],[Column5]]),"")</f>
        <v/>
      </c>
      <c r="G585" s="42" t="str">
        <f>IF(ISNUMBER(deployment_raw[[#This Row],[Column14]]), deployment_raw[[#This Row],[Column14]]/IF(OR($E$2="Deployment",deployment_raw[[#This Row],[Column5]]=0),1,deployment_raw[[#This Row],[Column5]]),"")</f>
        <v/>
      </c>
      <c r="H585" s="79" t="str">
        <f>IF(ISNUMBER(deployment_raw[[#This Row],[Column19]]), IF(I585&lt;&gt;0,(deployment_raw[[#This Row],[Column19]]/IF(OR($E$2="Deployment",deployment_raw[[#This Row],[Column5]]=0),1,deployment_raw[[#This Row],[Column5]]))/I585,0),"")</f>
        <v/>
      </c>
      <c r="I585" s="69" t="str">
        <f>IF(ISNUMBER(deployment_raw[[#This Row],[Column6]]), (deployment_raw[[#This Row],[Column6]] * IF($E$2="Deployment",deployment_raw[[#This Row],[Column5]],1)),"")</f>
        <v/>
      </c>
      <c r="J585" s="79" t="str">
        <f>IF(ISNUMBER(deployment_raw[[#This Row],[Column19]]), IF(K585&lt;&gt;0,(deployment_raw[[#This Row],[Column19]]/IF(OR($E$2="Deployment",deployment_raw[[#This Row],[Column5]]=0),1,deployment_raw[[#This Row],[Column5]]))/K585,0),"")</f>
        <v/>
      </c>
      <c r="K585" s="72" t="str">
        <f>IF(ISNUMBER(deployment_raw[[#This Row],[Column8]]), (deployment_raw[[#This Row],[Column8]]  * IF($E$2="Deployment",deployment_raw[[#This Row],[Column5]],1)),"")</f>
        <v/>
      </c>
      <c r="L58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8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85" s="81" t="str">
        <f>IF(ISNUMBER(deployment_raw[[#This Row],[Column20]]), IF(O585&lt;&gt;0,deployment_raw[[#This Row],[Column20]]/IF(OR($E$2="Deployment",deployment_raw[[#This Row],[Column5]]=0),1,deployment_raw[[#This Row],[Column5]])/1048576/O585,0),"")</f>
        <v/>
      </c>
      <c r="O585" s="74" t="str">
        <f>IF(ISNUMBER(deployment_raw[[#This Row],[Column7]]), (deployment_raw[[#This Row],[Column7]] * IF($E$2="Deployment",deployment_raw[[#This Row],[Column5]],1))/1048576,"")</f>
        <v/>
      </c>
      <c r="P585" s="81" t="str">
        <f>IF(ISNUMBER(deployment_raw[[#This Row],[Column20]]), IF(Q585&lt;&gt;0,deployment_raw[[#This Row],[Column20]]/IF(OR($E$2="Deployment",deployment_raw[[#This Row],[Column5]]=0),1,deployment_raw[[#This Row],[Column5]])/1048576/Q585,0),"")</f>
        <v/>
      </c>
      <c r="Q585" s="76" t="str">
        <f>IF(ISNUMBER(deployment_raw[[#This Row],[Column9]]), (deployment_raw[[#This Row],[Column9]] * IF($E$2="Deployment",deployment_raw[[#This Row],[Column5]],1))/1048576,"")</f>
        <v/>
      </c>
      <c r="R585" s="57" t="str">
        <f>IF(ISNUMBER(deployment_raw[[#This Row],[Column10]]), (deployment_raw[[#This Row],[Column10]] * IF($E$2="Deployment",deployment_raw[[#This Row],[Column5]],1)),"")</f>
        <v/>
      </c>
      <c r="S585" s="48" t="str">
        <f>IF(ISNUMBER(deployment_raw[[#This Row],[Column11]]), (deployment_raw[[#This Row],[Column11]] * IF($E$2="Deployment",deployment_raw[[#This Row],[Column5]],1))/1048576,"")</f>
        <v/>
      </c>
      <c r="T585" s="59" t="str">
        <f>IF(ISNUMBER(deployment_raw[[#This Row],[Column8]]),IF(OR(deployment_raw[[#This Row],[Column5]] &lt;&gt; 0,$E$2 &lt;&gt; "Deployment"), MAX(V585, ($T$2 * IF($E$2="Deployment",deployment_raw[[#This Row],[Column5]],1))), 0),"")</f>
        <v/>
      </c>
      <c r="U585" s="50" t="str">
        <f>IF(ISNUMBER(deployment_raw[[#This Row],[Column9]]),IF(OR(deployment_raw[[#This Row],[Column5]] &lt;&gt; 0,$E$2&lt;&gt;"Deployment"), MAX(W585, ($U$2 * IF($E$2="Deployment",deployment_raw[[#This Row],[Column5]],1))), 0),"")</f>
        <v/>
      </c>
      <c r="V585" s="15" t="str">
        <f>IF(ISNUMBER(deployment_raw[[#This Row],[Column12]]), (deployment_raw[[#This Row],[Column12]] * IF($E$2="Deployment",deployment_raw[[#This Row],[Column5]],1)*(1+$V$2)),"")</f>
        <v/>
      </c>
      <c r="W585" s="14" t="str">
        <f>IF(ISNUMBER(deployment_raw[[#This Row],[Column13]]), (deployment_raw[[#This Row],[Column13]] * IF($E$2="Deployment",deployment_raw[[#This Row],[Column5]],1)*(1+$W$2))/1048576,"")</f>
        <v/>
      </c>
    </row>
    <row r="586" spans="1:23" ht="15.75" customHeight="1" x14ac:dyDescent="0.25">
      <c r="A586" s="5" t="str">
        <f>IF(ISNONTEXT(deployment_raw[[#This Row],[Column1]]), "", deployment_raw[[#This Row],[Column1]])</f>
        <v/>
      </c>
      <c r="B586" s="6" t="str">
        <f>IF(ISNONTEXT(deployment_raw[[#This Row],[Column2]]), "", deployment_raw[[#This Row],[Column2]])</f>
        <v/>
      </c>
      <c r="C586" s="6" t="str">
        <f>IF(ISNONTEXT(deployment_raw[[#This Row],[Column3]]), "", deployment_raw[[#This Row],[Column3]])</f>
        <v/>
      </c>
      <c r="D586" s="6" t="str">
        <f>IF(ISNONTEXT(deployment_raw[[#This Row],[Column4]]), "", deployment_raw[[#This Row],[Column4]])</f>
        <v/>
      </c>
      <c r="E586" s="7" t="str">
        <f>IF(ISNUMBER(deployment_raw[[#This Row],[Column5]]), deployment_raw[[#This Row],[Column5]],"")</f>
        <v/>
      </c>
      <c r="F586" s="32" t="str">
        <f>IF(ISNUMBER(deployment_raw[[#This Row],[Column17]]), deployment_raw[[#This Row],[Column17]]/IF(OR($E$2="Deployment",deployment_raw[[#This Row],[Column5]]=0),1,deployment_raw[[#This Row],[Column5]]),"")</f>
        <v/>
      </c>
      <c r="G586" s="42" t="str">
        <f>IF(ISNUMBER(deployment_raw[[#This Row],[Column14]]), deployment_raw[[#This Row],[Column14]]/IF(OR($E$2="Deployment",deployment_raw[[#This Row],[Column5]]=0),1,deployment_raw[[#This Row],[Column5]]),"")</f>
        <v/>
      </c>
      <c r="H586" s="79" t="str">
        <f>IF(ISNUMBER(deployment_raw[[#This Row],[Column19]]), IF(I586&lt;&gt;0,(deployment_raw[[#This Row],[Column19]]/IF(OR($E$2="Deployment",deployment_raw[[#This Row],[Column5]]=0),1,deployment_raw[[#This Row],[Column5]]))/I586,0),"")</f>
        <v/>
      </c>
      <c r="I586" s="69" t="str">
        <f>IF(ISNUMBER(deployment_raw[[#This Row],[Column6]]), (deployment_raw[[#This Row],[Column6]] * IF($E$2="Deployment",deployment_raw[[#This Row],[Column5]],1)),"")</f>
        <v/>
      </c>
      <c r="J586" s="79" t="str">
        <f>IF(ISNUMBER(deployment_raw[[#This Row],[Column19]]), IF(K586&lt;&gt;0,(deployment_raw[[#This Row],[Column19]]/IF(OR($E$2="Deployment",deployment_raw[[#This Row],[Column5]]=0),1,deployment_raw[[#This Row],[Column5]]))/K586,0),"")</f>
        <v/>
      </c>
      <c r="K586" s="72" t="str">
        <f>IF(ISNUMBER(deployment_raw[[#This Row],[Column8]]), (deployment_raw[[#This Row],[Column8]]  * IF($E$2="Deployment",deployment_raw[[#This Row],[Column5]],1)),"")</f>
        <v/>
      </c>
      <c r="L58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8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86" s="81" t="str">
        <f>IF(ISNUMBER(deployment_raw[[#This Row],[Column20]]), IF(O586&lt;&gt;0,deployment_raw[[#This Row],[Column20]]/IF(OR($E$2="Deployment",deployment_raw[[#This Row],[Column5]]=0),1,deployment_raw[[#This Row],[Column5]])/1048576/O586,0),"")</f>
        <v/>
      </c>
      <c r="O586" s="74" t="str">
        <f>IF(ISNUMBER(deployment_raw[[#This Row],[Column7]]), (deployment_raw[[#This Row],[Column7]] * IF($E$2="Deployment",deployment_raw[[#This Row],[Column5]],1))/1048576,"")</f>
        <v/>
      </c>
      <c r="P586" s="81" t="str">
        <f>IF(ISNUMBER(deployment_raw[[#This Row],[Column20]]), IF(Q586&lt;&gt;0,deployment_raw[[#This Row],[Column20]]/IF(OR($E$2="Deployment",deployment_raw[[#This Row],[Column5]]=0),1,deployment_raw[[#This Row],[Column5]])/1048576/Q586,0),"")</f>
        <v/>
      </c>
      <c r="Q586" s="76" t="str">
        <f>IF(ISNUMBER(deployment_raw[[#This Row],[Column9]]), (deployment_raw[[#This Row],[Column9]] * IF($E$2="Deployment",deployment_raw[[#This Row],[Column5]],1))/1048576,"")</f>
        <v/>
      </c>
      <c r="R586" s="57" t="str">
        <f>IF(ISNUMBER(deployment_raw[[#This Row],[Column10]]), (deployment_raw[[#This Row],[Column10]] * IF($E$2="Deployment",deployment_raw[[#This Row],[Column5]],1)),"")</f>
        <v/>
      </c>
      <c r="S586" s="48" t="str">
        <f>IF(ISNUMBER(deployment_raw[[#This Row],[Column11]]), (deployment_raw[[#This Row],[Column11]] * IF($E$2="Deployment",deployment_raw[[#This Row],[Column5]],1))/1048576,"")</f>
        <v/>
      </c>
      <c r="T586" s="59" t="str">
        <f>IF(ISNUMBER(deployment_raw[[#This Row],[Column8]]),IF(OR(deployment_raw[[#This Row],[Column5]] &lt;&gt; 0,$E$2 &lt;&gt; "Deployment"), MAX(V586, ($T$2 * IF($E$2="Deployment",deployment_raw[[#This Row],[Column5]],1))), 0),"")</f>
        <v/>
      </c>
      <c r="U586" s="50" t="str">
        <f>IF(ISNUMBER(deployment_raw[[#This Row],[Column9]]),IF(OR(deployment_raw[[#This Row],[Column5]] &lt;&gt; 0,$E$2&lt;&gt;"Deployment"), MAX(W586, ($U$2 * IF($E$2="Deployment",deployment_raw[[#This Row],[Column5]],1))), 0),"")</f>
        <v/>
      </c>
      <c r="V586" s="15" t="str">
        <f>IF(ISNUMBER(deployment_raw[[#This Row],[Column12]]), (deployment_raw[[#This Row],[Column12]] * IF($E$2="Deployment",deployment_raw[[#This Row],[Column5]],1)*(1+$V$2)),"")</f>
        <v/>
      </c>
      <c r="W586" s="14" t="str">
        <f>IF(ISNUMBER(deployment_raw[[#This Row],[Column13]]), (deployment_raw[[#This Row],[Column13]] * IF($E$2="Deployment",deployment_raw[[#This Row],[Column5]],1)*(1+$W$2))/1048576,"")</f>
        <v/>
      </c>
    </row>
    <row r="587" spans="1:23" ht="15.75" customHeight="1" x14ac:dyDescent="0.25">
      <c r="A587" s="5" t="str">
        <f>IF(ISNONTEXT(deployment_raw[[#This Row],[Column1]]), "", deployment_raw[[#This Row],[Column1]])</f>
        <v/>
      </c>
      <c r="B587" s="6" t="str">
        <f>IF(ISNONTEXT(deployment_raw[[#This Row],[Column2]]), "", deployment_raw[[#This Row],[Column2]])</f>
        <v/>
      </c>
      <c r="C587" s="6" t="str">
        <f>IF(ISNONTEXT(deployment_raw[[#This Row],[Column3]]), "", deployment_raw[[#This Row],[Column3]])</f>
        <v/>
      </c>
      <c r="D587" s="6" t="str">
        <f>IF(ISNONTEXT(deployment_raw[[#This Row],[Column4]]), "", deployment_raw[[#This Row],[Column4]])</f>
        <v/>
      </c>
      <c r="E587" s="7" t="str">
        <f>IF(ISNUMBER(deployment_raw[[#This Row],[Column5]]), deployment_raw[[#This Row],[Column5]],"")</f>
        <v/>
      </c>
      <c r="F587" s="32" t="str">
        <f>IF(ISNUMBER(deployment_raw[[#This Row],[Column17]]), deployment_raw[[#This Row],[Column17]]/IF(OR($E$2="Deployment",deployment_raw[[#This Row],[Column5]]=0),1,deployment_raw[[#This Row],[Column5]]),"")</f>
        <v/>
      </c>
      <c r="G587" s="42" t="str">
        <f>IF(ISNUMBER(deployment_raw[[#This Row],[Column14]]), deployment_raw[[#This Row],[Column14]]/IF(OR($E$2="Deployment",deployment_raw[[#This Row],[Column5]]=0),1,deployment_raw[[#This Row],[Column5]]),"")</f>
        <v/>
      </c>
      <c r="H587" s="79" t="str">
        <f>IF(ISNUMBER(deployment_raw[[#This Row],[Column19]]), IF(I587&lt;&gt;0,(deployment_raw[[#This Row],[Column19]]/IF(OR($E$2="Deployment",deployment_raw[[#This Row],[Column5]]=0),1,deployment_raw[[#This Row],[Column5]]))/I587,0),"")</f>
        <v/>
      </c>
      <c r="I587" s="69" t="str">
        <f>IF(ISNUMBER(deployment_raw[[#This Row],[Column6]]), (deployment_raw[[#This Row],[Column6]] * IF($E$2="Deployment",deployment_raw[[#This Row],[Column5]],1)),"")</f>
        <v/>
      </c>
      <c r="J587" s="79" t="str">
        <f>IF(ISNUMBER(deployment_raw[[#This Row],[Column19]]), IF(K587&lt;&gt;0,(deployment_raw[[#This Row],[Column19]]/IF(OR($E$2="Deployment",deployment_raw[[#This Row],[Column5]]=0),1,deployment_raw[[#This Row],[Column5]]))/K587,0),"")</f>
        <v/>
      </c>
      <c r="K587" s="72" t="str">
        <f>IF(ISNUMBER(deployment_raw[[#This Row],[Column8]]), (deployment_raw[[#This Row],[Column8]]  * IF($E$2="Deployment",deployment_raw[[#This Row],[Column5]],1)),"")</f>
        <v/>
      </c>
      <c r="L58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8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87" s="81" t="str">
        <f>IF(ISNUMBER(deployment_raw[[#This Row],[Column20]]), IF(O587&lt;&gt;0,deployment_raw[[#This Row],[Column20]]/IF(OR($E$2="Deployment",deployment_raw[[#This Row],[Column5]]=0),1,deployment_raw[[#This Row],[Column5]])/1048576/O587,0),"")</f>
        <v/>
      </c>
      <c r="O587" s="74" t="str">
        <f>IF(ISNUMBER(deployment_raw[[#This Row],[Column7]]), (deployment_raw[[#This Row],[Column7]] * IF($E$2="Deployment",deployment_raw[[#This Row],[Column5]],1))/1048576,"")</f>
        <v/>
      </c>
      <c r="P587" s="81" t="str">
        <f>IF(ISNUMBER(deployment_raw[[#This Row],[Column20]]), IF(Q587&lt;&gt;0,deployment_raw[[#This Row],[Column20]]/IF(OR($E$2="Deployment",deployment_raw[[#This Row],[Column5]]=0),1,deployment_raw[[#This Row],[Column5]])/1048576/Q587,0),"")</f>
        <v/>
      </c>
      <c r="Q587" s="76" t="str">
        <f>IF(ISNUMBER(deployment_raw[[#This Row],[Column9]]), (deployment_raw[[#This Row],[Column9]] * IF($E$2="Deployment",deployment_raw[[#This Row],[Column5]],1))/1048576,"")</f>
        <v/>
      </c>
      <c r="R587" s="57" t="str">
        <f>IF(ISNUMBER(deployment_raw[[#This Row],[Column10]]), (deployment_raw[[#This Row],[Column10]] * IF($E$2="Deployment",deployment_raw[[#This Row],[Column5]],1)),"")</f>
        <v/>
      </c>
      <c r="S587" s="48" t="str">
        <f>IF(ISNUMBER(deployment_raw[[#This Row],[Column11]]), (deployment_raw[[#This Row],[Column11]] * IF($E$2="Deployment",deployment_raw[[#This Row],[Column5]],1))/1048576,"")</f>
        <v/>
      </c>
      <c r="T587" s="59" t="str">
        <f>IF(ISNUMBER(deployment_raw[[#This Row],[Column8]]),IF(OR(deployment_raw[[#This Row],[Column5]] &lt;&gt; 0,$E$2 &lt;&gt; "Deployment"), MAX(V587, ($T$2 * IF($E$2="Deployment",deployment_raw[[#This Row],[Column5]],1))), 0),"")</f>
        <v/>
      </c>
      <c r="U587" s="50" t="str">
        <f>IF(ISNUMBER(deployment_raw[[#This Row],[Column9]]),IF(OR(deployment_raw[[#This Row],[Column5]] &lt;&gt; 0,$E$2&lt;&gt;"Deployment"), MAX(W587, ($U$2 * IF($E$2="Deployment",deployment_raw[[#This Row],[Column5]],1))), 0),"")</f>
        <v/>
      </c>
      <c r="V587" s="15" t="str">
        <f>IF(ISNUMBER(deployment_raw[[#This Row],[Column12]]), (deployment_raw[[#This Row],[Column12]] * IF($E$2="Deployment",deployment_raw[[#This Row],[Column5]],1)*(1+$V$2)),"")</f>
        <v/>
      </c>
      <c r="W587" s="14" t="str">
        <f>IF(ISNUMBER(deployment_raw[[#This Row],[Column13]]), (deployment_raw[[#This Row],[Column13]] * IF($E$2="Deployment",deployment_raw[[#This Row],[Column5]],1)*(1+$W$2))/1048576,"")</f>
        <v/>
      </c>
    </row>
    <row r="588" spans="1:23" ht="15.75" customHeight="1" x14ac:dyDescent="0.25">
      <c r="A588" s="5" t="str">
        <f>IF(ISNONTEXT(deployment_raw[[#This Row],[Column1]]), "", deployment_raw[[#This Row],[Column1]])</f>
        <v/>
      </c>
      <c r="B588" s="6" t="str">
        <f>IF(ISNONTEXT(deployment_raw[[#This Row],[Column2]]), "", deployment_raw[[#This Row],[Column2]])</f>
        <v/>
      </c>
      <c r="C588" s="6" t="str">
        <f>IF(ISNONTEXT(deployment_raw[[#This Row],[Column3]]), "", deployment_raw[[#This Row],[Column3]])</f>
        <v/>
      </c>
      <c r="D588" s="6" t="str">
        <f>IF(ISNONTEXT(deployment_raw[[#This Row],[Column4]]), "", deployment_raw[[#This Row],[Column4]])</f>
        <v/>
      </c>
      <c r="E588" s="7" t="str">
        <f>IF(ISNUMBER(deployment_raw[[#This Row],[Column5]]), deployment_raw[[#This Row],[Column5]],"")</f>
        <v/>
      </c>
      <c r="F588" s="32" t="str">
        <f>IF(ISNUMBER(deployment_raw[[#This Row],[Column17]]), deployment_raw[[#This Row],[Column17]]/IF(OR($E$2="Deployment",deployment_raw[[#This Row],[Column5]]=0),1,deployment_raw[[#This Row],[Column5]]),"")</f>
        <v/>
      </c>
      <c r="G588" s="42" t="str">
        <f>IF(ISNUMBER(deployment_raw[[#This Row],[Column14]]), deployment_raw[[#This Row],[Column14]]/IF(OR($E$2="Deployment",deployment_raw[[#This Row],[Column5]]=0),1,deployment_raw[[#This Row],[Column5]]),"")</f>
        <v/>
      </c>
      <c r="H588" s="79" t="str">
        <f>IF(ISNUMBER(deployment_raw[[#This Row],[Column19]]), IF(I588&lt;&gt;0,(deployment_raw[[#This Row],[Column19]]/IF(OR($E$2="Deployment",deployment_raw[[#This Row],[Column5]]=0),1,deployment_raw[[#This Row],[Column5]]))/I588,0),"")</f>
        <v/>
      </c>
      <c r="I588" s="69" t="str">
        <f>IF(ISNUMBER(deployment_raw[[#This Row],[Column6]]), (deployment_raw[[#This Row],[Column6]] * IF($E$2="Deployment",deployment_raw[[#This Row],[Column5]],1)),"")</f>
        <v/>
      </c>
      <c r="J588" s="79" t="str">
        <f>IF(ISNUMBER(deployment_raw[[#This Row],[Column19]]), IF(K588&lt;&gt;0,(deployment_raw[[#This Row],[Column19]]/IF(OR($E$2="Deployment",deployment_raw[[#This Row],[Column5]]=0),1,deployment_raw[[#This Row],[Column5]]))/K588,0),"")</f>
        <v/>
      </c>
      <c r="K588" s="72" t="str">
        <f>IF(ISNUMBER(deployment_raw[[#This Row],[Column8]]), (deployment_raw[[#This Row],[Column8]]  * IF($E$2="Deployment",deployment_raw[[#This Row],[Column5]],1)),"")</f>
        <v/>
      </c>
      <c r="L58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8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88" s="81" t="str">
        <f>IF(ISNUMBER(deployment_raw[[#This Row],[Column20]]), IF(O588&lt;&gt;0,deployment_raw[[#This Row],[Column20]]/IF(OR($E$2="Deployment",deployment_raw[[#This Row],[Column5]]=0),1,deployment_raw[[#This Row],[Column5]])/1048576/O588,0),"")</f>
        <v/>
      </c>
      <c r="O588" s="74" t="str">
        <f>IF(ISNUMBER(deployment_raw[[#This Row],[Column7]]), (deployment_raw[[#This Row],[Column7]] * IF($E$2="Deployment",deployment_raw[[#This Row],[Column5]],1))/1048576,"")</f>
        <v/>
      </c>
      <c r="P588" s="81" t="str">
        <f>IF(ISNUMBER(deployment_raw[[#This Row],[Column20]]), IF(Q588&lt;&gt;0,deployment_raw[[#This Row],[Column20]]/IF(OR($E$2="Deployment",deployment_raw[[#This Row],[Column5]]=0),1,deployment_raw[[#This Row],[Column5]])/1048576/Q588,0),"")</f>
        <v/>
      </c>
      <c r="Q588" s="76" t="str">
        <f>IF(ISNUMBER(deployment_raw[[#This Row],[Column9]]), (deployment_raw[[#This Row],[Column9]] * IF($E$2="Deployment",deployment_raw[[#This Row],[Column5]],1))/1048576,"")</f>
        <v/>
      </c>
      <c r="R588" s="57" t="str">
        <f>IF(ISNUMBER(deployment_raw[[#This Row],[Column10]]), (deployment_raw[[#This Row],[Column10]] * IF($E$2="Deployment",deployment_raw[[#This Row],[Column5]],1)),"")</f>
        <v/>
      </c>
      <c r="S588" s="48" t="str">
        <f>IF(ISNUMBER(deployment_raw[[#This Row],[Column11]]), (deployment_raw[[#This Row],[Column11]] * IF($E$2="Deployment",deployment_raw[[#This Row],[Column5]],1))/1048576,"")</f>
        <v/>
      </c>
      <c r="T588" s="59" t="str">
        <f>IF(ISNUMBER(deployment_raw[[#This Row],[Column8]]),IF(OR(deployment_raw[[#This Row],[Column5]] &lt;&gt; 0,$E$2 &lt;&gt; "Deployment"), MAX(V588, ($T$2 * IF($E$2="Deployment",deployment_raw[[#This Row],[Column5]],1))), 0),"")</f>
        <v/>
      </c>
      <c r="U588" s="50" t="str">
        <f>IF(ISNUMBER(deployment_raw[[#This Row],[Column9]]),IF(OR(deployment_raw[[#This Row],[Column5]] &lt;&gt; 0,$E$2&lt;&gt;"Deployment"), MAX(W588, ($U$2 * IF($E$2="Deployment",deployment_raw[[#This Row],[Column5]],1))), 0),"")</f>
        <v/>
      </c>
      <c r="V588" s="15" t="str">
        <f>IF(ISNUMBER(deployment_raw[[#This Row],[Column12]]), (deployment_raw[[#This Row],[Column12]] * IF($E$2="Deployment",deployment_raw[[#This Row],[Column5]],1)*(1+$V$2)),"")</f>
        <v/>
      </c>
      <c r="W588" s="14" t="str">
        <f>IF(ISNUMBER(deployment_raw[[#This Row],[Column13]]), (deployment_raw[[#This Row],[Column13]] * IF($E$2="Deployment",deployment_raw[[#This Row],[Column5]],1)*(1+$W$2))/1048576,"")</f>
        <v/>
      </c>
    </row>
    <row r="589" spans="1:23" ht="15.75" customHeight="1" x14ac:dyDescent="0.25">
      <c r="A589" s="5" t="str">
        <f>IF(ISNONTEXT(deployment_raw[[#This Row],[Column1]]), "", deployment_raw[[#This Row],[Column1]])</f>
        <v/>
      </c>
      <c r="B589" s="6" t="str">
        <f>IF(ISNONTEXT(deployment_raw[[#This Row],[Column2]]), "", deployment_raw[[#This Row],[Column2]])</f>
        <v/>
      </c>
      <c r="C589" s="6" t="str">
        <f>IF(ISNONTEXT(deployment_raw[[#This Row],[Column3]]), "", deployment_raw[[#This Row],[Column3]])</f>
        <v/>
      </c>
      <c r="D589" s="6" t="str">
        <f>IF(ISNONTEXT(deployment_raw[[#This Row],[Column4]]), "", deployment_raw[[#This Row],[Column4]])</f>
        <v/>
      </c>
      <c r="E589" s="7" t="str">
        <f>IF(ISNUMBER(deployment_raw[[#This Row],[Column5]]), deployment_raw[[#This Row],[Column5]],"")</f>
        <v/>
      </c>
      <c r="F589" s="32" t="str">
        <f>IF(ISNUMBER(deployment_raw[[#This Row],[Column17]]), deployment_raw[[#This Row],[Column17]]/IF(OR($E$2="Deployment",deployment_raw[[#This Row],[Column5]]=0),1,deployment_raw[[#This Row],[Column5]]),"")</f>
        <v/>
      </c>
      <c r="G589" s="42" t="str">
        <f>IF(ISNUMBER(deployment_raw[[#This Row],[Column14]]), deployment_raw[[#This Row],[Column14]]/IF(OR($E$2="Deployment",deployment_raw[[#This Row],[Column5]]=0),1,deployment_raw[[#This Row],[Column5]]),"")</f>
        <v/>
      </c>
      <c r="H589" s="79" t="str">
        <f>IF(ISNUMBER(deployment_raw[[#This Row],[Column19]]), IF(I589&lt;&gt;0,(deployment_raw[[#This Row],[Column19]]/IF(OR($E$2="Deployment",deployment_raw[[#This Row],[Column5]]=0),1,deployment_raw[[#This Row],[Column5]]))/I589,0),"")</f>
        <v/>
      </c>
      <c r="I589" s="69" t="str">
        <f>IF(ISNUMBER(deployment_raw[[#This Row],[Column6]]), (deployment_raw[[#This Row],[Column6]] * IF($E$2="Deployment",deployment_raw[[#This Row],[Column5]],1)),"")</f>
        <v/>
      </c>
      <c r="J589" s="79" t="str">
        <f>IF(ISNUMBER(deployment_raw[[#This Row],[Column19]]), IF(K589&lt;&gt;0,(deployment_raw[[#This Row],[Column19]]/IF(OR($E$2="Deployment",deployment_raw[[#This Row],[Column5]]=0),1,deployment_raw[[#This Row],[Column5]]))/K589,0),"")</f>
        <v/>
      </c>
      <c r="K589" s="72" t="str">
        <f>IF(ISNUMBER(deployment_raw[[#This Row],[Column8]]), (deployment_raw[[#This Row],[Column8]]  * IF($E$2="Deployment",deployment_raw[[#This Row],[Column5]],1)),"")</f>
        <v/>
      </c>
      <c r="L58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8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89" s="81" t="str">
        <f>IF(ISNUMBER(deployment_raw[[#This Row],[Column20]]), IF(O589&lt;&gt;0,deployment_raw[[#This Row],[Column20]]/IF(OR($E$2="Deployment",deployment_raw[[#This Row],[Column5]]=0),1,deployment_raw[[#This Row],[Column5]])/1048576/O589,0),"")</f>
        <v/>
      </c>
      <c r="O589" s="74" t="str">
        <f>IF(ISNUMBER(deployment_raw[[#This Row],[Column7]]), (deployment_raw[[#This Row],[Column7]] * IF($E$2="Deployment",deployment_raw[[#This Row],[Column5]],1))/1048576,"")</f>
        <v/>
      </c>
      <c r="P589" s="81" t="str">
        <f>IF(ISNUMBER(deployment_raw[[#This Row],[Column20]]), IF(Q589&lt;&gt;0,deployment_raw[[#This Row],[Column20]]/IF(OR($E$2="Deployment",deployment_raw[[#This Row],[Column5]]=0),1,deployment_raw[[#This Row],[Column5]])/1048576/Q589,0),"")</f>
        <v/>
      </c>
      <c r="Q589" s="76" t="str">
        <f>IF(ISNUMBER(deployment_raw[[#This Row],[Column9]]), (deployment_raw[[#This Row],[Column9]] * IF($E$2="Deployment",deployment_raw[[#This Row],[Column5]],1))/1048576,"")</f>
        <v/>
      </c>
      <c r="R589" s="57" t="str">
        <f>IF(ISNUMBER(deployment_raw[[#This Row],[Column10]]), (deployment_raw[[#This Row],[Column10]] * IF($E$2="Deployment",deployment_raw[[#This Row],[Column5]],1)),"")</f>
        <v/>
      </c>
      <c r="S589" s="48" t="str">
        <f>IF(ISNUMBER(deployment_raw[[#This Row],[Column11]]), (deployment_raw[[#This Row],[Column11]] * IF($E$2="Deployment",deployment_raw[[#This Row],[Column5]],1))/1048576,"")</f>
        <v/>
      </c>
      <c r="T589" s="59" t="str">
        <f>IF(ISNUMBER(deployment_raw[[#This Row],[Column8]]),IF(OR(deployment_raw[[#This Row],[Column5]] &lt;&gt; 0,$E$2 &lt;&gt; "Deployment"), MAX(V589, ($T$2 * IF($E$2="Deployment",deployment_raw[[#This Row],[Column5]],1))), 0),"")</f>
        <v/>
      </c>
      <c r="U589" s="50" t="str">
        <f>IF(ISNUMBER(deployment_raw[[#This Row],[Column9]]),IF(OR(deployment_raw[[#This Row],[Column5]] &lt;&gt; 0,$E$2&lt;&gt;"Deployment"), MAX(W589, ($U$2 * IF($E$2="Deployment",deployment_raw[[#This Row],[Column5]],1))), 0),"")</f>
        <v/>
      </c>
      <c r="V589" s="15" t="str">
        <f>IF(ISNUMBER(deployment_raw[[#This Row],[Column12]]), (deployment_raw[[#This Row],[Column12]] * IF($E$2="Deployment",deployment_raw[[#This Row],[Column5]],1)*(1+$V$2)),"")</f>
        <v/>
      </c>
      <c r="W589" s="14" t="str">
        <f>IF(ISNUMBER(deployment_raw[[#This Row],[Column13]]), (deployment_raw[[#This Row],[Column13]] * IF($E$2="Deployment",deployment_raw[[#This Row],[Column5]],1)*(1+$W$2))/1048576,"")</f>
        <v/>
      </c>
    </row>
    <row r="590" spans="1:23" ht="15.75" customHeight="1" x14ac:dyDescent="0.25">
      <c r="A590" s="5" t="str">
        <f>IF(ISNONTEXT(deployment_raw[[#This Row],[Column1]]), "", deployment_raw[[#This Row],[Column1]])</f>
        <v/>
      </c>
      <c r="B590" s="6" t="str">
        <f>IF(ISNONTEXT(deployment_raw[[#This Row],[Column2]]), "", deployment_raw[[#This Row],[Column2]])</f>
        <v/>
      </c>
      <c r="C590" s="6" t="str">
        <f>IF(ISNONTEXT(deployment_raw[[#This Row],[Column3]]), "", deployment_raw[[#This Row],[Column3]])</f>
        <v/>
      </c>
      <c r="D590" s="6" t="str">
        <f>IF(ISNONTEXT(deployment_raw[[#This Row],[Column4]]), "", deployment_raw[[#This Row],[Column4]])</f>
        <v/>
      </c>
      <c r="E590" s="7" t="str">
        <f>IF(ISNUMBER(deployment_raw[[#This Row],[Column5]]), deployment_raw[[#This Row],[Column5]],"")</f>
        <v/>
      </c>
      <c r="F590" s="32" t="str">
        <f>IF(ISNUMBER(deployment_raw[[#This Row],[Column17]]), deployment_raw[[#This Row],[Column17]]/IF(OR($E$2="Deployment",deployment_raw[[#This Row],[Column5]]=0),1,deployment_raw[[#This Row],[Column5]]),"")</f>
        <v/>
      </c>
      <c r="G590" s="42" t="str">
        <f>IF(ISNUMBER(deployment_raw[[#This Row],[Column14]]), deployment_raw[[#This Row],[Column14]]/IF(OR($E$2="Deployment",deployment_raw[[#This Row],[Column5]]=0),1,deployment_raw[[#This Row],[Column5]]),"")</f>
        <v/>
      </c>
      <c r="H590" s="79" t="str">
        <f>IF(ISNUMBER(deployment_raw[[#This Row],[Column19]]), IF(I590&lt;&gt;0,(deployment_raw[[#This Row],[Column19]]/IF(OR($E$2="Deployment",deployment_raw[[#This Row],[Column5]]=0),1,deployment_raw[[#This Row],[Column5]]))/I590,0),"")</f>
        <v/>
      </c>
      <c r="I590" s="69" t="str">
        <f>IF(ISNUMBER(deployment_raw[[#This Row],[Column6]]), (deployment_raw[[#This Row],[Column6]] * IF($E$2="Deployment",deployment_raw[[#This Row],[Column5]],1)),"")</f>
        <v/>
      </c>
      <c r="J590" s="79" t="str">
        <f>IF(ISNUMBER(deployment_raw[[#This Row],[Column19]]), IF(K590&lt;&gt;0,(deployment_raw[[#This Row],[Column19]]/IF(OR($E$2="Deployment",deployment_raw[[#This Row],[Column5]]=0),1,deployment_raw[[#This Row],[Column5]]))/K590,0),"")</f>
        <v/>
      </c>
      <c r="K590" s="72" t="str">
        <f>IF(ISNUMBER(deployment_raw[[#This Row],[Column8]]), (deployment_raw[[#This Row],[Column8]]  * IF($E$2="Deployment",deployment_raw[[#This Row],[Column5]],1)),"")</f>
        <v/>
      </c>
      <c r="L59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9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90" s="81" t="str">
        <f>IF(ISNUMBER(deployment_raw[[#This Row],[Column20]]), IF(O590&lt;&gt;0,deployment_raw[[#This Row],[Column20]]/IF(OR($E$2="Deployment",deployment_raw[[#This Row],[Column5]]=0),1,deployment_raw[[#This Row],[Column5]])/1048576/O590,0),"")</f>
        <v/>
      </c>
      <c r="O590" s="74" t="str">
        <f>IF(ISNUMBER(deployment_raw[[#This Row],[Column7]]), (deployment_raw[[#This Row],[Column7]] * IF($E$2="Deployment",deployment_raw[[#This Row],[Column5]],1))/1048576,"")</f>
        <v/>
      </c>
      <c r="P590" s="81" t="str">
        <f>IF(ISNUMBER(deployment_raw[[#This Row],[Column20]]), IF(Q590&lt;&gt;0,deployment_raw[[#This Row],[Column20]]/IF(OR($E$2="Deployment",deployment_raw[[#This Row],[Column5]]=0),1,deployment_raw[[#This Row],[Column5]])/1048576/Q590,0),"")</f>
        <v/>
      </c>
      <c r="Q590" s="76" t="str">
        <f>IF(ISNUMBER(deployment_raw[[#This Row],[Column9]]), (deployment_raw[[#This Row],[Column9]] * IF($E$2="Deployment",deployment_raw[[#This Row],[Column5]],1))/1048576,"")</f>
        <v/>
      </c>
      <c r="R590" s="57" t="str">
        <f>IF(ISNUMBER(deployment_raw[[#This Row],[Column10]]), (deployment_raw[[#This Row],[Column10]] * IF($E$2="Deployment",deployment_raw[[#This Row],[Column5]],1)),"")</f>
        <v/>
      </c>
      <c r="S590" s="48" t="str">
        <f>IF(ISNUMBER(deployment_raw[[#This Row],[Column11]]), (deployment_raw[[#This Row],[Column11]] * IF($E$2="Deployment",deployment_raw[[#This Row],[Column5]],1))/1048576,"")</f>
        <v/>
      </c>
      <c r="T590" s="59" t="str">
        <f>IF(ISNUMBER(deployment_raw[[#This Row],[Column8]]),IF(OR(deployment_raw[[#This Row],[Column5]] &lt;&gt; 0,$E$2 &lt;&gt; "Deployment"), MAX(V590, ($T$2 * IF($E$2="Deployment",deployment_raw[[#This Row],[Column5]],1))), 0),"")</f>
        <v/>
      </c>
      <c r="U590" s="50" t="str">
        <f>IF(ISNUMBER(deployment_raw[[#This Row],[Column9]]),IF(OR(deployment_raw[[#This Row],[Column5]] &lt;&gt; 0,$E$2&lt;&gt;"Deployment"), MAX(W590, ($U$2 * IF($E$2="Deployment",deployment_raw[[#This Row],[Column5]],1))), 0),"")</f>
        <v/>
      </c>
      <c r="V590" s="15" t="str">
        <f>IF(ISNUMBER(deployment_raw[[#This Row],[Column12]]), (deployment_raw[[#This Row],[Column12]] * IF($E$2="Deployment",deployment_raw[[#This Row],[Column5]],1)*(1+$V$2)),"")</f>
        <v/>
      </c>
      <c r="W590" s="14" t="str">
        <f>IF(ISNUMBER(deployment_raw[[#This Row],[Column13]]), (deployment_raw[[#This Row],[Column13]] * IF($E$2="Deployment",deployment_raw[[#This Row],[Column5]],1)*(1+$W$2))/1048576,"")</f>
        <v/>
      </c>
    </row>
    <row r="591" spans="1:23" ht="15.75" customHeight="1" x14ac:dyDescent="0.25">
      <c r="A591" s="5" t="str">
        <f>IF(ISNONTEXT(deployment_raw[[#This Row],[Column1]]), "", deployment_raw[[#This Row],[Column1]])</f>
        <v/>
      </c>
      <c r="B591" s="6" t="str">
        <f>IF(ISNONTEXT(deployment_raw[[#This Row],[Column2]]), "", deployment_raw[[#This Row],[Column2]])</f>
        <v/>
      </c>
      <c r="C591" s="6" t="str">
        <f>IF(ISNONTEXT(deployment_raw[[#This Row],[Column3]]), "", deployment_raw[[#This Row],[Column3]])</f>
        <v/>
      </c>
      <c r="D591" s="6" t="str">
        <f>IF(ISNONTEXT(deployment_raw[[#This Row],[Column4]]), "", deployment_raw[[#This Row],[Column4]])</f>
        <v/>
      </c>
      <c r="E591" s="7" t="str">
        <f>IF(ISNUMBER(deployment_raw[[#This Row],[Column5]]), deployment_raw[[#This Row],[Column5]],"")</f>
        <v/>
      </c>
      <c r="F591" s="32" t="str">
        <f>IF(ISNUMBER(deployment_raw[[#This Row],[Column17]]), deployment_raw[[#This Row],[Column17]]/IF(OR($E$2="Deployment",deployment_raw[[#This Row],[Column5]]=0),1,deployment_raw[[#This Row],[Column5]]),"")</f>
        <v/>
      </c>
      <c r="G591" s="42" t="str">
        <f>IF(ISNUMBER(deployment_raw[[#This Row],[Column14]]), deployment_raw[[#This Row],[Column14]]/IF(OR($E$2="Deployment",deployment_raw[[#This Row],[Column5]]=0),1,deployment_raw[[#This Row],[Column5]]),"")</f>
        <v/>
      </c>
      <c r="H591" s="79" t="str">
        <f>IF(ISNUMBER(deployment_raw[[#This Row],[Column19]]), IF(I591&lt;&gt;0,(deployment_raw[[#This Row],[Column19]]/IF(OR($E$2="Deployment",deployment_raw[[#This Row],[Column5]]=0),1,deployment_raw[[#This Row],[Column5]]))/I591,0),"")</f>
        <v/>
      </c>
      <c r="I591" s="69" t="str">
        <f>IF(ISNUMBER(deployment_raw[[#This Row],[Column6]]), (deployment_raw[[#This Row],[Column6]] * IF($E$2="Deployment",deployment_raw[[#This Row],[Column5]],1)),"")</f>
        <v/>
      </c>
      <c r="J591" s="79" t="str">
        <f>IF(ISNUMBER(deployment_raw[[#This Row],[Column19]]), IF(K591&lt;&gt;0,(deployment_raw[[#This Row],[Column19]]/IF(OR($E$2="Deployment",deployment_raw[[#This Row],[Column5]]=0),1,deployment_raw[[#This Row],[Column5]]))/K591,0),"")</f>
        <v/>
      </c>
      <c r="K591" s="72" t="str">
        <f>IF(ISNUMBER(deployment_raw[[#This Row],[Column8]]), (deployment_raw[[#This Row],[Column8]]  * IF($E$2="Deployment",deployment_raw[[#This Row],[Column5]],1)),"")</f>
        <v/>
      </c>
      <c r="L59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9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91" s="81" t="str">
        <f>IF(ISNUMBER(deployment_raw[[#This Row],[Column20]]), IF(O591&lt;&gt;0,deployment_raw[[#This Row],[Column20]]/IF(OR($E$2="Deployment",deployment_raw[[#This Row],[Column5]]=0),1,deployment_raw[[#This Row],[Column5]])/1048576/O591,0),"")</f>
        <v/>
      </c>
      <c r="O591" s="74" t="str">
        <f>IF(ISNUMBER(deployment_raw[[#This Row],[Column7]]), (deployment_raw[[#This Row],[Column7]] * IF($E$2="Deployment",deployment_raw[[#This Row],[Column5]],1))/1048576,"")</f>
        <v/>
      </c>
      <c r="P591" s="81" t="str">
        <f>IF(ISNUMBER(deployment_raw[[#This Row],[Column20]]), IF(Q591&lt;&gt;0,deployment_raw[[#This Row],[Column20]]/IF(OR($E$2="Deployment",deployment_raw[[#This Row],[Column5]]=0),1,deployment_raw[[#This Row],[Column5]])/1048576/Q591,0),"")</f>
        <v/>
      </c>
      <c r="Q591" s="76" t="str">
        <f>IF(ISNUMBER(deployment_raw[[#This Row],[Column9]]), (deployment_raw[[#This Row],[Column9]] * IF($E$2="Deployment",deployment_raw[[#This Row],[Column5]],1))/1048576,"")</f>
        <v/>
      </c>
      <c r="R591" s="57" t="str">
        <f>IF(ISNUMBER(deployment_raw[[#This Row],[Column10]]), (deployment_raw[[#This Row],[Column10]] * IF($E$2="Deployment",deployment_raw[[#This Row],[Column5]],1)),"")</f>
        <v/>
      </c>
      <c r="S591" s="48" t="str">
        <f>IF(ISNUMBER(deployment_raw[[#This Row],[Column11]]), (deployment_raw[[#This Row],[Column11]] * IF($E$2="Deployment",deployment_raw[[#This Row],[Column5]],1))/1048576,"")</f>
        <v/>
      </c>
      <c r="T591" s="59" t="str">
        <f>IF(ISNUMBER(deployment_raw[[#This Row],[Column8]]),IF(OR(deployment_raw[[#This Row],[Column5]] &lt;&gt; 0,$E$2 &lt;&gt; "Deployment"), MAX(V591, ($T$2 * IF($E$2="Deployment",deployment_raw[[#This Row],[Column5]],1))), 0),"")</f>
        <v/>
      </c>
      <c r="U591" s="50" t="str">
        <f>IF(ISNUMBER(deployment_raw[[#This Row],[Column9]]),IF(OR(deployment_raw[[#This Row],[Column5]] &lt;&gt; 0,$E$2&lt;&gt;"Deployment"), MAX(W591, ($U$2 * IF($E$2="Deployment",deployment_raw[[#This Row],[Column5]],1))), 0),"")</f>
        <v/>
      </c>
      <c r="V591" s="15" t="str">
        <f>IF(ISNUMBER(deployment_raw[[#This Row],[Column12]]), (deployment_raw[[#This Row],[Column12]] * IF($E$2="Deployment",deployment_raw[[#This Row],[Column5]],1)*(1+$V$2)),"")</f>
        <v/>
      </c>
      <c r="W591" s="14" t="str">
        <f>IF(ISNUMBER(deployment_raw[[#This Row],[Column13]]), (deployment_raw[[#This Row],[Column13]] * IF($E$2="Deployment",deployment_raw[[#This Row],[Column5]],1)*(1+$W$2))/1048576,"")</f>
        <v/>
      </c>
    </row>
    <row r="592" spans="1:23" ht="15.75" customHeight="1" x14ac:dyDescent="0.25">
      <c r="A592" s="5" t="str">
        <f>IF(ISNONTEXT(deployment_raw[[#This Row],[Column1]]), "", deployment_raw[[#This Row],[Column1]])</f>
        <v/>
      </c>
      <c r="B592" s="6" t="str">
        <f>IF(ISNONTEXT(deployment_raw[[#This Row],[Column2]]), "", deployment_raw[[#This Row],[Column2]])</f>
        <v/>
      </c>
      <c r="C592" s="6" t="str">
        <f>IF(ISNONTEXT(deployment_raw[[#This Row],[Column3]]), "", deployment_raw[[#This Row],[Column3]])</f>
        <v/>
      </c>
      <c r="D592" s="6" t="str">
        <f>IF(ISNONTEXT(deployment_raw[[#This Row],[Column4]]), "", deployment_raw[[#This Row],[Column4]])</f>
        <v/>
      </c>
      <c r="E592" s="7" t="str">
        <f>IF(ISNUMBER(deployment_raw[[#This Row],[Column5]]), deployment_raw[[#This Row],[Column5]],"")</f>
        <v/>
      </c>
      <c r="F592" s="32" t="str">
        <f>IF(ISNUMBER(deployment_raw[[#This Row],[Column17]]), deployment_raw[[#This Row],[Column17]]/IF(OR($E$2="Deployment",deployment_raw[[#This Row],[Column5]]=0),1,deployment_raw[[#This Row],[Column5]]),"")</f>
        <v/>
      </c>
      <c r="G592" s="42" t="str">
        <f>IF(ISNUMBER(deployment_raw[[#This Row],[Column14]]), deployment_raw[[#This Row],[Column14]]/IF(OR($E$2="Deployment",deployment_raw[[#This Row],[Column5]]=0),1,deployment_raw[[#This Row],[Column5]]),"")</f>
        <v/>
      </c>
      <c r="H592" s="79" t="str">
        <f>IF(ISNUMBER(deployment_raw[[#This Row],[Column19]]), IF(I592&lt;&gt;0,(deployment_raw[[#This Row],[Column19]]/IF(OR($E$2="Deployment",deployment_raw[[#This Row],[Column5]]=0),1,deployment_raw[[#This Row],[Column5]]))/I592,0),"")</f>
        <v/>
      </c>
      <c r="I592" s="69" t="str">
        <f>IF(ISNUMBER(deployment_raw[[#This Row],[Column6]]), (deployment_raw[[#This Row],[Column6]] * IF($E$2="Deployment",deployment_raw[[#This Row],[Column5]],1)),"")</f>
        <v/>
      </c>
      <c r="J592" s="79" t="str">
        <f>IF(ISNUMBER(deployment_raw[[#This Row],[Column19]]), IF(K592&lt;&gt;0,(deployment_raw[[#This Row],[Column19]]/IF(OR($E$2="Deployment",deployment_raw[[#This Row],[Column5]]=0),1,deployment_raw[[#This Row],[Column5]]))/K592,0),"")</f>
        <v/>
      </c>
      <c r="K592" s="72" t="str">
        <f>IF(ISNUMBER(deployment_raw[[#This Row],[Column8]]), (deployment_raw[[#This Row],[Column8]]  * IF($E$2="Deployment",deployment_raw[[#This Row],[Column5]],1)),"")</f>
        <v/>
      </c>
      <c r="L59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9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92" s="81" t="str">
        <f>IF(ISNUMBER(deployment_raw[[#This Row],[Column20]]), IF(O592&lt;&gt;0,deployment_raw[[#This Row],[Column20]]/IF(OR($E$2="Deployment",deployment_raw[[#This Row],[Column5]]=0),1,deployment_raw[[#This Row],[Column5]])/1048576/O592,0),"")</f>
        <v/>
      </c>
      <c r="O592" s="74" t="str">
        <f>IF(ISNUMBER(deployment_raw[[#This Row],[Column7]]), (deployment_raw[[#This Row],[Column7]] * IF($E$2="Deployment",deployment_raw[[#This Row],[Column5]],1))/1048576,"")</f>
        <v/>
      </c>
      <c r="P592" s="81" t="str">
        <f>IF(ISNUMBER(deployment_raw[[#This Row],[Column20]]), IF(Q592&lt;&gt;0,deployment_raw[[#This Row],[Column20]]/IF(OR($E$2="Deployment",deployment_raw[[#This Row],[Column5]]=0),1,deployment_raw[[#This Row],[Column5]])/1048576/Q592,0),"")</f>
        <v/>
      </c>
      <c r="Q592" s="76" t="str">
        <f>IF(ISNUMBER(deployment_raw[[#This Row],[Column9]]), (deployment_raw[[#This Row],[Column9]] * IF($E$2="Deployment",deployment_raw[[#This Row],[Column5]],1))/1048576,"")</f>
        <v/>
      </c>
      <c r="R592" s="57" t="str">
        <f>IF(ISNUMBER(deployment_raw[[#This Row],[Column10]]), (deployment_raw[[#This Row],[Column10]] * IF($E$2="Deployment",deployment_raw[[#This Row],[Column5]],1)),"")</f>
        <v/>
      </c>
      <c r="S592" s="48" t="str">
        <f>IF(ISNUMBER(deployment_raw[[#This Row],[Column11]]), (deployment_raw[[#This Row],[Column11]] * IF($E$2="Deployment",deployment_raw[[#This Row],[Column5]],1))/1048576,"")</f>
        <v/>
      </c>
      <c r="T592" s="59" t="str">
        <f>IF(ISNUMBER(deployment_raw[[#This Row],[Column8]]),IF(OR(deployment_raw[[#This Row],[Column5]] &lt;&gt; 0,$E$2 &lt;&gt; "Deployment"), MAX(V592, ($T$2 * IF($E$2="Deployment",deployment_raw[[#This Row],[Column5]],1))), 0),"")</f>
        <v/>
      </c>
      <c r="U592" s="50" t="str">
        <f>IF(ISNUMBER(deployment_raw[[#This Row],[Column9]]),IF(OR(deployment_raw[[#This Row],[Column5]] &lt;&gt; 0,$E$2&lt;&gt;"Deployment"), MAX(W592, ($U$2 * IF($E$2="Deployment",deployment_raw[[#This Row],[Column5]],1))), 0),"")</f>
        <v/>
      </c>
      <c r="V592" s="15" t="str">
        <f>IF(ISNUMBER(deployment_raw[[#This Row],[Column12]]), (deployment_raw[[#This Row],[Column12]] * IF($E$2="Deployment",deployment_raw[[#This Row],[Column5]],1)*(1+$V$2)),"")</f>
        <v/>
      </c>
      <c r="W592" s="14" t="str">
        <f>IF(ISNUMBER(deployment_raw[[#This Row],[Column13]]), (deployment_raw[[#This Row],[Column13]] * IF($E$2="Deployment",deployment_raw[[#This Row],[Column5]],1)*(1+$W$2))/1048576,"")</f>
        <v/>
      </c>
    </row>
    <row r="593" spans="1:23" ht="15.75" customHeight="1" x14ac:dyDescent="0.25">
      <c r="A593" s="5" t="str">
        <f>IF(ISNONTEXT(deployment_raw[[#This Row],[Column1]]), "", deployment_raw[[#This Row],[Column1]])</f>
        <v/>
      </c>
      <c r="B593" s="6" t="str">
        <f>IF(ISNONTEXT(deployment_raw[[#This Row],[Column2]]), "", deployment_raw[[#This Row],[Column2]])</f>
        <v/>
      </c>
      <c r="C593" s="6" t="str">
        <f>IF(ISNONTEXT(deployment_raw[[#This Row],[Column3]]), "", deployment_raw[[#This Row],[Column3]])</f>
        <v/>
      </c>
      <c r="D593" s="6" t="str">
        <f>IF(ISNONTEXT(deployment_raw[[#This Row],[Column4]]), "", deployment_raw[[#This Row],[Column4]])</f>
        <v/>
      </c>
      <c r="E593" s="7" t="str">
        <f>IF(ISNUMBER(deployment_raw[[#This Row],[Column5]]), deployment_raw[[#This Row],[Column5]],"")</f>
        <v/>
      </c>
      <c r="F593" s="32" t="str">
        <f>IF(ISNUMBER(deployment_raw[[#This Row],[Column17]]), deployment_raw[[#This Row],[Column17]]/IF(OR($E$2="Deployment",deployment_raw[[#This Row],[Column5]]=0),1,deployment_raw[[#This Row],[Column5]]),"")</f>
        <v/>
      </c>
      <c r="G593" s="42" t="str">
        <f>IF(ISNUMBER(deployment_raw[[#This Row],[Column14]]), deployment_raw[[#This Row],[Column14]]/IF(OR($E$2="Deployment",deployment_raw[[#This Row],[Column5]]=0),1,deployment_raw[[#This Row],[Column5]]),"")</f>
        <v/>
      </c>
      <c r="H593" s="79" t="str">
        <f>IF(ISNUMBER(deployment_raw[[#This Row],[Column19]]), IF(I593&lt;&gt;0,(deployment_raw[[#This Row],[Column19]]/IF(OR($E$2="Deployment",deployment_raw[[#This Row],[Column5]]=0),1,deployment_raw[[#This Row],[Column5]]))/I593,0),"")</f>
        <v/>
      </c>
      <c r="I593" s="69" t="str">
        <f>IF(ISNUMBER(deployment_raw[[#This Row],[Column6]]), (deployment_raw[[#This Row],[Column6]] * IF($E$2="Deployment",deployment_raw[[#This Row],[Column5]],1)),"")</f>
        <v/>
      </c>
      <c r="J593" s="79" t="str">
        <f>IF(ISNUMBER(deployment_raw[[#This Row],[Column19]]), IF(K593&lt;&gt;0,(deployment_raw[[#This Row],[Column19]]/IF(OR($E$2="Deployment",deployment_raw[[#This Row],[Column5]]=0),1,deployment_raw[[#This Row],[Column5]]))/K593,0),"")</f>
        <v/>
      </c>
      <c r="K593" s="72" t="str">
        <f>IF(ISNUMBER(deployment_raw[[#This Row],[Column8]]), (deployment_raw[[#This Row],[Column8]]  * IF($E$2="Deployment",deployment_raw[[#This Row],[Column5]],1)),"")</f>
        <v/>
      </c>
      <c r="L59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9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93" s="81" t="str">
        <f>IF(ISNUMBER(deployment_raw[[#This Row],[Column20]]), IF(O593&lt;&gt;0,deployment_raw[[#This Row],[Column20]]/IF(OR($E$2="Deployment",deployment_raw[[#This Row],[Column5]]=0),1,deployment_raw[[#This Row],[Column5]])/1048576/O593,0),"")</f>
        <v/>
      </c>
      <c r="O593" s="74" t="str">
        <f>IF(ISNUMBER(deployment_raw[[#This Row],[Column7]]), (deployment_raw[[#This Row],[Column7]] * IF($E$2="Deployment",deployment_raw[[#This Row],[Column5]],1))/1048576,"")</f>
        <v/>
      </c>
      <c r="P593" s="81" t="str">
        <f>IF(ISNUMBER(deployment_raw[[#This Row],[Column20]]), IF(Q593&lt;&gt;0,deployment_raw[[#This Row],[Column20]]/IF(OR($E$2="Deployment",deployment_raw[[#This Row],[Column5]]=0),1,deployment_raw[[#This Row],[Column5]])/1048576/Q593,0),"")</f>
        <v/>
      </c>
      <c r="Q593" s="76" t="str">
        <f>IF(ISNUMBER(deployment_raw[[#This Row],[Column9]]), (deployment_raw[[#This Row],[Column9]] * IF($E$2="Deployment",deployment_raw[[#This Row],[Column5]],1))/1048576,"")</f>
        <v/>
      </c>
      <c r="R593" s="57" t="str">
        <f>IF(ISNUMBER(deployment_raw[[#This Row],[Column10]]), (deployment_raw[[#This Row],[Column10]] * IF($E$2="Deployment",deployment_raw[[#This Row],[Column5]],1)),"")</f>
        <v/>
      </c>
      <c r="S593" s="48" t="str">
        <f>IF(ISNUMBER(deployment_raw[[#This Row],[Column11]]), (deployment_raw[[#This Row],[Column11]] * IF($E$2="Deployment",deployment_raw[[#This Row],[Column5]],1))/1048576,"")</f>
        <v/>
      </c>
      <c r="T593" s="59" t="str">
        <f>IF(ISNUMBER(deployment_raw[[#This Row],[Column8]]),IF(OR(deployment_raw[[#This Row],[Column5]] &lt;&gt; 0,$E$2 &lt;&gt; "Deployment"), MAX(V593, ($T$2 * IF($E$2="Deployment",deployment_raw[[#This Row],[Column5]],1))), 0),"")</f>
        <v/>
      </c>
      <c r="U593" s="50" t="str">
        <f>IF(ISNUMBER(deployment_raw[[#This Row],[Column9]]),IF(OR(deployment_raw[[#This Row],[Column5]] &lt;&gt; 0,$E$2&lt;&gt;"Deployment"), MAX(W593, ($U$2 * IF($E$2="Deployment",deployment_raw[[#This Row],[Column5]],1))), 0),"")</f>
        <v/>
      </c>
      <c r="V593" s="15" t="str">
        <f>IF(ISNUMBER(deployment_raw[[#This Row],[Column12]]), (deployment_raw[[#This Row],[Column12]] * IF($E$2="Deployment",deployment_raw[[#This Row],[Column5]],1)*(1+$V$2)),"")</f>
        <v/>
      </c>
      <c r="W593" s="14" t="str">
        <f>IF(ISNUMBER(deployment_raw[[#This Row],[Column13]]), (deployment_raw[[#This Row],[Column13]] * IF($E$2="Deployment",deployment_raw[[#This Row],[Column5]],1)*(1+$W$2))/1048576,"")</f>
        <v/>
      </c>
    </row>
    <row r="594" spans="1:23" ht="15.75" customHeight="1" x14ac:dyDescent="0.25">
      <c r="A594" s="5" t="str">
        <f>IF(ISNONTEXT(deployment_raw[[#This Row],[Column1]]), "", deployment_raw[[#This Row],[Column1]])</f>
        <v/>
      </c>
      <c r="B594" s="6" t="str">
        <f>IF(ISNONTEXT(deployment_raw[[#This Row],[Column2]]), "", deployment_raw[[#This Row],[Column2]])</f>
        <v/>
      </c>
      <c r="C594" s="6" t="str">
        <f>IF(ISNONTEXT(deployment_raw[[#This Row],[Column3]]), "", deployment_raw[[#This Row],[Column3]])</f>
        <v/>
      </c>
      <c r="D594" s="6" t="str">
        <f>IF(ISNONTEXT(deployment_raw[[#This Row],[Column4]]), "", deployment_raw[[#This Row],[Column4]])</f>
        <v/>
      </c>
      <c r="E594" s="7" t="str">
        <f>IF(ISNUMBER(deployment_raw[[#This Row],[Column5]]), deployment_raw[[#This Row],[Column5]],"")</f>
        <v/>
      </c>
      <c r="F594" s="32" t="str">
        <f>IF(ISNUMBER(deployment_raw[[#This Row],[Column17]]), deployment_raw[[#This Row],[Column17]]/IF(OR($E$2="Deployment",deployment_raw[[#This Row],[Column5]]=0),1,deployment_raw[[#This Row],[Column5]]),"")</f>
        <v/>
      </c>
      <c r="G594" s="42" t="str">
        <f>IF(ISNUMBER(deployment_raw[[#This Row],[Column14]]), deployment_raw[[#This Row],[Column14]]/IF(OR($E$2="Deployment",deployment_raw[[#This Row],[Column5]]=0),1,deployment_raw[[#This Row],[Column5]]),"")</f>
        <v/>
      </c>
      <c r="H594" s="79" t="str">
        <f>IF(ISNUMBER(deployment_raw[[#This Row],[Column19]]), IF(I594&lt;&gt;0,(deployment_raw[[#This Row],[Column19]]/IF(OR($E$2="Deployment",deployment_raw[[#This Row],[Column5]]=0),1,deployment_raw[[#This Row],[Column5]]))/I594,0),"")</f>
        <v/>
      </c>
      <c r="I594" s="69" t="str">
        <f>IF(ISNUMBER(deployment_raw[[#This Row],[Column6]]), (deployment_raw[[#This Row],[Column6]] * IF($E$2="Deployment",deployment_raw[[#This Row],[Column5]],1)),"")</f>
        <v/>
      </c>
      <c r="J594" s="79" t="str">
        <f>IF(ISNUMBER(deployment_raw[[#This Row],[Column19]]), IF(K594&lt;&gt;0,(deployment_raw[[#This Row],[Column19]]/IF(OR($E$2="Deployment",deployment_raw[[#This Row],[Column5]]=0),1,deployment_raw[[#This Row],[Column5]]))/K594,0),"")</f>
        <v/>
      </c>
      <c r="K594" s="72" t="str">
        <f>IF(ISNUMBER(deployment_raw[[#This Row],[Column8]]), (deployment_raw[[#This Row],[Column8]]  * IF($E$2="Deployment",deployment_raw[[#This Row],[Column5]],1)),"")</f>
        <v/>
      </c>
      <c r="L59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9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94" s="81" t="str">
        <f>IF(ISNUMBER(deployment_raw[[#This Row],[Column20]]), IF(O594&lt;&gt;0,deployment_raw[[#This Row],[Column20]]/IF(OR($E$2="Deployment",deployment_raw[[#This Row],[Column5]]=0),1,deployment_raw[[#This Row],[Column5]])/1048576/O594,0),"")</f>
        <v/>
      </c>
      <c r="O594" s="74" t="str">
        <f>IF(ISNUMBER(deployment_raw[[#This Row],[Column7]]), (deployment_raw[[#This Row],[Column7]] * IF($E$2="Deployment",deployment_raw[[#This Row],[Column5]],1))/1048576,"")</f>
        <v/>
      </c>
      <c r="P594" s="81" t="str">
        <f>IF(ISNUMBER(deployment_raw[[#This Row],[Column20]]), IF(Q594&lt;&gt;0,deployment_raw[[#This Row],[Column20]]/IF(OR($E$2="Deployment",deployment_raw[[#This Row],[Column5]]=0),1,deployment_raw[[#This Row],[Column5]])/1048576/Q594,0),"")</f>
        <v/>
      </c>
      <c r="Q594" s="76" t="str">
        <f>IF(ISNUMBER(deployment_raw[[#This Row],[Column9]]), (deployment_raw[[#This Row],[Column9]] * IF($E$2="Deployment",deployment_raw[[#This Row],[Column5]],1))/1048576,"")</f>
        <v/>
      </c>
      <c r="R594" s="57" t="str">
        <f>IF(ISNUMBER(deployment_raw[[#This Row],[Column10]]), (deployment_raw[[#This Row],[Column10]] * IF($E$2="Deployment",deployment_raw[[#This Row],[Column5]],1)),"")</f>
        <v/>
      </c>
      <c r="S594" s="48" t="str">
        <f>IF(ISNUMBER(deployment_raw[[#This Row],[Column11]]), (deployment_raw[[#This Row],[Column11]] * IF($E$2="Deployment",deployment_raw[[#This Row],[Column5]],1))/1048576,"")</f>
        <v/>
      </c>
      <c r="T594" s="59" t="str">
        <f>IF(ISNUMBER(deployment_raw[[#This Row],[Column8]]),IF(OR(deployment_raw[[#This Row],[Column5]] &lt;&gt; 0,$E$2 &lt;&gt; "Deployment"), MAX(V594, ($T$2 * IF($E$2="Deployment",deployment_raw[[#This Row],[Column5]],1))), 0),"")</f>
        <v/>
      </c>
      <c r="U594" s="50" t="str">
        <f>IF(ISNUMBER(deployment_raw[[#This Row],[Column9]]),IF(OR(deployment_raw[[#This Row],[Column5]] &lt;&gt; 0,$E$2&lt;&gt;"Deployment"), MAX(W594, ($U$2 * IF($E$2="Deployment",deployment_raw[[#This Row],[Column5]],1))), 0),"")</f>
        <v/>
      </c>
      <c r="V594" s="15" t="str">
        <f>IF(ISNUMBER(deployment_raw[[#This Row],[Column12]]), (deployment_raw[[#This Row],[Column12]] * IF($E$2="Deployment",deployment_raw[[#This Row],[Column5]],1)*(1+$V$2)),"")</f>
        <v/>
      </c>
      <c r="W594" s="14" t="str">
        <f>IF(ISNUMBER(deployment_raw[[#This Row],[Column13]]), (deployment_raw[[#This Row],[Column13]] * IF($E$2="Deployment",deployment_raw[[#This Row],[Column5]],1)*(1+$W$2))/1048576,"")</f>
        <v/>
      </c>
    </row>
    <row r="595" spans="1:23" ht="15.75" customHeight="1" x14ac:dyDescent="0.25">
      <c r="A595" s="5" t="str">
        <f>IF(ISNONTEXT(deployment_raw[[#This Row],[Column1]]), "", deployment_raw[[#This Row],[Column1]])</f>
        <v/>
      </c>
      <c r="B595" s="6" t="str">
        <f>IF(ISNONTEXT(deployment_raw[[#This Row],[Column2]]), "", deployment_raw[[#This Row],[Column2]])</f>
        <v/>
      </c>
      <c r="C595" s="6" t="str">
        <f>IF(ISNONTEXT(deployment_raw[[#This Row],[Column3]]), "", deployment_raw[[#This Row],[Column3]])</f>
        <v/>
      </c>
      <c r="D595" s="6" t="str">
        <f>IF(ISNONTEXT(deployment_raw[[#This Row],[Column4]]), "", deployment_raw[[#This Row],[Column4]])</f>
        <v/>
      </c>
      <c r="E595" s="7" t="str">
        <f>IF(ISNUMBER(deployment_raw[[#This Row],[Column5]]), deployment_raw[[#This Row],[Column5]],"")</f>
        <v/>
      </c>
      <c r="F595" s="32" t="str">
        <f>IF(ISNUMBER(deployment_raw[[#This Row],[Column17]]), deployment_raw[[#This Row],[Column17]]/IF(OR($E$2="Deployment",deployment_raw[[#This Row],[Column5]]=0),1,deployment_raw[[#This Row],[Column5]]),"")</f>
        <v/>
      </c>
      <c r="G595" s="42" t="str">
        <f>IF(ISNUMBER(deployment_raw[[#This Row],[Column14]]), deployment_raw[[#This Row],[Column14]]/IF(OR($E$2="Deployment",deployment_raw[[#This Row],[Column5]]=0),1,deployment_raw[[#This Row],[Column5]]),"")</f>
        <v/>
      </c>
      <c r="H595" s="79" t="str">
        <f>IF(ISNUMBER(deployment_raw[[#This Row],[Column19]]), IF(I595&lt;&gt;0,(deployment_raw[[#This Row],[Column19]]/IF(OR($E$2="Deployment",deployment_raw[[#This Row],[Column5]]=0),1,deployment_raw[[#This Row],[Column5]]))/I595,0),"")</f>
        <v/>
      </c>
      <c r="I595" s="69" t="str">
        <f>IF(ISNUMBER(deployment_raw[[#This Row],[Column6]]), (deployment_raw[[#This Row],[Column6]] * IF($E$2="Deployment",deployment_raw[[#This Row],[Column5]],1)),"")</f>
        <v/>
      </c>
      <c r="J595" s="79" t="str">
        <f>IF(ISNUMBER(deployment_raw[[#This Row],[Column19]]), IF(K595&lt;&gt;0,(deployment_raw[[#This Row],[Column19]]/IF(OR($E$2="Deployment",deployment_raw[[#This Row],[Column5]]=0),1,deployment_raw[[#This Row],[Column5]]))/K595,0),"")</f>
        <v/>
      </c>
      <c r="K595" s="72" t="str">
        <f>IF(ISNUMBER(deployment_raw[[#This Row],[Column8]]), (deployment_raw[[#This Row],[Column8]]  * IF($E$2="Deployment",deployment_raw[[#This Row],[Column5]],1)),"")</f>
        <v/>
      </c>
      <c r="L59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9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95" s="81" t="str">
        <f>IF(ISNUMBER(deployment_raw[[#This Row],[Column20]]), IF(O595&lt;&gt;0,deployment_raw[[#This Row],[Column20]]/IF(OR($E$2="Deployment",deployment_raw[[#This Row],[Column5]]=0),1,deployment_raw[[#This Row],[Column5]])/1048576/O595,0),"")</f>
        <v/>
      </c>
      <c r="O595" s="74" t="str">
        <f>IF(ISNUMBER(deployment_raw[[#This Row],[Column7]]), (deployment_raw[[#This Row],[Column7]] * IF($E$2="Deployment",deployment_raw[[#This Row],[Column5]],1))/1048576,"")</f>
        <v/>
      </c>
      <c r="P595" s="81" t="str">
        <f>IF(ISNUMBER(deployment_raw[[#This Row],[Column20]]), IF(Q595&lt;&gt;0,deployment_raw[[#This Row],[Column20]]/IF(OR($E$2="Deployment",deployment_raw[[#This Row],[Column5]]=0),1,deployment_raw[[#This Row],[Column5]])/1048576/Q595,0),"")</f>
        <v/>
      </c>
      <c r="Q595" s="76" t="str">
        <f>IF(ISNUMBER(deployment_raw[[#This Row],[Column9]]), (deployment_raw[[#This Row],[Column9]] * IF($E$2="Deployment",deployment_raw[[#This Row],[Column5]],1))/1048576,"")</f>
        <v/>
      </c>
      <c r="R595" s="57" t="str">
        <f>IF(ISNUMBER(deployment_raw[[#This Row],[Column10]]), (deployment_raw[[#This Row],[Column10]] * IF($E$2="Deployment",deployment_raw[[#This Row],[Column5]],1)),"")</f>
        <v/>
      </c>
      <c r="S595" s="48" t="str">
        <f>IF(ISNUMBER(deployment_raw[[#This Row],[Column11]]), (deployment_raw[[#This Row],[Column11]] * IF($E$2="Deployment",deployment_raw[[#This Row],[Column5]],1))/1048576,"")</f>
        <v/>
      </c>
      <c r="T595" s="59" t="str">
        <f>IF(ISNUMBER(deployment_raw[[#This Row],[Column8]]),IF(OR(deployment_raw[[#This Row],[Column5]] &lt;&gt; 0,$E$2 &lt;&gt; "Deployment"), MAX(V595, ($T$2 * IF($E$2="Deployment",deployment_raw[[#This Row],[Column5]],1))), 0),"")</f>
        <v/>
      </c>
      <c r="U595" s="50" t="str">
        <f>IF(ISNUMBER(deployment_raw[[#This Row],[Column9]]),IF(OR(deployment_raw[[#This Row],[Column5]] &lt;&gt; 0,$E$2&lt;&gt;"Deployment"), MAX(W595, ($U$2 * IF($E$2="Deployment",deployment_raw[[#This Row],[Column5]],1))), 0),"")</f>
        <v/>
      </c>
      <c r="V595" s="15" t="str">
        <f>IF(ISNUMBER(deployment_raw[[#This Row],[Column12]]), (deployment_raw[[#This Row],[Column12]] * IF($E$2="Deployment",deployment_raw[[#This Row],[Column5]],1)*(1+$V$2)),"")</f>
        <v/>
      </c>
      <c r="W595" s="14" t="str">
        <f>IF(ISNUMBER(deployment_raw[[#This Row],[Column13]]), (deployment_raw[[#This Row],[Column13]] * IF($E$2="Deployment",deployment_raw[[#This Row],[Column5]],1)*(1+$W$2))/1048576,"")</f>
        <v/>
      </c>
    </row>
    <row r="596" spans="1:23" ht="15.75" customHeight="1" x14ac:dyDescent="0.25">
      <c r="A596" s="5" t="str">
        <f>IF(ISNONTEXT(deployment_raw[[#This Row],[Column1]]), "", deployment_raw[[#This Row],[Column1]])</f>
        <v/>
      </c>
      <c r="B596" s="6" t="str">
        <f>IF(ISNONTEXT(deployment_raw[[#This Row],[Column2]]), "", deployment_raw[[#This Row],[Column2]])</f>
        <v/>
      </c>
      <c r="C596" s="6" t="str">
        <f>IF(ISNONTEXT(deployment_raw[[#This Row],[Column3]]), "", deployment_raw[[#This Row],[Column3]])</f>
        <v/>
      </c>
      <c r="D596" s="6" t="str">
        <f>IF(ISNONTEXT(deployment_raw[[#This Row],[Column4]]), "", deployment_raw[[#This Row],[Column4]])</f>
        <v/>
      </c>
      <c r="E596" s="7" t="str">
        <f>IF(ISNUMBER(deployment_raw[[#This Row],[Column5]]), deployment_raw[[#This Row],[Column5]],"")</f>
        <v/>
      </c>
      <c r="F596" s="32" t="str">
        <f>IF(ISNUMBER(deployment_raw[[#This Row],[Column17]]), deployment_raw[[#This Row],[Column17]]/IF(OR($E$2="Deployment",deployment_raw[[#This Row],[Column5]]=0),1,deployment_raw[[#This Row],[Column5]]),"")</f>
        <v/>
      </c>
      <c r="G596" s="42" t="str">
        <f>IF(ISNUMBER(deployment_raw[[#This Row],[Column14]]), deployment_raw[[#This Row],[Column14]]/IF(OR($E$2="Deployment",deployment_raw[[#This Row],[Column5]]=0),1,deployment_raw[[#This Row],[Column5]]),"")</f>
        <v/>
      </c>
      <c r="H596" s="79" t="str">
        <f>IF(ISNUMBER(deployment_raw[[#This Row],[Column19]]), IF(I596&lt;&gt;0,(deployment_raw[[#This Row],[Column19]]/IF(OR($E$2="Deployment",deployment_raw[[#This Row],[Column5]]=0),1,deployment_raw[[#This Row],[Column5]]))/I596,0),"")</f>
        <v/>
      </c>
      <c r="I596" s="69" t="str">
        <f>IF(ISNUMBER(deployment_raw[[#This Row],[Column6]]), (deployment_raw[[#This Row],[Column6]] * IF($E$2="Deployment",deployment_raw[[#This Row],[Column5]],1)),"")</f>
        <v/>
      </c>
      <c r="J596" s="79" t="str">
        <f>IF(ISNUMBER(deployment_raw[[#This Row],[Column19]]), IF(K596&lt;&gt;0,(deployment_raw[[#This Row],[Column19]]/IF(OR($E$2="Deployment",deployment_raw[[#This Row],[Column5]]=0),1,deployment_raw[[#This Row],[Column5]]))/K596,0),"")</f>
        <v/>
      </c>
      <c r="K596" s="72" t="str">
        <f>IF(ISNUMBER(deployment_raw[[#This Row],[Column8]]), (deployment_raw[[#This Row],[Column8]]  * IF($E$2="Deployment",deployment_raw[[#This Row],[Column5]],1)),"")</f>
        <v/>
      </c>
      <c r="L59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9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96" s="81" t="str">
        <f>IF(ISNUMBER(deployment_raw[[#This Row],[Column20]]), IF(O596&lt;&gt;0,deployment_raw[[#This Row],[Column20]]/IF(OR($E$2="Deployment",deployment_raw[[#This Row],[Column5]]=0),1,deployment_raw[[#This Row],[Column5]])/1048576/O596,0),"")</f>
        <v/>
      </c>
      <c r="O596" s="74" t="str">
        <f>IF(ISNUMBER(deployment_raw[[#This Row],[Column7]]), (deployment_raw[[#This Row],[Column7]] * IF($E$2="Deployment",deployment_raw[[#This Row],[Column5]],1))/1048576,"")</f>
        <v/>
      </c>
      <c r="P596" s="81" t="str">
        <f>IF(ISNUMBER(deployment_raw[[#This Row],[Column20]]), IF(Q596&lt;&gt;0,deployment_raw[[#This Row],[Column20]]/IF(OR($E$2="Deployment",deployment_raw[[#This Row],[Column5]]=0),1,deployment_raw[[#This Row],[Column5]])/1048576/Q596,0),"")</f>
        <v/>
      </c>
      <c r="Q596" s="76" t="str">
        <f>IF(ISNUMBER(deployment_raw[[#This Row],[Column9]]), (deployment_raw[[#This Row],[Column9]] * IF($E$2="Deployment",deployment_raw[[#This Row],[Column5]],1))/1048576,"")</f>
        <v/>
      </c>
      <c r="R596" s="57" t="str">
        <f>IF(ISNUMBER(deployment_raw[[#This Row],[Column10]]), (deployment_raw[[#This Row],[Column10]] * IF($E$2="Deployment",deployment_raw[[#This Row],[Column5]],1)),"")</f>
        <v/>
      </c>
      <c r="S596" s="48" t="str">
        <f>IF(ISNUMBER(deployment_raw[[#This Row],[Column11]]), (deployment_raw[[#This Row],[Column11]] * IF($E$2="Deployment",deployment_raw[[#This Row],[Column5]],1))/1048576,"")</f>
        <v/>
      </c>
      <c r="T596" s="59" t="str">
        <f>IF(ISNUMBER(deployment_raw[[#This Row],[Column8]]),IF(OR(deployment_raw[[#This Row],[Column5]] &lt;&gt; 0,$E$2 &lt;&gt; "Deployment"), MAX(V596, ($T$2 * IF($E$2="Deployment",deployment_raw[[#This Row],[Column5]],1))), 0),"")</f>
        <v/>
      </c>
      <c r="U596" s="50" t="str">
        <f>IF(ISNUMBER(deployment_raw[[#This Row],[Column9]]),IF(OR(deployment_raw[[#This Row],[Column5]] &lt;&gt; 0,$E$2&lt;&gt;"Deployment"), MAX(W596, ($U$2 * IF($E$2="Deployment",deployment_raw[[#This Row],[Column5]],1))), 0),"")</f>
        <v/>
      </c>
      <c r="V596" s="15" t="str">
        <f>IF(ISNUMBER(deployment_raw[[#This Row],[Column12]]), (deployment_raw[[#This Row],[Column12]] * IF($E$2="Deployment",deployment_raw[[#This Row],[Column5]],1)*(1+$V$2)),"")</f>
        <v/>
      </c>
      <c r="W596" s="14" t="str">
        <f>IF(ISNUMBER(deployment_raw[[#This Row],[Column13]]), (deployment_raw[[#This Row],[Column13]] * IF($E$2="Deployment",deployment_raw[[#This Row],[Column5]],1)*(1+$W$2))/1048576,"")</f>
        <v/>
      </c>
    </row>
    <row r="597" spans="1:23" ht="15.75" customHeight="1" x14ac:dyDescent="0.25">
      <c r="A597" s="5" t="str">
        <f>IF(ISNONTEXT(deployment_raw[[#This Row],[Column1]]), "", deployment_raw[[#This Row],[Column1]])</f>
        <v/>
      </c>
      <c r="B597" s="6" t="str">
        <f>IF(ISNONTEXT(deployment_raw[[#This Row],[Column2]]), "", deployment_raw[[#This Row],[Column2]])</f>
        <v/>
      </c>
      <c r="C597" s="6" t="str">
        <f>IF(ISNONTEXT(deployment_raw[[#This Row],[Column3]]), "", deployment_raw[[#This Row],[Column3]])</f>
        <v/>
      </c>
      <c r="D597" s="6" t="str">
        <f>IF(ISNONTEXT(deployment_raw[[#This Row],[Column4]]), "", deployment_raw[[#This Row],[Column4]])</f>
        <v/>
      </c>
      <c r="E597" s="7" t="str">
        <f>IF(ISNUMBER(deployment_raw[[#This Row],[Column5]]), deployment_raw[[#This Row],[Column5]],"")</f>
        <v/>
      </c>
      <c r="F597" s="32" t="str">
        <f>IF(ISNUMBER(deployment_raw[[#This Row],[Column17]]), deployment_raw[[#This Row],[Column17]]/IF(OR($E$2="Deployment",deployment_raw[[#This Row],[Column5]]=0),1,deployment_raw[[#This Row],[Column5]]),"")</f>
        <v/>
      </c>
      <c r="G597" s="42" t="str">
        <f>IF(ISNUMBER(deployment_raw[[#This Row],[Column14]]), deployment_raw[[#This Row],[Column14]]/IF(OR($E$2="Deployment",deployment_raw[[#This Row],[Column5]]=0),1,deployment_raw[[#This Row],[Column5]]),"")</f>
        <v/>
      </c>
      <c r="H597" s="79" t="str">
        <f>IF(ISNUMBER(deployment_raw[[#This Row],[Column19]]), IF(I597&lt;&gt;0,(deployment_raw[[#This Row],[Column19]]/IF(OR($E$2="Deployment",deployment_raw[[#This Row],[Column5]]=0),1,deployment_raw[[#This Row],[Column5]]))/I597,0),"")</f>
        <v/>
      </c>
      <c r="I597" s="69" t="str">
        <f>IF(ISNUMBER(deployment_raw[[#This Row],[Column6]]), (deployment_raw[[#This Row],[Column6]] * IF($E$2="Deployment",deployment_raw[[#This Row],[Column5]],1)),"")</f>
        <v/>
      </c>
      <c r="J597" s="79" t="str">
        <f>IF(ISNUMBER(deployment_raw[[#This Row],[Column19]]), IF(K597&lt;&gt;0,(deployment_raw[[#This Row],[Column19]]/IF(OR($E$2="Deployment",deployment_raw[[#This Row],[Column5]]=0),1,deployment_raw[[#This Row],[Column5]]))/K597,0),"")</f>
        <v/>
      </c>
      <c r="K597" s="72" t="str">
        <f>IF(ISNUMBER(deployment_raw[[#This Row],[Column8]]), (deployment_raw[[#This Row],[Column8]]  * IF($E$2="Deployment",deployment_raw[[#This Row],[Column5]],1)),"")</f>
        <v/>
      </c>
      <c r="L59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9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97" s="81" t="str">
        <f>IF(ISNUMBER(deployment_raw[[#This Row],[Column20]]), IF(O597&lt;&gt;0,deployment_raw[[#This Row],[Column20]]/IF(OR($E$2="Deployment",deployment_raw[[#This Row],[Column5]]=0),1,deployment_raw[[#This Row],[Column5]])/1048576/O597,0),"")</f>
        <v/>
      </c>
      <c r="O597" s="74" t="str">
        <f>IF(ISNUMBER(deployment_raw[[#This Row],[Column7]]), (deployment_raw[[#This Row],[Column7]] * IF($E$2="Deployment",deployment_raw[[#This Row],[Column5]],1))/1048576,"")</f>
        <v/>
      </c>
      <c r="P597" s="81" t="str">
        <f>IF(ISNUMBER(deployment_raw[[#This Row],[Column20]]), IF(Q597&lt;&gt;0,deployment_raw[[#This Row],[Column20]]/IF(OR($E$2="Deployment",deployment_raw[[#This Row],[Column5]]=0),1,deployment_raw[[#This Row],[Column5]])/1048576/Q597,0),"")</f>
        <v/>
      </c>
      <c r="Q597" s="76" t="str">
        <f>IF(ISNUMBER(deployment_raw[[#This Row],[Column9]]), (deployment_raw[[#This Row],[Column9]] * IF($E$2="Deployment",deployment_raw[[#This Row],[Column5]],1))/1048576,"")</f>
        <v/>
      </c>
      <c r="R597" s="57" t="str">
        <f>IF(ISNUMBER(deployment_raw[[#This Row],[Column10]]), (deployment_raw[[#This Row],[Column10]] * IF($E$2="Deployment",deployment_raw[[#This Row],[Column5]],1)),"")</f>
        <v/>
      </c>
      <c r="S597" s="48" t="str">
        <f>IF(ISNUMBER(deployment_raw[[#This Row],[Column11]]), (deployment_raw[[#This Row],[Column11]] * IF($E$2="Deployment",deployment_raw[[#This Row],[Column5]],1))/1048576,"")</f>
        <v/>
      </c>
      <c r="T597" s="59" t="str">
        <f>IF(ISNUMBER(deployment_raw[[#This Row],[Column8]]),IF(OR(deployment_raw[[#This Row],[Column5]] &lt;&gt; 0,$E$2 &lt;&gt; "Deployment"), MAX(V597, ($T$2 * IF($E$2="Deployment",deployment_raw[[#This Row],[Column5]],1))), 0),"")</f>
        <v/>
      </c>
      <c r="U597" s="50" t="str">
        <f>IF(ISNUMBER(deployment_raw[[#This Row],[Column9]]),IF(OR(deployment_raw[[#This Row],[Column5]] &lt;&gt; 0,$E$2&lt;&gt;"Deployment"), MAX(W597, ($U$2 * IF($E$2="Deployment",deployment_raw[[#This Row],[Column5]],1))), 0),"")</f>
        <v/>
      </c>
      <c r="V597" s="15" t="str">
        <f>IF(ISNUMBER(deployment_raw[[#This Row],[Column12]]), (deployment_raw[[#This Row],[Column12]] * IF($E$2="Deployment",deployment_raw[[#This Row],[Column5]],1)*(1+$V$2)),"")</f>
        <v/>
      </c>
      <c r="W597" s="14" t="str">
        <f>IF(ISNUMBER(deployment_raw[[#This Row],[Column13]]), (deployment_raw[[#This Row],[Column13]] * IF($E$2="Deployment",deployment_raw[[#This Row],[Column5]],1)*(1+$W$2))/1048576,"")</f>
        <v/>
      </c>
    </row>
    <row r="598" spans="1:23" ht="15.75" customHeight="1" x14ac:dyDescent="0.25">
      <c r="A598" s="5" t="str">
        <f>IF(ISNONTEXT(deployment_raw[[#This Row],[Column1]]), "", deployment_raw[[#This Row],[Column1]])</f>
        <v/>
      </c>
      <c r="B598" s="6" t="str">
        <f>IF(ISNONTEXT(deployment_raw[[#This Row],[Column2]]), "", deployment_raw[[#This Row],[Column2]])</f>
        <v/>
      </c>
      <c r="C598" s="6" t="str">
        <f>IF(ISNONTEXT(deployment_raw[[#This Row],[Column3]]), "", deployment_raw[[#This Row],[Column3]])</f>
        <v/>
      </c>
      <c r="D598" s="6" t="str">
        <f>IF(ISNONTEXT(deployment_raw[[#This Row],[Column4]]), "", deployment_raw[[#This Row],[Column4]])</f>
        <v/>
      </c>
      <c r="E598" s="7" t="str">
        <f>IF(ISNUMBER(deployment_raw[[#This Row],[Column5]]), deployment_raw[[#This Row],[Column5]],"")</f>
        <v/>
      </c>
      <c r="F598" s="32" t="str">
        <f>IF(ISNUMBER(deployment_raw[[#This Row],[Column17]]), deployment_raw[[#This Row],[Column17]]/IF(OR($E$2="Deployment",deployment_raw[[#This Row],[Column5]]=0),1,deployment_raw[[#This Row],[Column5]]),"")</f>
        <v/>
      </c>
      <c r="G598" s="42" t="str">
        <f>IF(ISNUMBER(deployment_raw[[#This Row],[Column14]]), deployment_raw[[#This Row],[Column14]]/IF(OR($E$2="Deployment",deployment_raw[[#This Row],[Column5]]=0),1,deployment_raw[[#This Row],[Column5]]),"")</f>
        <v/>
      </c>
      <c r="H598" s="79" t="str">
        <f>IF(ISNUMBER(deployment_raw[[#This Row],[Column19]]), IF(I598&lt;&gt;0,(deployment_raw[[#This Row],[Column19]]/IF(OR($E$2="Deployment",deployment_raw[[#This Row],[Column5]]=0),1,deployment_raw[[#This Row],[Column5]]))/I598,0),"")</f>
        <v/>
      </c>
      <c r="I598" s="69" t="str">
        <f>IF(ISNUMBER(deployment_raw[[#This Row],[Column6]]), (deployment_raw[[#This Row],[Column6]] * IF($E$2="Deployment",deployment_raw[[#This Row],[Column5]],1)),"")</f>
        <v/>
      </c>
      <c r="J598" s="79" t="str">
        <f>IF(ISNUMBER(deployment_raw[[#This Row],[Column19]]), IF(K598&lt;&gt;0,(deployment_raw[[#This Row],[Column19]]/IF(OR($E$2="Deployment",deployment_raw[[#This Row],[Column5]]=0),1,deployment_raw[[#This Row],[Column5]]))/K598,0),"")</f>
        <v/>
      </c>
      <c r="K598" s="72" t="str">
        <f>IF(ISNUMBER(deployment_raw[[#This Row],[Column8]]), (deployment_raw[[#This Row],[Column8]]  * IF($E$2="Deployment",deployment_raw[[#This Row],[Column5]],1)),"")</f>
        <v/>
      </c>
      <c r="L59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9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98" s="81" t="str">
        <f>IF(ISNUMBER(deployment_raw[[#This Row],[Column20]]), IF(O598&lt;&gt;0,deployment_raw[[#This Row],[Column20]]/IF(OR($E$2="Deployment",deployment_raw[[#This Row],[Column5]]=0),1,deployment_raw[[#This Row],[Column5]])/1048576/O598,0),"")</f>
        <v/>
      </c>
      <c r="O598" s="74" t="str">
        <f>IF(ISNUMBER(deployment_raw[[#This Row],[Column7]]), (deployment_raw[[#This Row],[Column7]] * IF($E$2="Deployment",deployment_raw[[#This Row],[Column5]],1))/1048576,"")</f>
        <v/>
      </c>
      <c r="P598" s="81" t="str">
        <f>IF(ISNUMBER(deployment_raw[[#This Row],[Column20]]), IF(Q598&lt;&gt;0,deployment_raw[[#This Row],[Column20]]/IF(OR($E$2="Deployment",deployment_raw[[#This Row],[Column5]]=0),1,deployment_raw[[#This Row],[Column5]])/1048576/Q598,0),"")</f>
        <v/>
      </c>
      <c r="Q598" s="76" t="str">
        <f>IF(ISNUMBER(deployment_raw[[#This Row],[Column9]]), (deployment_raw[[#This Row],[Column9]] * IF($E$2="Deployment",deployment_raw[[#This Row],[Column5]],1))/1048576,"")</f>
        <v/>
      </c>
      <c r="R598" s="57" t="str">
        <f>IF(ISNUMBER(deployment_raw[[#This Row],[Column10]]), (deployment_raw[[#This Row],[Column10]] * IF($E$2="Deployment",deployment_raw[[#This Row],[Column5]],1)),"")</f>
        <v/>
      </c>
      <c r="S598" s="48" t="str">
        <f>IF(ISNUMBER(deployment_raw[[#This Row],[Column11]]), (deployment_raw[[#This Row],[Column11]] * IF($E$2="Deployment",deployment_raw[[#This Row],[Column5]],1))/1048576,"")</f>
        <v/>
      </c>
      <c r="T598" s="59" t="str">
        <f>IF(ISNUMBER(deployment_raw[[#This Row],[Column8]]),IF(OR(deployment_raw[[#This Row],[Column5]] &lt;&gt; 0,$E$2 &lt;&gt; "Deployment"), MAX(V598, ($T$2 * IF($E$2="Deployment",deployment_raw[[#This Row],[Column5]],1))), 0),"")</f>
        <v/>
      </c>
      <c r="U598" s="50" t="str">
        <f>IF(ISNUMBER(deployment_raw[[#This Row],[Column9]]),IF(OR(deployment_raw[[#This Row],[Column5]] &lt;&gt; 0,$E$2&lt;&gt;"Deployment"), MAX(W598, ($U$2 * IF($E$2="Deployment",deployment_raw[[#This Row],[Column5]],1))), 0),"")</f>
        <v/>
      </c>
      <c r="V598" s="15" t="str">
        <f>IF(ISNUMBER(deployment_raw[[#This Row],[Column12]]), (deployment_raw[[#This Row],[Column12]] * IF($E$2="Deployment",deployment_raw[[#This Row],[Column5]],1)*(1+$V$2)),"")</f>
        <v/>
      </c>
      <c r="W598" s="14" t="str">
        <f>IF(ISNUMBER(deployment_raw[[#This Row],[Column13]]), (deployment_raw[[#This Row],[Column13]] * IF($E$2="Deployment",deployment_raw[[#This Row],[Column5]],1)*(1+$W$2))/1048576,"")</f>
        <v/>
      </c>
    </row>
    <row r="599" spans="1:23" ht="15.75" customHeight="1" x14ac:dyDescent="0.25">
      <c r="A599" s="5" t="str">
        <f>IF(ISNONTEXT(deployment_raw[[#This Row],[Column1]]), "", deployment_raw[[#This Row],[Column1]])</f>
        <v/>
      </c>
      <c r="B599" s="6" t="str">
        <f>IF(ISNONTEXT(deployment_raw[[#This Row],[Column2]]), "", deployment_raw[[#This Row],[Column2]])</f>
        <v/>
      </c>
      <c r="C599" s="6" t="str">
        <f>IF(ISNONTEXT(deployment_raw[[#This Row],[Column3]]), "", deployment_raw[[#This Row],[Column3]])</f>
        <v/>
      </c>
      <c r="D599" s="6" t="str">
        <f>IF(ISNONTEXT(deployment_raw[[#This Row],[Column4]]), "", deployment_raw[[#This Row],[Column4]])</f>
        <v/>
      </c>
      <c r="E599" s="7" t="str">
        <f>IF(ISNUMBER(deployment_raw[[#This Row],[Column5]]), deployment_raw[[#This Row],[Column5]],"")</f>
        <v/>
      </c>
      <c r="F599" s="32" t="str">
        <f>IF(ISNUMBER(deployment_raw[[#This Row],[Column17]]), deployment_raw[[#This Row],[Column17]]/IF(OR($E$2="Deployment",deployment_raw[[#This Row],[Column5]]=0),1,deployment_raw[[#This Row],[Column5]]),"")</f>
        <v/>
      </c>
      <c r="G599" s="42" t="str">
        <f>IF(ISNUMBER(deployment_raw[[#This Row],[Column14]]), deployment_raw[[#This Row],[Column14]]/IF(OR($E$2="Deployment",deployment_raw[[#This Row],[Column5]]=0),1,deployment_raw[[#This Row],[Column5]]),"")</f>
        <v/>
      </c>
      <c r="H599" s="79" t="str">
        <f>IF(ISNUMBER(deployment_raw[[#This Row],[Column19]]), IF(I599&lt;&gt;0,(deployment_raw[[#This Row],[Column19]]/IF(OR($E$2="Deployment",deployment_raw[[#This Row],[Column5]]=0),1,deployment_raw[[#This Row],[Column5]]))/I599,0),"")</f>
        <v/>
      </c>
      <c r="I599" s="69" t="str">
        <f>IF(ISNUMBER(deployment_raw[[#This Row],[Column6]]), (deployment_raw[[#This Row],[Column6]] * IF($E$2="Deployment",deployment_raw[[#This Row],[Column5]],1)),"")</f>
        <v/>
      </c>
      <c r="J599" s="79" t="str">
        <f>IF(ISNUMBER(deployment_raw[[#This Row],[Column19]]), IF(K599&lt;&gt;0,(deployment_raw[[#This Row],[Column19]]/IF(OR($E$2="Deployment",deployment_raw[[#This Row],[Column5]]=0),1,deployment_raw[[#This Row],[Column5]]))/K599,0),"")</f>
        <v/>
      </c>
      <c r="K599" s="72" t="str">
        <f>IF(ISNUMBER(deployment_raw[[#This Row],[Column8]]), (deployment_raw[[#This Row],[Column8]]  * IF($E$2="Deployment",deployment_raw[[#This Row],[Column5]],1)),"")</f>
        <v/>
      </c>
      <c r="L59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9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99" s="81" t="str">
        <f>IF(ISNUMBER(deployment_raw[[#This Row],[Column20]]), IF(O599&lt;&gt;0,deployment_raw[[#This Row],[Column20]]/IF(OR($E$2="Deployment",deployment_raw[[#This Row],[Column5]]=0),1,deployment_raw[[#This Row],[Column5]])/1048576/O599,0),"")</f>
        <v/>
      </c>
      <c r="O599" s="74" t="str">
        <f>IF(ISNUMBER(deployment_raw[[#This Row],[Column7]]), (deployment_raw[[#This Row],[Column7]] * IF($E$2="Deployment",deployment_raw[[#This Row],[Column5]],1))/1048576,"")</f>
        <v/>
      </c>
      <c r="P599" s="81" t="str">
        <f>IF(ISNUMBER(deployment_raw[[#This Row],[Column20]]), IF(Q599&lt;&gt;0,deployment_raw[[#This Row],[Column20]]/IF(OR($E$2="Deployment",deployment_raw[[#This Row],[Column5]]=0),1,deployment_raw[[#This Row],[Column5]])/1048576/Q599,0),"")</f>
        <v/>
      </c>
      <c r="Q599" s="76" t="str">
        <f>IF(ISNUMBER(deployment_raw[[#This Row],[Column9]]), (deployment_raw[[#This Row],[Column9]] * IF($E$2="Deployment",deployment_raw[[#This Row],[Column5]],1))/1048576,"")</f>
        <v/>
      </c>
      <c r="R599" s="57" t="str">
        <f>IF(ISNUMBER(deployment_raw[[#This Row],[Column10]]), (deployment_raw[[#This Row],[Column10]] * IF($E$2="Deployment",deployment_raw[[#This Row],[Column5]],1)),"")</f>
        <v/>
      </c>
      <c r="S599" s="48" t="str">
        <f>IF(ISNUMBER(deployment_raw[[#This Row],[Column11]]), (deployment_raw[[#This Row],[Column11]] * IF($E$2="Deployment",deployment_raw[[#This Row],[Column5]],1))/1048576,"")</f>
        <v/>
      </c>
      <c r="T599" s="59" t="str">
        <f>IF(ISNUMBER(deployment_raw[[#This Row],[Column8]]),IF(OR(deployment_raw[[#This Row],[Column5]] &lt;&gt; 0,$E$2 &lt;&gt; "Deployment"), MAX(V599, ($T$2 * IF($E$2="Deployment",deployment_raw[[#This Row],[Column5]],1))), 0),"")</f>
        <v/>
      </c>
      <c r="U599" s="50" t="str">
        <f>IF(ISNUMBER(deployment_raw[[#This Row],[Column9]]),IF(OR(deployment_raw[[#This Row],[Column5]] &lt;&gt; 0,$E$2&lt;&gt;"Deployment"), MAX(W599, ($U$2 * IF($E$2="Deployment",deployment_raw[[#This Row],[Column5]],1))), 0),"")</f>
        <v/>
      </c>
      <c r="V599" s="15" t="str">
        <f>IF(ISNUMBER(deployment_raw[[#This Row],[Column12]]), (deployment_raw[[#This Row],[Column12]] * IF($E$2="Deployment",deployment_raw[[#This Row],[Column5]],1)*(1+$V$2)),"")</f>
        <v/>
      </c>
      <c r="W599" s="14" t="str">
        <f>IF(ISNUMBER(deployment_raw[[#This Row],[Column13]]), (deployment_raw[[#This Row],[Column13]] * IF($E$2="Deployment",deployment_raw[[#This Row],[Column5]],1)*(1+$W$2))/1048576,"")</f>
        <v/>
      </c>
    </row>
    <row r="600" spans="1:23" ht="15.75" customHeight="1" x14ac:dyDescent="0.25">
      <c r="A600" s="5" t="str">
        <f>IF(ISNONTEXT(deployment_raw[[#This Row],[Column1]]), "", deployment_raw[[#This Row],[Column1]])</f>
        <v/>
      </c>
      <c r="B600" s="6" t="str">
        <f>IF(ISNONTEXT(deployment_raw[[#This Row],[Column2]]), "", deployment_raw[[#This Row],[Column2]])</f>
        <v/>
      </c>
      <c r="C600" s="6" t="str">
        <f>IF(ISNONTEXT(deployment_raw[[#This Row],[Column3]]), "", deployment_raw[[#This Row],[Column3]])</f>
        <v/>
      </c>
      <c r="D600" s="6" t="str">
        <f>IF(ISNONTEXT(deployment_raw[[#This Row],[Column4]]), "", deployment_raw[[#This Row],[Column4]])</f>
        <v/>
      </c>
      <c r="E600" s="7" t="str">
        <f>IF(ISNUMBER(deployment_raw[[#This Row],[Column5]]), deployment_raw[[#This Row],[Column5]],"")</f>
        <v/>
      </c>
      <c r="F600" s="32" t="str">
        <f>IF(ISNUMBER(deployment_raw[[#This Row],[Column17]]), deployment_raw[[#This Row],[Column17]]/IF(OR($E$2="Deployment",deployment_raw[[#This Row],[Column5]]=0),1,deployment_raw[[#This Row],[Column5]]),"")</f>
        <v/>
      </c>
      <c r="G600" s="42" t="str">
        <f>IF(ISNUMBER(deployment_raw[[#This Row],[Column14]]), deployment_raw[[#This Row],[Column14]]/IF(OR($E$2="Deployment",deployment_raw[[#This Row],[Column5]]=0),1,deployment_raw[[#This Row],[Column5]]),"")</f>
        <v/>
      </c>
      <c r="H600" s="79" t="str">
        <f>IF(ISNUMBER(deployment_raw[[#This Row],[Column19]]), IF(I600&lt;&gt;0,(deployment_raw[[#This Row],[Column19]]/IF(OR($E$2="Deployment",deployment_raw[[#This Row],[Column5]]=0),1,deployment_raw[[#This Row],[Column5]]))/I600,0),"")</f>
        <v/>
      </c>
      <c r="I600" s="69" t="str">
        <f>IF(ISNUMBER(deployment_raw[[#This Row],[Column6]]), (deployment_raw[[#This Row],[Column6]] * IF($E$2="Deployment",deployment_raw[[#This Row],[Column5]],1)),"")</f>
        <v/>
      </c>
      <c r="J600" s="79" t="str">
        <f>IF(ISNUMBER(deployment_raw[[#This Row],[Column19]]), IF(K600&lt;&gt;0,(deployment_raw[[#This Row],[Column19]]/IF(OR($E$2="Deployment",deployment_raw[[#This Row],[Column5]]=0),1,deployment_raw[[#This Row],[Column5]]))/K600,0),"")</f>
        <v/>
      </c>
      <c r="K600" s="72" t="str">
        <f>IF(ISNUMBER(deployment_raw[[#This Row],[Column8]]), (deployment_raw[[#This Row],[Column8]]  * IF($E$2="Deployment",deployment_raw[[#This Row],[Column5]],1)),"")</f>
        <v/>
      </c>
      <c r="L60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0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00" s="81" t="str">
        <f>IF(ISNUMBER(deployment_raw[[#This Row],[Column20]]), IF(O600&lt;&gt;0,deployment_raw[[#This Row],[Column20]]/IF(OR($E$2="Deployment",deployment_raw[[#This Row],[Column5]]=0),1,deployment_raw[[#This Row],[Column5]])/1048576/O600,0),"")</f>
        <v/>
      </c>
      <c r="O600" s="74" t="str">
        <f>IF(ISNUMBER(deployment_raw[[#This Row],[Column7]]), (deployment_raw[[#This Row],[Column7]] * IF($E$2="Deployment",deployment_raw[[#This Row],[Column5]],1))/1048576,"")</f>
        <v/>
      </c>
      <c r="P600" s="81" t="str">
        <f>IF(ISNUMBER(deployment_raw[[#This Row],[Column20]]), IF(Q600&lt;&gt;0,deployment_raw[[#This Row],[Column20]]/IF(OR($E$2="Deployment",deployment_raw[[#This Row],[Column5]]=0),1,deployment_raw[[#This Row],[Column5]])/1048576/Q600,0),"")</f>
        <v/>
      </c>
      <c r="Q600" s="76" t="str">
        <f>IF(ISNUMBER(deployment_raw[[#This Row],[Column9]]), (deployment_raw[[#This Row],[Column9]] * IF($E$2="Deployment",deployment_raw[[#This Row],[Column5]],1))/1048576,"")</f>
        <v/>
      </c>
      <c r="R600" s="57" t="str">
        <f>IF(ISNUMBER(deployment_raw[[#This Row],[Column10]]), (deployment_raw[[#This Row],[Column10]] * IF($E$2="Deployment",deployment_raw[[#This Row],[Column5]],1)),"")</f>
        <v/>
      </c>
      <c r="S600" s="48" t="str">
        <f>IF(ISNUMBER(deployment_raw[[#This Row],[Column11]]), (deployment_raw[[#This Row],[Column11]] * IF($E$2="Deployment",deployment_raw[[#This Row],[Column5]],1))/1048576,"")</f>
        <v/>
      </c>
      <c r="T600" s="59" t="str">
        <f>IF(ISNUMBER(deployment_raw[[#This Row],[Column8]]),IF(OR(deployment_raw[[#This Row],[Column5]] &lt;&gt; 0,$E$2 &lt;&gt; "Deployment"), MAX(V600, ($T$2 * IF($E$2="Deployment",deployment_raw[[#This Row],[Column5]],1))), 0),"")</f>
        <v/>
      </c>
      <c r="U600" s="50" t="str">
        <f>IF(ISNUMBER(deployment_raw[[#This Row],[Column9]]),IF(OR(deployment_raw[[#This Row],[Column5]] &lt;&gt; 0,$E$2&lt;&gt;"Deployment"), MAX(W600, ($U$2 * IF($E$2="Deployment",deployment_raw[[#This Row],[Column5]],1))), 0),"")</f>
        <v/>
      </c>
      <c r="V600" s="15" t="str">
        <f>IF(ISNUMBER(deployment_raw[[#This Row],[Column12]]), (deployment_raw[[#This Row],[Column12]] * IF($E$2="Deployment",deployment_raw[[#This Row],[Column5]],1)*(1+$V$2)),"")</f>
        <v/>
      </c>
      <c r="W600" s="14" t="str">
        <f>IF(ISNUMBER(deployment_raw[[#This Row],[Column13]]), (deployment_raw[[#This Row],[Column13]] * IF($E$2="Deployment",deployment_raw[[#This Row],[Column5]],1)*(1+$W$2))/1048576,"")</f>
        <v/>
      </c>
    </row>
    <row r="601" spans="1:23" ht="15.75" customHeight="1" x14ac:dyDescent="0.25">
      <c r="A601" s="5" t="str">
        <f>IF(ISNONTEXT(deployment_raw[[#This Row],[Column1]]), "", deployment_raw[[#This Row],[Column1]])</f>
        <v/>
      </c>
      <c r="B601" s="6" t="str">
        <f>IF(ISNONTEXT(deployment_raw[[#This Row],[Column2]]), "", deployment_raw[[#This Row],[Column2]])</f>
        <v/>
      </c>
      <c r="C601" s="6" t="str">
        <f>IF(ISNONTEXT(deployment_raw[[#This Row],[Column3]]), "", deployment_raw[[#This Row],[Column3]])</f>
        <v/>
      </c>
      <c r="D601" s="6" t="str">
        <f>IF(ISNONTEXT(deployment_raw[[#This Row],[Column4]]), "", deployment_raw[[#This Row],[Column4]])</f>
        <v/>
      </c>
      <c r="E601" s="7" t="str">
        <f>IF(ISNUMBER(deployment_raw[[#This Row],[Column5]]), deployment_raw[[#This Row],[Column5]],"")</f>
        <v/>
      </c>
      <c r="F601" s="32" t="str">
        <f>IF(ISNUMBER(deployment_raw[[#This Row],[Column17]]), deployment_raw[[#This Row],[Column17]]/IF(OR($E$2="Deployment",deployment_raw[[#This Row],[Column5]]=0),1,deployment_raw[[#This Row],[Column5]]),"")</f>
        <v/>
      </c>
      <c r="G601" s="42" t="str">
        <f>IF(ISNUMBER(deployment_raw[[#This Row],[Column14]]), deployment_raw[[#This Row],[Column14]]/IF(OR($E$2="Deployment",deployment_raw[[#This Row],[Column5]]=0),1,deployment_raw[[#This Row],[Column5]]),"")</f>
        <v/>
      </c>
      <c r="H601" s="79" t="str">
        <f>IF(ISNUMBER(deployment_raw[[#This Row],[Column19]]), IF(I601&lt;&gt;0,(deployment_raw[[#This Row],[Column19]]/IF(OR($E$2="Deployment",deployment_raw[[#This Row],[Column5]]=0),1,deployment_raw[[#This Row],[Column5]]))/I601,0),"")</f>
        <v/>
      </c>
      <c r="I601" s="69" t="str">
        <f>IF(ISNUMBER(deployment_raw[[#This Row],[Column6]]), (deployment_raw[[#This Row],[Column6]] * IF($E$2="Deployment",deployment_raw[[#This Row],[Column5]],1)),"")</f>
        <v/>
      </c>
      <c r="J601" s="79" t="str">
        <f>IF(ISNUMBER(deployment_raw[[#This Row],[Column19]]), IF(K601&lt;&gt;0,(deployment_raw[[#This Row],[Column19]]/IF(OR($E$2="Deployment",deployment_raw[[#This Row],[Column5]]=0),1,deployment_raw[[#This Row],[Column5]]))/K601,0),"")</f>
        <v/>
      </c>
      <c r="K601" s="72" t="str">
        <f>IF(ISNUMBER(deployment_raw[[#This Row],[Column8]]), (deployment_raw[[#This Row],[Column8]]  * IF($E$2="Deployment",deployment_raw[[#This Row],[Column5]],1)),"")</f>
        <v/>
      </c>
      <c r="L60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0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01" s="81" t="str">
        <f>IF(ISNUMBER(deployment_raw[[#This Row],[Column20]]), IF(O601&lt;&gt;0,deployment_raw[[#This Row],[Column20]]/IF(OR($E$2="Deployment",deployment_raw[[#This Row],[Column5]]=0),1,deployment_raw[[#This Row],[Column5]])/1048576/O601,0),"")</f>
        <v/>
      </c>
      <c r="O601" s="74" t="str">
        <f>IF(ISNUMBER(deployment_raw[[#This Row],[Column7]]), (deployment_raw[[#This Row],[Column7]] * IF($E$2="Deployment",deployment_raw[[#This Row],[Column5]],1))/1048576,"")</f>
        <v/>
      </c>
      <c r="P601" s="81" t="str">
        <f>IF(ISNUMBER(deployment_raw[[#This Row],[Column20]]), IF(Q601&lt;&gt;0,deployment_raw[[#This Row],[Column20]]/IF(OR($E$2="Deployment",deployment_raw[[#This Row],[Column5]]=0),1,deployment_raw[[#This Row],[Column5]])/1048576/Q601,0),"")</f>
        <v/>
      </c>
      <c r="Q601" s="76" t="str">
        <f>IF(ISNUMBER(deployment_raw[[#This Row],[Column9]]), (deployment_raw[[#This Row],[Column9]] * IF($E$2="Deployment",deployment_raw[[#This Row],[Column5]],1))/1048576,"")</f>
        <v/>
      </c>
      <c r="R601" s="57" t="str">
        <f>IF(ISNUMBER(deployment_raw[[#This Row],[Column10]]), (deployment_raw[[#This Row],[Column10]] * IF($E$2="Deployment",deployment_raw[[#This Row],[Column5]],1)),"")</f>
        <v/>
      </c>
      <c r="S601" s="48" t="str">
        <f>IF(ISNUMBER(deployment_raw[[#This Row],[Column11]]), (deployment_raw[[#This Row],[Column11]] * IF($E$2="Deployment",deployment_raw[[#This Row],[Column5]],1))/1048576,"")</f>
        <v/>
      </c>
      <c r="T601" s="59" t="str">
        <f>IF(ISNUMBER(deployment_raw[[#This Row],[Column8]]),IF(OR(deployment_raw[[#This Row],[Column5]] &lt;&gt; 0,$E$2 &lt;&gt; "Deployment"), MAX(V601, ($T$2 * IF($E$2="Deployment",deployment_raw[[#This Row],[Column5]],1))), 0),"")</f>
        <v/>
      </c>
      <c r="U601" s="50" t="str">
        <f>IF(ISNUMBER(deployment_raw[[#This Row],[Column9]]),IF(OR(deployment_raw[[#This Row],[Column5]] &lt;&gt; 0,$E$2&lt;&gt;"Deployment"), MAX(W601, ($U$2 * IF($E$2="Deployment",deployment_raw[[#This Row],[Column5]],1))), 0),"")</f>
        <v/>
      </c>
      <c r="V601" s="15" t="str">
        <f>IF(ISNUMBER(deployment_raw[[#This Row],[Column12]]), (deployment_raw[[#This Row],[Column12]] * IF($E$2="Deployment",deployment_raw[[#This Row],[Column5]],1)*(1+$V$2)),"")</f>
        <v/>
      </c>
      <c r="W601" s="14" t="str">
        <f>IF(ISNUMBER(deployment_raw[[#This Row],[Column13]]), (deployment_raw[[#This Row],[Column13]] * IF($E$2="Deployment",deployment_raw[[#This Row],[Column5]],1)*(1+$W$2))/1048576,"")</f>
        <v/>
      </c>
    </row>
    <row r="602" spans="1:23" ht="15.75" customHeight="1" x14ac:dyDescent="0.25">
      <c r="A602" s="5" t="str">
        <f>IF(ISNONTEXT(deployment_raw[[#This Row],[Column1]]), "", deployment_raw[[#This Row],[Column1]])</f>
        <v/>
      </c>
      <c r="B602" s="6" t="str">
        <f>IF(ISNONTEXT(deployment_raw[[#This Row],[Column2]]), "", deployment_raw[[#This Row],[Column2]])</f>
        <v/>
      </c>
      <c r="C602" s="6" t="str">
        <f>IF(ISNONTEXT(deployment_raw[[#This Row],[Column3]]), "", deployment_raw[[#This Row],[Column3]])</f>
        <v/>
      </c>
      <c r="D602" s="6" t="str">
        <f>IF(ISNONTEXT(deployment_raw[[#This Row],[Column4]]), "", deployment_raw[[#This Row],[Column4]])</f>
        <v/>
      </c>
      <c r="E602" s="7" t="str">
        <f>IF(ISNUMBER(deployment_raw[[#This Row],[Column5]]), deployment_raw[[#This Row],[Column5]],"")</f>
        <v/>
      </c>
      <c r="F602" s="32" t="str">
        <f>IF(ISNUMBER(deployment_raw[[#This Row],[Column17]]), deployment_raw[[#This Row],[Column17]]/IF(OR($E$2="Deployment",deployment_raw[[#This Row],[Column5]]=0),1,deployment_raw[[#This Row],[Column5]]),"")</f>
        <v/>
      </c>
      <c r="G602" s="42" t="str">
        <f>IF(ISNUMBER(deployment_raw[[#This Row],[Column14]]), deployment_raw[[#This Row],[Column14]]/IF(OR($E$2="Deployment",deployment_raw[[#This Row],[Column5]]=0),1,deployment_raw[[#This Row],[Column5]]),"")</f>
        <v/>
      </c>
      <c r="H602" s="79" t="str">
        <f>IF(ISNUMBER(deployment_raw[[#This Row],[Column19]]), IF(I602&lt;&gt;0,(deployment_raw[[#This Row],[Column19]]/IF(OR($E$2="Deployment",deployment_raw[[#This Row],[Column5]]=0),1,deployment_raw[[#This Row],[Column5]]))/I602,0),"")</f>
        <v/>
      </c>
      <c r="I602" s="69" t="str">
        <f>IF(ISNUMBER(deployment_raw[[#This Row],[Column6]]), (deployment_raw[[#This Row],[Column6]] * IF($E$2="Deployment",deployment_raw[[#This Row],[Column5]],1)),"")</f>
        <v/>
      </c>
      <c r="J602" s="79" t="str">
        <f>IF(ISNUMBER(deployment_raw[[#This Row],[Column19]]), IF(K602&lt;&gt;0,(deployment_raw[[#This Row],[Column19]]/IF(OR($E$2="Deployment",deployment_raw[[#This Row],[Column5]]=0),1,deployment_raw[[#This Row],[Column5]]))/K602,0),"")</f>
        <v/>
      </c>
      <c r="K602" s="72" t="str">
        <f>IF(ISNUMBER(deployment_raw[[#This Row],[Column8]]), (deployment_raw[[#This Row],[Column8]]  * IF($E$2="Deployment",deployment_raw[[#This Row],[Column5]],1)),"")</f>
        <v/>
      </c>
      <c r="L60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0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02" s="81" t="str">
        <f>IF(ISNUMBER(deployment_raw[[#This Row],[Column20]]), IF(O602&lt;&gt;0,deployment_raw[[#This Row],[Column20]]/IF(OR($E$2="Deployment",deployment_raw[[#This Row],[Column5]]=0),1,deployment_raw[[#This Row],[Column5]])/1048576/O602,0),"")</f>
        <v/>
      </c>
      <c r="O602" s="74" t="str">
        <f>IF(ISNUMBER(deployment_raw[[#This Row],[Column7]]), (deployment_raw[[#This Row],[Column7]] * IF($E$2="Deployment",deployment_raw[[#This Row],[Column5]],1))/1048576,"")</f>
        <v/>
      </c>
      <c r="P602" s="81" t="str">
        <f>IF(ISNUMBER(deployment_raw[[#This Row],[Column20]]), IF(Q602&lt;&gt;0,deployment_raw[[#This Row],[Column20]]/IF(OR($E$2="Deployment",deployment_raw[[#This Row],[Column5]]=0),1,deployment_raw[[#This Row],[Column5]])/1048576/Q602,0),"")</f>
        <v/>
      </c>
      <c r="Q602" s="76" t="str">
        <f>IF(ISNUMBER(deployment_raw[[#This Row],[Column9]]), (deployment_raw[[#This Row],[Column9]] * IF($E$2="Deployment",deployment_raw[[#This Row],[Column5]],1))/1048576,"")</f>
        <v/>
      </c>
      <c r="R602" s="57" t="str">
        <f>IF(ISNUMBER(deployment_raw[[#This Row],[Column10]]), (deployment_raw[[#This Row],[Column10]] * IF($E$2="Deployment",deployment_raw[[#This Row],[Column5]],1)),"")</f>
        <v/>
      </c>
      <c r="S602" s="48" t="str">
        <f>IF(ISNUMBER(deployment_raw[[#This Row],[Column11]]), (deployment_raw[[#This Row],[Column11]] * IF($E$2="Deployment",deployment_raw[[#This Row],[Column5]],1))/1048576,"")</f>
        <v/>
      </c>
      <c r="T602" s="59" t="str">
        <f>IF(ISNUMBER(deployment_raw[[#This Row],[Column8]]),IF(OR(deployment_raw[[#This Row],[Column5]] &lt;&gt; 0,$E$2 &lt;&gt; "Deployment"), MAX(V602, ($T$2 * IF($E$2="Deployment",deployment_raw[[#This Row],[Column5]],1))), 0),"")</f>
        <v/>
      </c>
      <c r="U602" s="50" t="str">
        <f>IF(ISNUMBER(deployment_raw[[#This Row],[Column9]]),IF(OR(deployment_raw[[#This Row],[Column5]] &lt;&gt; 0,$E$2&lt;&gt;"Deployment"), MAX(W602, ($U$2 * IF($E$2="Deployment",deployment_raw[[#This Row],[Column5]],1))), 0),"")</f>
        <v/>
      </c>
      <c r="V602" s="15" t="str">
        <f>IF(ISNUMBER(deployment_raw[[#This Row],[Column12]]), (deployment_raw[[#This Row],[Column12]] * IF($E$2="Deployment",deployment_raw[[#This Row],[Column5]],1)*(1+$V$2)),"")</f>
        <v/>
      </c>
      <c r="W602" s="14" t="str">
        <f>IF(ISNUMBER(deployment_raw[[#This Row],[Column13]]), (deployment_raw[[#This Row],[Column13]] * IF($E$2="Deployment",deployment_raw[[#This Row],[Column5]],1)*(1+$W$2))/1048576,"")</f>
        <v/>
      </c>
    </row>
    <row r="603" spans="1:23" ht="15.75" customHeight="1" x14ac:dyDescent="0.25">
      <c r="A603" s="5" t="str">
        <f>IF(ISNONTEXT(deployment_raw[[#This Row],[Column1]]), "", deployment_raw[[#This Row],[Column1]])</f>
        <v/>
      </c>
      <c r="B603" s="6" t="str">
        <f>IF(ISNONTEXT(deployment_raw[[#This Row],[Column2]]), "", deployment_raw[[#This Row],[Column2]])</f>
        <v/>
      </c>
      <c r="C603" s="6" t="str">
        <f>IF(ISNONTEXT(deployment_raw[[#This Row],[Column3]]), "", deployment_raw[[#This Row],[Column3]])</f>
        <v/>
      </c>
      <c r="D603" s="6" t="str">
        <f>IF(ISNONTEXT(deployment_raw[[#This Row],[Column4]]), "", deployment_raw[[#This Row],[Column4]])</f>
        <v/>
      </c>
      <c r="E603" s="7" t="str">
        <f>IF(ISNUMBER(deployment_raw[[#This Row],[Column5]]), deployment_raw[[#This Row],[Column5]],"")</f>
        <v/>
      </c>
      <c r="F603" s="32" t="str">
        <f>IF(ISNUMBER(deployment_raw[[#This Row],[Column17]]), deployment_raw[[#This Row],[Column17]]/IF(OR($E$2="Deployment",deployment_raw[[#This Row],[Column5]]=0),1,deployment_raw[[#This Row],[Column5]]),"")</f>
        <v/>
      </c>
      <c r="G603" s="42" t="str">
        <f>IF(ISNUMBER(deployment_raw[[#This Row],[Column14]]), deployment_raw[[#This Row],[Column14]]/IF(OR($E$2="Deployment",deployment_raw[[#This Row],[Column5]]=0),1,deployment_raw[[#This Row],[Column5]]),"")</f>
        <v/>
      </c>
      <c r="H603" s="79" t="str">
        <f>IF(ISNUMBER(deployment_raw[[#This Row],[Column19]]), IF(I603&lt;&gt;0,(deployment_raw[[#This Row],[Column19]]/IF(OR($E$2="Deployment",deployment_raw[[#This Row],[Column5]]=0),1,deployment_raw[[#This Row],[Column5]]))/I603,0),"")</f>
        <v/>
      </c>
      <c r="I603" s="69" t="str">
        <f>IF(ISNUMBER(deployment_raw[[#This Row],[Column6]]), (deployment_raw[[#This Row],[Column6]] * IF($E$2="Deployment",deployment_raw[[#This Row],[Column5]],1)),"")</f>
        <v/>
      </c>
      <c r="J603" s="79" t="str">
        <f>IF(ISNUMBER(deployment_raw[[#This Row],[Column19]]), IF(K603&lt;&gt;0,(deployment_raw[[#This Row],[Column19]]/IF(OR($E$2="Deployment",deployment_raw[[#This Row],[Column5]]=0),1,deployment_raw[[#This Row],[Column5]]))/K603,0),"")</f>
        <v/>
      </c>
      <c r="K603" s="72" t="str">
        <f>IF(ISNUMBER(deployment_raw[[#This Row],[Column8]]), (deployment_raw[[#This Row],[Column8]]  * IF($E$2="Deployment",deployment_raw[[#This Row],[Column5]],1)),"")</f>
        <v/>
      </c>
      <c r="L60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0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03" s="81" t="str">
        <f>IF(ISNUMBER(deployment_raw[[#This Row],[Column20]]), IF(O603&lt;&gt;0,deployment_raw[[#This Row],[Column20]]/IF(OR($E$2="Deployment",deployment_raw[[#This Row],[Column5]]=0),1,deployment_raw[[#This Row],[Column5]])/1048576/O603,0),"")</f>
        <v/>
      </c>
      <c r="O603" s="74" t="str">
        <f>IF(ISNUMBER(deployment_raw[[#This Row],[Column7]]), (deployment_raw[[#This Row],[Column7]] * IF($E$2="Deployment",deployment_raw[[#This Row],[Column5]],1))/1048576,"")</f>
        <v/>
      </c>
      <c r="P603" s="81" t="str">
        <f>IF(ISNUMBER(deployment_raw[[#This Row],[Column20]]), IF(Q603&lt;&gt;0,deployment_raw[[#This Row],[Column20]]/IF(OR($E$2="Deployment",deployment_raw[[#This Row],[Column5]]=0),1,deployment_raw[[#This Row],[Column5]])/1048576/Q603,0),"")</f>
        <v/>
      </c>
      <c r="Q603" s="76" t="str">
        <f>IF(ISNUMBER(deployment_raw[[#This Row],[Column9]]), (deployment_raw[[#This Row],[Column9]] * IF($E$2="Deployment",deployment_raw[[#This Row],[Column5]],1))/1048576,"")</f>
        <v/>
      </c>
      <c r="R603" s="57" t="str">
        <f>IF(ISNUMBER(deployment_raw[[#This Row],[Column10]]), (deployment_raw[[#This Row],[Column10]] * IF($E$2="Deployment",deployment_raw[[#This Row],[Column5]],1)),"")</f>
        <v/>
      </c>
      <c r="S603" s="48" t="str">
        <f>IF(ISNUMBER(deployment_raw[[#This Row],[Column11]]), (deployment_raw[[#This Row],[Column11]] * IF($E$2="Deployment",deployment_raw[[#This Row],[Column5]],1))/1048576,"")</f>
        <v/>
      </c>
      <c r="T603" s="59" t="str">
        <f>IF(ISNUMBER(deployment_raw[[#This Row],[Column8]]),IF(OR(deployment_raw[[#This Row],[Column5]] &lt;&gt; 0,$E$2 &lt;&gt; "Deployment"), MAX(V603, ($T$2 * IF($E$2="Deployment",deployment_raw[[#This Row],[Column5]],1))), 0),"")</f>
        <v/>
      </c>
      <c r="U603" s="50" t="str">
        <f>IF(ISNUMBER(deployment_raw[[#This Row],[Column9]]),IF(OR(deployment_raw[[#This Row],[Column5]] &lt;&gt; 0,$E$2&lt;&gt;"Deployment"), MAX(W603, ($U$2 * IF($E$2="Deployment",deployment_raw[[#This Row],[Column5]],1))), 0),"")</f>
        <v/>
      </c>
      <c r="V603" s="15" t="str">
        <f>IF(ISNUMBER(deployment_raw[[#This Row],[Column12]]), (deployment_raw[[#This Row],[Column12]] * IF($E$2="Deployment",deployment_raw[[#This Row],[Column5]],1)*(1+$V$2)),"")</f>
        <v/>
      </c>
      <c r="W603" s="14" t="str">
        <f>IF(ISNUMBER(deployment_raw[[#This Row],[Column13]]), (deployment_raw[[#This Row],[Column13]] * IF($E$2="Deployment",deployment_raw[[#This Row],[Column5]],1)*(1+$W$2))/1048576,"")</f>
        <v/>
      </c>
    </row>
    <row r="604" spans="1:23" ht="15.75" customHeight="1" x14ac:dyDescent="0.25">
      <c r="A604" s="5" t="str">
        <f>IF(ISNONTEXT(deployment_raw[[#This Row],[Column1]]), "", deployment_raw[[#This Row],[Column1]])</f>
        <v/>
      </c>
      <c r="B604" s="6" t="str">
        <f>IF(ISNONTEXT(deployment_raw[[#This Row],[Column2]]), "", deployment_raw[[#This Row],[Column2]])</f>
        <v/>
      </c>
      <c r="C604" s="6" t="str">
        <f>IF(ISNONTEXT(deployment_raw[[#This Row],[Column3]]), "", deployment_raw[[#This Row],[Column3]])</f>
        <v/>
      </c>
      <c r="D604" s="6" t="str">
        <f>IF(ISNONTEXT(deployment_raw[[#This Row],[Column4]]), "", deployment_raw[[#This Row],[Column4]])</f>
        <v/>
      </c>
      <c r="E604" s="7" t="str">
        <f>IF(ISNUMBER(deployment_raw[[#This Row],[Column5]]), deployment_raw[[#This Row],[Column5]],"")</f>
        <v/>
      </c>
      <c r="F604" s="32" t="str">
        <f>IF(ISNUMBER(deployment_raw[[#This Row],[Column17]]), deployment_raw[[#This Row],[Column17]]/IF(OR($E$2="Deployment",deployment_raw[[#This Row],[Column5]]=0),1,deployment_raw[[#This Row],[Column5]]),"")</f>
        <v/>
      </c>
      <c r="G604" s="42" t="str">
        <f>IF(ISNUMBER(deployment_raw[[#This Row],[Column14]]), deployment_raw[[#This Row],[Column14]]/IF(OR($E$2="Deployment",deployment_raw[[#This Row],[Column5]]=0),1,deployment_raw[[#This Row],[Column5]]),"")</f>
        <v/>
      </c>
      <c r="H604" s="79" t="str">
        <f>IF(ISNUMBER(deployment_raw[[#This Row],[Column19]]), IF(I604&lt;&gt;0,(deployment_raw[[#This Row],[Column19]]/IF(OR($E$2="Deployment",deployment_raw[[#This Row],[Column5]]=0),1,deployment_raw[[#This Row],[Column5]]))/I604,0),"")</f>
        <v/>
      </c>
      <c r="I604" s="69" t="str">
        <f>IF(ISNUMBER(deployment_raw[[#This Row],[Column6]]), (deployment_raw[[#This Row],[Column6]] * IF($E$2="Deployment",deployment_raw[[#This Row],[Column5]],1)),"")</f>
        <v/>
      </c>
      <c r="J604" s="79" t="str">
        <f>IF(ISNUMBER(deployment_raw[[#This Row],[Column19]]), IF(K604&lt;&gt;0,(deployment_raw[[#This Row],[Column19]]/IF(OR($E$2="Deployment",deployment_raw[[#This Row],[Column5]]=0),1,deployment_raw[[#This Row],[Column5]]))/K604,0),"")</f>
        <v/>
      </c>
      <c r="K604" s="72" t="str">
        <f>IF(ISNUMBER(deployment_raw[[#This Row],[Column8]]), (deployment_raw[[#This Row],[Column8]]  * IF($E$2="Deployment",deployment_raw[[#This Row],[Column5]],1)),"")</f>
        <v/>
      </c>
      <c r="L60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0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04" s="81" t="str">
        <f>IF(ISNUMBER(deployment_raw[[#This Row],[Column20]]), IF(O604&lt;&gt;0,deployment_raw[[#This Row],[Column20]]/IF(OR($E$2="Deployment",deployment_raw[[#This Row],[Column5]]=0),1,deployment_raw[[#This Row],[Column5]])/1048576/O604,0),"")</f>
        <v/>
      </c>
      <c r="O604" s="74" t="str">
        <f>IF(ISNUMBER(deployment_raw[[#This Row],[Column7]]), (deployment_raw[[#This Row],[Column7]] * IF($E$2="Deployment",deployment_raw[[#This Row],[Column5]],1))/1048576,"")</f>
        <v/>
      </c>
      <c r="P604" s="81" t="str">
        <f>IF(ISNUMBER(deployment_raw[[#This Row],[Column20]]), IF(Q604&lt;&gt;0,deployment_raw[[#This Row],[Column20]]/IF(OR($E$2="Deployment",deployment_raw[[#This Row],[Column5]]=0),1,deployment_raw[[#This Row],[Column5]])/1048576/Q604,0),"")</f>
        <v/>
      </c>
      <c r="Q604" s="76" t="str">
        <f>IF(ISNUMBER(deployment_raw[[#This Row],[Column9]]), (deployment_raw[[#This Row],[Column9]] * IF($E$2="Deployment",deployment_raw[[#This Row],[Column5]],1))/1048576,"")</f>
        <v/>
      </c>
      <c r="R604" s="57" t="str">
        <f>IF(ISNUMBER(deployment_raw[[#This Row],[Column10]]), (deployment_raw[[#This Row],[Column10]] * IF($E$2="Deployment",deployment_raw[[#This Row],[Column5]],1)),"")</f>
        <v/>
      </c>
      <c r="S604" s="48" t="str">
        <f>IF(ISNUMBER(deployment_raw[[#This Row],[Column11]]), (deployment_raw[[#This Row],[Column11]] * IF($E$2="Deployment",deployment_raw[[#This Row],[Column5]],1))/1048576,"")</f>
        <v/>
      </c>
      <c r="T604" s="59" t="str">
        <f>IF(ISNUMBER(deployment_raw[[#This Row],[Column8]]),IF(OR(deployment_raw[[#This Row],[Column5]] &lt;&gt; 0,$E$2 &lt;&gt; "Deployment"), MAX(V604, ($T$2 * IF($E$2="Deployment",deployment_raw[[#This Row],[Column5]],1))), 0),"")</f>
        <v/>
      </c>
      <c r="U604" s="50" t="str">
        <f>IF(ISNUMBER(deployment_raw[[#This Row],[Column9]]),IF(OR(deployment_raw[[#This Row],[Column5]] &lt;&gt; 0,$E$2&lt;&gt;"Deployment"), MAX(W604, ($U$2 * IF($E$2="Deployment",deployment_raw[[#This Row],[Column5]],1))), 0),"")</f>
        <v/>
      </c>
      <c r="V604" s="15" t="str">
        <f>IF(ISNUMBER(deployment_raw[[#This Row],[Column12]]), (deployment_raw[[#This Row],[Column12]] * IF($E$2="Deployment",deployment_raw[[#This Row],[Column5]],1)*(1+$V$2)),"")</f>
        <v/>
      </c>
      <c r="W604" s="14" t="str">
        <f>IF(ISNUMBER(deployment_raw[[#This Row],[Column13]]), (deployment_raw[[#This Row],[Column13]] * IF($E$2="Deployment",deployment_raw[[#This Row],[Column5]],1)*(1+$W$2))/1048576,"")</f>
        <v/>
      </c>
    </row>
    <row r="605" spans="1:23" ht="15.75" customHeight="1" x14ac:dyDescent="0.25">
      <c r="A605" s="5" t="str">
        <f>IF(ISNONTEXT(deployment_raw[[#This Row],[Column1]]), "", deployment_raw[[#This Row],[Column1]])</f>
        <v/>
      </c>
      <c r="B605" s="6" t="str">
        <f>IF(ISNONTEXT(deployment_raw[[#This Row],[Column2]]), "", deployment_raw[[#This Row],[Column2]])</f>
        <v/>
      </c>
      <c r="C605" s="6" t="str">
        <f>IF(ISNONTEXT(deployment_raw[[#This Row],[Column3]]), "", deployment_raw[[#This Row],[Column3]])</f>
        <v/>
      </c>
      <c r="D605" s="6" t="str">
        <f>IF(ISNONTEXT(deployment_raw[[#This Row],[Column4]]), "", deployment_raw[[#This Row],[Column4]])</f>
        <v/>
      </c>
      <c r="E605" s="7" t="str">
        <f>IF(ISNUMBER(deployment_raw[[#This Row],[Column5]]), deployment_raw[[#This Row],[Column5]],"")</f>
        <v/>
      </c>
      <c r="F605" s="32" t="str">
        <f>IF(ISNUMBER(deployment_raw[[#This Row],[Column17]]), deployment_raw[[#This Row],[Column17]]/IF(OR($E$2="Deployment",deployment_raw[[#This Row],[Column5]]=0),1,deployment_raw[[#This Row],[Column5]]),"")</f>
        <v/>
      </c>
      <c r="G605" s="42" t="str">
        <f>IF(ISNUMBER(deployment_raw[[#This Row],[Column14]]), deployment_raw[[#This Row],[Column14]]/IF(OR($E$2="Deployment",deployment_raw[[#This Row],[Column5]]=0),1,deployment_raw[[#This Row],[Column5]]),"")</f>
        <v/>
      </c>
      <c r="H605" s="79" t="str">
        <f>IF(ISNUMBER(deployment_raw[[#This Row],[Column19]]), IF(I605&lt;&gt;0,(deployment_raw[[#This Row],[Column19]]/IF(OR($E$2="Deployment",deployment_raw[[#This Row],[Column5]]=0),1,deployment_raw[[#This Row],[Column5]]))/I605,0),"")</f>
        <v/>
      </c>
      <c r="I605" s="69" t="str">
        <f>IF(ISNUMBER(deployment_raw[[#This Row],[Column6]]), (deployment_raw[[#This Row],[Column6]] * IF($E$2="Deployment",deployment_raw[[#This Row],[Column5]],1)),"")</f>
        <v/>
      </c>
      <c r="J605" s="79" t="str">
        <f>IF(ISNUMBER(deployment_raw[[#This Row],[Column19]]), IF(K605&lt;&gt;0,(deployment_raw[[#This Row],[Column19]]/IF(OR($E$2="Deployment",deployment_raw[[#This Row],[Column5]]=0),1,deployment_raw[[#This Row],[Column5]]))/K605,0),"")</f>
        <v/>
      </c>
      <c r="K605" s="72" t="str">
        <f>IF(ISNUMBER(deployment_raw[[#This Row],[Column8]]), (deployment_raw[[#This Row],[Column8]]  * IF($E$2="Deployment",deployment_raw[[#This Row],[Column5]],1)),"")</f>
        <v/>
      </c>
      <c r="L60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0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05" s="81" t="str">
        <f>IF(ISNUMBER(deployment_raw[[#This Row],[Column20]]), IF(O605&lt;&gt;0,deployment_raw[[#This Row],[Column20]]/IF(OR($E$2="Deployment",deployment_raw[[#This Row],[Column5]]=0),1,deployment_raw[[#This Row],[Column5]])/1048576/O605,0),"")</f>
        <v/>
      </c>
      <c r="O605" s="74" t="str">
        <f>IF(ISNUMBER(deployment_raw[[#This Row],[Column7]]), (deployment_raw[[#This Row],[Column7]] * IF($E$2="Deployment",deployment_raw[[#This Row],[Column5]],1))/1048576,"")</f>
        <v/>
      </c>
      <c r="P605" s="81" t="str">
        <f>IF(ISNUMBER(deployment_raw[[#This Row],[Column20]]), IF(Q605&lt;&gt;0,deployment_raw[[#This Row],[Column20]]/IF(OR($E$2="Deployment",deployment_raw[[#This Row],[Column5]]=0),1,deployment_raw[[#This Row],[Column5]])/1048576/Q605,0),"")</f>
        <v/>
      </c>
      <c r="Q605" s="76" t="str">
        <f>IF(ISNUMBER(deployment_raw[[#This Row],[Column9]]), (deployment_raw[[#This Row],[Column9]] * IF($E$2="Deployment",deployment_raw[[#This Row],[Column5]],1))/1048576,"")</f>
        <v/>
      </c>
      <c r="R605" s="57" t="str">
        <f>IF(ISNUMBER(deployment_raw[[#This Row],[Column10]]), (deployment_raw[[#This Row],[Column10]] * IF($E$2="Deployment",deployment_raw[[#This Row],[Column5]],1)),"")</f>
        <v/>
      </c>
      <c r="S605" s="48" t="str">
        <f>IF(ISNUMBER(deployment_raw[[#This Row],[Column11]]), (deployment_raw[[#This Row],[Column11]] * IF($E$2="Deployment",deployment_raw[[#This Row],[Column5]],1))/1048576,"")</f>
        <v/>
      </c>
      <c r="T605" s="59" t="str">
        <f>IF(ISNUMBER(deployment_raw[[#This Row],[Column8]]),IF(OR(deployment_raw[[#This Row],[Column5]] &lt;&gt; 0,$E$2 &lt;&gt; "Deployment"), MAX(V605, ($T$2 * IF($E$2="Deployment",deployment_raw[[#This Row],[Column5]],1))), 0),"")</f>
        <v/>
      </c>
      <c r="U605" s="50" t="str">
        <f>IF(ISNUMBER(deployment_raw[[#This Row],[Column9]]),IF(OR(deployment_raw[[#This Row],[Column5]] &lt;&gt; 0,$E$2&lt;&gt;"Deployment"), MAX(W605, ($U$2 * IF($E$2="Deployment",deployment_raw[[#This Row],[Column5]],1))), 0),"")</f>
        <v/>
      </c>
      <c r="V605" s="15" t="str">
        <f>IF(ISNUMBER(deployment_raw[[#This Row],[Column12]]), (deployment_raw[[#This Row],[Column12]] * IF($E$2="Deployment",deployment_raw[[#This Row],[Column5]],1)*(1+$V$2)),"")</f>
        <v/>
      </c>
      <c r="W605" s="14" t="str">
        <f>IF(ISNUMBER(deployment_raw[[#This Row],[Column13]]), (deployment_raw[[#This Row],[Column13]] * IF($E$2="Deployment",deployment_raw[[#This Row],[Column5]],1)*(1+$W$2))/1048576,"")</f>
        <v/>
      </c>
    </row>
    <row r="606" spans="1:23" ht="15.75" customHeight="1" x14ac:dyDescent="0.25">
      <c r="A606" s="5" t="str">
        <f>IF(ISNONTEXT(deployment_raw[[#This Row],[Column1]]), "", deployment_raw[[#This Row],[Column1]])</f>
        <v/>
      </c>
      <c r="B606" s="6" t="str">
        <f>IF(ISNONTEXT(deployment_raw[[#This Row],[Column2]]), "", deployment_raw[[#This Row],[Column2]])</f>
        <v/>
      </c>
      <c r="C606" s="6" t="str">
        <f>IF(ISNONTEXT(deployment_raw[[#This Row],[Column3]]), "", deployment_raw[[#This Row],[Column3]])</f>
        <v/>
      </c>
      <c r="D606" s="6" t="str">
        <f>IF(ISNONTEXT(deployment_raw[[#This Row],[Column4]]), "", deployment_raw[[#This Row],[Column4]])</f>
        <v/>
      </c>
      <c r="E606" s="7" t="str">
        <f>IF(ISNUMBER(deployment_raw[[#This Row],[Column5]]), deployment_raw[[#This Row],[Column5]],"")</f>
        <v/>
      </c>
      <c r="F606" s="32" t="str">
        <f>IF(ISNUMBER(deployment_raw[[#This Row],[Column17]]), deployment_raw[[#This Row],[Column17]]/IF(OR($E$2="Deployment",deployment_raw[[#This Row],[Column5]]=0),1,deployment_raw[[#This Row],[Column5]]),"")</f>
        <v/>
      </c>
      <c r="G606" s="42" t="str">
        <f>IF(ISNUMBER(deployment_raw[[#This Row],[Column14]]), deployment_raw[[#This Row],[Column14]]/IF(OR($E$2="Deployment",deployment_raw[[#This Row],[Column5]]=0),1,deployment_raw[[#This Row],[Column5]]),"")</f>
        <v/>
      </c>
      <c r="H606" s="79" t="str">
        <f>IF(ISNUMBER(deployment_raw[[#This Row],[Column19]]), IF(I606&lt;&gt;0,(deployment_raw[[#This Row],[Column19]]/IF(OR($E$2="Deployment",deployment_raw[[#This Row],[Column5]]=0),1,deployment_raw[[#This Row],[Column5]]))/I606,0),"")</f>
        <v/>
      </c>
      <c r="I606" s="69" t="str">
        <f>IF(ISNUMBER(deployment_raw[[#This Row],[Column6]]), (deployment_raw[[#This Row],[Column6]] * IF($E$2="Deployment",deployment_raw[[#This Row],[Column5]],1)),"")</f>
        <v/>
      </c>
      <c r="J606" s="79" t="str">
        <f>IF(ISNUMBER(deployment_raw[[#This Row],[Column19]]), IF(K606&lt;&gt;0,(deployment_raw[[#This Row],[Column19]]/IF(OR($E$2="Deployment",deployment_raw[[#This Row],[Column5]]=0),1,deployment_raw[[#This Row],[Column5]]))/K606,0),"")</f>
        <v/>
      </c>
      <c r="K606" s="72" t="str">
        <f>IF(ISNUMBER(deployment_raw[[#This Row],[Column8]]), (deployment_raw[[#This Row],[Column8]]  * IF($E$2="Deployment",deployment_raw[[#This Row],[Column5]],1)),"")</f>
        <v/>
      </c>
      <c r="L60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0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06" s="81" t="str">
        <f>IF(ISNUMBER(deployment_raw[[#This Row],[Column20]]), IF(O606&lt;&gt;0,deployment_raw[[#This Row],[Column20]]/IF(OR($E$2="Deployment",deployment_raw[[#This Row],[Column5]]=0),1,deployment_raw[[#This Row],[Column5]])/1048576/O606,0),"")</f>
        <v/>
      </c>
      <c r="O606" s="74" t="str">
        <f>IF(ISNUMBER(deployment_raw[[#This Row],[Column7]]), (deployment_raw[[#This Row],[Column7]] * IF($E$2="Deployment",deployment_raw[[#This Row],[Column5]],1))/1048576,"")</f>
        <v/>
      </c>
      <c r="P606" s="81" t="str">
        <f>IF(ISNUMBER(deployment_raw[[#This Row],[Column20]]), IF(Q606&lt;&gt;0,deployment_raw[[#This Row],[Column20]]/IF(OR($E$2="Deployment",deployment_raw[[#This Row],[Column5]]=0),1,deployment_raw[[#This Row],[Column5]])/1048576/Q606,0),"")</f>
        <v/>
      </c>
      <c r="Q606" s="76" t="str">
        <f>IF(ISNUMBER(deployment_raw[[#This Row],[Column9]]), (deployment_raw[[#This Row],[Column9]] * IF($E$2="Deployment",deployment_raw[[#This Row],[Column5]],1))/1048576,"")</f>
        <v/>
      </c>
      <c r="R606" s="57" t="str">
        <f>IF(ISNUMBER(deployment_raw[[#This Row],[Column10]]), (deployment_raw[[#This Row],[Column10]] * IF($E$2="Deployment",deployment_raw[[#This Row],[Column5]],1)),"")</f>
        <v/>
      </c>
      <c r="S606" s="48" t="str">
        <f>IF(ISNUMBER(deployment_raw[[#This Row],[Column11]]), (deployment_raw[[#This Row],[Column11]] * IF($E$2="Deployment",deployment_raw[[#This Row],[Column5]],1))/1048576,"")</f>
        <v/>
      </c>
      <c r="T606" s="59" t="str">
        <f>IF(ISNUMBER(deployment_raw[[#This Row],[Column8]]),IF(OR(deployment_raw[[#This Row],[Column5]] &lt;&gt; 0,$E$2 &lt;&gt; "Deployment"), MAX(V606, ($T$2 * IF($E$2="Deployment",deployment_raw[[#This Row],[Column5]],1))), 0),"")</f>
        <v/>
      </c>
      <c r="U606" s="50" t="str">
        <f>IF(ISNUMBER(deployment_raw[[#This Row],[Column9]]),IF(OR(deployment_raw[[#This Row],[Column5]] &lt;&gt; 0,$E$2&lt;&gt;"Deployment"), MAX(W606, ($U$2 * IF($E$2="Deployment",deployment_raw[[#This Row],[Column5]],1))), 0),"")</f>
        <v/>
      </c>
      <c r="V606" s="15" t="str">
        <f>IF(ISNUMBER(deployment_raw[[#This Row],[Column12]]), (deployment_raw[[#This Row],[Column12]] * IF($E$2="Deployment",deployment_raw[[#This Row],[Column5]],1)*(1+$V$2)),"")</f>
        <v/>
      </c>
      <c r="W606" s="14" t="str">
        <f>IF(ISNUMBER(deployment_raw[[#This Row],[Column13]]), (deployment_raw[[#This Row],[Column13]] * IF($E$2="Deployment",deployment_raw[[#This Row],[Column5]],1)*(1+$W$2))/1048576,"")</f>
        <v/>
      </c>
    </row>
    <row r="607" spans="1:23" ht="15.75" customHeight="1" x14ac:dyDescent="0.25">
      <c r="A607" s="5" t="str">
        <f>IF(ISNONTEXT(deployment_raw[[#This Row],[Column1]]), "", deployment_raw[[#This Row],[Column1]])</f>
        <v/>
      </c>
      <c r="B607" s="6" t="str">
        <f>IF(ISNONTEXT(deployment_raw[[#This Row],[Column2]]), "", deployment_raw[[#This Row],[Column2]])</f>
        <v/>
      </c>
      <c r="C607" s="6" t="str">
        <f>IF(ISNONTEXT(deployment_raw[[#This Row],[Column3]]), "", deployment_raw[[#This Row],[Column3]])</f>
        <v/>
      </c>
      <c r="D607" s="6" t="str">
        <f>IF(ISNONTEXT(deployment_raw[[#This Row],[Column4]]), "", deployment_raw[[#This Row],[Column4]])</f>
        <v/>
      </c>
      <c r="E607" s="7" t="str">
        <f>IF(ISNUMBER(deployment_raw[[#This Row],[Column5]]), deployment_raw[[#This Row],[Column5]],"")</f>
        <v/>
      </c>
      <c r="F607" s="32" t="str">
        <f>IF(ISNUMBER(deployment_raw[[#This Row],[Column17]]), deployment_raw[[#This Row],[Column17]]/IF(OR($E$2="Deployment",deployment_raw[[#This Row],[Column5]]=0),1,deployment_raw[[#This Row],[Column5]]),"")</f>
        <v/>
      </c>
      <c r="G607" s="42" t="str">
        <f>IF(ISNUMBER(deployment_raw[[#This Row],[Column14]]), deployment_raw[[#This Row],[Column14]]/IF(OR($E$2="Deployment",deployment_raw[[#This Row],[Column5]]=0),1,deployment_raw[[#This Row],[Column5]]),"")</f>
        <v/>
      </c>
      <c r="H607" s="79" t="str">
        <f>IF(ISNUMBER(deployment_raw[[#This Row],[Column19]]), IF(I607&lt;&gt;0,(deployment_raw[[#This Row],[Column19]]/IF(OR($E$2="Deployment",deployment_raw[[#This Row],[Column5]]=0),1,deployment_raw[[#This Row],[Column5]]))/I607,0),"")</f>
        <v/>
      </c>
      <c r="I607" s="69" t="str">
        <f>IF(ISNUMBER(deployment_raw[[#This Row],[Column6]]), (deployment_raw[[#This Row],[Column6]] * IF($E$2="Deployment",deployment_raw[[#This Row],[Column5]],1)),"")</f>
        <v/>
      </c>
      <c r="J607" s="79" t="str">
        <f>IF(ISNUMBER(deployment_raw[[#This Row],[Column19]]), IF(K607&lt;&gt;0,(deployment_raw[[#This Row],[Column19]]/IF(OR($E$2="Deployment",deployment_raw[[#This Row],[Column5]]=0),1,deployment_raw[[#This Row],[Column5]]))/K607,0),"")</f>
        <v/>
      </c>
      <c r="K607" s="72" t="str">
        <f>IF(ISNUMBER(deployment_raw[[#This Row],[Column8]]), (deployment_raw[[#This Row],[Column8]]  * IF($E$2="Deployment",deployment_raw[[#This Row],[Column5]],1)),"")</f>
        <v/>
      </c>
      <c r="L60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0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07" s="81" t="str">
        <f>IF(ISNUMBER(deployment_raw[[#This Row],[Column20]]), IF(O607&lt;&gt;0,deployment_raw[[#This Row],[Column20]]/IF(OR($E$2="Deployment",deployment_raw[[#This Row],[Column5]]=0),1,deployment_raw[[#This Row],[Column5]])/1048576/O607,0),"")</f>
        <v/>
      </c>
      <c r="O607" s="74" t="str">
        <f>IF(ISNUMBER(deployment_raw[[#This Row],[Column7]]), (deployment_raw[[#This Row],[Column7]] * IF($E$2="Deployment",deployment_raw[[#This Row],[Column5]],1))/1048576,"")</f>
        <v/>
      </c>
      <c r="P607" s="81" t="str">
        <f>IF(ISNUMBER(deployment_raw[[#This Row],[Column20]]), IF(Q607&lt;&gt;0,deployment_raw[[#This Row],[Column20]]/IF(OR($E$2="Deployment",deployment_raw[[#This Row],[Column5]]=0),1,deployment_raw[[#This Row],[Column5]])/1048576/Q607,0),"")</f>
        <v/>
      </c>
      <c r="Q607" s="76" t="str">
        <f>IF(ISNUMBER(deployment_raw[[#This Row],[Column9]]), (deployment_raw[[#This Row],[Column9]] * IF($E$2="Deployment",deployment_raw[[#This Row],[Column5]],1))/1048576,"")</f>
        <v/>
      </c>
      <c r="R607" s="57" t="str">
        <f>IF(ISNUMBER(deployment_raw[[#This Row],[Column10]]), (deployment_raw[[#This Row],[Column10]] * IF($E$2="Deployment",deployment_raw[[#This Row],[Column5]],1)),"")</f>
        <v/>
      </c>
      <c r="S607" s="48" t="str">
        <f>IF(ISNUMBER(deployment_raw[[#This Row],[Column11]]), (deployment_raw[[#This Row],[Column11]] * IF($E$2="Deployment",deployment_raw[[#This Row],[Column5]],1))/1048576,"")</f>
        <v/>
      </c>
      <c r="T607" s="59" t="str">
        <f>IF(ISNUMBER(deployment_raw[[#This Row],[Column8]]),IF(OR(deployment_raw[[#This Row],[Column5]] &lt;&gt; 0,$E$2 &lt;&gt; "Deployment"), MAX(V607, ($T$2 * IF($E$2="Deployment",deployment_raw[[#This Row],[Column5]],1))), 0),"")</f>
        <v/>
      </c>
      <c r="U607" s="50" t="str">
        <f>IF(ISNUMBER(deployment_raw[[#This Row],[Column9]]),IF(OR(deployment_raw[[#This Row],[Column5]] &lt;&gt; 0,$E$2&lt;&gt;"Deployment"), MAX(W607, ($U$2 * IF($E$2="Deployment",deployment_raw[[#This Row],[Column5]],1))), 0),"")</f>
        <v/>
      </c>
      <c r="V607" s="15" t="str">
        <f>IF(ISNUMBER(deployment_raw[[#This Row],[Column12]]), (deployment_raw[[#This Row],[Column12]] * IF($E$2="Deployment",deployment_raw[[#This Row],[Column5]],1)*(1+$V$2)),"")</f>
        <v/>
      </c>
      <c r="W607" s="14" t="str">
        <f>IF(ISNUMBER(deployment_raw[[#This Row],[Column13]]), (deployment_raw[[#This Row],[Column13]] * IF($E$2="Deployment",deployment_raw[[#This Row],[Column5]],1)*(1+$W$2))/1048576,"")</f>
        <v/>
      </c>
    </row>
    <row r="608" spans="1:23" ht="15.75" customHeight="1" x14ac:dyDescent="0.25">
      <c r="A608" s="5" t="str">
        <f>IF(ISNONTEXT(deployment_raw[[#This Row],[Column1]]), "", deployment_raw[[#This Row],[Column1]])</f>
        <v/>
      </c>
      <c r="B608" s="6" t="str">
        <f>IF(ISNONTEXT(deployment_raw[[#This Row],[Column2]]), "", deployment_raw[[#This Row],[Column2]])</f>
        <v/>
      </c>
      <c r="C608" s="6" t="str">
        <f>IF(ISNONTEXT(deployment_raw[[#This Row],[Column3]]), "", deployment_raw[[#This Row],[Column3]])</f>
        <v/>
      </c>
      <c r="D608" s="6" t="str">
        <f>IF(ISNONTEXT(deployment_raw[[#This Row],[Column4]]), "", deployment_raw[[#This Row],[Column4]])</f>
        <v/>
      </c>
      <c r="E608" s="7" t="str">
        <f>IF(ISNUMBER(deployment_raw[[#This Row],[Column5]]), deployment_raw[[#This Row],[Column5]],"")</f>
        <v/>
      </c>
      <c r="F608" s="32" t="str">
        <f>IF(ISNUMBER(deployment_raw[[#This Row],[Column17]]), deployment_raw[[#This Row],[Column17]]/IF(OR($E$2="Deployment",deployment_raw[[#This Row],[Column5]]=0),1,deployment_raw[[#This Row],[Column5]]),"")</f>
        <v/>
      </c>
      <c r="G608" s="42" t="str">
        <f>IF(ISNUMBER(deployment_raw[[#This Row],[Column14]]), deployment_raw[[#This Row],[Column14]]/IF(OR($E$2="Deployment",deployment_raw[[#This Row],[Column5]]=0),1,deployment_raw[[#This Row],[Column5]]),"")</f>
        <v/>
      </c>
      <c r="H608" s="79" t="str">
        <f>IF(ISNUMBER(deployment_raw[[#This Row],[Column19]]), IF(I608&lt;&gt;0,(deployment_raw[[#This Row],[Column19]]/IF(OR($E$2="Deployment",deployment_raw[[#This Row],[Column5]]=0),1,deployment_raw[[#This Row],[Column5]]))/I608,0),"")</f>
        <v/>
      </c>
      <c r="I608" s="69" t="str">
        <f>IF(ISNUMBER(deployment_raw[[#This Row],[Column6]]), (deployment_raw[[#This Row],[Column6]] * IF($E$2="Deployment",deployment_raw[[#This Row],[Column5]],1)),"")</f>
        <v/>
      </c>
      <c r="J608" s="79" t="str">
        <f>IF(ISNUMBER(deployment_raw[[#This Row],[Column19]]), IF(K608&lt;&gt;0,(deployment_raw[[#This Row],[Column19]]/IF(OR($E$2="Deployment",deployment_raw[[#This Row],[Column5]]=0),1,deployment_raw[[#This Row],[Column5]]))/K608,0),"")</f>
        <v/>
      </c>
      <c r="K608" s="72" t="str">
        <f>IF(ISNUMBER(deployment_raw[[#This Row],[Column8]]), (deployment_raw[[#This Row],[Column8]]  * IF($E$2="Deployment",deployment_raw[[#This Row],[Column5]],1)),"")</f>
        <v/>
      </c>
      <c r="L60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0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08" s="81" t="str">
        <f>IF(ISNUMBER(deployment_raw[[#This Row],[Column20]]), IF(O608&lt;&gt;0,deployment_raw[[#This Row],[Column20]]/IF(OR($E$2="Deployment",deployment_raw[[#This Row],[Column5]]=0),1,deployment_raw[[#This Row],[Column5]])/1048576/O608,0),"")</f>
        <v/>
      </c>
      <c r="O608" s="74" t="str">
        <f>IF(ISNUMBER(deployment_raw[[#This Row],[Column7]]), (deployment_raw[[#This Row],[Column7]] * IF($E$2="Deployment",deployment_raw[[#This Row],[Column5]],1))/1048576,"")</f>
        <v/>
      </c>
      <c r="P608" s="81" t="str">
        <f>IF(ISNUMBER(deployment_raw[[#This Row],[Column20]]), IF(Q608&lt;&gt;0,deployment_raw[[#This Row],[Column20]]/IF(OR($E$2="Deployment",deployment_raw[[#This Row],[Column5]]=0),1,deployment_raw[[#This Row],[Column5]])/1048576/Q608,0),"")</f>
        <v/>
      </c>
      <c r="Q608" s="76" t="str">
        <f>IF(ISNUMBER(deployment_raw[[#This Row],[Column9]]), (deployment_raw[[#This Row],[Column9]] * IF($E$2="Deployment",deployment_raw[[#This Row],[Column5]],1))/1048576,"")</f>
        <v/>
      </c>
      <c r="R608" s="57" t="str">
        <f>IF(ISNUMBER(deployment_raw[[#This Row],[Column10]]), (deployment_raw[[#This Row],[Column10]] * IF($E$2="Deployment",deployment_raw[[#This Row],[Column5]],1)),"")</f>
        <v/>
      </c>
      <c r="S608" s="48" t="str">
        <f>IF(ISNUMBER(deployment_raw[[#This Row],[Column11]]), (deployment_raw[[#This Row],[Column11]] * IF($E$2="Deployment",deployment_raw[[#This Row],[Column5]],1))/1048576,"")</f>
        <v/>
      </c>
      <c r="T608" s="59" t="str">
        <f>IF(ISNUMBER(deployment_raw[[#This Row],[Column8]]),IF(OR(deployment_raw[[#This Row],[Column5]] &lt;&gt; 0,$E$2 &lt;&gt; "Deployment"), MAX(V608, ($T$2 * IF($E$2="Deployment",deployment_raw[[#This Row],[Column5]],1))), 0),"")</f>
        <v/>
      </c>
      <c r="U608" s="50" t="str">
        <f>IF(ISNUMBER(deployment_raw[[#This Row],[Column9]]),IF(OR(deployment_raw[[#This Row],[Column5]] &lt;&gt; 0,$E$2&lt;&gt;"Deployment"), MAX(W608, ($U$2 * IF($E$2="Deployment",deployment_raw[[#This Row],[Column5]],1))), 0),"")</f>
        <v/>
      </c>
      <c r="V608" s="15" t="str">
        <f>IF(ISNUMBER(deployment_raw[[#This Row],[Column12]]), (deployment_raw[[#This Row],[Column12]] * IF($E$2="Deployment",deployment_raw[[#This Row],[Column5]],1)*(1+$V$2)),"")</f>
        <v/>
      </c>
      <c r="W608" s="14" t="str">
        <f>IF(ISNUMBER(deployment_raw[[#This Row],[Column13]]), (deployment_raw[[#This Row],[Column13]] * IF($E$2="Deployment",deployment_raw[[#This Row],[Column5]],1)*(1+$W$2))/1048576,"")</f>
        <v/>
      </c>
    </row>
    <row r="609" spans="1:23" ht="15.75" customHeight="1" x14ac:dyDescent="0.25">
      <c r="A609" s="5" t="str">
        <f>IF(ISNONTEXT(deployment_raw[[#This Row],[Column1]]), "", deployment_raw[[#This Row],[Column1]])</f>
        <v/>
      </c>
      <c r="B609" s="6" t="str">
        <f>IF(ISNONTEXT(deployment_raw[[#This Row],[Column2]]), "", deployment_raw[[#This Row],[Column2]])</f>
        <v/>
      </c>
      <c r="C609" s="6" t="str">
        <f>IF(ISNONTEXT(deployment_raw[[#This Row],[Column3]]), "", deployment_raw[[#This Row],[Column3]])</f>
        <v/>
      </c>
      <c r="D609" s="6" t="str">
        <f>IF(ISNONTEXT(deployment_raw[[#This Row],[Column4]]), "", deployment_raw[[#This Row],[Column4]])</f>
        <v/>
      </c>
      <c r="E609" s="7" t="str">
        <f>IF(ISNUMBER(deployment_raw[[#This Row],[Column5]]), deployment_raw[[#This Row],[Column5]],"")</f>
        <v/>
      </c>
      <c r="F609" s="32" t="str">
        <f>IF(ISNUMBER(deployment_raw[[#This Row],[Column17]]), deployment_raw[[#This Row],[Column17]]/IF(OR($E$2="Deployment",deployment_raw[[#This Row],[Column5]]=0),1,deployment_raw[[#This Row],[Column5]]),"")</f>
        <v/>
      </c>
      <c r="G609" s="42" t="str">
        <f>IF(ISNUMBER(deployment_raw[[#This Row],[Column14]]), deployment_raw[[#This Row],[Column14]]/IF(OR($E$2="Deployment",deployment_raw[[#This Row],[Column5]]=0),1,deployment_raw[[#This Row],[Column5]]),"")</f>
        <v/>
      </c>
      <c r="H609" s="79" t="str">
        <f>IF(ISNUMBER(deployment_raw[[#This Row],[Column19]]), IF(I609&lt;&gt;0,(deployment_raw[[#This Row],[Column19]]/IF(OR($E$2="Deployment",deployment_raw[[#This Row],[Column5]]=0),1,deployment_raw[[#This Row],[Column5]]))/I609,0),"")</f>
        <v/>
      </c>
      <c r="I609" s="69" t="str">
        <f>IF(ISNUMBER(deployment_raw[[#This Row],[Column6]]), (deployment_raw[[#This Row],[Column6]] * IF($E$2="Deployment",deployment_raw[[#This Row],[Column5]],1)),"")</f>
        <v/>
      </c>
      <c r="J609" s="79" t="str">
        <f>IF(ISNUMBER(deployment_raw[[#This Row],[Column19]]), IF(K609&lt;&gt;0,(deployment_raw[[#This Row],[Column19]]/IF(OR($E$2="Deployment",deployment_raw[[#This Row],[Column5]]=0),1,deployment_raw[[#This Row],[Column5]]))/K609,0),"")</f>
        <v/>
      </c>
      <c r="K609" s="72" t="str">
        <f>IF(ISNUMBER(deployment_raw[[#This Row],[Column8]]), (deployment_raw[[#This Row],[Column8]]  * IF($E$2="Deployment",deployment_raw[[#This Row],[Column5]],1)),"")</f>
        <v/>
      </c>
      <c r="L60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0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09" s="81" t="str">
        <f>IF(ISNUMBER(deployment_raw[[#This Row],[Column20]]), IF(O609&lt;&gt;0,deployment_raw[[#This Row],[Column20]]/IF(OR($E$2="Deployment",deployment_raw[[#This Row],[Column5]]=0),1,deployment_raw[[#This Row],[Column5]])/1048576/O609,0),"")</f>
        <v/>
      </c>
      <c r="O609" s="74" t="str">
        <f>IF(ISNUMBER(deployment_raw[[#This Row],[Column7]]), (deployment_raw[[#This Row],[Column7]] * IF($E$2="Deployment",deployment_raw[[#This Row],[Column5]],1))/1048576,"")</f>
        <v/>
      </c>
      <c r="P609" s="81" t="str">
        <f>IF(ISNUMBER(deployment_raw[[#This Row],[Column20]]), IF(Q609&lt;&gt;0,deployment_raw[[#This Row],[Column20]]/IF(OR($E$2="Deployment",deployment_raw[[#This Row],[Column5]]=0),1,deployment_raw[[#This Row],[Column5]])/1048576/Q609,0),"")</f>
        <v/>
      </c>
      <c r="Q609" s="76" t="str">
        <f>IF(ISNUMBER(deployment_raw[[#This Row],[Column9]]), (deployment_raw[[#This Row],[Column9]] * IF($E$2="Deployment",deployment_raw[[#This Row],[Column5]],1))/1048576,"")</f>
        <v/>
      </c>
      <c r="R609" s="57" t="str">
        <f>IF(ISNUMBER(deployment_raw[[#This Row],[Column10]]), (deployment_raw[[#This Row],[Column10]] * IF($E$2="Deployment",deployment_raw[[#This Row],[Column5]],1)),"")</f>
        <v/>
      </c>
      <c r="S609" s="48" t="str">
        <f>IF(ISNUMBER(deployment_raw[[#This Row],[Column11]]), (deployment_raw[[#This Row],[Column11]] * IF($E$2="Deployment",deployment_raw[[#This Row],[Column5]],1))/1048576,"")</f>
        <v/>
      </c>
      <c r="T609" s="59" t="str">
        <f>IF(ISNUMBER(deployment_raw[[#This Row],[Column8]]),IF(OR(deployment_raw[[#This Row],[Column5]] &lt;&gt; 0,$E$2 &lt;&gt; "Deployment"), MAX(V609, ($T$2 * IF($E$2="Deployment",deployment_raw[[#This Row],[Column5]],1))), 0),"")</f>
        <v/>
      </c>
      <c r="U609" s="50" t="str">
        <f>IF(ISNUMBER(deployment_raw[[#This Row],[Column9]]),IF(OR(deployment_raw[[#This Row],[Column5]] &lt;&gt; 0,$E$2&lt;&gt;"Deployment"), MAX(W609, ($U$2 * IF($E$2="Deployment",deployment_raw[[#This Row],[Column5]],1))), 0),"")</f>
        <v/>
      </c>
      <c r="V609" s="15" t="str">
        <f>IF(ISNUMBER(deployment_raw[[#This Row],[Column12]]), (deployment_raw[[#This Row],[Column12]] * IF($E$2="Deployment",deployment_raw[[#This Row],[Column5]],1)*(1+$V$2)),"")</f>
        <v/>
      </c>
      <c r="W609" s="14" t="str">
        <f>IF(ISNUMBER(deployment_raw[[#This Row],[Column13]]), (deployment_raw[[#This Row],[Column13]] * IF($E$2="Deployment",deployment_raw[[#This Row],[Column5]],1)*(1+$W$2))/1048576,"")</f>
        <v/>
      </c>
    </row>
    <row r="610" spans="1:23" ht="15.75" customHeight="1" x14ac:dyDescent="0.25">
      <c r="A610" s="5" t="str">
        <f>IF(ISNONTEXT(deployment_raw[[#This Row],[Column1]]), "", deployment_raw[[#This Row],[Column1]])</f>
        <v/>
      </c>
      <c r="B610" s="6" t="str">
        <f>IF(ISNONTEXT(deployment_raw[[#This Row],[Column2]]), "", deployment_raw[[#This Row],[Column2]])</f>
        <v/>
      </c>
      <c r="C610" s="6" t="str">
        <f>IF(ISNONTEXT(deployment_raw[[#This Row],[Column3]]), "", deployment_raw[[#This Row],[Column3]])</f>
        <v/>
      </c>
      <c r="D610" s="6" t="str">
        <f>IF(ISNONTEXT(deployment_raw[[#This Row],[Column4]]), "", deployment_raw[[#This Row],[Column4]])</f>
        <v/>
      </c>
      <c r="E610" s="7" t="str">
        <f>IF(ISNUMBER(deployment_raw[[#This Row],[Column5]]), deployment_raw[[#This Row],[Column5]],"")</f>
        <v/>
      </c>
      <c r="F610" s="32" t="str">
        <f>IF(ISNUMBER(deployment_raw[[#This Row],[Column17]]), deployment_raw[[#This Row],[Column17]]/IF(OR($E$2="Deployment",deployment_raw[[#This Row],[Column5]]=0),1,deployment_raw[[#This Row],[Column5]]),"")</f>
        <v/>
      </c>
      <c r="G610" s="42" t="str">
        <f>IF(ISNUMBER(deployment_raw[[#This Row],[Column14]]), deployment_raw[[#This Row],[Column14]]/IF(OR($E$2="Deployment",deployment_raw[[#This Row],[Column5]]=0),1,deployment_raw[[#This Row],[Column5]]),"")</f>
        <v/>
      </c>
      <c r="H610" s="79" t="str">
        <f>IF(ISNUMBER(deployment_raw[[#This Row],[Column19]]), IF(I610&lt;&gt;0,(deployment_raw[[#This Row],[Column19]]/IF(OR($E$2="Deployment",deployment_raw[[#This Row],[Column5]]=0),1,deployment_raw[[#This Row],[Column5]]))/I610,0),"")</f>
        <v/>
      </c>
      <c r="I610" s="69" t="str">
        <f>IF(ISNUMBER(deployment_raw[[#This Row],[Column6]]), (deployment_raw[[#This Row],[Column6]] * IF($E$2="Deployment",deployment_raw[[#This Row],[Column5]],1)),"")</f>
        <v/>
      </c>
      <c r="J610" s="79" t="str">
        <f>IF(ISNUMBER(deployment_raw[[#This Row],[Column19]]), IF(K610&lt;&gt;0,(deployment_raw[[#This Row],[Column19]]/IF(OR($E$2="Deployment",deployment_raw[[#This Row],[Column5]]=0),1,deployment_raw[[#This Row],[Column5]]))/K610,0),"")</f>
        <v/>
      </c>
      <c r="K610" s="72" t="str">
        <f>IF(ISNUMBER(deployment_raw[[#This Row],[Column8]]), (deployment_raw[[#This Row],[Column8]]  * IF($E$2="Deployment",deployment_raw[[#This Row],[Column5]],1)),"")</f>
        <v/>
      </c>
      <c r="L61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1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10" s="81" t="str">
        <f>IF(ISNUMBER(deployment_raw[[#This Row],[Column20]]), IF(O610&lt;&gt;0,deployment_raw[[#This Row],[Column20]]/IF(OR($E$2="Deployment",deployment_raw[[#This Row],[Column5]]=0),1,deployment_raw[[#This Row],[Column5]])/1048576/O610,0),"")</f>
        <v/>
      </c>
      <c r="O610" s="74" t="str">
        <f>IF(ISNUMBER(deployment_raw[[#This Row],[Column7]]), (deployment_raw[[#This Row],[Column7]] * IF($E$2="Deployment",deployment_raw[[#This Row],[Column5]],1))/1048576,"")</f>
        <v/>
      </c>
      <c r="P610" s="81" t="str">
        <f>IF(ISNUMBER(deployment_raw[[#This Row],[Column20]]), IF(Q610&lt;&gt;0,deployment_raw[[#This Row],[Column20]]/IF(OR($E$2="Deployment",deployment_raw[[#This Row],[Column5]]=0),1,deployment_raw[[#This Row],[Column5]])/1048576/Q610,0),"")</f>
        <v/>
      </c>
      <c r="Q610" s="76" t="str">
        <f>IF(ISNUMBER(deployment_raw[[#This Row],[Column9]]), (deployment_raw[[#This Row],[Column9]] * IF($E$2="Deployment",deployment_raw[[#This Row],[Column5]],1))/1048576,"")</f>
        <v/>
      </c>
      <c r="R610" s="57" t="str">
        <f>IF(ISNUMBER(deployment_raw[[#This Row],[Column10]]), (deployment_raw[[#This Row],[Column10]] * IF($E$2="Deployment",deployment_raw[[#This Row],[Column5]],1)),"")</f>
        <v/>
      </c>
      <c r="S610" s="48" t="str">
        <f>IF(ISNUMBER(deployment_raw[[#This Row],[Column11]]), (deployment_raw[[#This Row],[Column11]] * IF($E$2="Deployment",deployment_raw[[#This Row],[Column5]],1))/1048576,"")</f>
        <v/>
      </c>
      <c r="T610" s="59" t="str">
        <f>IF(ISNUMBER(deployment_raw[[#This Row],[Column8]]),IF(OR(deployment_raw[[#This Row],[Column5]] &lt;&gt; 0,$E$2 &lt;&gt; "Deployment"), MAX(V610, ($T$2 * IF($E$2="Deployment",deployment_raw[[#This Row],[Column5]],1))), 0),"")</f>
        <v/>
      </c>
      <c r="U610" s="50" t="str">
        <f>IF(ISNUMBER(deployment_raw[[#This Row],[Column9]]),IF(OR(deployment_raw[[#This Row],[Column5]] &lt;&gt; 0,$E$2&lt;&gt;"Deployment"), MAX(W610, ($U$2 * IF($E$2="Deployment",deployment_raw[[#This Row],[Column5]],1))), 0),"")</f>
        <v/>
      </c>
      <c r="V610" s="15" t="str">
        <f>IF(ISNUMBER(deployment_raw[[#This Row],[Column12]]), (deployment_raw[[#This Row],[Column12]] * IF($E$2="Deployment",deployment_raw[[#This Row],[Column5]],1)*(1+$V$2)),"")</f>
        <v/>
      </c>
      <c r="W610" s="14" t="str">
        <f>IF(ISNUMBER(deployment_raw[[#This Row],[Column13]]), (deployment_raw[[#This Row],[Column13]] * IF($E$2="Deployment",deployment_raw[[#This Row],[Column5]],1)*(1+$W$2))/1048576,"")</f>
        <v/>
      </c>
    </row>
    <row r="611" spans="1:23" ht="15.75" customHeight="1" x14ac:dyDescent="0.25">
      <c r="A611" s="5" t="str">
        <f>IF(ISNONTEXT(deployment_raw[[#This Row],[Column1]]), "", deployment_raw[[#This Row],[Column1]])</f>
        <v/>
      </c>
      <c r="B611" s="6" t="str">
        <f>IF(ISNONTEXT(deployment_raw[[#This Row],[Column2]]), "", deployment_raw[[#This Row],[Column2]])</f>
        <v/>
      </c>
      <c r="C611" s="6" t="str">
        <f>IF(ISNONTEXT(deployment_raw[[#This Row],[Column3]]), "", deployment_raw[[#This Row],[Column3]])</f>
        <v/>
      </c>
      <c r="D611" s="6" t="str">
        <f>IF(ISNONTEXT(deployment_raw[[#This Row],[Column4]]), "", deployment_raw[[#This Row],[Column4]])</f>
        <v/>
      </c>
      <c r="E611" s="7" t="str">
        <f>IF(ISNUMBER(deployment_raw[[#This Row],[Column5]]), deployment_raw[[#This Row],[Column5]],"")</f>
        <v/>
      </c>
      <c r="F611" s="32" t="str">
        <f>IF(ISNUMBER(deployment_raw[[#This Row],[Column17]]), deployment_raw[[#This Row],[Column17]]/IF(OR($E$2="Deployment",deployment_raw[[#This Row],[Column5]]=0),1,deployment_raw[[#This Row],[Column5]]),"")</f>
        <v/>
      </c>
      <c r="G611" s="42" t="str">
        <f>IF(ISNUMBER(deployment_raw[[#This Row],[Column14]]), deployment_raw[[#This Row],[Column14]]/IF(OR($E$2="Deployment",deployment_raw[[#This Row],[Column5]]=0),1,deployment_raw[[#This Row],[Column5]]),"")</f>
        <v/>
      </c>
      <c r="H611" s="79" t="str">
        <f>IF(ISNUMBER(deployment_raw[[#This Row],[Column19]]), IF(I611&lt;&gt;0,(deployment_raw[[#This Row],[Column19]]/IF(OR($E$2="Deployment",deployment_raw[[#This Row],[Column5]]=0),1,deployment_raw[[#This Row],[Column5]]))/I611,0),"")</f>
        <v/>
      </c>
      <c r="I611" s="69" t="str">
        <f>IF(ISNUMBER(deployment_raw[[#This Row],[Column6]]), (deployment_raw[[#This Row],[Column6]] * IF($E$2="Deployment",deployment_raw[[#This Row],[Column5]],1)),"")</f>
        <v/>
      </c>
      <c r="J611" s="79" t="str">
        <f>IF(ISNUMBER(deployment_raw[[#This Row],[Column19]]), IF(K611&lt;&gt;0,(deployment_raw[[#This Row],[Column19]]/IF(OR($E$2="Deployment",deployment_raw[[#This Row],[Column5]]=0),1,deployment_raw[[#This Row],[Column5]]))/K611,0),"")</f>
        <v/>
      </c>
      <c r="K611" s="72" t="str">
        <f>IF(ISNUMBER(deployment_raw[[#This Row],[Column8]]), (deployment_raw[[#This Row],[Column8]]  * IF($E$2="Deployment",deployment_raw[[#This Row],[Column5]],1)),"")</f>
        <v/>
      </c>
      <c r="L61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1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11" s="81" t="str">
        <f>IF(ISNUMBER(deployment_raw[[#This Row],[Column20]]), IF(O611&lt;&gt;0,deployment_raw[[#This Row],[Column20]]/IF(OR($E$2="Deployment",deployment_raw[[#This Row],[Column5]]=0),1,deployment_raw[[#This Row],[Column5]])/1048576/O611,0),"")</f>
        <v/>
      </c>
      <c r="O611" s="74" t="str">
        <f>IF(ISNUMBER(deployment_raw[[#This Row],[Column7]]), (deployment_raw[[#This Row],[Column7]] * IF($E$2="Deployment",deployment_raw[[#This Row],[Column5]],1))/1048576,"")</f>
        <v/>
      </c>
      <c r="P611" s="81" t="str">
        <f>IF(ISNUMBER(deployment_raw[[#This Row],[Column20]]), IF(Q611&lt;&gt;0,deployment_raw[[#This Row],[Column20]]/IF(OR($E$2="Deployment",deployment_raw[[#This Row],[Column5]]=0),1,deployment_raw[[#This Row],[Column5]])/1048576/Q611,0),"")</f>
        <v/>
      </c>
      <c r="Q611" s="76" t="str">
        <f>IF(ISNUMBER(deployment_raw[[#This Row],[Column9]]), (deployment_raw[[#This Row],[Column9]] * IF($E$2="Deployment",deployment_raw[[#This Row],[Column5]],1))/1048576,"")</f>
        <v/>
      </c>
      <c r="R611" s="57" t="str">
        <f>IF(ISNUMBER(deployment_raw[[#This Row],[Column10]]), (deployment_raw[[#This Row],[Column10]] * IF($E$2="Deployment",deployment_raw[[#This Row],[Column5]],1)),"")</f>
        <v/>
      </c>
      <c r="S611" s="48" t="str">
        <f>IF(ISNUMBER(deployment_raw[[#This Row],[Column11]]), (deployment_raw[[#This Row],[Column11]] * IF($E$2="Deployment",deployment_raw[[#This Row],[Column5]],1))/1048576,"")</f>
        <v/>
      </c>
      <c r="T611" s="59" t="str">
        <f>IF(ISNUMBER(deployment_raw[[#This Row],[Column8]]),IF(OR(deployment_raw[[#This Row],[Column5]] &lt;&gt; 0,$E$2 &lt;&gt; "Deployment"), MAX(V611, ($T$2 * IF($E$2="Deployment",deployment_raw[[#This Row],[Column5]],1))), 0),"")</f>
        <v/>
      </c>
      <c r="U611" s="50" t="str">
        <f>IF(ISNUMBER(deployment_raw[[#This Row],[Column9]]),IF(OR(deployment_raw[[#This Row],[Column5]] &lt;&gt; 0,$E$2&lt;&gt;"Deployment"), MAX(W611, ($U$2 * IF($E$2="Deployment",deployment_raw[[#This Row],[Column5]],1))), 0),"")</f>
        <v/>
      </c>
      <c r="V611" s="15" t="str">
        <f>IF(ISNUMBER(deployment_raw[[#This Row],[Column12]]), (deployment_raw[[#This Row],[Column12]] * IF($E$2="Deployment",deployment_raw[[#This Row],[Column5]],1)*(1+$V$2)),"")</f>
        <v/>
      </c>
      <c r="W611" s="14" t="str">
        <f>IF(ISNUMBER(deployment_raw[[#This Row],[Column13]]), (deployment_raw[[#This Row],[Column13]] * IF($E$2="Deployment",deployment_raw[[#This Row],[Column5]],1)*(1+$W$2))/1048576,"")</f>
        <v/>
      </c>
    </row>
    <row r="612" spans="1:23" ht="15.75" customHeight="1" x14ac:dyDescent="0.25">
      <c r="A612" s="5" t="str">
        <f>IF(ISNONTEXT(deployment_raw[[#This Row],[Column1]]), "", deployment_raw[[#This Row],[Column1]])</f>
        <v/>
      </c>
      <c r="B612" s="6" t="str">
        <f>IF(ISNONTEXT(deployment_raw[[#This Row],[Column2]]), "", deployment_raw[[#This Row],[Column2]])</f>
        <v/>
      </c>
      <c r="C612" s="6" t="str">
        <f>IF(ISNONTEXT(deployment_raw[[#This Row],[Column3]]), "", deployment_raw[[#This Row],[Column3]])</f>
        <v/>
      </c>
      <c r="D612" s="6" t="str">
        <f>IF(ISNONTEXT(deployment_raw[[#This Row],[Column4]]), "", deployment_raw[[#This Row],[Column4]])</f>
        <v/>
      </c>
      <c r="E612" s="7" t="str">
        <f>IF(ISNUMBER(deployment_raw[[#This Row],[Column5]]), deployment_raw[[#This Row],[Column5]],"")</f>
        <v/>
      </c>
      <c r="F612" s="32" t="str">
        <f>IF(ISNUMBER(deployment_raw[[#This Row],[Column17]]), deployment_raw[[#This Row],[Column17]]/IF(OR($E$2="Deployment",deployment_raw[[#This Row],[Column5]]=0),1,deployment_raw[[#This Row],[Column5]]),"")</f>
        <v/>
      </c>
      <c r="G612" s="42" t="str">
        <f>IF(ISNUMBER(deployment_raw[[#This Row],[Column14]]), deployment_raw[[#This Row],[Column14]]/IF(OR($E$2="Deployment",deployment_raw[[#This Row],[Column5]]=0),1,deployment_raw[[#This Row],[Column5]]),"")</f>
        <v/>
      </c>
      <c r="H612" s="79" t="str">
        <f>IF(ISNUMBER(deployment_raw[[#This Row],[Column19]]), IF(I612&lt;&gt;0,(deployment_raw[[#This Row],[Column19]]/IF(OR($E$2="Deployment",deployment_raw[[#This Row],[Column5]]=0),1,deployment_raw[[#This Row],[Column5]]))/I612,0),"")</f>
        <v/>
      </c>
      <c r="I612" s="69" t="str">
        <f>IF(ISNUMBER(deployment_raw[[#This Row],[Column6]]), (deployment_raw[[#This Row],[Column6]] * IF($E$2="Deployment",deployment_raw[[#This Row],[Column5]],1)),"")</f>
        <v/>
      </c>
      <c r="J612" s="79" t="str">
        <f>IF(ISNUMBER(deployment_raw[[#This Row],[Column19]]), IF(K612&lt;&gt;0,(deployment_raw[[#This Row],[Column19]]/IF(OR($E$2="Deployment",deployment_raw[[#This Row],[Column5]]=0),1,deployment_raw[[#This Row],[Column5]]))/K612,0),"")</f>
        <v/>
      </c>
      <c r="K612" s="72" t="str">
        <f>IF(ISNUMBER(deployment_raw[[#This Row],[Column8]]), (deployment_raw[[#This Row],[Column8]]  * IF($E$2="Deployment",deployment_raw[[#This Row],[Column5]],1)),"")</f>
        <v/>
      </c>
      <c r="L61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1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12" s="81" t="str">
        <f>IF(ISNUMBER(deployment_raw[[#This Row],[Column20]]), IF(O612&lt;&gt;0,deployment_raw[[#This Row],[Column20]]/IF(OR($E$2="Deployment",deployment_raw[[#This Row],[Column5]]=0),1,deployment_raw[[#This Row],[Column5]])/1048576/O612,0),"")</f>
        <v/>
      </c>
      <c r="O612" s="74" t="str">
        <f>IF(ISNUMBER(deployment_raw[[#This Row],[Column7]]), (deployment_raw[[#This Row],[Column7]] * IF($E$2="Deployment",deployment_raw[[#This Row],[Column5]],1))/1048576,"")</f>
        <v/>
      </c>
      <c r="P612" s="81" t="str">
        <f>IF(ISNUMBER(deployment_raw[[#This Row],[Column20]]), IF(Q612&lt;&gt;0,deployment_raw[[#This Row],[Column20]]/IF(OR($E$2="Deployment",deployment_raw[[#This Row],[Column5]]=0),1,deployment_raw[[#This Row],[Column5]])/1048576/Q612,0),"")</f>
        <v/>
      </c>
      <c r="Q612" s="76" t="str">
        <f>IF(ISNUMBER(deployment_raw[[#This Row],[Column9]]), (deployment_raw[[#This Row],[Column9]] * IF($E$2="Deployment",deployment_raw[[#This Row],[Column5]],1))/1048576,"")</f>
        <v/>
      </c>
      <c r="R612" s="57" t="str">
        <f>IF(ISNUMBER(deployment_raw[[#This Row],[Column10]]), (deployment_raw[[#This Row],[Column10]] * IF($E$2="Deployment",deployment_raw[[#This Row],[Column5]],1)),"")</f>
        <v/>
      </c>
      <c r="S612" s="48" t="str">
        <f>IF(ISNUMBER(deployment_raw[[#This Row],[Column11]]), (deployment_raw[[#This Row],[Column11]] * IF($E$2="Deployment",deployment_raw[[#This Row],[Column5]],1))/1048576,"")</f>
        <v/>
      </c>
      <c r="T612" s="59" t="str">
        <f>IF(ISNUMBER(deployment_raw[[#This Row],[Column8]]),IF(OR(deployment_raw[[#This Row],[Column5]] &lt;&gt; 0,$E$2 &lt;&gt; "Deployment"), MAX(V612, ($T$2 * IF($E$2="Deployment",deployment_raw[[#This Row],[Column5]],1))), 0),"")</f>
        <v/>
      </c>
      <c r="U612" s="50" t="str">
        <f>IF(ISNUMBER(deployment_raw[[#This Row],[Column9]]),IF(OR(deployment_raw[[#This Row],[Column5]] &lt;&gt; 0,$E$2&lt;&gt;"Deployment"), MAX(W612, ($U$2 * IF($E$2="Deployment",deployment_raw[[#This Row],[Column5]],1))), 0),"")</f>
        <v/>
      </c>
      <c r="V612" s="15" t="str">
        <f>IF(ISNUMBER(deployment_raw[[#This Row],[Column12]]), (deployment_raw[[#This Row],[Column12]] * IF($E$2="Deployment",deployment_raw[[#This Row],[Column5]],1)*(1+$V$2)),"")</f>
        <v/>
      </c>
      <c r="W612" s="14" t="str">
        <f>IF(ISNUMBER(deployment_raw[[#This Row],[Column13]]), (deployment_raw[[#This Row],[Column13]] * IF($E$2="Deployment",deployment_raw[[#This Row],[Column5]],1)*(1+$W$2))/1048576,"")</f>
        <v/>
      </c>
    </row>
    <row r="613" spans="1:23" ht="15.75" customHeight="1" x14ac:dyDescent="0.25">
      <c r="A613" s="5" t="str">
        <f>IF(ISNONTEXT(deployment_raw[[#This Row],[Column1]]), "", deployment_raw[[#This Row],[Column1]])</f>
        <v/>
      </c>
      <c r="B613" s="6" t="str">
        <f>IF(ISNONTEXT(deployment_raw[[#This Row],[Column2]]), "", deployment_raw[[#This Row],[Column2]])</f>
        <v/>
      </c>
      <c r="C613" s="6" t="str">
        <f>IF(ISNONTEXT(deployment_raw[[#This Row],[Column3]]), "", deployment_raw[[#This Row],[Column3]])</f>
        <v/>
      </c>
      <c r="D613" s="6" t="str">
        <f>IF(ISNONTEXT(deployment_raw[[#This Row],[Column4]]), "", deployment_raw[[#This Row],[Column4]])</f>
        <v/>
      </c>
      <c r="E613" s="7" t="str">
        <f>IF(ISNUMBER(deployment_raw[[#This Row],[Column5]]), deployment_raw[[#This Row],[Column5]],"")</f>
        <v/>
      </c>
      <c r="F613" s="32" t="str">
        <f>IF(ISNUMBER(deployment_raw[[#This Row],[Column17]]), deployment_raw[[#This Row],[Column17]]/IF(OR($E$2="Deployment",deployment_raw[[#This Row],[Column5]]=0),1,deployment_raw[[#This Row],[Column5]]),"")</f>
        <v/>
      </c>
      <c r="G613" s="42" t="str">
        <f>IF(ISNUMBER(deployment_raw[[#This Row],[Column14]]), deployment_raw[[#This Row],[Column14]]/IF(OR($E$2="Deployment",deployment_raw[[#This Row],[Column5]]=0),1,deployment_raw[[#This Row],[Column5]]),"")</f>
        <v/>
      </c>
      <c r="H613" s="79" t="str">
        <f>IF(ISNUMBER(deployment_raw[[#This Row],[Column19]]), IF(I613&lt;&gt;0,(deployment_raw[[#This Row],[Column19]]/IF(OR($E$2="Deployment",deployment_raw[[#This Row],[Column5]]=0),1,deployment_raw[[#This Row],[Column5]]))/I613,0),"")</f>
        <v/>
      </c>
      <c r="I613" s="69" t="str">
        <f>IF(ISNUMBER(deployment_raw[[#This Row],[Column6]]), (deployment_raw[[#This Row],[Column6]] * IF($E$2="Deployment",deployment_raw[[#This Row],[Column5]],1)),"")</f>
        <v/>
      </c>
      <c r="J613" s="79" t="str">
        <f>IF(ISNUMBER(deployment_raw[[#This Row],[Column19]]), IF(K613&lt;&gt;0,(deployment_raw[[#This Row],[Column19]]/IF(OR($E$2="Deployment",deployment_raw[[#This Row],[Column5]]=0),1,deployment_raw[[#This Row],[Column5]]))/K613,0),"")</f>
        <v/>
      </c>
      <c r="K613" s="72" t="str">
        <f>IF(ISNUMBER(deployment_raw[[#This Row],[Column8]]), (deployment_raw[[#This Row],[Column8]]  * IF($E$2="Deployment",deployment_raw[[#This Row],[Column5]],1)),"")</f>
        <v/>
      </c>
      <c r="L61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1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13" s="81" t="str">
        <f>IF(ISNUMBER(deployment_raw[[#This Row],[Column20]]), IF(O613&lt;&gt;0,deployment_raw[[#This Row],[Column20]]/IF(OR($E$2="Deployment",deployment_raw[[#This Row],[Column5]]=0),1,deployment_raw[[#This Row],[Column5]])/1048576/O613,0),"")</f>
        <v/>
      </c>
      <c r="O613" s="74" t="str">
        <f>IF(ISNUMBER(deployment_raw[[#This Row],[Column7]]), (deployment_raw[[#This Row],[Column7]] * IF($E$2="Deployment",deployment_raw[[#This Row],[Column5]],1))/1048576,"")</f>
        <v/>
      </c>
      <c r="P613" s="81" t="str">
        <f>IF(ISNUMBER(deployment_raw[[#This Row],[Column20]]), IF(Q613&lt;&gt;0,deployment_raw[[#This Row],[Column20]]/IF(OR($E$2="Deployment",deployment_raw[[#This Row],[Column5]]=0),1,deployment_raw[[#This Row],[Column5]])/1048576/Q613,0),"")</f>
        <v/>
      </c>
      <c r="Q613" s="76" t="str">
        <f>IF(ISNUMBER(deployment_raw[[#This Row],[Column9]]), (deployment_raw[[#This Row],[Column9]] * IF($E$2="Deployment",deployment_raw[[#This Row],[Column5]],1))/1048576,"")</f>
        <v/>
      </c>
      <c r="R613" s="57" t="str">
        <f>IF(ISNUMBER(deployment_raw[[#This Row],[Column10]]), (deployment_raw[[#This Row],[Column10]] * IF($E$2="Deployment",deployment_raw[[#This Row],[Column5]],1)),"")</f>
        <v/>
      </c>
      <c r="S613" s="48" t="str">
        <f>IF(ISNUMBER(deployment_raw[[#This Row],[Column11]]), (deployment_raw[[#This Row],[Column11]] * IF($E$2="Deployment",deployment_raw[[#This Row],[Column5]],1))/1048576,"")</f>
        <v/>
      </c>
      <c r="T613" s="59" t="str">
        <f>IF(ISNUMBER(deployment_raw[[#This Row],[Column8]]),IF(OR(deployment_raw[[#This Row],[Column5]] &lt;&gt; 0,$E$2 &lt;&gt; "Deployment"), MAX(V613, ($T$2 * IF($E$2="Deployment",deployment_raw[[#This Row],[Column5]],1))), 0),"")</f>
        <v/>
      </c>
      <c r="U613" s="50" t="str">
        <f>IF(ISNUMBER(deployment_raw[[#This Row],[Column9]]),IF(OR(deployment_raw[[#This Row],[Column5]] &lt;&gt; 0,$E$2&lt;&gt;"Deployment"), MAX(W613, ($U$2 * IF($E$2="Deployment",deployment_raw[[#This Row],[Column5]],1))), 0),"")</f>
        <v/>
      </c>
      <c r="V613" s="15" t="str">
        <f>IF(ISNUMBER(deployment_raw[[#This Row],[Column12]]), (deployment_raw[[#This Row],[Column12]] * IF($E$2="Deployment",deployment_raw[[#This Row],[Column5]],1)*(1+$V$2)),"")</f>
        <v/>
      </c>
      <c r="W613" s="14" t="str">
        <f>IF(ISNUMBER(deployment_raw[[#This Row],[Column13]]), (deployment_raw[[#This Row],[Column13]] * IF($E$2="Deployment",deployment_raw[[#This Row],[Column5]],1)*(1+$W$2))/1048576,"")</f>
        <v/>
      </c>
    </row>
    <row r="614" spans="1:23" ht="15.75" customHeight="1" x14ac:dyDescent="0.25">
      <c r="A614" s="5" t="str">
        <f>IF(ISNONTEXT(deployment_raw[[#This Row],[Column1]]), "", deployment_raw[[#This Row],[Column1]])</f>
        <v/>
      </c>
      <c r="B614" s="6" t="str">
        <f>IF(ISNONTEXT(deployment_raw[[#This Row],[Column2]]), "", deployment_raw[[#This Row],[Column2]])</f>
        <v/>
      </c>
      <c r="C614" s="6" t="str">
        <f>IF(ISNONTEXT(deployment_raw[[#This Row],[Column3]]), "", deployment_raw[[#This Row],[Column3]])</f>
        <v/>
      </c>
      <c r="D614" s="6" t="str">
        <f>IF(ISNONTEXT(deployment_raw[[#This Row],[Column4]]), "", deployment_raw[[#This Row],[Column4]])</f>
        <v/>
      </c>
      <c r="E614" s="7" t="str">
        <f>IF(ISNUMBER(deployment_raw[[#This Row],[Column5]]), deployment_raw[[#This Row],[Column5]],"")</f>
        <v/>
      </c>
      <c r="F614" s="32" t="str">
        <f>IF(ISNUMBER(deployment_raw[[#This Row],[Column17]]), deployment_raw[[#This Row],[Column17]]/IF(OR($E$2="Deployment",deployment_raw[[#This Row],[Column5]]=0),1,deployment_raw[[#This Row],[Column5]]),"")</f>
        <v/>
      </c>
      <c r="G614" s="42" t="str">
        <f>IF(ISNUMBER(deployment_raw[[#This Row],[Column14]]), deployment_raw[[#This Row],[Column14]]/IF(OR($E$2="Deployment",deployment_raw[[#This Row],[Column5]]=0),1,deployment_raw[[#This Row],[Column5]]),"")</f>
        <v/>
      </c>
      <c r="H614" s="79" t="str">
        <f>IF(ISNUMBER(deployment_raw[[#This Row],[Column19]]), IF(I614&lt;&gt;0,(deployment_raw[[#This Row],[Column19]]/IF(OR($E$2="Deployment",deployment_raw[[#This Row],[Column5]]=0),1,deployment_raw[[#This Row],[Column5]]))/I614,0),"")</f>
        <v/>
      </c>
      <c r="I614" s="69" t="str">
        <f>IF(ISNUMBER(deployment_raw[[#This Row],[Column6]]), (deployment_raw[[#This Row],[Column6]] * IF($E$2="Deployment",deployment_raw[[#This Row],[Column5]],1)),"")</f>
        <v/>
      </c>
      <c r="J614" s="79" t="str">
        <f>IF(ISNUMBER(deployment_raw[[#This Row],[Column19]]), IF(K614&lt;&gt;0,(deployment_raw[[#This Row],[Column19]]/IF(OR($E$2="Deployment",deployment_raw[[#This Row],[Column5]]=0),1,deployment_raw[[#This Row],[Column5]]))/K614,0),"")</f>
        <v/>
      </c>
      <c r="K614" s="72" t="str">
        <f>IF(ISNUMBER(deployment_raw[[#This Row],[Column8]]), (deployment_raw[[#This Row],[Column8]]  * IF($E$2="Deployment",deployment_raw[[#This Row],[Column5]],1)),"")</f>
        <v/>
      </c>
      <c r="L61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1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14" s="81" t="str">
        <f>IF(ISNUMBER(deployment_raw[[#This Row],[Column20]]), IF(O614&lt;&gt;0,deployment_raw[[#This Row],[Column20]]/IF(OR($E$2="Deployment",deployment_raw[[#This Row],[Column5]]=0),1,deployment_raw[[#This Row],[Column5]])/1048576/O614,0),"")</f>
        <v/>
      </c>
      <c r="O614" s="74" t="str">
        <f>IF(ISNUMBER(deployment_raw[[#This Row],[Column7]]), (deployment_raw[[#This Row],[Column7]] * IF($E$2="Deployment",deployment_raw[[#This Row],[Column5]],1))/1048576,"")</f>
        <v/>
      </c>
      <c r="P614" s="81" t="str">
        <f>IF(ISNUMBER(deployment_raw[[#This Row],[Column20]]), IF(Q614&lt;&gt;0,deployment_raw[[#This Row],[Column20]]/IF(OR($E$2="Deployment",deployment_raw[[#This Row],[Column5]]=0),1,deployment_raw[[#This Row],[Column5]])/1048576/Q614,0),"")</f>
        <v/>
      </c>
      <c r="Q614" s="76" t="str">
        <f>IF(ISNUMBER(deployment_raw[[#This Row],[Column9]]), (deployment_raw[[#This Row],[Column9]] * IF($E$2="Deployment",deployment_raw[[#This Row],[Column5]],1))/1048576,"")</f>
        <v/>
      </c>
      <c r="R614" s="57" t="str">
        <f>IF(ISNUMBER(deployment_raw[[#This Row],[Column10]]), (deployment_raw[[#This Row],[Column10]] * IF($E$2="Deployment",deployment_raw[[#This Row],[Column5]],1)),"")</f>
        <v/>
      </c>
      <c r="S614" s="48" t="str">
        <f>IF(ISNUMBER(deployment_raw[[#This Row],[Column11]]), (deployment_raw[[#This Row],[Column11]] * IF($E$2="Deployment",deployment_raw[[#This Row],[Column5]],1))/1048576,"")</f>
        <v/>
      </c>
      <c r="T614" s="59" t="str">
        <f>IF(ISNUMBER(deployment_raw[[#This Row],[Column8]]),IF(OR(deployment_raw[[#This Row],[Column5]] &lt;&gt; 0,$E$2 &lt;&gt; "Deployment"), MAX(V614, ($T$2 * IF($E$2="Deployment",deployment_raw[[#This Row],[Column5]],1))), 0),"")</f>
        <v/>
      </c>
      <c r="U614" s="50" t="str">
        <f>IF(ISNUMBER(deployment_raw[[#This Row],[Column9]]),IF(OR(deployment_raw[[#This Row],[Column5]] &lt;&gt; 0,$E$2&lt;&gt;"Deployment"), MAX(W614, ($U$2 * IF($E$2="Deployment",deployment_raw[[#This Row],[Column5]],1))), 0),"")</f>
        <v/>
      </c>
      <c r="V614" s="15" t="str">
        <f>IF(ISNUMBER(deployment_raw[[#This Row],[Column12]]), (deployment_raw[[#This Row],[Column12]] * IF($E$2="Deployment",deployment_raw[[#This Row],[Column5]],1)*(1+$V$2)),"")</f>
        <v/>
      </c>
      <c r="W614" s="14" t="str">
        <f>IF(ISNUMBER(deployment_raw[[#This Row],[Column13]]), (deployment_raw[[#This Row],[Column13]] * IF($E$2="Deployment",deployment_raw[[#This Row],[Column5]],1)*(1+$W$2))/1048576,"")</f>
        <v/>
      </c>
    </row>
    <row r="615" spans="1:23" ht="15.75" customHeight="1" x14ac:dyDescent="0.25">
      <c r="A615" s="5" t="str">
        <f>IF(ISNONTEXT(deployment_raw[[#This Row],[Column1]]), "", deployment_raw[[#This Row],[Column1]])</f>
        <v/>
      </c>
      <c r="B615" s="6" t="str">
        <f>IF(ISNONTEXT(deployment_raw[[#This Row],[Column2]]), "", deployment_raw[[#This Row],[Column2]])</f>
        <v/>
      </c>
      <c r="C615" s="6" t="str">
        <f>IF(ISNONTEXT(deployment_raw[[#This Row],[Column3]]), "", deployment_raw[[#This Row],[Column3]])</f>
        <v/>
      </c>
      <c r="D615" s="6" t="str">
        <f>IF(ISNONTEXT(deployment_raw[[#This Row],[Column4]]), "", deployment_raw[[#This Row],[Column4]])</f>
        <v/>
      </c>
      <c r="E615" s="7" t="str">
        <f>IF(ISNUMBER(deployment_raw[[#This Row],[Column5]]), deployment_raw[[#This Row],[Column5]],"")</f>
        <v/>
      </c>
      <c r="F615" s="32" t="str">
        <f>IF(ISNUMBER(deployment_raw[[#This Row],[Column17]]), deployment_raw[[#This Row],[Column17]]/IF(OR($E$2="Deployment",deployment_raw[[#This Row],[Column5]]=0),1,deployment_raw[[#This Row],[Column5]]),"")</f>
        <v/>
      </c>
      <c r="G615" s="42" t="str">
        <f>IF(ISNUMBER(deployment_raw[[#This Row],[Column14]]), deployment_raw[[#This Row],[Column14]]/IF(OR($E$2="Deployment",deployment_raw[[#This Row],[Column5]]=0),1,deployment_raw[[#This Row],[Column5]]),"")</f>
        <v/>
      </c>
      <c r="H615" s="79" t="str">
        <f>IF(ISNUMBER(deployment_raw[[#This Row],[Column19]]), IF(I615&lt;&gt;0,(deployment_raw[[#This Row],[Column19]]/IF(OR($E$2="Deployment",deployment_raw[[#This Row],[Column5]]=0),1,deployment_raw[[#This Row],[Column5]]))/I615,0),"")</f>
        <v/>
      </c>
      <c r="I615" s="69" t="str">
        <f>IF(ISNUMBER(deployment_raw[[#This Row],[Column6]]), (deployment_raw[[#This Row],[Column6]] * IF($E$2="Deployment",deployment_raw[[#This Row],[Column5]],1)),"")</f>
        <v/>
      </c>
      <c r="J615" s="79" t="str">
        <f>IF(ISNUMBER(deployment_raw[[#This Row],[Column19]]), IF(K615&lt;&gt;0,(deployment_raw[[#This Row],[Column19]]/IF(OR($E$2="Deployment",deployment_raw[[#This Row],[Column5]]=0),1,deployment_raw[[#This Row],[Column5]]))/K615,0),"")</f>
        <v/>
      </c>
      <c r="K615" s="72" t="str">
        <f>IF(ISNUMBER(deployment_raw[[#This Row],[Column8]]), (deployment_raw[[#This Row],[Column8]]  * IF($E$2="Deployment",deployment_raw[[#This Row],[Column5]],1)),"")</f>
        <v/>
      </c>
      <c r="L61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1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15" s="81" t="str">
        <f>IF(ISNUMBER(deployment_raw[[#This Row],[Column20]]), IF(O615&lt;&gt;0,deployment_raw[[#This Row],[Column20]]/IF(OR($E$2="Deployment",deployment_raw[[#This Row],[Column5]]=0),1,deployment_raw[[#This Row],[Column5]])/1048576/O615,0),"")</f>
        <v/>
      </c>
      <c r="O615" s="74" t="str">
        <f>IF(ISNUMBER(deployment_raw[[#This Row],[Column7]]), (deployment_raw[[#This Row],[Column7]] * IF($E$2="Deployment",deployment_raw[[#This Row],[Column5]],1))/1048576,"")</f>
        <v/>
      </c>
      <c r="P615" s="81" t="str">
        <f>IF(ISNUMBER(deployment_raw[[#This Row],[Column20]]), IF(Q615&lt;&gt;0,deployment_raw[[#This Row],[Column20]]/IF(OR($E$2="Deployment",deployment_raw[[#This Row],[Column5]]=0),1,deployment_raw[[#This Row],[Column5]])/1048576/Q615,0),"")</f>
        <v/>
      </c>
      <c r="Q615" s="76" t="str">
        <f>IF(ISNUMBER(deployment_raw[[#This Row],[Column9]]), (deployment_raw[[#This Row],[Column9]] * IF($E$2="Deployment",deployment_raw[[#This Row],[Column5]],1))/1048576,"")</f>
        <v/>
      </c>
      <c r="R615" s="57" t="str">
        <f>IF(ISNUMBER(deployment_raw[[#This Row],[Column10]]), (deployment_raw[[#This Row],[Column10]] * IF($E$2="Deployment",deployment_raw[[#This Row],[Column5]],1)),"")</f>
        <v/>
      </c>
      <c r="S615" s="48" t="str">
        <f>IF(ISNUMBER(deployment_raw[[#This Row],[Column11]]), (deployment_raw[[#This Row],[Column11]] * IF($E$2="Deployment",deployment_raw[[#This Row],[Column5]],1))/1048576,"")</f>
        <v/>
      </c>
      <c r="T615" s="59" t="str">
        <f>IF(ISNUMBER(deployment_raw[[#This Row],[Column8]]),IF(OR(deployment_raw[[#This Row],[Column5]] &lt;&gt; 0,$E$2 &lt;&gt; "Deployment"), MAX(V615, ($T$2 * IF($E$2="Deployment",deployment_raw[[#This Row],[Column5]],1))), 0),"")</f>
        <v/>
      </c>
      <c r="U615" s="50" t="str">
        <f>IF(ISNUMBER(deployment_raw[[#This Row],[Column9]]),IF(OR(deployment_raw[[#This Row],[Column5]] &lt;&gt; 0,$E$2&lt;&gt;"Deployment"), MAX(W615, ($U$2 * IF($E$2="Deployment",deployment_raw[[#This Row],[Column5]],1))), 0),"")</f>
        <v/>
      </c>
      <c r="V615" s="15" t="str">
        <f>IF(ISNUMBER(deployment_raw[[#This Row],[Column12]]), (deployment_raw[[#This Row],[Column12]] * IF($E$2="Deployment",deployment_raw[[#This Row],[Column5]],1)*(1+$V$2)),"")</f>
        <v/>
      </c>
      <c r="W615" s="14" t="str">
        <f>IF(ISNUMBER(deployment_raw[[#This Row],[Column13]]), (deployment_raw[[#This Row],[Column13]] * IF($E$2="Deployment",deployment_raw[[#This Row],[Column5]],1)*(1+$W$2))/1048576,"")</f>
        <v/>
      </c>
    </row>
    <row r="616" spans="1:23" ht="15.75" customHeight="1" x14ac:dyDescent="0.25">
      <c r="A616" s="5" t="str">
        <f>IF(ISNONTEXT(deployment_raw[[#This Row],[Column1]]), "", deployment_raw[[#This Row],[Column1]])</f>
        <v/>
      </c>
      <c r="B616" s="6" t="str">
        <f>IF(ISNONTEXT(deployment_raw[[#This Row],[Column2]]), "", deployment_raw[[#This Row],[Column2]])</f>
        <v/>
      </c>
      <c r="C616" s="6" t="str">
        <f>IF(ISNONTEXT(deployment_raw[[#This Row],[Column3]]), "", deployment_raw[[#This Row],[Column3]])</f>
        <v/>
      </c>
      <c r="D616" s="6" t="str">
        <f>IF(ISNONTEXT(deployment_raw[[#This Row],[Column4]]), "", deployment_raw[[#This Row],[Column4]])</f>
        <v/>
      </c>
      <c r="E616" s="7" t="str">
        <f>IF(ISNUMBER(deployment_raw[[#This Row],[Column5]]), deployment_raw[[#This Row],[Column5]],"")</f>
        <v/>
      </c>
      <c r="F616" s="32" t="str">
        <f>IF(ISNUMBER(deployment_raw[[#This Row],[Column17]]), deployment_raw[[#This Row],[Column17]]/IF(OR($E$2="Deployment",deployment_raw[[#This Row],[Column5]]=0),1,deployment_raw[[#This Row],[Column5]]),"")</f>
        <v/>
      </c>
      <c r="G616" s="42" t="str">
        <f>IF(ISNUMBER(deployment_raw[[#This Row],[Column14]]), deployment_raw[[#This Row],[Column14]]/IF(OR($E$2="Deployment",deployment_raw[[#This Row],[Column5]]=0),1,deployment_raw[[#This Row],[Column5]]),"")</f>
        <v/>
      </c>
      <c r="H616" s="79" t="str">
        <f>IF(ISNUMBER(deployment_raw[[#This Row],[Column19]]), IF(I616&lt;&gt;0,(deployment_raw[[#This Row],[Column19]]/IF(OR($E$2="Deployment",deployment_raw[[#This Row],[Column5]]=0),1,deployment_raw[[#This Row],[Column5]]))/I616,0),"")</f>
        <v/>
      </c>
      <c r="I616" s="69" t="str">
        <f>IF(ISNUMBER(deployment_raw[[#This Row],[Column6]]), (deployment_raw[[#This Row],[Column6]] * IF($E$2="Deployment",deployment_raw[[#This Row],[Column5]],1)),"")</f>
        <v/>
      </c>
      <c r="J616" s="79" t="str">
        <f>IF(ISNUMBER(deployment_raw[[#This Row],[Column19]]), IF(K616&lt;&gt;0,(deployment_raw[[#This Row],[Column19]]/IF(OR($E$2="Deployment",deployment_raw[[#This Row],[Column5]]=0),1,deployment_raw[[#This Row],[Column5]]))/K616,0),"")</f>
        <v/>
      </c>
      <c r="K616" s="72" t="str">
        <f>IF(ISNUMBER(deployment_raw[[#This Row],[Column8]]), (deployment_raw[[#This Row],[Column8]]  * IF($E$2="Deployment",deployment_raw[[#This Row],[Column5]],1)),"")</f>
        <v/>
      </c>
      <c r="L61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1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16" s="81" t="str">
        <f>IF(ISNUMBER(deployment_raw[[#This Row],[Column20]]), IF(O616&lt;&gt;0,deployment_raw[[#This Row],[Column20]]/IF(OR($E$2="Deployment",deployment_raw[[#This Row],[Column5]]=0),1,deployment_raw[[#This Row],[Column5]])/1048576/O616,0),"")</f>
        <v/>
      </c>
      <c r="O616" s="74" t="str">
        <f>IF(ISNUMBER(deployment_raw[[#This Row],[Column7]]), (deployment_raw[[#This Row],[Column7]] * IF($E$2="Deployment",deployment_raw[[#This Row],[Column5]],1))/1048576,"")</f>
        <v/>
      </c>
      <c r="P616" s="81" t="str">
        <f>IF(ISNUMBER(deployment_raw[[#This Row],[Column20]]), IF(Q616&lt;&gt;0,deployment_raw[[#This Row],[Column20]]/IF(OR($E$2="Deployment",deployment_raw[[#This Row],[Column5]]=0),1,deployment_raw[[#This Row],[Column5]])/1048576/Q616,0),"")</f>
        <v/>
      </c>
      <c r="Q616" s="76" t="str">
        <f>IF(ISNUMBER(deployment_raw[[#This Row],[Column9]]), (deployment_raw[[#This Row],[Column9]] * IF($E$2="Deployment",deployment_raw[[#This Row],[Column5]],1))/1048576,"")</f>
        <v/>
      </c>
      <c r="R616" s="57" t="str">
        <f>IF(ISNUMBER(deployment_raw[[#This Row],[Column10]]), (deployment_raw[[#This Row],[Column10]] * IF($E$2="Deployment",deployment_raw[[#This Row],[Column5]],1)),"")</f>
        <v/>
      </c>
      <c r="S616" s="48" t="str">
        <f>IF(ISNUMBER(deployment_raw[[#This Row],[Column11]]), (deployment_raw[[#This Row],[Column11]] * IF($E$2="Deployment",deployment_raw[[#This Row],[Column5]],1))/1048576,"")</f>
        <v/>
      </c>
      <c r="T616" s="59" t="str">
        <f>IF(ISNUMBER(deployment_raw[[#This Row],[Column8]]),IF(OR(deployment_raw[[#This Row],[Column5]] &lt;&gt; 0,$E$2 &lt;&gt; "Deployment"), MAX(V616, ($T$2 * IF($E$2="Deployment",deployment_raw[[#This Row],[Column5]],1))), 0),"")</f>
        <v/>
      </c>
      <c r="U616" s="50" t="str">
        <f>IF(ISNUMBER(deployment_raw[[#This Row],[Column9]]),IF(OR(deployment_raw[[#This Row],[Column5]] &lt;&gt; 0,$E$2&lt;&gt;"Deployment"), MAX(W616, ($U$2 * IF($E$2="Deployment",deployment_raw[[#This Row],[Column5]],1))), 0),"")</f>
        <v/>
      </c>
      <c r="V616" s="15" t="str">
        <f>IF(ISNUMBER(deployment_raw[[#This Row],[Column12]]), (deployment_raw[[#This Row],[Column12]] * IF($E$2="Deployment",deployment_raw[[#This Row],[Column5]],1)*(1+$V$2)),"")</f>
        <v/>
      </c>
      <c r="W616" s="14" t="str">
        <f>IF(ISNUMBER(deployment_raw[[#This Row],[Column13]]), (deployment_raw[[#This Row],[Column13]] * IF($E$2="Deployment",deployment_raw[[#This Row],[Column5]],1)*(1+$W$2))/1048576,"")</f>
        <v/>
      </c>
    </row>
    <row r="617" spans="1:23" ht="15.75" customHeight="1" x14ac:dyDescent="0.25">
      <c r="A617" s="5" t="str">
        <f>IF(ISNONTEXT(deployment_raw[[#This Row],[Column1]]), "", deployment_raw[[#This Row],[Column1]])</f>
        <v/>
      </c>
      <c r="B617" s="6" t="str">
        <f>IF(ISNONTEXT(deployment_raw[[#This Row],[Column2]]), "", deployment_raw[[#This Row],[Column2]])</f>
        <v/>
      </c>
      <c r="C617" s="6" t="str">
        <f>IF(ISNONTEXT(deployment_raw[[#This Row],[Column3]]), "", deployment_raw[[#This Row],[Column3]])</f>
        <v/>
      </c>
      <c r="D617" s="6" t="str">
        <f>IF(ISNONTEXT(deployment_raw[[#This Row],[Column4]]), "", deployment_raw[[#This Row],[Column4]])</f>
        <v/>
      </c>
      <c r="E617" s="7" t="str">
        <f>IF(ISNUMBER(deployment_raw[[#This Row],[Column5]]), deployment_raw[[#This Row],[Column5]],"")</f>
        <v/>
      </c>
      <c r="F617" s="32" t="str">
        <f>IF(ISNUMBER(deployment_raw[[#This Row],[Column17]]), deployment_raw[[#This Row],[Column17]]/IF(OR($E$2="Deployment",deployment_raw[[#This Row],[Column5]]=0),1,deployment_raw[[#This Row],[Column5]]),"")</f>
        <v/>
      </c>
      <c r="G617" s="42" t="str">
        <f>IF(ISNUMBER(deployment_raw[[#This Row],[Column14]]), deployment_raw[[#This Row],[Column14]]/IF(OR($E$2="Deployment",deployment_raw[[#This Row],[Column5]]=0),1,deployment_raw[[#This Row],[Column5]]),"")</f>
        <v/>
      </c>
      <c r="H617" s="79" t="str">
        <f>IF(ISNUMBER(deployment_raw[[#This Row],[Column19]]), IF(I617&lt;&gt;0,(deployment_raw[[#This Row],[Column19]]/IF(OR($E$2="Deployment",deployment_raw[[#This Row],[Column5]]=0),1,deployment_raw[[#This Row],[Column5]]))/I617,0),"")</f>
        <v/>
      </c>
      <c r="I617" s="69" t="str">
        <f>IF(ISNUMBER(deployment_raw[[#This Row],[Column6]]), (deployment_raw[[#This Row],[Column6]] * IF($E$2="Deployment",deployment_raw[[#This Row],[Column5]],1)),"")</f>
        <v/>
      </c>
      <c r="J617" s="79" t="str">
        <f>IF(ISNUMBER(deployment_raw[[#This Row],[Column19]]), IF(K617&lt;&gt;0,(deployment_raw[[#This Row],[Column19]]/IF(OR($E$2="Deployment",deployment_raw[[#This Row],[Column5]]=0),1,deployment_raw[[#This Row],[Column5]]))/K617,0),"")</f>
        <v/>
      </c>
      <c r="K617" s="72" t="str">
        <f>IF(ISNUMBER(deployment_raw[[#This Row],[Column8]]), (deployment_raw[[#This Row],[Column8]]  * IF($E$2="Deployment",deployment_raw[[#This Row],[Column5]],1)),"")</f>
        <v/>
      </c>
      <c r="L61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1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17" s="81" t="str">
        <f>IF(ISNUMBER(deployment_raw[[#This Row],[Column20]]), IF(O617&lt;&gt;0,deployment_raw[[#This Row],[Column20]]/IF(OR($E$2="Deployment",deployment_raw[[#This Row],[Column5]]=0),1,deployment_raw[[#This Row],[Column5]])/1048576/O617,0),"")</f>
        <v/>
      </c>
      <c r="O617" s="74" t="str">
        <f>IF(ISNUMBER(deployment_raw[[#This Row],[Column7]]), (deployment_raw[[#This Row],[Column7]] * IF($E$2="Deployment",deployment_raw[[#This Row],[Column5]],1))/1048576,"")</f>
        <v/>
      </c>
      <c r="P617" s="81" t="str">
        <f>IF(ISNUMBER(deployment_raw[[#This Row],[Column20]]), IF(Q617&lt;&gt;0,deployment_raw[[#This Row],[Column20]]/IF(OR($E$2="Deployment",deployment_raw[[#This Row],[Column5]]=0),1,deployment_raw[[#This Row],[Column5]])/1048576/Q617,0),"")</f>
        <v/>
      </c>
      <c r="Q617" s="76" t="str">
        <f>IF(ISNUMBER(deployment_raw[[#This Row],[Column9]]), (deployment_raw[[#This Row],[Column9]] * IF($E$2="Deployment",deployment_raw[[#This Row],[Column5]],1))/1048576,"")</f>
        <v/>
      </c>
      <c r="R617" s="57" t="str">
        <f>IF(ISNUMBER(deployment_raw[[#This Row],[Column10]]), (deployment_raw[[#This Row],[Column10]] * IF($E$2="Deployment",deployment_raw[[#This Row],[Column5]],1)),"")</f>
        <v/>
      </c>
      <c r="S617" s="48" t="str">
        <f>IF(ISNUMBER(deployment_raw[[#This Row],[Column11]]), (deployment_raw[[#This Row],[Column11]] * IF($E$2="Deployment",deployment_raw[[#This Row],[Column5]],1))/1048576,"")</f>
        <v/>
      </c>
      <c r="T617" s="59" t="str">
        <f>IF(ISNUMBER(deployment_raw[[#This Row],[Column8]]),IF(OR(deployment_raw[[#This Row],[Column5]] &lt;&gt; 0,$E$2 &lt;&gt; "Deployment"), MAX(V617, ($T$2 * IF($E$2="Deployment",deployment_raw[[#This Row],[Column5]],1))), 0),"")</f>
        <v/>
      </c>
      <c r="U617" s="50" t="str">
        <f>IF(ISNUMBER(deployment_raw[[#This Row],[Column9]]),IF(OR(deployment_raw[[#This Row],[Column5]] &lt;&gt; 0,$E$2&lt;&gt;"Deployment"), MAX(W617, ($U$2 * IF($E$2="Deployment",deployment_raw[[#This Row],[Column5]],1))), 0),"")</f>
        <v/>
      </c>
      <c r="V617" s="15" t="str">
        <f>IF(ISNUMBER(deployment_raw[[#This Row],[Column12]]), (deployment_raw[[#This Row],[Column12]] * IF($E$2="Deployment",deployment_raw[[#This Row],[Column5]],1)*(1+$V$2)),"")</f>
        <v/>
      </c>
      <c r="W617" s="14" t="str">
        <f>IF(ISNUMBER(deployment_raw[[#This Row],[Column13]]), (deployment_raw[[#This Row],[Column13]] * IF($E$2="Deployment",deployment_raw[[#This Row],[Column5]],1)*(1+$W$2))/1048576,"")</f>
        <v/>
      </c>
    </row>
    <row r="618" spans="1:23" ht="15.75" customHeight="1" x14ac:dyDescent="0.25">
      <c r="A618" s="5" t="str">
        <f>IF(ISNONTEXT(deployment_raw[[#This Row],[Column1]]), "", deployment_raw[[#This Row],[Column1]])</f>
        <v/>
      </c>
      <c r="B618" s="6" t="str">
        <f>IF(ISNONTEXT(deployment_raw[[#This Row],[Column2]]), "", deployment_raw[[#This Row],[Column2]])</f>
        <v/>
      </c>
      <c r="C618" s="6" t="str">
        <f>IF(ISNONTEXT(deployment_raw[[#This Row],[Column3]]), "", deployment_raw[[#This Row],[Column3]])</f>
        <v/>
      </c>
      <c r="D618" s="6" t="str">
        <f>IF(ISNONTEXT(deployment_raw[[#This Row],[Column4]]), "", deployment_raw[[#This Row],[Column4]])</f>
        <v/>
      </c>
      <c r="E618" s="7" t="str">
        <f>IF(ISNUMBER(deployment_raw[[#This Row],[Column5]]), deployment_raw[[#This Row],[Column5]],"")</f>
        <v/>
      </c>
      <c r="F618" s="32" t="str">
        <f>IF(ISNUMBER(deployment_raw[[#This Row],[Column17]]), deployment_raw[[#This Row],[Column17]]/IF(OR($E$2="Deployment",deployment_raw[[#This Row],[Column5]]=0),1,deployment_raw[[#This Row],[Column5]]),"")</f>
        <v/>
      </c>
      <c r="G618" s="42" t="str">
        <f>IF(ISNUMBER(deployment_raw[[#This Row],[Column14]]), deployment_raw[[#This Row],[Column14]]/IF(OR($E$2="Deployment",deployment_raw[[#This Row],[Column5]]=0),1,deployment_raw[[#This Row],[Column5]]),"")</f>
        <v/>
      </c>
      <c r="H618" s="79" t="str">
        <f>IF(ISNUMBER(deployment_raw[[#This Row],[Column19]]), IF(I618&lt;&gt;0,(deployment_raw[[#This Row],[Column19]]/IF(OR($E$2="Deployment",deployment_raw[[#This Row],[Column5]]=0),1,deployment_raw[[#This Row],[Column5]]))/I618,0),"")</f>
        <v/>
      </c>
      <c r="I618" s="69" t="str">
        <f>IF(ISNUMBER(deployment_raw[[#This Row],[Column6]]), (deployment_raw[[#This Row],[Column6]] * IF($E$2="Deployment",deployment_raw[[#This Row],[Column5]],1)),"")</f>
        <v/>
      </c>
      <c r="J618" s="79" t="str">
        <f>IF(ISNUMBER(deployment_raw[[#This Row],[Column19]]), IF(K618&lt;&gt;0,(deployment_raw[[#This Row],[Column19]]/IF(OR($E$2="Deployment",deployment_raw[[#This Row],[Column5]]=0),1,deployment_raw[[#This Row],[Column5]]))/K618,0),"")</f>
        <v/>
      </c>
      <c r="K618" s="72" t="str">
        <f>IF(ISNUMBER(deployment_raw[[#This Row],[Column8]]), (deployment_raw[[#This Row],[Column8]]  * IF($E$2="Deployment",deployment_raw[[#This Row],[Column5]],1)),"")</f>
        <v/>
      </c>
      <c r="L61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1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18" s="81" t="str">
        <f>IF(ISNUMBER(deployment_raw[[#This Row],[Column20]]), IF(O618&lt;&gt;0,deployment_raw[[#This Row],[Column20]]/IF(OR($E$2="Deployment",deployment_raw[[#This Row],[Column5]]=0),1,deployment_raw[[#This Row],[Column5]])/1048576/O618,0),"")</f>
        <v/>
      </c>
      <c r="O618" s="74" t="str">
        <f>IF(ISNUMBER(deployment_raw[[#This Row],[Column7]]), (deployment_raw[[#This Row],[Column7]] * IF($E$2="Deployment",deployment_raw[[#This Row],[Column5]],1))/1048576,"")</f>
        <v/>
      </c>
      <c r="P618" s="81" t="str">
        <f>IF(ISNUMBER(deployment_raw[[#This Row],[Column20]]), IF(Q618&lt;&gt;0,deployment_raw[[#This Row],[Column20]]/IF(OR($E$2="Deployment",deployment_raw[[#This Row],[Column5]]=0),1,deployment_raw[[#This Row],[Column5]])/1048576/Q618,0),"")</f>
        <v/>
      </c>
      <c r="Q618" s="76" t="str">
        <f>IF(ISNUMBER(deployment_raw[[#This Row],[Column9]]), (deployment_raw[[#This Row],[Column9]] * IF($E$2="Deployment",deployment_raw[[#This Row],[Column5]],1))/1048576,"")</f>
        <v/>
      </c>
      <c r="R618" s="57" t="str">
        <f>IF(ISNUMBER(deployment_raw[[#This Row],[Column10]]), (deployment_raw[[#This Row],[Column10]] * IF($E$2="Deployment",deployment_raw[[#This Row],[Column5]],1)),"")</f>
        <v/>
      </c>
      <c r="S618" s="48" t="str">
        <f>IF(ISNUMBER(deployment_raw[[#This Row],[Column11]]), (deployment_raw[[#This Row],[Column11]] * IF($E$2="Deployment",deployment_raw[[#This Row],[Column5]],1))/1048576,"")</f>
        <v/>
      </c>
      <c r="T618" s="59" t="str">
        <f>IF(ISNUMBER(deployment_raw[[#This Row],[Column8]]),IF(OR(deployment_raw[[#This Row],[Column5]] &lt;&gt; 0,$E$2 &lt;&gt; "Deployment"), MAX(V618, ($T$2 * IF($E$2="Deployment",deployment_raw[[#This Row],[Column5]],1))), 0),"")</f>
        <v/>
      </c>
      <c r="U618" s="50" t="str">
        <f>IF(ISNUMBER(deployment_raw[[#This Row],[Column9]]),IF(OR(deployment_raw[[#This Row],[Column5]] &lt;&gt; 0,$E$2&lt;&gt;"Deployment"), MAX(W618, ($U$2 * IF($E$2="Deployment",deployment_raw[[#This Row],[Column5]],1))), 0),"")</f>
        <v/>
      </c>
      <c r="V618" s="15" t="str">
        <f>IF(ISNUMBER(deployment_raw[[#This Row],[Column12]]), (deployment_raw[[#This Row],[Column12]] * IF($E$2="Deployment",deployment_raw[[#This Row],[Column5]],1)*(1+$V$2)),"")</f>
        <v/>
      </c>
      <c r="W618" s="14" t="str">
        <f>IF(ISNUMBER(deployment_raw[[#This Row],[Column13]]), (deployment_raw[[#This Row],[Column13]] * IF($E$2="Deployment",deployment_raw[[#This Row],[Column5]],1)*(1+$W$2))/1048576,"")</f>
        <v/>
      </c>
    </row>
    <row r="619" spans="1:23" ht="15.75" customHeight="1" x14ac:dyDescent="0.25">
      <c r="A619" s="5" t="str">
        <f>IF(ISNONTEXT(deployment_raw[[#This Row],[Column1]]), "", deployment_raw[[#This Row],[Column1]])</f>
        <v/>
      </c>
      <c r="B619" s="6" t="str">
        <f>IF(ISNONTEXT(deployment_raw[[#This Row],[Column2]]), "", deployment_raw[[#This Row],[Column2]])</f>
        <v/>
      </c>
      <c r="C619" s="6" t="str">
        <f>IF(ISNONTEXT(deployment_raw[[#This Row],[Column3]]), "", deployment_raw[[#This Row],[Column3]])</f>
        <v/>
      </c>
      <c r="D619" s="6" t="str">
        <f>IF(ISNONTEXT(deployment_raw[[#This Row],[Column4]]), "", deployment_raw[[#This Row],[Column4]])</f>
        <v/>
      </c>
      <c r="E619" s="7" t="str">
        <f>IF(ISNUMBER(deployment_raw[[#This Row],[Column5]]), deployment_raw[[#This Row],[Column5]],"")</f>
        <v/>
      </c>
      <c r="F619" s="32" t="str">
        <f>IF(ISNUMBER(deployment_raw[[#This Row],[Column17]]), deployment_raw[[#This Row],[Column17]]/IF(OR($E$2="Deployment",deployment_raw[[#This Row],[Column5]]=0),1,deployment_raw[[#This Row],[Column5]]),"")</f>
        <v/>
      </c>
      <c r="G619" s="42" t="str">
        <f>IF(ISNUMBER(deployment_raw[[#This Row],[Column14]]), deployment_raw[[#This Row],[Column14]]/IF(OR($E$2="Deployment",deployment_raw[[#This Row],[Column5]]=0),1,deployment_raw[[#This Row],[Column5]]),"")</f>
        <v/>
      </c>
      <c r="H619" s="79" t="str">
        <f>IF(ISNUMBER(deployment_raw[[#This Row],[Column19]]), IF(I619&lt;&gt;0,(deployment_raw[[#This Row],[Column19]]/IF(OR($E$2="Deployment",deployment_raw[[#This Row],[Column5]]=0),1,deployment_raw[[#This Row],[Column5]]))/I619,0),"")</f>
        <v/>
      </c>
      <c r="I619" s="69" t="str">
        <f>IF(ISNUMBER(deployment_raw[[#This Row],[Column6]]), (deployment_raw[[#This Row],[Column6]] * IF($E$2="Deployment",deployment_raw[[#This Row],[Column5]],1)),"")</f>
        <v/>
      </c>
      <c r="J619" s="79" t="str">
        <f>IF(ISNUMBER(deployment_raw[[#This Row],[Column19]]), IF(K619&lt;&gt;0,(deployment_raw[[#This Row],[Column19]]/IF(OR($E$2="Deployment",deployment_raw[[#This Row],[Column5]]=0),1,deployment_raw[[#This Row],[Column5]]))/K619,0),"")</f>
        <v/>
      </c>
      <c r="K619" s="72" t="str">
        <f>IF(ISNUMBER(deployment_raw[[#This Row],[Column8]]), (deployment_raw[[#This Row],[Column8]]  * IF($E$2="Deployment",deployment_raw[[#This Row],[Column5]],1)),"")</f>
        <v/>
      </c>
      <c r="L61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1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19" s="81" t="str">
        <f>IF(ISNUMBER(deployment_raw[[#This Row],[Column20]]), IF(O619&lt;&gt;0,deployment_raw[[#This Row],[Column20]]/IF(OR($E$2="Deployment",deployment_raw[[#This Row],[Column5]]=0),1,deployment_raw[[#This Row],[Column5]])/1048576/O619,0),"")</f>
        <v/>
      </c>
      <c r="O619" s="74" t="str">
        <f>IF(ISNUMBER(deployment_raw[[#This Row],[Column7]]), (deployment_raw[[#This Row],[Column7]] * IF($E$2="Deployment",deployment_raw[[#This Row],[Column5]],1))/1048576,"")</f>
        <v/>
      </c>
      <c r="P619" s="81" t="str">
        <f>IF(ISNUMBER(deployment_raw[[#This Row],[Column20]]), IF(Q619&lt;&gt;0,deployment_raw[[#This Row],[Column20]]/IF(OR($E$2="Deployment",deployment_raw[[#This Row],[Column5]]=0),1,deployment_raw[[#This Row],[Column5]])/1048576/Q619,0),"")</f>
        <v/>
      </c>
      <c r="Q619" s="76" t="str">
        <f>IF(ISNUMBER(deployment_raw[[#This Row],[Column9]]), (deployment_raw[[#This Row],[Column9]] * IF($E$2="Deployment",deployment_raw[[#This Row],[Column5]],1))/1048576,"")</f>
        <v/>
      </c>
      <c r="R619" s="57" t="str">
        <f>IF(ISNUMBER(deployment_raw[[#This Row],[Column10]]), (deployment_raw[[#This Row],[Column10]] * IF($E$2="Deployment",deployment_raw[[#This Row],[Column5]],1)),"")</f>
        <v/>
      </c>
      <c r="S619" s="48" t="str">
        <f>IF(ISNUMBER(deployment_raw[[#This Row],[Column11]]), (deployment_raw[[#This Row],[Column11]] * IF($E$2="Deployment",deployment_raw[[#This Row],[Column5]],1))/1048576,"")</f>
        <v/>
      </c>
      <c r="T619" s="59" t="str">
        <f>IF(ISNUMBER(deployment_raw[[#This Row],[Column8]]),IF(OR(deployment_raw[[#This Row],[Column5]] &lt;&gt; 0,$E$2 &lt;&gt; "Deployment"), MAX(V619, ($T$2 * IF($E$2="Deployment",deployment_raw[[#This Row],[Column5]],1))), 0),"")</f>
        <v/>
      </c>
      <c r="U619" s="50" t="str">
        <f>IF(ISNUMBER(deployment_raw[[#This Row],[Column9]]),IF(OR(deployment_raw[[#This Row],[Column5]] &lt;&gt; 0,$E$2&lt;&gt;"Deployment"), MAX(W619, ($U$2 * IF($E$2="Deployment",deployment_raw[[#This Row],[Column5]],1))), 0),"")</f>
        <v/>
      </c>
      <c r="V619" s="15" t="str">
        <f>IF(ISNUMBER(deployment_raw[[#This Row],[Column12]]), (deployment_raw[[#This Row],[Column12]] * IF($E$2="Deployment",deployment_raw[[#This Row],[Column5]],1)*(1+$V$2)),"")</f>
        <v/>
      </c>
      <c r="W619" s="14" t="str">
        <f>IF(ISNUMBER(deployment_raw[[#This Row],[Column13]]), (deployment_raw[[#This Row],[Column13]] * IF($E$2="Deployment",deployment_raw[[#This Row],[Column5]],1)*(1+$W$2))/1048576,"")</f>
        <v/>
      </c>
    </row>
    <row r="620" spans="1:23" ht="15.75" customHeight="1" x14ac:dyDescent="0.25">
      <c r="A620" s="5" t="str">
        <f>IF(ISNONTEXT(deployment_raw[[#This Row],[Column1]]), "", deployment_raw[[#This Row],[Column1]])</f>
        <v/>
      </c>
      <c r="B620" s="6" t="str">
        <f>IF(ISNONTEXT(deployment_raw[[#This Row],[Column2]]), "", deployment_raw[[#This Row],[Column2]])</f>
        <v/>
      </c>
      <c r="C620" s="6" t="str">
        <f>IF(ISNONTEXT(deployment_raw[[#This Row],[Column3]]), "", deployment_raw[[#This Row],[Column3]])</f>
        <v/>
      </c>
      <c r="D620" s="6" t="str">
        <f>IF(ISNONTEXT(deployment_raw[[#This Row],[Column4]]), "", deployment_raw[[#This Row],[Column4]])</f>
        <v/>
      </c>
      <c r="E620" s="7" t="str">
        <f>IF(ISNUMBER(deployment_raw[[#This Row],[Column5]]), deployment_raw[[#This Row],[Column5]],"")</f>
        <v/>
      </c>
      <c r="F620" s="32" t="str">
        <f>IF(ISNUMBER(deployment_raw[[#This Row],[Column17]]), deployment_raw[[#This Row],[Column17]]/IF(OR($E$2="Deployment",deployment_raw[[#This Row],[Column5]]=0),1,deployment_raw[[#This Row],[Column5]]),"")</f>
        <v/>
      </c>
      <c r="G620" s="42" t="str">
        <f>IF(ISNUMBER(deployment_raw[[#This Row],[Column14]]), deployment_raw[[#This Row],[Column14]]/IF(OR($E$2="Deployment",deployment_raw[[#This Row],[Column5]]=0),1,deployment_raw[[#This Row],[Column5]]),"")</f>
        <v/>
      </c>
      <c r="H620" s="79" t="str">
        <f>IF(ISNUMBER(deployment_raw[[#This Row],[Column19]]), IF(I620&lt;&gt;0,(deployment_raw[[#This Row],[Column19]]/IF(OR($E$2="Deployment",deployment_raw[[#This Row],[Column5]]=0),1,deployment_raw[[#This Row],[Column5]]))/I620,0),"")</f>
        <v/>
      </c>
      <c r="I620" s="69" t="str">
        <f>IF(ISNUMBER(deployment_raw[[#This Row],[Column6]]), (deployment_raw[[#This Row],[Column6]] * IF($E$2="Deployment",deployment_raw[[#This Row],[Column5]],1)),"")</f>
        <v/>
      </c>
      <c r="J620" s="79" t="str">
        <f>IF(ISNUMBER(deployment_raw[[#This Row],[Column19]]), IF(K620&lt;&gt;0,(deployment_raw[[#This Row],[Column19]]/IF(OR($E$2="Deployment",deployment_raw[[#This Row],[Column5]]=0),1,deployment_raw[[#This Row],[Column5]]))/K620,0),"")</f>
        <v/>
      </c>
      <c r="K620" s="72" t="str">
        <f>IF(ISNUMBER(deployment_raw[[#This Row],[Column8]]), (deployment_raw[[#This Row],[Column8]]  * IF($E$2="Deployment",deployment_raw[[#This Row],[Column5]],1)),"")</f>
        <v/>
      </c>
      <c r="L62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2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20" s="81" t="str">
        <f>IF(ISNUMBER(deployment_raw[[#This Row],[Column20]]), IF(O620&lt;&gt;0,deployment_raw[[#This Row],[Column20]]/IF(OR($E$2="Deployment",deployment_raw[[#This Row],[Column5]]=0),1,deployment_raw[[#This Row],[Column5]])/1048576/O620,0),"")</f>
        <v/>
      </c>
      <c r="O620" s="74" t="str">
        <f>IF(ISNUMBER(deployment_raw[[#This Row],[Column7]]), (deployment_raw[[#This Row],[Column7]] * IF($E$2="Deployment",deployment_raw[[#This Row],[Column5]],1))/1048576,"")</f>
        <v/>
      </c>
      <c r="P620" s="81" t="str">
        <f>IF(ISNUMBER(deployment_raw[[#This Row],[Column20]]), IF(Q620&lt;&gt;0,deployment_raw[[#This Row],[Column20]]/IF(OR($E$2="Deployment",deployment_raw[[#This Row],[Column5]]=0),1,deployment_raw[[#This Row],[Column5]])/1048576/Q620,0),"")</f>
        <v/>
      </c>
      <c r="Q620" s="76" t="str">
        <f>IF(ISNUMBER(deployment_raw[[#This Row],[Column9]]), (deployment_raw[[#This Row],[Column9]] * IF($E$2="Deployment",deployment_raw[[#This Row],[Column5]],1))/1048576,"")</f>
        <v/>
      </c>
      <c r="R620" s="57" t="str">
        <f>IF(ISNUMBER(deployment_raw[[#This Row],[Column10]]), (deployment_raw[[#This Row],[Column10]] * IF($E$2="Deployment",deployment_raw[[#This Row],[Column5]],1)),"")</f>
        <v/>
      </c>
      <c r="S620" s="48" t="str">
        <f>IF(ISNUMBER(deployment_raw[[#This Row],[Column11]]), (deployment_raw[[#This Row],[Column11]] * IF($E$2="Deployment",deployment_raw[[#This Row],[Column5]],1))/1048576,"")</f>
        <v/>
      </c>
      <c r="T620" s="59" t="str">
        <f>IF(ISNUMBER(deployment_raw[[#This Row],[Column8]]),IF(OR(deployment_raw[[#This Row],[Column5]] &lt;&gt; 0,$E$2 &lt;&gt; "Deployment"), MAX(V620, ($T$2 * IF($E$2="Deployment",deployment_raw[[#This Row],[Column5]],1))), 0),"")</f>
        <v/>
      </c>
      <c r="U620" s="50" t="str">
        <f>IF(ISNUMBER(deployment_raw[[#This Row],[Column9]]),IF(OR(deployment_raw[[#This Row],[Column5]] &lt;&gt; 0,$E$2&lt;&gt;"Deployment"), MAX(W620, ($U$2 * IF($E$2="Deployment",deployment_raw[[#This Row],[Column5]],1))), 0),"")</f>
        <v/>
      </c>
      <c r="V620" s="15" t="str">
        <f>IF(ISNUMBER(deployment_raw[[#This Row],[Column12]]), (deployment_raw[[#This Row],[Column12]] * IF($E$2="Deployment",deployment_raw[[#This Row],[Column5]],1)*(1+$V$2)),"")</f>
        <v/>
      </c>
      <c r="W620" s="14" t="str">
        <f>IF(ISNUMBER(deployment_raw[[#This Row],[Column13]]), (deployment_raw[[#This Row],[Column13]] * IF($E$2="Deployment",deployment_raw[[#This Row],[Column5]],1)*(1+$W$2))/1048576,"")</f>
        <v/>
      </c>
    </row>
    <row r="621" spans="1:23" ht="15.75" customHeight="1" x14ac:dyDescent="0.25">
      <c r="A621" s="5" t="str">
        <f>IF(ISNONTEXT(deployment_raw[[#This Row],[Column1]]), "", deployment_raw[[#This Row],[Column1]])</f>
        <v/>
      </c>
      <c r="B621" s="6" t="str">
        <f>IF(ISNONTEXT(deployment_raw[[#This Row],[Column2]]), "", deployment_raw[[#This Row],[Column2]])</f>
        <v/>
      </c>
      <c r="C621" s="6" t="str">
        <f>IF(ISNONTEXT(deployment_raw[[#This Row],[Column3]]), "", deployment_raw[[#This Row],[Column3]])</f>
        <v/>
      </c>
      <c r="D621" s="6" t="str">
        <f>IF(ISNONTEXT(deployment_raw[[#This Row],[Column4]]), "", deployment_raw[[#This Row],[Column4]])</f>
        <v/>
      </c>
      <c r="E621" s="7" t="str">
        <f>IF(ISNUMBER(deployment_raw[[#This Row],[Column5]]), deployment_raw[[#This Row],[Column5]],"")</f>
        <v/>
      </c>
      <c r="F621" s="32" t="str">
        <f>IF(ISNUMBER(deployment_raw[[#This Row],[Column17]]), deployment_raw[[#This Row],[Column17]]/IF(OR($E$2="Deployment",deployment_raw[[#This Row],[Column5]]=0),1,deployment_raw[[#This Row],[Column5]]),"")</f>
        <v/>
      </c>
      <c r="G621" s="42" t="str">
        <f>IF(ISNUMBER(deployment_raw[[#This Row],[Column14]]), deployment_raw[[#This Row],[Column14]]/IF(OR($E$2="Deployment",deployment_raw[[#This Row],[Column5]]=0),1,deployment_raw[[#This Row],[Column5]]),"")</f>
        <v/>
      </c>
      <c r="H621" s="79" t="str">
        <f>IF(ISNUMBER(deployment_raw[[#This Row],[Column19]]), IF(I621&lt;&gt;0,(deployment_raw[[#This Row],[Column19]]/IF(OR($E$2="Deployment",deployment_raw[[#This Row],[Column5]]=0),1,deployment_raw[[#This Row],[Column5]]))/I621,0),"")</f>
        <v/>
      </c>
      <c r="I621" s="69" t="str">
        <f>IF(ISNUMBER(deployment_raw[[#This Row],[Column6]]), (deployment_raw[[#This Row],[Column6]] * IF($E$2="Deployment",deployment_raw[[#This Row],[Column5]],1)),"")</f>
        <v/>
      </c>
      <c r="J621" s="79" t="str">
        <f>IF(ISNUMBER(deployment_raw[[#This Row],[Column19]]), IF(K621&lt;&gt;0,(deployment_raw[[#This Row],[Column19]]/IF(OR($E$2="Deployment",deployment_raw[[#This Row],[Column5]]=0),1,deployment_raw[[#This Row],[Column5]]))/K621,0),"")</f>
        <v/>
      </c>
      <c r="K621" s="72" t="str">
        <f>IF(ISNUMBER(deployment_raw[[#This Row],[Column8]]), (deployment_raw[[#This Row],[Column8]]  * IF($E$2="Deployment",deployment_raw[[#This Row],[Column5]],1)),"")</f>
        <v/>
      </c>
      <c r="L62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2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21" s="81" t="str">
        <f>IF(ISNUMBER(deployment_raw[[#This Row],[Column20]]), IF(O621&lt;&gt;0,deployment_raw[[#This Row],[Column20]]/IF(OR($E$2="Deployment",deployment_raw[[#This Row],[Column5]]=0),1,deployment_raw[[#This Row],[Column5]])/1048576/O621,0),"")</f>
        <v/>
      </c>
      <c r="O621" s="74" t="str">
        <f>IF(ISNUMBER(deployment_raw[[#This Row],[Column7]]), (deployment_raw[[#This Row],[Column7]] * IF($E$2="Deployment",deployment_raw[[#This Row],[Column5]],1))/1048576,"")</f>
        <v/>
      </c>
      <c r="P621" s="81" t="str">
        <f>IF(ISNUMBER(deployment_raw[[#This Row],[Column20]]), IF(Q621&lt;&gt;0,deployment_raw[[#This Row],[Column20]]/IF(OR($E$2="Deployment",deployment_raw[[#This Row],[Column5]]=0),1,deployment_raw[[#This Row],[Column5]])/1048576/Q621,0),"")</f>
        <v/>
      </c>
      <c r="Q621" s="76" t="str">
        <f>IF(ISNUMBER(deployment_raw[[#This Row],[Column9]]), (deployment_raw[[#This Row],[Column9]] * IF($E$2="Deployment",deployment_raw[[#This Row],[Column5]],1))/1048576,"")</f>
        <v/>
      </c>
      <c r="R621" s="57" t="str">
        <f>IF(ISNUMBER(deployment_raw[[#This Row],[Column10]]), (deployment_raw[[#This Row],[Column10]] * IF($E$2="Deployment",deployment_raw[[#This Row],[Column5]],1)),"")</f>
        <v/>
      </c>
      <c r="S621" s="48" t="str">
        <f>IF(ISNUMBER(deployment_raw[[#This Row],[Column11]]), (deployment_raw[[#This Row],[Column11]] * IF($E$2="Deployment",deployment_raw[[#This Row],[Column5]],1))/1048576,"")</f>
        <v/>
      </c>
      <c r="T621" s="59" t="str">
        <f>IF(ISNUMBER(deployment_raw[[#This Row],[Column8]]),IF(OR(deployment_raw[[#This Row],[Column5]] &lt;&gt; 0,$E$2 &lt;&gt; "Deployment"), MAX(V621, ($T$2 * IF($E$2="Deployment",deployment_raw[[#This Row],[Column5]],1))), 0),"")</f>
        <v/>
      </c>
      <c r="U621" s="50" t="str">
        <f>IF(ISNUMBER(deployment_raw[[#This Row],[Column9]]),IF(OR(deployment_raw[[#This Row],[Column5]] &lt;&gt; 0,$E$2&lt;&gt;"Deployment"), MAX(W621, ($U$2 * IF($E$2="Deployment",deployment_raw[[#This Row],[Column5]],1))), 0),"")</f>
        <v/>
      </c>
      <c r="V621" s="15" t="str">
        <f>IF(ISNUMBER(deployment_raw[[#This Row],[Column12]]), (deployment_raw[[#This Row],[Column12]] * IF($E$2="Deployment",deployment_raw[[#This Row],[Column5]],1)*(1+$V$2)),"")</f>
        <v/>
      </c>
      <c r="W621" s="14" t="str">
        <f>IF(ISNUMBER(deployment_raw[[#This Row],[Column13]]), (deployment_raw[[#This Row],[Column13]] * IF($E$2="Deployment",deployment_raw[[#This Row],[Column5]],1)*(1+$W$2))/1048576,"")</f>
        <v/>
      </c>
    </row>
    <row r="622" spans="1:23" ht="15.75" customHeight="1" x14ac:dyDescent="0.25">
      <c r="A622" s="5" t="str">
        <f>IF(ISNONTEXT(deployment_raw[[#This Row],[Column1]]), "", deployment_raw[[#This Row],[Column1]])</f>
        <v/>
      </c>
      <c r="B622" s="6" t="str">
        <f>IF(ISNONTEXT(deployment_raw[[#This Row],[Column2]]), "", deployment_raw[[#This Row],[Column2]])</f>
        <v/>
      </c>
      <c r="C622" s="6" t="str">
        <f>IF(ISNONTEXT(deployment_raw[[#This Row],[Column3]]), "", deployment_raw[[#This Row],[Column3]])</f>
        <v/>
      </c>
      <c r="D622" s="6" t="str">
        <f>IF(ISNONTEXT(deployment_raw[[#This Row],[Column4]]), "", deployment_raw[[#This Row],[Column4]])</f>
        <v/>
      </c>
      <c r="E622" s="7" t="str">
        <f>IF(ISNUMBER(deployment_raw[[#This Row],[Column5]]), deployment_raw[[#This Row],[Column5]],"")</f>
        <v/>
      </c>
      <c r="F622" s="32" t="str">
        <f>IF(ISNUMBER(deployment_raw[[#This Row],[Column17]]), deployment_raw[[#This Row],[Column17]]/IF(OR($E$2="Deployment",deployment_raw[[#This Row],[Column5]]=0),1,deployment_raw[[#This Row],[Column5]]),"")</f>
        <v/>
      </c>
      <c r="G622" s="42" t="str">
        <f>IF(ISNUMBER(deployment_raw[[#This Row],[Column14]]), deployment_raw[[#This Row],[Column14]]/IF(OR($E$2="Deployment",deployment_raw[[#This Row],[Column5]]=0),1,deployment_raw[[#This Row],[Column5]]),"")</f>
        <v/>
      </c>
      <c r="H622" s="79" t="str">
        <f>IF(ISNUMBER(deployment_raw[[#This Row],[Column19]]), IF(I622&lt;&gt;0,(deployment_raw[[#This Row],[Column19]]/IF(OR($E$2="Deployment",deployment_raw[[#This Row],[Column5]]=0),1,deployment_raw[[#This Row],[Column5]]))/I622,0),"")</f>
        <v/>
      </c>
      <c r="I622" s="69" t="str">
        <f>IF(ISNUMBER(deployment_raw[[#This Row],[Column6]]), (deployment_raw[[#This Row],[Column6]] * IF($E$2="Deployment",deployment_raw[[#This Row],[Column5]],1)),"")</f>
        <v/>
      </c>
      <c r="J622" s="79" t="str">
        <f>IF(ISNUMBER(deployment_raw[[#This Row],[Column19]]), IF(K622&lt;&gt;0,(deployment_raw[[#This Row],[Column19]]/IF(OR($E$2="Deployment",deployment_raw[[#This Row],[Column5]]=0),1,deployment_raw[[#This Row],[Column5]]))/K622,0),"")</f>
        <v/>
      </c>
      <c r="K622" s="72" t="str">
        <f>IF(ISNUMBER(deployment_raw[[#This Row],[Column8]]), (deployment_raw[[#This Row],[Column8]]  * IF($E$2="Deployment",deployment_raw[[#This Row],[Column5]],1)),"")</f>
        <v/>
      </c>
      <c r="L62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2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22" s="81" t="str">
        <f>IF(ISNUMBER(deployment_raw[[#This Row],[Column20]]), IF(O622&lt;&gt;0,deployment_raw[[#This Row],[Column20]]/IF(OR($E$2="Deployment",deployment_raw[[#This Row],[Column5]]=0),1,deployment_raw[[#This Row],[Column5]])/1048576/O622,0),"")</f>
        <v/>
      </c>
      <c r="O622" s="74" t="str">
        <f>IF(ISNUMBER(deployment_raw[[#This Row],[Column7]]), (deployment_raw[[#This Row],[Column7]] * IF($E$2="Deployment",deployment_raw[[#This Row],[Column5]],1))/1048576,"")</f>
        <v/>
      </c>
      <c r="P622" s="81" t="str">
        <f>IF(ISNUMBER(deployment_raw[[#This Row],[Column20]]), IF(Q622&lt;&gt;0,deployment_raw[[#This Row],[Column20]]/IF(OR($E$2="Deployment",deployment_raw[[#This Row],[Column5]]=0),1,deployment_raw[[#This Row],[Column5]])/1048576/Q622,0),"")</f>
        <v/>
      </c>
      <c r="Q622" s="76" t="str">
        <f>IF(ISNUMBER(deployment_raw[[#This Row],[Column9]]), (deployment_raw[[#This Row],[Column9]] * IF($E$2="Deployment",deployment_raw[[#This Row],[Column5]],1))/1048576,"")</f>
        <v/>
      </c>
      <c r="R622" s="57" t="str">
        <f>IF(ISNUMBER(deployment_raw[[#This Row],[Column10]]), (deployment_raw[[#This Row],[Column10]] * IF($E$2="Deployment",deployment_raw[[#This Row],[Column5]],1)),"")</f>
        <v/>
      </c>
      <c r="S622" s="48" t="str">
        <f>IF(ISNUMBER(deployment_raw[[#This Row],[Column11]]), (deployment_raw[[#This Row],[Column11]] * IF($E$2="Deployment",deployment_raw[[#This Row],[Column5]],1))/1048576,"")</f>
        <v/>
      </c>
      <c r="T622" s="59" t="str">
        <f>IF(ISNUMBER(deployment_raw[[#This Row],[Column8]]),IF(OR(deployment_raw[[#This Row],[Column5]] &lt;&gt; 0,$E$2 &lt;&gt; "Deployment"), MAX(V622, ($T$2 * IF($E$2="Deployment",deployment_raw[[#This Row],[Column5]],1))), 0),"")</f>
        <v/>
      </c>
      <c r="U622" s="50" t="str">
        <f>IF(ISNUMBER(deployment_raw[[#This Row],[Column9]]),IF(OR(deployment_raw[[#This Row],[Column5]] &lt;&gt; 0,$E$2&lt;&gt;"Deployment"), MAX(W622, ($U$2 * IF($E$2="Deployment",deployment_raw[[#This Row],[Column5]],1))), 0),"")</f>
        <v/>
      </c>
      <c r="V622" s="15" t="str">
        <f>IF(ISNUMBER(deployment_raw[[#This Row],[Column12]]), (deployment_raw[[#This Row],[Column12]] * IF($E$2="Deployment",deployment_raw[[#This Row],[Column5]],1)*(1+$V$2)),"")</f>
        <v/>
      </c>
      <c r="W622" s="14" t="str">
        <f>IF(ISNUMBER(deployment_raw[[#This Row],[Column13]]), (deployment_raw[[#This Row],[Column13]] * IF($E$2="Deployment",deployment_raw[[#This Row],[Column5]],1)*(1+$W$2))/1048576,"")</f>
        <v/>
      </c>
    </row>
    <row r="623" spans="1:23" ht="15.75" customHeight="1" x14ac:dyDescent="0.25">
      <c r="A623" s="5" t="str">
        <f>IF(ISNONTEXT(deployment_raw[[#This Row],[Column1]]), "", deployment_raw[[#This Row],[Column1]])</f>
        <v/>
      </c>
      <c r="B623" s="6" t="str">
        <f>IF(ISNONTEXT(deployment_raw[[#This Row],[Column2]]), "", deployment_raw[[#This Row],[Column2]])</f>
        <v/>
      </c>
      <c r="C623" s="6" t="str">
        <f>IF(ISNONTEXT(deployment_raw[[#This Row],[Column3]]), "", deployment_raw[[#This Row],[Column3]])</f>
        <v/>
      </c>
      <c r="D623" s="6" t="str">
        <f>IF(ISNONTEXT(deployment_raw[[#This Row],[Column4]]), "", deployment_raw[[#This Row],[Column4]])</f>
        <v/>
      </c>
      <c r="E623" s="7" t="str">
        <f>IF(ISNUMBER(deployment_raw[[#This Row],[Column5]]), deployment_raw[[#This Row],[Column5]],"")</f>
        <v/>
      </c>
      <c r="F623" s="32" t="str">
        <f>IF(ISNUMBER(deployment_raw[[#This Row],[Column17]]), deployment_raw[[#This Row],[Column17]]/IF(OR($E$2="Deployment",deployment_raw[[#This Row],[Column5]]=0),1,deployment_raw[[#This Row],[Column5]]),"")</f>
        <v/>
      </c>
      <c r="G623" s="42" t="str">
        <f>IF(ISNUMBER(deployment_raw[[#This Row],[Column14]]), deployment_raw[[#This Row],[Column14]]/IF(OR($E$2="Deployment",deployment_raw[[#This Row],[Column5]]=0),1,deployment_raw[[#This Row],[Column5]]),"")</f>
        <v/>
      </c>
      <c r="H623" s="79" t="str">
        <f>IF(ISNUMBER(deployment_raw[[#This Row],[Column19]]), IF(I623&lt;&gt;0,(deployment_raw[[#This Row],[Column19]]/IF(OR($E$2="Deployment",deployment_raw[[#This Row],[Column5]]=0),1,deployment_raw[[#This Row],[Column5]]))/I623,0),"")</f>
        <v/>
      </c>
      <c r="I623" s="69" t="str">
        <f>IF(ISNUMBER(deployment_raw[[#This Row],[Column6]]), (deployment_raw[[#This Row],[Column6]] * IF($E$2="Deployment",deployment_raw[[#This Row],[Column5]],1)),"")</f>
        <v/>
      </c>
      <c r="J623" s="79" t="str">
        <f>IF(ISNUMBER(deployment_raw[[#This Row],[Column19]]), IF(K623&lt;&gt;0,(deployment_raw[[#This Row],[Column19]]/IF(OR($E$2="Deployment",deployment_raw[[#This Row],[Column5]]=0),1,deployment_raw[[#This Row],[Column5]]))/K623,0),"")</f>
        <v/>
      </c>
      <c r="K623" s="72" t="str">
        <f>IF(ISNUMBER(deployment_raw[[#This Row],[Column8]]), (deployment_raw[[#This Row],[Column8]]  * IF($E$2="Deployment",deployment_raw[[#This Row],[Column5]],1)),"")</f>
        <v/>
      </c>
      <c r="L62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2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23" s="81" t="str">
        <f>IF(ISNUMBER(deployment_raw[[#This Row],[Column20]]), IF(O623&lt;&gt;0,deployment_raw[[#This Row],[Column20]]/IF(OR($E$2="Deployment",deployment_raw[[#This Row],[Column5]]=0),1,deployment_raw[[#This Row],[Column5]])/1048576/O623,0),"")</f>
        <v/>
      </c>
      <c r="O623" s="74" t="str">
        <f>IF(ISNUMBER(deployment_raw[[#This Row],[Column7]]), (deployment_raw[[#This Row],[Column7]] * IF($E$2="Deployment",deployment_raw[[#This Row],[Column5]],1))/1048576,"")</f>
        <v/>
      </c>
      <c r="P623" s="81" t="str">
        <f>IF(ISNUMBER(deployment_raw[[#This Row],[Column20]]), IF(Q623&lt;&gt;0,deployment_raw[[#This Row],[Column20]]/IF(OR($E$2="Deployment",deployment_raw[[#This Row],[Column5]]=0),1,deployment_raw[[#This Row],[Column5]])/1048576/Q623,0),"")</f>
        <v/>
      </c>
      <c r="Q623" s="76" t="str">
        <f>IF(ISNUMBER(deployment_raw[[#This Row],[Column9]]), (deployment_raw[[#This Row],[Column9]] * IF($E$2="Deployment",deployment_raw[[#This Row],[Column5]],1))/1048576,"")</f>
        <v/>
      </c>
      <c r="R623" s="57" t="str">
        <f>IF(ISNUMBER(deployment_raw[[#This Row],[Column10]]), (deployment_raw[[#This Row],[Column10]] * IF($E$2="Deployment",deployment_raw[[#This Row],[Column5]],1)),"")</f>
        <v/>
      </c>
      <c r="S623" s="48" t="str">
        <f>IF(ISNUMBER(deployment_raw[[#This Row],[Column11]]), (deployment_raw[[#This Row],[Column11]] * IF($E$2="Deployment",deployment_raw[[#This Row],[Column5]],1))/1048576,"")</f>
        <v/>
      </c>
      <c r="T623" s="59" t="str">
        <f>IF(ISNUMBER(deployment_raw[[#This Row],[Column8]]),IF(OR(deployment_raw[[#This Row],[Column5]] &lt;&gt; 0,$E$2 &lt;&gt; "Deployment"), MAX(V623, ($T$2 * IF($E$2="Deployment",deployment_raw[[#This Row],[Column5]],1))), 0),"")</f>
        <v/>
      </c>
      <c r="U623" s="50" t="str">
        <f>IF(ISNUMBER(deployment_raw[[#This Row],[Column9]]),IF(OR(deployment_raw[[#This Row],[Column5]] &lt;&gt; 0,$E$2&lt;&gt;"Deployment"), MAX(W623, ($U$2 * IF($E$2="Deployment",deployment_raw[[#This Row],[Column5]],1))), 0),"")</f>
        <v/>
      </c>
      <c r="V623" s="15" t="str">
        <f>IF(ISNUMBER(deployment_raw[[#This Row],[Column12]]), (deployment_raw[[#This Row],[Column12]] * IF($E$2="Deployment",deployment_raw[[#This Row],[Column5]],1)*(1+$V$2)),"")</f>
        <v/>
      </c>
      <c r="W623" s="14" t="str">
        <f>IF(ISNUMBER(deployment_raw[[#This Row],[Column13]]), (deployment_raw[[#This Row],[Column13]] * IF($E$2="Deployment",deployment_raw[[#This Row],[Column5]],1)*(1+$W$2))/1048576,"")</f>
        <v/>
      </c>
    </row>
    <row r="624" spans="1:23" ht="15.75" customHeight="1" x14ac:dyDescent="0.25">
      <c r="A624" s="5" t="str">
        <f>IF(ISNONTEXT(deployment_raw[[#This Row],[Column1]]), "", deployment_raw[[#This Row],[Column1]])</f>
        <v/>
      </c>
      <c r="B624" s="6" t="str">
        <f>IF(ISNONTEXT(deployment_raw[[#This Row],[Column2]]), "", deployment_raw[[#This Row],[Column2]])</f>
        <v/>
      </c>
      <c r="C624" s="6" t="str">
        <f>IF(ISNONTEXT(deployment_raw[[#This Row],[Column3]]), "", deployment_raw[[#This Row],[Column3]])</f>
        <v/>
      </c>
      <c r="D624" s="6" t="str">
        <f>IF(ISNONTEXT(deployment_raw[[#This Row],[Column4]]), "", deployment_raw[[#This Row],[Column4]])</f>
        <v/>
      </c>
      <c r="E624" s="7" t="str">
        <f>IF(ISNUMBER(deployment_raw[[#This Row],[Column5]]), deployment_raw[[#This Row],[Column5]],"")</f>
        <v/>
      </c>
      <c r="F624" s="32" t="str">
        <f>IF(ISNUMBER(deployment_raw[[#This Row],[Column17]]), deployment_raw[[#This Row],[Column17]]/IF(OR($E$2="Deployment",deployment_raw[[#This Row],[Column5]]=0),1,deployment_raw[[#This Row],[Column5]]),"")</f>
        <v/>
      </c>
      <c r="G624" s="42" t="str">
        <f>IF(ISNUMBER(deployment_raw[[#This Row],[Column14]]), deployment_raw[[#This Row],[Column14]]/IF(OR($E$2="Deployment",deployment_raw[[#This Row],[Column5]]=0),1,deployment_raw[[#This Row],[Column5]]),"")</f>
        <v/>
      </c>
      <c r="H624" s="79" t="str">
        <f>IF(ISNUMBER(deployment_raw[[#This Row],[Column19]]), IF(I624&lt;&gt;0,(deployment_raw[[#This Row],[Column19]]/IF(OR($E$2="Deployment",deployment_raw[[#This Row],[Column5]]=0),1,deployment_raw[[#This Row],[Column5]]))/I624,0),"")</f>
        <v/>
      </c>
      <c r="I624" s="69" t="str">
        <f>IF(ISNUMBER(deployment_raw[[#This Row],[Column6]]), (deployment_raw[[#This Row],[Column6]] * IF($E$2="Deployment",deployment_raw[[#This Row],[Column5]],1)),"")</f>
        <v/>
      </c>
      <c r="J624" s="79" t="str">
        <f>IF(ISNUMBER(deployment_raw[[#This Row],[Column19]]), IF(K624&lt;&gt;0,(deployment_raw[[#This Row],[Column19]]/IF(OR($E$2="Deployment",deployment_raw[[#This Row],[Column5]]=0),1,deployment_raw[[#This Row],[Column5]]))/K624,0),"")</f>
        <v/>
      </c>
      <c r="K624" s="72" t="str">
        <f>IF(ISNUMBER(deployment_raw[[#This Row],[Column8]]), (deployment_raw[[#This Row],[Column8]]  * IF($E$2="Deployment",deployment_raw[[#This Row],[Column5]],1)),"")</f>
        <v/>
      </c>
      <c r="L62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2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24" s="81" t="str">
        <f>IF(ISNUMBER(deployment_raw[[#This Row],[Column20]]), IF(O624&lt;&gt;0,deployment_raw[[#This Row],[Column20]]/IF(OR($E$2="Deployment",deployment_raw[[#This Row],[Column5]]=0),1,deployment_raw[[#This Row],[Column5]])/1048576/O624,0),"")</f>
        <v/>
      </c>
      <c r="O624" s="74" t="str">
        <f>IF(ISNUMBER(deployment_raw[[#This Row],[Column7]]), (deployment_raw[[#This Row],[Column7]] * IF($E$2="Deployment",deployment_raw[[#This Row],[Column5]],1))/1048576,"")</f>
        <v/>
      </c>
      <c r="P624" s="81" t="str">
        <f>IF(ISNUMBER(deployment_raw[[#This Row],[Column20]]), IF(Q624&lt;&gt;0,deployment_raw[[#This Row],[Column20]]/IF(OR($E$2="Deployment",deployment_raw[[#This Row],[Column5]]=0),1,deployment_raw[[#This Row],[Column5]])/1048576/Q624,0),"")</f>
        <v/>
      </c>
      <c r="Q624" s="76" t="str">
        <f>IF(ISNUMBER(deployment_raw[[#This Row],[Column9]]), (deployment_raw[[#This Row],[Column9]] * IF($E$2="Deployment",deployment_raw[[#This Row],[Column5]],1))/1048576,"")</f>
        <v/>
      </c>
      <c r="R624" s="57" t="str">
        <f>IF(ISNUMBER(deployment_raw[[#This Row],[Column10]]), (deployment_raw[[#This Row],[Column10]] * IF($E$2="Deployment",deployment_raw[[#This Row],[Column5]],1)),"")</f>
        <v/>
      </c>
      <c r="S624" s="48" t="str">
        <f>IF(ISNUMBER(deployment_raw[[#This Row],[Column11]]), (deployment_raw[[#This Row],[Column11]] * IF($E$2="Deployment",deployment_raw[[#This Row],[Column5]],1))/1048576,"")</f>
        <v/>
      </c>
      <c r="T624" s="59" t="str">
        <f>IF(ISNUMBER(deployment_raw[[#This Row],[Column8]]),IF(OR(deployment_raw[[#This Row],[Column5]] &lt;&gt; 0,$E$2 &lt;&gt; "Deployment"), MAX(V624, ($T$2 * IF($E$2="Deployment",deployment_raw[[#This Row],[Column5]],1))), 0),"")</f>
        <v/>
      </c>
      <c r="U624" s="50" t="str">
        <f>IF(ISNUMBER(deployment_raw[[#This Row],[Column9]]),IF(OR(deployment_raw[[#This Row],[Column5]] &lt;&gt; 0,$E$2&lt;&gt;"Deployment"), MAX(W624, ($U$2 * IF($E$2="Deployment",deployment_raw[[#This Row],[Column5]],1))), 0),"")</f>
        <v/>
      </c>
      <c r="V624" s="15" t="str">
        <f>IF(ISNUMBER(deployment_raw[[#This Row],[Column12]]), (deployment_raw[[#This Row],[Column12]] * IF($E$2="Deployment",deployment_raw[[#This Row],[Column5]],1)*(1+$V$2)),"")</f>
        <v/>
      </c>
      <c r="W624" s="14" t="str">
        <f>IF(ISNUMBER(deployment_raw[[#This Row],[Column13]]), (deployment_raw[[#This Row],[Column13]] * IF($E$2="Deployment",deployment_raw[[#This Row],[Column5]],1)*(1+$W$2))/1048576,"")</f>
        <v/>
      </c>
    </row>
    <row r="625" spans="1:23" ht="15.75" customHeight="1" x14ac:dyDescent="0.25">
      <c r="A625" s="5" t="str">
        <f>IF(ISNONTEXT(deployment_raw[[#This Row],[Column1]]), "", deployment_raw[[#This Row],[Column1]])</f>
        <v/>
      </c>
      <c r="B625" s="6" t="str">
        <f>IF(ISNONTEXT(deployment_raw[[#This Row],[Column2]]), "", deployment_raw[[#This Row],[Column2]])</f>
        <v/>
      </c>
      <c r="C625" s="6" t="str">
        <f>IF(ISNONTEXT(deployment_raw[[#This Row],[Column3]]), "", deployment_raw[[#This Row],[Column3]])</f>
        <v/>
      </c>
      <c r="D625" s="6" t="str">
        <f>IF(ISNONTEXT(deployment_raw[[#This Row],[Column4]]), "", deployment_raw[[#This Row],[Column4]])</f>
        <v/>
      </c>
      <c r="E625" s="7" t="str">
        <f>IF(ISNUMBER(deployment_raw[[#This Row],[Column5]]), deployment_raw[[#This Row],[Column5]],"")</f>
        <v/>
      </c>
      <c r="F625" s="32" t="str">
        <f>IF(ISNUMBER(deployment_raw[[#This Row],[Column17]]), deployment_raw[[#This Row],[Column17]]/IF(OR($E$2="Deployment",deployment_raw[[#This Row],[Column5]]=0),1,deployment_raw[[#This Row],[Column5]]),"")</f>
        <v/>
      </c>
      <c r="G625" s="42" t="str">
        <f>IF(ISNUMBER(deployment_raw[[#This Row],[Column14]]), deployment_raw[[#This Row],[Column14]]/IF(OR($E$2="Deployment",deployment_raw[[#This Row],[Column5]]=0),1,deployment_raw[[#This Row],[Column5]]),"")</f>
        <v/>
      </c>
      <c r="H625" s="79" t="str">
        <f>IF(ISNUMBER(deployment_raw[[#This Row],[Column19]]), IF(I625&lt;&gt;0,(deployment_raw[[#This Row],[Column19]]/IF(OR($E$2="Deployment",deployment_raw[[#This Row],[Column5]]=0),1,deployment_raw[[#This Row],[Column5]]))/I625,0),"")</f>
        <v/>
      </c>
      <c r="I625" s="69" t="str">
        <f>IF(ISNUMBER(deployment_raw[[#This Row],[Column6]]), (deployment_raw[[#This Row],[Column6]] * IF($E$2="Deployment",deployment_raw[[#This Row],[Column5]],1)),"")</f>
        <v/>
      </c>
      <c r="J625" s="79" t="str">
        <f>IF(ISNUMBER(deployment_raw[[#This Row],[Column19]]), IF(K625&lt;&gt;0,(deployment_raw[[#This Row],[Column19]]/IF(OR($E$2="Deployment",deployment_raw[[#This Row],[Column5]]=0),1,deployment_raw[[#This Row],[Column5]]))/K625,0),"")</f>
        <v/>
      </c>
      <c r="K625" s="72" t="str">
        <f>IF(ISNUMBER(deployment_raw[[#This Row],[Column8]]), (deployment_raw[[#This Row],[Column8]]  * IF($E$2="Deployment",deployment_raw[[#This Row],[Column5]],1)),"")</f>
        <v/>
      </c>
      <c r="L62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2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25" s="81" t="str">
        <f>IF(ISNUMBER(deployment_raw[[#This Row],[Column20]]), IF(O625&lt;&gt;0,deployment_raw[[#This Row],[Column20]]/IF(OR($E$2="Deployment",deployment_raw[[#This Row],[Column5]]=0),1,deployment_raw[[#This Row],[Column5]])/1048576/O625,0),"")</f>
        <v/>
      </c>
      <c r="O625" s="74" t="str">
        <f>IF(ISNUMBER(deployment_raw[[#This Row],[Column7]]), (deployment_raw[[#This Row],[Column7]] * IF($E$2="Deployment",deployment_raw[[#This Row],[Column5]],1))/1048576,"")</f>
        <v/>
      </c>
      <c r="P625" s="81" t="str">
        <f>IF(ISNUMBER(deployment_raw[[#This Row],[Column20]]), IF(Q625&lt;&gt;0,deployment_raw[[#This Row],[Column20]]/IF(OR($E$2="Deployment",deployment_raw[[#This Row],[Column5]]=0),1,deployment_raw[[#This Row],[Column5]])/1048576/Q625,0),"")</f>
        <v/>
      </c>
      <c r="Q625" s="76" t="str">
        <f>IF(ISNUMBER(deployment_raw[[#This Row],[Column9]]), (deployment_raw[[#This Row],[Column9]] * IF($E$2="Deployment",deployment_raw[[#This Row],[Column5]],1))/1048576,"")</f>
        <v/>
      </c>
      <c r="R625" s="57" t="str">
        <f>IF(ISNUMBER(deployment_raw[[#This Row],[Column10]]), (deployment_raw[[#This Row],[Column10]] * IF($E$2="Deployment",deployment_raw[[#This Row],[Column5]],1)),"")</f>
        <v/>
      </c>
      <c r="S625" s="48" t="str">
        <f>IF(ISNUMBER(deployment_raw[[#This Row],[Column11]]), (deployment_raw[[#This Row],[Column11]] * IF($E$2="Deployment",deployment_raw[[#This Row],[Column5]],1))/1048576,"")</f>
        <v/>
      </c>
      <c r="T625" s="59" t="str">
        <f>IF(ISNUMBER(deployment_raw[[#This Row],[Column8]]),IF(OR(deployment_raw[[#This Row],[Column5]] &lt;&gt; 0,$E$2 &lt;&gt; "Deployment"), MAX(V625, ($T$2 * IF($E$2="Deployment",deployment_raw[[#This Row],[Column5]],1))), 0),"")</f>
        <v/>
      </c>
      <c r="U625" s="50" t="str">
        <f>IF(ISNUMBER(deployment_raw[[#This Row],[Column9]]),IF(OR(deployment_raw[[#This Row],[Column5]] &lt;&gt; 0,$E$2&lt;&gt;"Deployment"), MAX(W625, ($U$2 * IF($E$2="Deployment",deployment_raw[[#This Row],[Column5]],1))), 0),"")</f>
        <v/>
      </c>
      <c r="V625" s="15" t="str">
        <f>IF(ISNUMBER(deployment_raw[[#This Row],[Column12]]), (deployment_raw[[#This Row],[Column12]] * IF($E$2="Deployment",deployment_raw[[#This Row],[Column5]],1)*(1+$V$2)),"")</f>
        <v/>
      </c>
      <c r="W625" s="14" t="str">
        <f>IF(ISNUMBER(deployment_raw[[#This Row],[Column13]]), (deployment_raw[[#This Row],[Column13]] * IF($E$2="Deployment",deployment_raw[[#This Row],[Column5]],1)*(1+$W$2))/1048576,"")</f>
        <v/>
      </c>
    </row>
    <row r="626" spans="1:23" ht="15.75" customHeight="1" x14ac:dyDescent="0.25">
      <c r="A626" s="5" t="str">
        <f>IF(ISNONTEXT(deployment_raw[[#This Row],[Column1]]), "", deployment_raw[[#This Row],[Column1]])</f>
        <v/>
      </c>
      <c r="B626" s="6" t="str">
        <f>IF(ISNONTEXT(deployment_raw[[#This Row],[Column2]]), "", deployment_raw[[#This Row],[Column2]])</f>
        <v/>
      </c>
      <c r="C626" s="6" t="str">
        <f>IF(ISNONTEXT(deployment_raw[[#This Row],[Column3]]), "", deployment_raw[[#This Row],[Column3]])</f>
        <v/>
      </c>
      <c r="D626" s="6" t="str">
        <f>IF(ISNONTEXT(deployment_raw[[#This Row],[Column4]]), "", deployment_raw[[#This Row],[Column4]])</f>
        <v/>
      </c>
      <c r="E626" s="7" t="str">
        <f>IF(ISNUMBER(deployment_raw[[#This Row],[Column5]]), deployment_raw[[#This Row],[Column5]],"")</f>
        <v/>
      </c>
      <c r="F626" s="32" t="str">
        <f>IF(ISNUMBER(deployment_raw[[#This Row],[Column17]]), deployment_raw[[#This Row],[Column17]]/IF(OR($E$2="Deployment",deployment_raw[[#This Row],[Column5]]=0),1,deployment_raw[[#This Row],[Column5]]),"")</f>
        <v/>
      </c>
      <c r="G626" s="42" t="str">
        <f>IF(ISNUMBER(deployment_raw[[#This Row],[Column14]]), deployment_raw[[#This Row],[Column14]]/IF(OR($E$2="Deployment",deployment_raw[[#This Row],[Column5]]=0),1,deployment_raw[[#This Row],[Column5]]),"")</f>
        <v/>
      </c>
      <c r="H626" s="79" t="str">
        <f>IF(ISNUMBER(deployment_raw[[#This Row],[Column19]]), IF(I626&lt;&gt;0,(deployment_raw[[#This Row],[Column19]]/IF(OR($E$2="Deployment",deployment_raw[[#This Row],[Column5]]=0),1,deployment_raw[[#This Row],[Column5]]))/I626,0),"")</f>
        <v/>
      </c>
      <c r="I626" s="69" t="str">
        <f>IF(ISNUMBER(deployment_raw[[#This Row],[Column6]]), (deployment_raw[[#This Row],[Column6]] * IF($E$2="Deployment",deployment_raw[[#This Row],[Column5]],1)),"")</f>
        <v/>
      </c>
      <c r="J626" s="79" t="str">
        <f>IF(ISNUMBER(deployment_raw[[#This Row],[Column19]]), IF(K626&lt;&gt;0,(deployment_raw[[#This Row],[Column19]]/IF(OR($E$2="Deployment",deployment_raw[[#This Row],[Column5]]=0),1,deployment_raw[[#This Row],[Column5]]))/K626,0),"")</f>
        <v/>
      </c>
      <c r="K626" s="72" t="str">
        <f>IF(ISNUMBER(deployment_raw[[#This Row],[Column8]]), (deployment_raw[[#This Row],[Column8]]  * IF($E$2="Deployment",deployment_raw[[#This Row],[Column5]],1)),"")</f>
        <v/>
      </c>
      <c r="L62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2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26" s="81" t="str">
        <f>IF(ISNUMBER(deployment_raw[[#This Row],[Column20]]), IF(O626&lt;&gt;0,deployment_raw[[#This Row],[Column20]]/IF(OR($E$2="Deployment",deployment_raw[[#This Row],[Column5]]=0),1,deployment_raw[[#This Row],[Column5]])/1048576/O626,0),"")</f>
        <v/>
      </c>
      <c r="O626" s="74" t="str">
        <f>IF(ISNUMBER(deployment_raw[[#This Row],[Column7]]), (deployment_raw[[#This Row],[Column7]] * IF($E$2="Deployment",deployment_raw[[#This Row],[Column5]],1))/1048576,"")</f>
        <v/>
      </c>
      <c r="P626" s="81" t="str">
        <f>IF(ISNUMBER(deployment_raw[[#This Row],[Column20]]), IF(Q626&lt;&gt;0,deployment_raw[[#This Row],[Column20]]/IF(OR($E$2="Deployment",deployment_raw[[#This Row],[Column5]]=0),1,deployment_raw[[#This Row],[Column5]])/1048576/Q626,0),"")</f>
        <v/>
      </c>
      <c r="Q626" s="76" t="str">
        <f>IF(ISNUMBER(deployment_raw[[#This Row],[Column9]]), (deployment_raw[[#This Row],[Column9]] * IF($E$2="Deployment",deployment_raw[[#This Row],[Column5]],1))/1048576,"")</f>
        <v/>
      </c>
      <c r="R626" s="57" t="str">
        <f>IF(ISNUMBER(deployment_raw[[#This Row],[Column10]]), (deployment_raw[[#This Row],[Column10]] * IF($E$2="Deployment",deployment_raw[[#This Row],[Column5]],1)),"")</f>
        <v/>
      </c>
      <c r="S626" s="48" t="str">
        <f>IF(ISNUMBER(deployment_raw[[#This Row],[Column11]]), (deployment_raw[[#This Row],[Column11]] * IF($E$2="Deployment",deployment_raw[[#This Row],[Column5]],1))/1048576,"")</f>
        <v/>
      </c>
      <c r="T626" s="59" t="str">
        <f>IF(ISNUMBER(deployment_raw[[#This Row],[Column8]]),IF(OR(deployment_raw[[#This Row],[Column5]] &lt;&gt; 0,$E$2 &lt;&gt; "Deployment"), MAX(V626, ($T$2 * IF($E$2="Deployment",deployment_raw[[#This Row],[Column5]],1))), 0),"")</f>
        <v/>
      </c>
      <c r="U626" s="50" t="str">
        <f>IF(ISNUMBER(deployment_raw[[#This Row],[Column9]]),IF(OR(deployment_raw[[#This Row],[Column5]] &lt;&gt; 0,$E$2&lt;&gt;"Deployment"), MAX(W626, ($U$2 * IF($E$2="Deployment",deployment_raw[[#This Row],[Column5]],1))), 0),"")</f>
        <v/>
      </c>
      <c r="V626" s="15" t="str">
        <f>IF(ISNUMBER(deployment_raw[[#This Row],[Column12]]), (deployment_raw[[#This Row],[Column12]] * IF($E$2="Deployment",deployment_raw[[#This Row],[Column5]],1)*(1+$V$2)),"")</f>
        <v/>
      </c>
      <c r="W626" s="14" t="str">
        <f>IF(ISNUMBER(deployment_raw[[#This Row],[Column13]]), (deployment_raw[[#This Row],[Column13]] * IF($E$2="Deployment",deployment_raw[[#This Row],[Column5]],1)*(1+$W$2))/1048576,"")</f>
        <v/>
      </c>
    </row>
    <row r="627" spans="1:23" ht="15.75" customHeight="1" x14ac:dyDescent="0.25">
      <c r="A627" s="5" t="str">
        <f>IF(ISNONTEXT(deployment_raw[[#This Row],[Column1]]), "", deployment_raw[[#This Row],[Column1]])</f>
        <v/>
      </c>
      <c r="B627" s="6" t="str">
        <f>IF(ISNONTEXT(deployment_raw[[#This Row],[Column2]]), "", deployment_raw[[#This Row],[Column2]])</f>
        <v/>
      </c>
      <c r="C627" s="6" t="str">
        <f>IF(ISNONTEXT(deployment_raw[[#This Row],[Column3]]), "", deployment_raw[[#This Row],[Column3]])</f>
        <v/>
      </c>
      <c r="D627" s="6" t="str">
        <f>IF(ISNONTEXT(deployment_raw[[#This Row],[Column4]]), "", deployment_raw[[#This Row],[Column4]])</f>
        <v/>
      </c>
      <c r="E627" s="7" t="str">
        <f>IF(ISNUMBER(deployment_raw[[#This Row],[Column5]]), deployment_raw[[#This Row],[Column5]],"")</f>
        <v/>
      </c>
      <c r="F627" s="32" t="str">
        <f>IF(ISNUMBER(deployment_raw[[#This Row],[Column17]]), deployment_raw[[#This Row],[Column17]]/IF(OR($E$2="Deployment",deployment_raw[[#This Row],[Column5]]=0),1,deployment_raw[[#This Row],[Column5]]),"")</f>
        <v/>
      </c>
      <c r="G627" s="42" t="str">
        <f>IF(ISNUMBER(deployment_raw[[#This Row],[Column14]]), deployment_raw[[#This Row],[Column14]]/IF(OR($E$2="Deployment",deployment_raw[[#This Row],[Column5]]=0),1,deployment_raw[[#This Row],[Column5]]),"")</f>
        <v/>
      </c>
      <c r="H627" s="79" t="str">
        <f>IF(ISNUMBER(deployment_raw[[#This Row],[Column19]]), IF(I627&lt;&gt;0,(deployment_raw[[#This Row],[Column19]]/IF(OR($E$2="Deployment",deployment_raw[[#This Row],[Column5]]=0),1,deployment_raw[[#This Row],[Column5]]))/I627,0),"")</f>
        <v/>
      </c>
      <c r="I627" s="69" t="str">
        <f>IF(ISNUMBER(deployment_raw[[#This Row],[Column6]]), (deployment_raw[[#This Row],[Column6]] * IF($E$2="Deployment",deployment_raw[[#This Row],[Column5]],1)),"")</f>
        <v/>
      </c>
      <c r="J627" s="79" t="str">
        <f>IF(ISNUMBER(deployment_raw[[#This Row],[Column19]]), IF(K627&lt;&gt;0,(deployment_raw[[#This Row],[Column19]]/IF(OR($E$2="Deployment",deployment_raw[[#This Row],[Column5]]=0),1,deployment_raw[[#This Row],[Column5]]))/K627,0),"")</f>
        <v/>
      </c>
      <c r="K627" s="72" t="str">
        <f>IF(ISNUMBER(deployment_raw[[#This Row],[Column8]]), (deployment_raw[[#This Row],[Column8]]  * IF($E$2="Deployment",deployment_raw[[#This Row],[Column5]],1)),"")</f>
        <v/>
      </c>
      <c r="L62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2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27" s="81" t="str">
        <f>IF(ISNUMBER(deployment_raw[[#This Row],[Column20]]), IF(O627&lt;&gt;0,deployment_raw[[#This Row],[Column20]]/IF(OR($E$2="Deployment",deployment_raw[[#This Row],[Column5]]=0),1,deployment_raw[[#This Row],[Column5]])/1048576/O627,0),"")</f>
        <v/>
      </c>
      <c r="O627" s="74" t="str">
        <f>IF(ISNUMBER(deployment_raw[[#This Row],[Column7]]), (deployment_raw[[#This Row],[Column7]] * IF($E$2="Deployment",deployment_raw[[#This Row],[Column5]],1))/1048576,"")</f>
        <v/>
      </c>
      <c r="P627" s="81" t="str">
        <f>IF(ISNUMBER(deployment_raw[[#This Row],[Column20]]), IF(Q627&lt;&gt;0,deployment_raw[[#This Row],[Column20]]/IF(OR($E$2="Deployment",deployment_raw[[#This Row],[Column5]]=0),1,deployment_raw[[#This Row],[Column5]])/1048576/Q627,0),"")</f>
        <v/>
      </c>
      <c r="Q627" s="76" t="str">
        <f>IF(ISNUMBER(deployment_raw[[#This Row],[Column9]]), (deployment_raw[[#This Row],[Column9]] * IF($E$2="Deployment",deployment_raw[[#This Row],[Column5]],1))/1048576,"")</f>
        <v/>
      </c>
      <c r="R627" s="57" t="str">
        <f>IF(ISNUMBER(deployment_raw[[#This Row],[Column10]]), (deployment_raw[[#This Row],[Column10]] * IF($E$2="Deployment",deployment_raw[[#This Row],[Column5]],1)),"")</f>
        <v/>
      </c>
      <c r="S627" s="48" t="str">
        <f>IF(ISNUMBER(deployment_raw[[#This Row],[Column11]]), (deployment_raw[[#This Row],[Column11]] * IF($E$2="Deployment",deployment_raw[[#This Row],[Column5]],1))/1048576,"")</f>
        <v/>
      </c>
      <c r="T627" s="59" t="str">
        <f>IF(ISNUMBER(deployment_raw[[#This Row],[Column8]]),IF(OR(deployment_raw[[#This Row],[Column5]] &lt;&gt; 0,$E$2 &lt;&gt; "Deployment"), MAX(V627, ($T$2 * IF($E$2="Deployment",deployment_raw[[#This Row],[Column5]],1))), 0),"")</f>
        <v/>
      </c>
      <c r="U627" s="50" t="str">
        <f>IF(ISNUMBER(deployment_raw[[#This Row],[Column9]]),IF(OR(deployment_raw[[#This Row],[Column5]] &lt;&gt; 0,$E$2&lt;&gt;"Deployment"), MAX(W627, ($U$2 * IF($E$2="Deployment",deployment_raw[[#This Row],[Column5]],1))), 0),"")</f>
        <v/>
      </c>
      <c r="V627" s="15" t="str">
        <f>IF(ISNUMBER(deployment_raw[[#This Row],[Column12]]), (deployment_raw[[#This Row],[Column12]] * IF($E$2="Deployment",deployment_raw[[#This Row],[Column5]],1)*(1+$V$2)),"")</f>
        <v/>
      </c>
      <c r="W627" s="14" t="str">
        <f>IF(ISNUMBER(deployment_raw[[#This Row],[Column13]]), (deployment_raw[[#This Row],[Column13]] * IF($E$2="Deployment",deployment_raw[[#This Row],[Column5]],1)*(1+$W$2))/1048576,"")</f>
        <v/>
      </c>
    </row>
    <row r="628" spans="1:23" ht="15.75" customHeight="1" x14ac:dyDescent="0.25">
      <c r="A628" s="5" t="str">
        <f>IF(ISNONTEXT(deployment_raw[[#This Row],[Column1]]), "", deployment_raw[[#This Row],[Column1]])</f>
        <v/>
      </c>
      <c r="B628" s="6" t="str">
        <f>IF(ISNONTEXT(deployment_raw[[#This Row],[Column2]]), "", deployment_raw[[#This Row],[Column2]])</f>
        <v/>
      </c>
      <c r="C628" s="6" t="str">
        <f>IF(ISNONTEXT(deployment_raw[[#This Row],[Column3]]), "", deployment_raw[[#This Row],[Column3]])</f>
        <v/>
      </c>
      <c r="D628" s="6" t="str">
        <f>IF(ISNONTEXT(deployment_raw[[#This Row],[Column4]]), "", deployment_raw[[#This Row],[Column4]])</f>
        <v/>
      </c>
      <c r="E628" s="7" t="str">
        <f>IF(ISNUMBER(deployment_raw[[#This Row],[Column5]]), deployment_raw[[#This Row],[Column5]],"")</f>
        <v/>
      </c>
      <c r="F628" s="32" t="str">
        <f>IF(ISNUMBER(deployment_raw[[#This Row],[Column17]]), deployment_raw[[#This Row],[Column17]]/IF(OR($E$2="Deployment",deployment_raw[[#This Row],[Column5]]=0),1,deployment_raw[[#This Row],[Column5]]),"")</f>
        <v/>
      </c>
      <c r="G628" s="42" t="str">
        <f>IF(ISNUMBER(deployment_raw[[#This Row],[Column14]]), deployment_raw[[#This Row],[Column14]]/IF(OR($E$2="Deployment",deployment_raw[[#This Row],[Column5]]=0),1,deployment_raw[[#This Row],[Column5]]),"")</f>
        <v/>
      </c>
      <c r="H628" s="79" t="str">
        <f>IF(ISNUMBER(deployment_raw[[#This Row],[Column19]]), IF(I628&lt;&gt;0,(deployment_raw[[#This Row],[Column19]]/IF(OR($E$2="Deployment",deployment_raw[[#This Row],[Column5]]=0),1,deployment_raw[[#This Row],[Column5]]))/I628,0),"")</f>
        <v/>
      </c>
      <c r="I628" s="69" t="str">
        <f>IF(ISNUMBER(deployment_raw[[#This Row],[Column6]]), (deployment_raw[[#This Row],[Column6]] * IF($E$2="Deployment",deployment_raw[[#This Row],[Column5]],1)),"")</f>
        <v/>
      </c>
      <c r="J628" s="79" t="str">
        <f>IF(ISNUMBER(deployment_raw[[#This Row],[Column19]]), IF(K628&lt;&gt;0,(deployment_raw[[#This Row],[Column19]]/IF(OR($E$2="Deployment",deployment_raw[[#This Row],[Column5]]=0),1,deployment_raw[[#This Row],[Column5]]))/K628,0),"")</f>
        <v/>
      </c>
      <c r="K628" s="72" t="str">
        <f>IF(ISNUMBER(deployment_raw[[#This Row],[Column8]]), (deployment_raw[[#This Row],[Column8]]  * IF($E$2="Deployment",deployment_raw[[#This Row],[Column5]],1)),"")</f>
        <v/>
      </c>
      <c r="L62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2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28" s="81" t="str">
        <f>IF(ISNUMBER(deployment_raw[[#This Row],[Column20]]), IF(O628&lt;&gt;0,deployment_raw[[#This Row],[Column20]]/IF(OR($E$2="Deployment",deployment_raw[[#This Row],[Column5]]=0),1,deployment_raw[[#This Row],[Column5]])/1048576/O628,0),"")</f>
        <v/>
      </c>
      <c r="O628" s="74" t="str">
        <f>IF(ISNUMBER(deployment_raw[[#This Row],[Column7]]), (deployment_raw[[#This Row],[Column7]] * IF($E$2="Deployment",deployment_raw[[#This Row],[Column5]],1))/1048576,"")</f>
        <v/>
      </c>
      <c r="P628" s="81" t="str">
        <f>IF(ISNUMBER(deployment_raw[[#This Row],[Column20]]), IF(Q628&lt;&gt;0,deployment_raw[[#This Row],[Column20]]/IF(OR($E$2="Deployment",deployment_raw[[#This Row],[Column5]]=0),1,deployment_raw[[#This Row],[Column5]])/1048576/Q628,0),"")</f>
        <v/>
      </c>
      <c r="Q628" s="76" t="str">
        <f>IF(ISNUMBER(deployment_raw[[#This Row],[Column9]]), (deployment_raw[[#This Row],[Column9]] * IF($E$2="Deployment",deployment_raw[[#This Row],[Column5]],1))/1048576,"")</f>
        <v/>
      </c>
      <c r="R628" s="57" t="str">
        <f>IF(ISNUMBER(deployment_raw[[#This Row],[Column10]]), (deployment_raw[[#This Row],[Column10]] * IF($E$2="Deployment",deployment_raw[[#This Row],[Column5]],1)),"")</f>
        <v/>
      </c>
      <c r="S628" s="48" t="str">
        <f>IF(ISNUMBER(deployment_raw[[#This Row],[Column11]]), (deployment_raw[[#This Row],[Column11]] * IF($E$2="Deployment",deployment_raw[[#This Row],[Column5]],1))/1048576,"")</f>
        <v/>
      </c>
      <c r="T628" s="59" t="str">
        <f>IF(ISNUMBER(deployment_raw[[#This Row],[Column8]]),IF(OR(deployment_raw[[#This Row],[Column5]] &lt;&gt; 0,$E$2 &lt;&gt; "Deployment"), MAX(V628, ($T$2 * IF($E$2="Deployment",deployment_raw[[#This Row],[Column5]],1))), 0),"")</f>
        <v/>
      </c>
      <c r="U628" s="50" t="str">
        <f>IF(ISNUMBER(deployment_raw[[#This Row],[Column9]]),IF(OR(deployment_raw[[#This Row],[Column5]] &lt;&gt; 0,$E$2&lt;&gt;"Deployment"), MAX(W628, ($U$2 * IF($E$2="Deployment",deployment_raw[[#This Row],[Column5]],1))), 0),"")</f>
        <v/>
      </c>
      <c r="V628" s="15" t="str">
        <f>IF(ISNUMBER(deployment_raw[[#This Row],[Column12]]), (deployment_raw[[#This Row],[Column12]] * IF($E$2="Deployment",deployment_raw[[#This Row],[Column5]],1)*(1+$V$2)),"")</f>
        <v/>
      </c>
      <c r="W628" s="14" t="str">
        <f>IF(ISNUMBER(deployment_raw[[#This Row],[Column13]]), (deployment_raw[[#This Row],[Column13]] * IF($E$2="Deployment",deployment_raw[[#This Row],[Column5]],1)*(1+$W$2))/1048576,"")</f>
        <v/>
      </c>
    </row>
    <row r="629" spans="1:23" ht="15.75" customHeight="1" x14ac:dyDescent="0.25">
      <c r="A629" s="5" t="str">
        <f>IF(ISNONTEXT(deployment_raw[[#This Row],[Column1]]), "", deployment_raw[[#This Row],[Column1]])</f>
        <v/>
      </c>
      <c r="B629" s="6" t="str">
        <f>IF(ISNONTEXT(deployment_raw[[#This Row],[Column2]]), "", deployment_raw[[#This Row],[Column2]])</f>
        <v/>
      </c>
      <c r="C629" s="6" t="str">
        <f>IF(ISNONTEXT(deployment_raw[[#This Row],[Column3]]), "", deployment_raw[[#This Row],[Column3]])</f>
        <v/>
      </c>
      <c r="D629" s="6" t="str">
        <f>IF(ISNONTEXT(deployment_raw[[#This Row],[Column4]]), "", deployment_raw[[#This Row],[Column4]])</f>
        <v/>
      </c>
      <c r="E629" s="7" t="str">
        <f>IF(ISNUMBER(deployment_raw[[#This Row],[Column5]]), deployment_raw[[#This Row],[Column5]],"")</f>
        <v/>
      </c>
      <c r="F629" s="32" t="str">
        <f>IF(ISNUMBER(deployment_raw[[#This Row],[Column17]]), deployment_raw[[#This Row],[Column17]]/IF(OR($E$2="Deployment",deployment_raw[[#This Row],[Column5]]=0),1,deployment_raw[[#This Row],[Column5]]),"")</f>
        <v/>
      </c>
      <c r="G629" s="42" t="str">
        <f>IF(ISNUMBER(deployment_raw[[#This Row],[Column14]]), deployment_raw[[#This Row],[Column14]]/IF(OR($E$2="Deployment",deployment_raw[[#This Row],[Column5]]=0),1,deployment_raw[[#This Row],[Column5]]),"")</f>
        <v/>
      </c>
      <c r="H629" s="79" t="str">
        <f>IF(ISNUMBER(deployment_raw[[#This Row],[Column19]]), IF(I629&lt;&gt;0,(deployment_raw[[#This Row],[Column19]]/IF(OR($E$2="Deployment",deployment_raw[[#This Row],[Column5]]=0),1,deployment_raw[[#This Row],[Column5]]))/I629,0),"")</f>
        <v/>
      </c>
      <c r="I629" s="69" t="str">
        <f>IF(ISNUMBER(deployment_raw[[#This Row],[Column6]]), (deployment_raw[[#This Row],[Column6]] * IF($E$2="Deployment",deployment_raw[[#This Row],[Column5]],1)),"")</f>
        <v/>
      </c>
      <c r="J629" s="79" t="str">
        <f>IF(ISNUMBER(deployment_raw[[#This Row],[Column19]]), IF(K629&lt;&gt;0,(deployment_raw[[#This Row],[Column19]]/IF(OR($E$2="Deployment",deployment_raw[[#This Row],[Column5]]=0),1,deployment_raw[[#This Row],[Column5]]))/K629,0),"")</f>
        <v/>
      </c>
      <c r="K629" s="72" t="str">
        <f>IF(ISNUMBER(deployment_raw[[#This Row],[Column8]]), (deployment_raw[[#This Row],[Column8]]  * IF($E$2="Deployment",deployment_raw[[#This Row],[Column5]],1)),"")</f>
        <v/>
      </c>
      <c r="L62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2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29" s="81" t="str">
        <f>IF(ISNUMBER(deployment_raw[[#This Row],[Column20]]), IF(O629&lt;&gt;0,deployment_raw[[#This Row],[Column20]]/IF(OR($E$2="Deployment",deployment_raw[[#This Row],[Column5]]=0),1,deployment_raw[[#This Row],[Column5]])/1048576/O629,0),"")</f>
        <v/>
      </c>
      <c r="O629" s="74" t="str">
        <f>IF(ISNUMBER(deployment_raw[[#This Row],[Column7]]), (deployment_raw[[#This Row],[Column7]] * IF($E$2="Deployment",deployment_raw[[#This Row],[Column5]],1))/1048576,"")</f>
        <v/>
      </c>
      <c r="P629" s="81" t="str">
        <f>IF(ISNUMBER(deployment_raw[[#This Row],[Column20]]), IF(Q629&lt;&gt;0,deployment_raw[[#This Row],[Column20]]/IF(OR($E$2="Deployment",deployment_raw[[#This Row],[Column5]]=0),1,deployment_raw[[#This Row],[Column5]])/1048576/Q629,0),"")</f>
        <v/>
      </c>
      <c r="Q629" s="76" t="str">
        <f>IF(ISNUMBER(deployment_raw[[#This Row],[Column9]]), (deployment_raw[[#This Row],[Column9]] * IF($E$2="Deployment",deployment_raw[[#This Row],[Column5]],1))/1048576,"")</f>
        <v/>
      </c>
      <c r="R629" s="57" t="str">
        <f>IF(ISNUMBER(deployment_raw[[#This Row],[Column10]]), (deployment_raw[[#This Row],[Column10]] * IF($E$2="Deployment",deployment_raw[[#This Row],[Column5]],1)),"")</f>
        <v/>
      </c>
      <c r="S629" s="48" t="str">
        <f>IF(ISNUMBER(deployment_raw[[#This Row],[Column11]]), (deployment_raw[[#This Row],[Column11]] * IF($E$2="Deployment",deployment_raw[[#This Row],[Column5]],1))/1048576,"")</f>
        <v/>
      </c>
      <c r="T629" s="59" t="str">
        <f>IF(ISNUMBER(deployment_raw[[#This Row],[Column8]]),IF(OR(deployment_raw[[#This Row],[Column5]] &lt;&gt; 0,$E$2 &lt;&gt; "Deployment"), MAX(V629, ($T$2 * IF($E$2="Deployment",deployment_raw[[#This Row],[Column5]],1))), 0),"")</f>
        <v/>
      </c>
      <c r="U629" s="50" t="str">
        <f>IF(ISNUMBER(deployment_raw[[#This Row],[Column9]]),IF(OR(deployment_raw[[#This Row],[Column5]] &lt;&gt; 0,$E$2&lt;&gt;"Deployment"), MAX(W629, ($U$2 * IF($E$2="Deployment",deployment_raw[[#This Row],[Column5]],1))), 0),"")</f>
        <v/>
      </c>
      <c r="V629" s="15" t="str">
        <f>IF(ISNUMBER(deployment_raw[[#This Row],[Column12]]), (deployment_raw[[#This Row],[Column12]] * IF($E$2="Deployment",deployment_raw[[#This Row],[Column5]],1)*(1+$V$2)),"")</f>
        <v/>
      </c>
      <c r="W629" s="14" t="str">
        <f>IF(ISNUMBER(deployment_raw[[#This Row],[Column13]]), (deployment_raw[[#This Row],[Column13]] * IF($E$2="Deployment",deployment_raw[[#This Row],[Column5]],1)*(1+$W$2))/1048576,"")</f>
        <v/>
      </c>
    </row>
    <row r="630" spans="1:23" ht="15.75" customHeight="1" x14ac:dyDescent="0.25">
      <c r="A630" s="5" t="str">
        <f>IF(ISNONTEXT(deployment_raw[[#This Row],[Column1]]), "", deployment_raw[[#This Row],[Column1]])</f>
        <v/>
      </c>
      <c r="B630" s="6" t="str">
        <f>IF(ISNONTEXT(deployment_raw[[#This Row],[Column2]]), "", deployment_raw[[#This Row],[Column2]])</f>
        <v/>
      </c>
      <c r="C630" s="6" t="str">
        <f>IF(ISNONTEXT(deployment_raw[[#This Row],[Column3]]), "", deployment_raw[[#This Row],[Column3]])</f>
        <v/>
      </c>
      <c r="D630" s="6" t="str">
        <f>IF(ISNONTEXT(deployment_raw[[#This Row],[Column4]]), "", deployment_raw[[#This Row],[Column4]])</f>
        <v/>
      </c>
      <c r="E630" s="7" t="str">
        <f>IF(ISNUMBER(deployment_raw[[#This Row],[Column5]]), deployment_raw[[#This Row],[Column5]],"")</f>
        <v/>
      </c>
      <c r="F630" s="32" t="str">
        <f>IF(ISNUMBER(deployment_raw[[#This Row],[Column17]]), deployment_raw[[#This Row],[Column17]]/IF(OR($E$2="Deployment",deployment_raw[[#This Row],[Column5]]=0),1,deployment_raw[[#This Row],[Column5]]),"")</f>
        <v/>
      </c>
      <c r="G630" s="42" t="str">
        <f>IF(ISNUMBER(deployment_raw[[#This Row],[Column14]]), deployment_raw[[#This Row],[Column14]]/IF(OR($E$2="Deployment",deployment_raw[[#This Row],[Column5]]=0),1,deployment_raw[[#This Row],[Column5]]),"")</f>
        <v/>
      </c>
      <c r="H630" s="79" t="str">
        <f>IF(ISNUMBER(deployment_raw[[#This Row],[Column19]]), IF(I630&lt;&gt;0,(deployment_raw[[#This Row],[Column19]]/IF(OR($E$2="Deployment",deployment_raw[[#This Row],[Column5]]=0),1,deployment_raw[[#This Row],[Column5]]))/I630,0),"")</f>
        <v/>
      </c>
      <c r="I630" s="69" t="str">
        <f>IF(ISNUMBER(deployment_raw[[#This Row],[Column6]]), (deployment_raw[[#This Row],[Column6]] * IF($E$2="Deployment",deployment_raw[[#This Row],[Column5]],1)),"")</f>
        <v/>
      </c>
      <c r="J630" s="79" t="str">
        <f>IF(ISNUMBER(deployment_raw[[#This Row],[Column19]]), IF(K630&lt;&gt;0,(deployment_raw[[#This Row],[Column19]]/IF(OR($E$2="Deployment",deployment_raw[[#This Row],[Column5]]=0),1,deployment_raw[[#This Row],[Column5]]))/K630,0),"")</f>
        <v/>
      </c>
      <c r="K630" s="72" t="str">
        <f>IF(ISNUMBER(deployment_raw[[#This Row],[Column8]]), (deployment_raw[[#This Row],[Column8]]  * IF($E$2="Deployment",deployment_raw[[#This Row],[Column5]],1)),"")</f>
        <v/>
      </c>
      <c r="L63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3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30" s="81" t="str">
        <f>IF(ISNUMBER(deployment_raw[[#This Row],[Column20]]), IF(O630&lt;&gt;0,deployment_raw[[#This Row],[Column20]]/IF(OR($E$2="Deployment",deployment_raw[[#This Row],[Column5]]=0),1,deployment_raw[[#This Row],[Column5]])/1048576/O630,0),"")</f>
        <v/>
      </c>
      <c r="O630" s="74" t="str">
        <f>IF(ISNUMBER(deployment_raw[[#This Row],[Column7]]), (deployment_raw[[#This Row],[Column7]] * IF($E$2="Deployment",deployment_raw[[#This Row],[Column5]],1))/1048576,"")</f>
        <v/>
      </c>
      <c r="P630" s="81" t="str">
        <f>IF(ISNUMBER(deployment_raw[[#This Row],[Column20]]), IF(Q630&lt;&gt;0,deployment_raw[[#This Row],[Column20]]/IF(OR($E$2="Deployment",deployment_raw[[#This Row],[Column5]]=0),1,deployment_raw[[#This Row],[Column5]])/1048576/Q630,0),"")</f>
        <v/>
      </c>
      <c r="Q630" s="76" t="str">
        <f>IF(ISNUMBER(deployment_raw[[#This Row],[Column9]]), (deployment_raw[[#This Row],[Column9]] * IF($E$2="Deployment",deployment_raw[[#This Row],[Column5]],1))/1048576,"")</f>
        <v/>
      </c>
      <c r="R630" s="57" t="str">
        <f>IF(ISNUMBER(deployment_raw[[#This Row],[Column10]]), (deployment_raw[[#This Row],[Column10]] * IF($E$2="Deployment",deployment_raw[[#This Row],[Column5]],1)),"")</f>
        <v/>
      </c>
      <c r="S630" s="48" t="str">
        <f>IF(ISNUMBER(deployment_raw[[#This Row],[Column11]]), (deployment_raw[[#This Row],[Column11]] * IF($E$2="Deployment",deployment_raw[[#This Row],[Column5]],1))/1048576,"")</f>
        <v/>
      </c>
      <c r="T630" s="59" t="str">
        <f>IF(ISNUMBER(deployment_raw[[#This Row],[Column8]]),IF(OR(deployment_raw[[#This Row],[Column5]] &lt;&gt; 0,$E$2 &lt;&gt; "Deployment"), MAX(V630, ($T$2 * IF($E$2="Deployment",deployment_raw[[#This Row],[Column5]],1))), 0),"")</f>
        <v/>
      </c>
      <c r="U630" s="50" t="str">
        <f>IF(ISNUMBER(deployment_raw[[#This Row],[Column9]]),IF(OR(deployment_raw[[#This Row],[Column5]] &lt;&gt; 0,$E$2&lt;&gt;"Deployment"), MAX(W630, ($U$2 * IF($E$2="Deployment",deployment_raw[[#This Row],[Column5]],1))), 0),"")</f>
        <v/>
      </c>
      <c r="V630" s="15" t="str">
        <f>IF(ISNUMBER(deployment_raw[[#This Row],[Column12]]), (deployment_raw[[#This Row],[Column12]] * IF($E$2="Deployment",deployment_raw[[#This Row],[Column5]],1)*(1+$V$2)),"")</f>
        <v/>
      </c>
      <c r="W630" s="14" t="str">
        <f>IF(ISNUMBER(deployment_raw[[#This Row],[Column13]]), (deployment_raw[[#This Row],[Column13]] * IF($E$2="Deployment",deployment_raw[[#This Row],[Column5]],1)*(1+$W$2))/1048576,"")</f>
        <v/>
      </c>
    </row>
    <row r="631" spans="1:23" ht="15.75" customHeight="1" x14ac:dyDescent="0.25">
      <c r="A631" s="5" t="str">
        <f>IF(ISNONTEXT(deployment_raw[[#This Row],[Column1]]), "", deployment_raw[[#This Row],[Column1]])</f>
        <v/>
      </c>
      <c r="B631" s="6" t="str">
        <f>IF(ISNONTEXT(deployment_raw[[#This Row],[Column2]]), "", deployment_raw[[#This Row],[Column2]])</f>
        <v/>
      </c>
      <c r="C631" s="6" t="str">
        <f>IF(ISNONTEXT(deployment_raw[[#This Row],[Column3]]), "", deployment_raw[[#This Row],[Column3]])</f>
        <v/>
      </c>
      <c r="D631" s="6" t="str">
        <f>IF(ISNONTEXT(deployment_raw[[#This Row],[Column4]]), "", deployment_raw[[#This Row],[Column4]])</f>
        <v/>
      </c>
      <c r="E631" s="7" t="str">
        <f>IF(ISNUMBER(deployment_raw[[#This Row],[Column5]]), deployment_raw[[#This Row],[Column5]],"")</f>
        <v/>
      </c>
      <c r="F631" s="32" t="str">
        <f>IF(ISNUMBER(deployment_raw[[#This Row],[Column17]]), deployment_raw[[#This Row],[Column17]]/IF(OR($E$2="Deployment",deployment_raw[[#This Row],[Column5]]=0),1,deployment_raw[[#This Row],[Column5]]),"")</f>
        <v/>
      </c>
      <c r="G631" s="42" t="str">
        <f>IF(ISNUMBER(deployment_raw[[#This Row],[Column14]]), deployment_raw[[#This Row],[Column14]]/IF(OR($E$2="Deployment",deployment_raw[[#This Row],[Column5]]=0),1,deployment_raw[[#This Row],[Column5]]),"")</f>
        <v/>
      </c>
      <c r="H631" s="79" t="str">
        <f>IF(ISNUMBER(deployment_raw[[#This Row],[Column19]]), IF(I631&lt;&gt;0,(deployment_raw[[#This Row],[Column19]]/IF(OR($E$2="Deployment",deployment_raw[[#This Row],[Column5]]=0),1,deployment_raw[[#This Row],[Column5]]))/I631,0),"")</f>
        <v/>
      </c>
      <c r="I631" s="69" t="str">
        <f>IF(ISNUMBER(deployment_raw[[#This Row],[Column6]]), (deployment_raw[[#This Row],[Column6]] * IF($E$2="Deployment",deployment_raw[[#This Row],[Column5]],1)),"")</f>
        <v/>
      </c>
      <c r="J631" s="79" t="str">
        <f>IF(ISNUMBER(deployment_raw[[#This Row],[Column19]]), IF(K631&lt;&gt;0,(deployment_raw[[#This Row],[Column19]]/IF(OR($E$2="Deployment",deployment_raw[[#This Row],[Column5]]=0),1,deployment_raw[[#This Row],[Column5]]))/K631,0),"")</f>
        <v/>
      </c>
      <c r="K631" s="72" t="str">
        <f>IF(ISNUMBER(deployment_raw[[#This Row],[Column8]]), (deployment_raw[[#This Row],[Column8]]  * IF($E$2="Deployment",deployment_raw[[#This Row],[Column5]],1)),"")</f>
        <v/>
      </c>
      <c r="L63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3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31" s="81" t="str">
        <f>IF(ISNUMBER(deployment_raw[[#This Row],[Column20]]), IF(O631&lt;&gt;0,deployment_raw[[#This Row],[Column20]]/IF(OR($E$2="Deployment",deployment_raw[[#This Row],[Column5]]=0),1,deployment_raw[[#This Row],[Column5]])/1048576/O631,0),"")</f>
        <v/>
      </c>
      <c r="O631" s="74" t="str">
        <f>IF(ISNUMBER(deployment_raw[[#This Row],[Column7]]), (deployment_raw[[#This Row],[Column7]] * IF($E$2="Deployment",deployment_raw[[#This Row],[Column5]],1))/1048576,"")</f>
        <v/>
      </c>
      <c r="P631" s="81" t="str">
        <f>IF(ISNUMBER(deployment_raw[[#This Row],[Column20]]), IF(Q631&lt;&gt;0,deployment_raw[[#This Row],[Column20]]/IF(OR($E$2="Deployment",deployment_raw[[#This Row],[Column5]]=0),1,deployment_raw[[#This Row],[Column5]])/1048576/Q631,0),"")</f>
        <v/>
      </c>
      <c r="Q631" s="76" t="str">
        <f>IF(ISNUMBER(deployment_raw[[#This Row],[Column9]]), (deployment_raw[[#This Row],[Column9]] * IF($E$2="Deployment",deployment_raw[[#This Row],[Column5]],1))/1048576,"")</f>
        <v/>
      </c>
      <c r="R631" s="57" t="str">
        <f>IF(ISNUMBER(deployment_raw[[#This Row],[Column10]]), (deployment_raw[[#This Row],[Column10]] * IF($E$2="Deployment",deployment_raw[[#This Row],[Column5]],1)),"")</f>
        <v/>
      </c>
      <c r="S631" s="48" t="str">
        <f>IF(ISNUMBER(deployment_raw[[#This Row],[Column11]]), (deployment_raw[[#This Row],[Column11]] * IF($E$2="Deployment",deployment_raw[[#This Row],[Column5]],1))/1048576,"")</f>
        <v/>
      </c>
      <c r="T631" s="59" t="str">
        <f>IF(ISNUMBER(deployment_raw[[#This Row],[Column8]]),IF(OR(deployment_raw[[#This Row],[Column5]] &lt;&gt; 0,$E$2 &lt;&gt; "Deployment"), MAX(V631, ($T$2 * IF($E$2="Deployment",deployment_raw[[#This Row],[Column5]],1))), 0),"")</f>
        <v/>
      </c>
      <c r="U631" s="50" t="str">
        <f>IF(ISNUMBER(deployment_raw[[#This Row],[Column9]]),IF(OR(deployment_raw[[#This Row],[Column5]] &lt;&gt; 0,$E$2&lt;&gt;"Deployment"), MAX(W631, ($U$2 * IF($E$2="Deployment",deployment_raw[[#This Row],[Column5]],1))), 0),"")</f>
        <v/>
      </c>
      <c r="V631" s="15" t="str">
        <f>IF(ISNUMBER(deployment_raw[[#This Row],[Column12]]), (deployment_raw[[#This Row],[Column12]] * IF($E$2="Deployment",deployment_raw[[#This Row],[Column5]],1)*(1+$V$2)),"")</f>
        <v/>
      </c>
      <c r="W631" s="14" t="str">
        <f>IF(ISNUMBER(deployment_raw[[#This Row],[Column13]]), (deployment_raw[[#This Row],[Column13]] * IF($E$2="Deployment",deployment_raw[[#This Row],[Column5]],1)*(1+$W$2))/1048576,"")</f>
        <v/>
      </c>
    </row>
    <row r="632" spans="1:23" ht="15.75" customHeight="1" x14ac:dyDescent="0.25">
      <c r="A632" s="5" t="str">
        <f>IF(ISNONTEXT(deployment_raw[[#This Row],[Column1]]), "", deployment_raw[[#This Row],[Column1]])</f>
        <v/>
      </c>
      <c r="B632" s="6" t="str">
        <f>IF(ISNONTEXT(deployment_raw[[#This Row],[Column2]]), "", deployment_raw[[#This Row],[Column2]])</f>
        <v/>
      </c>
      <c r="C632" s="6" t="str">
        <f>IF(ISNONTEXT(deployment_raw[[#This Row],[Column3]]), "", deployment_raw[[#This Row],[Column3]])</f>
        <v/>
      </c>
      <c r="D632" s="6" t="str">
        <f>IF(ISNONTEXT(deployment_raw[[#This Row],[Column4]]), "", deployment_raw[[#This Row],[Column4]])</f>
        <v/>
      </c>
      <c r="E632" s="7" t="str">
        <f>IF(ISNUMBER(deployment_raw[[#This Row],[Column5]]), deployment_raw[[#This Row],[Column5]],"")</f>
        <v/>
      </c>
      <c r="F632" s="32" t="str">
        <f>IF(ISNUMBER(deployment_raw[[#This Row],[Column17]]), deployment_raw[[#This Row],[Column17]]/IF(OR($E$2="Deployment",deployment_raw[[#This Row],[Column5]]=0),1,deployment_raw[[#This Row],[Column5]]),"")</f>
        <v/>
      </c>
      <c r="G632" s="42" t="str">
        <f>IF(ISNUMBER(deployment_raw[[#This Row],[Column14]]), deployment_raw[[#This Row],[Column14]]/IF(OR($E$2="Deployment",deployment_raw[[#This Row],[Column5]]=0),1,deployment_raw[[#This Row],[Column5]]),"")</f>
        <v/>
      </c>
      <c r="H632" s="79" t="str">
        <f>IF(ISNUMBER(deployment_raw[[#This Row],[Column19]]), IF(I632&lt;&gt;0,(deployment_raw[[#This Row],[Column19]]/IF(OR($E$2="Deployment",deployment_raw[[#This Row],[Column5]]=0),1,deployment_raw[[#This Row],[Column5]]))/I632,0),"")</f>
        <v/>
      </c>
      <c r="I632" s="69" t="str">
        <f>IF(ISNUMBER(deployment_raw[[#This Row],[Column6]]), (deployment_raw[[#This Row],[Column6]] * IF($E$2="Deployment",deployment_raw[[#This Row],[Column5]],1)),"")</f>
        <v/>
      </c>
      <c r="J632" s="79" t="str">
        <f>IF(ISNUMBER(deployment_raw[[#This Row],[Column19]]), IF(K632&lt;&gt;0,(deployment_raw[[#This Row],[Column19]]/IF(OR($E$2="Deployment",deployment_raw[[#This Row],[Column5]]=0),1,deployment_raw[[#This Row],[Column5]]))/K632,0),"")</f>
        <v/>
      </c>
      <c r="K632" s="72" t="str">
        <f>IF(ISNUMBER(deployment_raw[[#This Row],[Column8]]), (deployment_raw[[#This Row],[Column8]]  * IF($E$2="Deployment",deployment_raw[[#This Row],[Column5]],1)),"")</f>
        <v/>
      </c>
      <c r="L63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3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32" s="81" t="str">
        <f>IF(ISNUMBER(deployment_raw[[#This Row],[Column20]]), IF(O632&lt;&gt;0,deployment_raw[[#This Row],[Column20]]/IF(OR($E$2="Deployment",deployment_raw[[#This Row],[Column5]]=0),1,deployment_raw[[#This Row],[Column5]])/1048576/O632,0),"")</f>
        <v/>
      </c>
      <c r="O632" s="74" t="str">
        <f>IF(ISNUMBER(deployment_raw[[#This Row],[Column7]]), (deployment_raw[[#This Row],[Column7]] * IF($E$2="Deployment",deployment_raw[[#This Row],[Column5]],1))/1048576,"")</f>
        <v/>
      </c>
      <c r="P632" s="81" t="str">
        <f>IF(ISNUMBER(deployment_raw[[#This Row],[Column20]]), IF(Q632&lt;&gt;0,deployment_raw[[#This Row],[Column20]]/IF(OR($E$2="Deployment",deployment_raw[[#This Row],[Column5]]=0),1,deployment_raw[[#This Row],[Column5]])/1048576/Q632,0),"")</f>
        <v/>
      </c>
      <c r="Q632" s="76" t="str">
        <f>IF(ISNUMBER(deployment_raw[[#This Row],[Column9]]), (deployment_raw[[#This Row],[Column9]] * IF($E$2="Deployment",deployment_raw[[#This Row],[Column5]],1))/1048576,"")</f>
        <v/>
      </c>
      <c r="R632" s="57" t="str">
        <f>IF(ISNUMBER(deployment_raw[[#This Row],[Column10]]), (deployment_raw[[#This Row],[Column10]] * IF($E$2="Deployment",deployment_raw[[#This Row],[Column5]],1)),"")</f>
        <v/>
      </c>
      <c r="S632" s="48" t="str">
        <f>IF(ISNUMBER(deployment_raw[[#This Row],[Column11]]), (deployment_raw[[#This Row],[Column11]] * IF($E$2="Deployment",deployment_raw[[#This Row],[Column5]],1))/1048576,"")</f>
        <v/>
      </c>
      <c r="T632" s="59" t="str">
        <f>IF(ISNUMBER(deployment_raw[[#This Row],[Column8]]),IF(OR(deployment_raw[[#This Row],[Column5]] &lt;&gt; 0,$E$2 &lt;&gt; "Deployment"), MAX(V632, ($T$2 * IF($E$2="Deployment",deployment_raw[[#This Row],[Column5]],1))), 0),"")</f>
        <v/>
      </c>
      <c r="U632" s="50" t="str">
        <f>IF(ISNUMBER(deployment_raw[[#This Row],[Column9]]),IF(OR(deployment_raw[[#This Row],[Column5]] &lt;&gt; 0,$E$2&lt;&gt;"Deployment"), MAX(W632, ($U$2 * IF($E$2="Deployment",deployment_raw[[#This Row],[Column5]],1))), 0),"")</f>
        <v/>
      </c>
      <c r="V632" s="15" t="str">
        <f>IF(ISNUMBER(deployment_raw[[#This Row],[Column12]]), (deployment_raw[[#This Row],[Column12]] * IF($E$2="Deployment",deployment_raw[[#This Row],[Column5]],1)*(1+$V$2)),"")</f>
        <v/>
      </c>
      <c r="W632" s="14" t="str">
        <f>IF(ISNUMBER(deployment_raw[[#This Row],[Column13]]), (deployment_raw[[#This Row],[Column13]] * IF($E$2="Deployment",deployment_raw[[#This Row],[Column5]],1)*(1+$W$2))/1048576,"")</f>
        <v/>
      </c>
    </row>
    <row r="633" spans="1:23" ht="15.75" customHeight="1" x14ac:dyDescent="0.25">
      <c r="A633" s="5" t="str">
        <f>IF(ISNONTEXT(deployment_raw[[#This Row],[Column1]]), "", deployment_raw[[#This Row],[Column1]])</f>
        <v/>
      </c>
      <c r="B633" s="6" t="str">
        <f>IF(ISNONTEXT(deployment_raw[[#This Row],[Column2]]), "", deployment_raw[[#This Row],[Column2]])</f>
        <v/>
      </c>
      <c r="C633" s="6" t="str">
        <f>IF(ISNONTEXT(deployment_raw[[#This Row],[Column3]]), "", deployment_raw[[#This Row],[Column3]])</f>
        <v/>
      </c>
      <c r="D633" s="6" t="str">
        <f>IF(ISNONTEXT(deployment_raw[[#This Row],[Column4]]), "", deployment_raw[[#This Row],[Column4]])</f>
        <v/>
      </c>
      <c r="E633" s="7" t="str">
        <f>IF(ISNUMBER(deployment_raw[[#This Row],[Column5]]), deployment_raw[[#This Row],[Column5]],"")</f>
        <v/>
      </c>
      <c r="F633" s="32" t="str">
        <f>IF(ISNUMBER(deployment_raw[[#This Row],[Column17]]), deployment_raw[[#This Row],[Column17]]/IF(OR($E$2="Deployment",deployment_raw[[#This Row],[Column5]]=0),1,deployment_raw[[#This Row],[Column5]]),"")</f>
        <v/>
      </c>
      <c r="G633" s="42" t="str">
        <f>IF(ISNUMBER(deployment_raw[[#This Row],[Column14]]), deployment_raw[[#This Row],[Column14]]/IF(OR($E$2="Deployment",deployment_raw[[#This Row],[Column5]]=0),1,deployment_raw[[#This Row],[Column5]]),"")</f>
        <v/>
      </c>
      <c r="H633" s="79" t="str">
        <f>IF(ISNUMBER(deployment_raw[[#This Row],[Column19]]), IF(I633&lt;&gt;0,(deployment_raw[[#This Row],[Column19]]/IF(OR($E$2="Deployment",deployment_raw[[#This Row],[Column5]]=0),1,deployment_raw[[#This Row],[Column5]]))/I633,0),"")</f>
        <v/>
      </c>
      <c r="I633" s="69" t="str">
        <f>IF(ISNUMBER(deployment_raw[[#This Row],[Column6]]), (deployment_raw[[#This Row],[Column6]] * IF($E$2="Deployment",deployment_raw[[#This Row],[Column5]],1)),"")</f>
        <v/>
      </c>
      <c r="J633" s="79" t="str">
        <f>IF(ISNUMBER(deployment_raw[[#This Row],[Column19]]), IF(K633&lt;&gt;0,(deployment_raw[[#This Row],[Column19]]/IF(OR($E$2="Deployment",deployment_raw[[#This Row],[Column5]]=0),1,deployment_raw[[#This Row],[Column5]]))/K633,0),"")</f>
        <v/>
      </c>
      <c r="K633" s="72" t="str">
        <f>IF(ISNUMBER(deployment_raw[[#This Row],[Column8]]), (deployment_raw[[#This Row],[Column8]]  * IF($E$2="Deployment",deployment_raw[[#This Row],[Column5]],1)),"")</f>
        <v/>
      </c>
      <c r="L63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3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33" s="81" t="str">
        <f>IF(ISNUMBER(deployment_raw[[#This Row],[Column20]]), IF(O633&lt;&gt;0,deployment_raw[[#This Row],[Column20]]/IF(OR($E$2="Deployment",deployment_raw[[#This Row],[Column5]]=0),1,deployment_raw[[#This Row],[Column5]])/1048576/O633,0),"")</f>
        <v/>
      </c>
      <c r="O633" s="74" t="str">
        <f>IF(ISNUMBER(deployment_raw[[#This Row],[Column7]]), (deployment_raw[[#This Row],[Column7]] * IF($E$2="Deployment",deployment_raw[[#This Row],[Column5]],1))/1048576,"")</f>
        <v/>
      </c>
      <c r="P633" s="81" t="str">
        <f>IF(ISNUMBER(deployment_raw[[#This Row],[Column20]]), IF(Q633&lt;&gt;0,deployment_raw[[#This Row],[Column20]]/IF(OR($E$2="Deployment",deployment_raw[[#This Row],[Column5]]=0),1,deployment_raw[[#This Row],[Column5]])/1048576/Q633,0),"")</f>
        <v/>
      </c>
      <c r="Q633" s="76" t="str">
        <f>IF(ISNUMBER(deployment_raw[[#This Row],[Column9]]), (deployment_raw[[#This Row],[Column9]] * IF($E$2="Deployment",deployment_raw[[#This Row],[Column5]],1))/1048576,"")</f>
        <v/>
      </c>
      <c r="R633" s="57" t="str">
        <f>IF(ISNUMBER(deployment_raw[[#This Row],[Column10]]), (deployment_raw[[#This Row],[Column10]] * IF($E$2="Deployment",deployment_raw[[#This Row],[Column5]],1)),"")</f>
        <v/>
      </c>
      <c r="S633" s="48" t="str">
        <f>IF(ISNUMBER(deployment_raw[[#This Row],[Column11]]), (deployment_raw[[#This Row],[Column11]] * IF($E$2="Deployment",deployment_raw[[#This Row],[Column5]],1))/1048576,"")</f>
        <v/>
      </c>
      <c r="T633" s="59" t="str">
        <f>IF(ISNUMBER(deployment_raw[[#This Row],[Column8]]),IF(OR(deployment_raw[[#This Row],[Column5]] &lt;&gt; 0,$E$2 &lt;&gt; "Deployment"), MAX(V633, ($T$2 * IF($E$2="Deployment",deployment_raw[[#This Row],[Column5]],1))), 0),"")</f>
        <v/>
      </c>
      <c r="U633" s="50" t="str">
        <f>IF(ISNUMBER(deployment_raw[[#This Row],[Column9]]),IF(OR(deployment_raw[[#This Row],[Column5]] &lt;&gt; 0,$E$2&lt;&gt;"Deployment"), MAX(W633, ($U$2 * IF($E$2="Deployment",deployment_raw[[#This Row],[Column5]],1))), 0),"")</f>
        <v/>
      </c>
      <c r="V633" s="15" t="str">
        <f>IF(ISNUMBER(deployment_raw[[#This Row],[Column12]]), (deployment_raw[[#This Row],[Column12]] * IF($E$2="Deployment",deployment_raw[[#This Row],[Column5]],1)*(1+$V$2)),"")</f>
        <v/>
      </c>
      <c r="W633" s="14" t="str">
        <f>IF(ISNUMBER(deployment_raw[[#This Row],[Column13]]), (deployment_raw[[#This Row],[Column13]] * IF($E$2="Deployment",deployment_raw[[#This Row],[Column5]],1)*(1+$W$2))/1048576,"")</f>
        <v/>
      </c>
    </row>
    <row r="634" spans="1:23" ht="15.75" customHeight="1" x14ac:dyDescent="0.25">
      <c r="A634" s="5" t="str">
        <f>IF(ISNONTEXT(deployment_raw[[#This Row],[Column1]]), "", deployment_raw[[#This Row],[Column1]])</f>
        <v/>
      </c>
      <c r="B634" s="6" t="str">
        <f>IF(ISNONTEXT(deployment_raw[[#This Row],[Column2]]), "", deployment_raw[[#This Row],[Column2]])</f>
        <v/>
      </c>
      <c r="C634" s="6" t="str">
        <f>IF(ISNONTEXT(deployment_raw[[#This Row],[Column3]]), "", deployment_raw[[#This Row],[Column3]])</f>
        <v/>
      </c>
      <c r="D634" s="6" t="str">
        <f>IF(ISNONTEXT(deployment_raw[[#This Row],[Column4]]), "", deployment_raw[[#This Row],[Column4]])</f>
        <v/>
      </c>
      <c r="E634" s="7" t="str">
        <f>IF(ISNUMBER(deployment_raw[[#This Row],[Column5]]), deployment_raw[[#This Row],[Column5]],"")</f>
        <v/>
      </c>
      <c r="F634" s="32" t="str">
        <f>IF(ISNUMBER(deployment_raw[[#This Row],[Column17]]), deployment_raw[[#This Row],[Column17]]/IF(OR($E$2="Deployment",deployment_raw[[#This Row],[Column5]]=0),1,deployment_raw[[#This Row],[Column5]]),"")</f>
        <v/>
      </c>
      <c r="G634" s="42" t="str">
        <f>IF(ISNUMBER(deployment_raw[[#This Row],[Column14]]), deployment_raw[[#This Row],[Column14]]/IF(OR($E$2="Deployment",deployment_raw[[#This Row],[Column5]]=0),1,deployment_raw[[#This Row],[Column5]]),"")</f>
        <v/>
      </c>
      <c r="H634" s="79" t="str">
        <f>IF(ISNUMBER(deployment_raw[[#This Row],[Column19]]), IF(I634&lt;&gt;0,(deployment_raw[[#This Row],[Column19]]/IF(OR($E$2="Deployment",deployment_raw[[#This Row],[Column5]]=0),1,deployment_raw[[#This Row],[Column5]]))/I634,0),"")</f>
        <v/>
      </c>
      <c r="I634" s="69" t="str">
        <f>IF(ISNUMBER(deployment_raw[[#This Row],[Column6]]), (deployment_raw[[#This Row],[Column6]] * IF($E$2="Deployment",deployment_raw[[#This Row],[Column5]],1)),"")</f>
        <v/>
      </c>
      <c r="J634" s="79" t="str">
        <f>IF(ISNUMBER(deployment_raw[[#This Row],[Column19]]), IF(K634&lt;&gt;0,(deployment_raw[[#This Row],[Column19]]/IF(OR($E$2="Deployment",deployment_raw[[#This Row],[Column5]]=0),1,deployment_raw[[#This Row],[Column5]]))/K634,0),"")</f>
        <v/>
      </c>
      <c r="K634" s="72" t="str">
        <f>IF(ISNUMBER(deployment_raw[[#This Row],[Column8]]), (deployment_raw[[#This Row],[Column8]]  * IF($E$2="Deployment",deployment_raw[[#This Row],[Column5]],1)),"")</f>
        <v/>
      </c>
      <c r="L63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3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34" s="81" t="str">
        <f>IF(ISNUMBER(deployment_raw[[#This Row],[Column20]]), IF(O634&lt;&gt;0,deployment_raw[[#This Row],[Column20]]/IF(OR($E$2="Deployment",deployment_raw[[#This Row],[Column5]]=0),1,deployment_raw[[#This Row],[Column5]])/1048576/O634,0),"")</f>
        <v/>
      </c>
      <c r="O634" s="74" t="str">
        <f>IF(ISNUMBER(deployment_raw[[#This Row],[Column7]]), (deployment_raw[[#This Row],[Column7]] * IF($E$2="Deployment",deployment_raw[[#This Row],[Column5]],1))/1048576,"")</f>
        <v/>
      </c>
      <c r="P634" s="81" t="str">
        <f>IF(ISNUMBER(deployment_raw[[#This Row],[Column20]]), IF(Q634&lt;&gt;0,deployment_raw[[#This Row],[Column20]]/IF(OR($E$2="Deployment",deployment_raw[[#This Row],[Column5]]=0),1,deployment_raw[[#This Row],[Column5]])/1048576/Q634,0),"")</f>
        <v/>
      </c>
      <c r="Q634" s="76" t="str">
        <f>IF(ISNUMBER(deployment_raw[[#This Row],[Column9]]), (deployment_raw[[#This Row],[Column9]] * IF($E$2="Deployment",deployment_raw[[#This Row],[Column5]],1))/1048576,"")</f>
        <v/>
      </c>
      <c r="R634" s="57" t="str">
        <f>IF(ISNUMBER(deployment_raw[[#This Row],[Column10]]), (deployment_raw[[#This Row],[Column10]] * IF($E$2="Deployment",deployment_raw[[#This Row],[Column5]],1)),"")</f>
        <v/>
      </c>
      <c r="S634" s="48" t="str">
        <f>IF(ISNUMBER(deployment_raw[[#This Row],[Column11]]), (deployment_raw[[#This Row],[Column11]] * IF($E$2="Deployment",deployment_raw[[#This Row],[Column5]],1))/1048576,"")</f>
        <v/>
      </c>
      <c r="T634" s="59" t="str">
        <f>IF(ISNUMBER(deployment_raw[[#This Row],[Column8]]),IF(OR(deployment_raw[[#This Row],[Column5]] &lt;&gt; 0,$E$2 &lt;&gt; "Deployment"), MAX(V634, ($T$2 * IF($E$2="Deployment",deployment_raw[[#This Row],[Column5]],1))), 0),"")</f>
        <v/>
      </c>
      <c r="U634" s="50" t="str">
        <f>IF(ISNUMBER(deployment_raw[[#This Row],[Column9]]),IF(OR(deployment_raw[[#This Row],[Column5]] &lt;&gt; 0,$E$2&lt;&gt;"Deployment"), MAX(W634, ($U$2 * IF($E$2="Deployment",deployment_raw[[#This Row],[Column5]],1))), 0),"")</f>
        <v/>
      </c>
      <c r="V634" s="15" t="str">
        <f>IF(ISNUMBER(deployment_raw[[#This Row],[Column12]]), (deployment_raw[[#This Row],[Column12]] * IF($E$2="Deployment",deployment_raw[[#This Row],[Column5]],1)*(1+$V$2)),"")</f>
        <v/>
      </c>
      <c r="W634" s="14" t="str">
        <f>IF(ISNUMBER(deployment_raw[[#This Row],[Column13]]), (deployment_raw[[#This Row],[Column13]] * IF($E$2="Deployment",deployment_raw[[#This Row],[Column5]],1)*(1+$W$2))/1048576,"")</f>
        <v/>
      </c>
    </row>
    <row r="635" spans="1:23" ht="15.75" customHeight="1" x14ac:dyDescent="0.25">
      <c r="A635" s="5" t="str">
        <f>IF(ISNONTEXT(deployment_raw[[#This Row],[Column1]]), "", deployment_raw[[#This Row],[Column1]])</f>
        <v/>
      </c>
      <c r="B635" s="6" t="str">
        <f>IF(ISNONTEXT(deployment_raw[[#This Row],[Column2]]), "", deployment_raw[[#This Row],[Column2]])</f>
        <v/>
      </c>
      <c r="C635" s="6" t="str">
        <f>IF(ISNONTEXT(deployment_raw[[#This Row],[Column3]]), "", deployment_raw[[#This Row],[Column3]])</f>
        <v/>
      </c>
      <c r="D635" s="6" t="str">
        <f>IF(ISNONTEXT(deployment_raw[[#This Row],[Column4]]), "", deployment_raw[[#This Row],[Column4]])</f>
        <v/>
      </c>
      <c r="E635" s="7" t="str">
        <f>IF(ISNUMBER(deployment_raw[[#This Row],[Column5]]), deployment_raw[[#This Row],[Column5]],"")</f>
        <v/>
      </c>
      <c r="F635" s="32" t="str">
        <f>IF(ISNUMBER(deployment_raw[[#This Row],[Column17]]), deployment_raw[[#This Row],[Column17]]/IF(OR($E$2="Deployment",deployment_raw[[#This Row],[Column5]]=0),1,deployment_raw[[#This Row],[Column5]]),"")</f>
        <v/>
      </c>
      <c r="G635" s="42" t="str">
        <f>IF(ISNUMBER(deployment_raw[[#This Row],[Column14]]), deployment_raw[[#This Row],[Column14]]/IF(OR($E$2="Deployment",deployment_raw[[#This Row],[Column5]]=0),1,deployment_raw[[#This Row],[Column5]]),"")</f>
        <v/>
      </c>
      <c r="H635" s="79" t="str">
        <f>IF(ISNUMBER(deployment_raw[[#This Row],[Column19]]), IF(I635&lt;&gt;0,(deployment_raw[[#This Row],[Column19]]/IF(OR($E$2="Deployment",deployment_raw[[#This Row],[Column5]]=0),1,deployment_raw[[#This Row],[Column5]]))/I635,0),"")</f>
        <v/>
      </c>
      <c r="I635" s="69" t="str">
        <f>IF(ISNUMBER(deployment_raw[[#This Row],[Column6]]), (deployment_raw[[#This Row],[Column6]] * IF($E$2="Deployment",deployment_raw[[#This Row],[Column5]],1)),"")</f>
        <v/>
      </c>
      <c r="J635" s="79" t="str">
        <f>IF(ISNUMBER(deployment_raw[[#This Row],[Column19]]), IF(K635&lt;&gt;0,(deployment_raw[[#This Row],[Column19]]/IF(OR($E$2="Deployment",deployment_raw[[#This Row],[Column5]]=0),1,deployment_raw[[#This Row],[Column5]]))/K635,0),"")</f>
        <v/>
      </c>
      <c r="K635" s="72" t="str">
        <f>IF(ISNUMBER(deployment_raw[[#This Row],[Column8]]), (deployment_raw[[#This Row],[Column8]]  * IF($E$2="Deployment",deployment_raw[[#This Row],[Column5]],1)),"")</f>
        <v/>
      </c>
      <c r="L63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3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35" s="81" t="str">
        <f>IF(ISNUMBER(deployment_raw[[#This Row],[Column20]]), IF(O635&lt;&gt;0,deployment_raw[[#This Row],[Column20]]/IF(OR($E$2="Deployment",deployment_raw[[#This Row],[Column5]]=0),1,deployment_raw[[#This Row],[Column5]])/1048576/O635,0),"")</f>
        <v/>
      </c>
      <c r="O635" s="74" t="str">
        <f>IF(ISNUMBER(deployment_raw[[#This Row],[Column7]]), (deployment_raw[[#This Row],[Column7]] * IF($E$2="Deployment",deployment_raw[[#This Row],[Column5]],1))/1048576,"")</f>
        <v/>
      </c>
      <c r="P635" s="81" t="str">
        <f>IF(ISNUMBER(deployment_raw[[#This Row],[Column20]]), IF(Q635&lt;&gt;0,deployment_raw[[#This Row],[Column20]]/IF(OR($E$2="Deployment",deployment_raw[[#This Row],[Column5]]=0),1,deployment_raw[[#This Row],[Column5]])/1048576/Q635,0),"")</f>
        <v/>
      </c>
      <c r="Q635" s="76" t="str">
        <f>IF(ISNUMBER(deployment_raw[[#This Row],[Column9]]), (deployment_raw[[#This Row],[Column9]] * IF($E$2="Deployment",deployment_raw[[#This Row],[Column5]],1))/1048576,"")</f>
        <v/>
      </c>
      <c r="R635" s="57" t="str">
        <f>IF(ISNUMBER(deployment_raw[[#This Row],[Column10]]), (deployment_raw[[#This Row],[Column10]] * IF($E$2="Deployment",deployment_raw[[#This Row],[Column5]],1)),"")</f>
        <v/>
      </c>
      <c r="S635" s="48" t="str">
        <f>IF(ISNUMBER(deployment_raw[[#This Row],[Column11]]), (deployment_raw[[#This Row],[Column11]] * IF($E$2="Deployment",deployment_raw[[#This Row],[Column5]],1))/1048576,"")</f>
        <v/>
      </c>
      <c r="T635" s="59" t="str">
        <f>IF(ISNUMBER(deployment_raw[[#This Row],[Column8]]),IF(OR(deployment_raw[[#This Row],[Column5]] &lt;&gt; 0,$E$2 &lt;&gt; "Deployment"), MAX(V635, ($T$2 * IF($E$2="Deployment",deployment_raw[[#This Row],[Column5]],1))), 0),"")</f>
        <v/>
      </c>
      <c r="U635" s="50" t="str">
        <f>IF(ISNUMBER(deployment_raw[[#This Row],[Column9]]),IF(OR(deployment_raw[[#This Row],[Column5]] &lt;&gt; 0,$E$2&lt;&gt;"Deployment"), MAX(W635, ($U$2 * IF($E$2="Deployment",deployment_raw[[#This Row],[Column5]],1))), 0),"")</f>
        <v/>
      </c>
      <c r="V635" s="15" t="str">
        <f>IF(ISNUMBER(deployment_raw[[#This Row],[Column12]]), (deployment_raw[[#This Row],[Column12]] * IF($E$2="Deployment",deployment_raw[[#This Row],[Column5]],1)*(1+$V$2)),"")</f>
        <v/>
      </c>
      <c r="W635" s="14" t="str">
        <f>IF(ISNUMBER(deployment_raw[[#This Row],[Column13]]), (deployment_raw[[#This Row],[Column13]] * IF($E$2="Deployment",deployment_raw[[#This Row],[Column5]],1)*(1+$W$2))/1048576,"")</f>
        <v/>
      </c>
    </row>
    <row r="636" spans="1:23" ht="15.75" customHeight="1" x14ac:dyDescent="0.25">
      <c r="A636" s="5" t="str">
        <f>IF(ISNONTEXT(deployment_raw[[#This Row],[Column1]]), "", deployment_raw[[#This Row],[Column1]])</f>
        <v/>
      </c>
      <c r="B636" s="6" t="str">
        <f>IF(ISNONTEXT(deployment_raw[[#This Row],[Column2]]), "", deployment_raw[[#This Row],[Column2]])</f>
        <v/>
      </c>
      <c r="C636" s="6" t="str">
        <f>IF(ISNONTEXT(deployment_raw[[#This Row],[Column3]]), "", deployment_raw[[#This Row],[Column3]])</f>
        <v/>
      </c>
      <c r="D636" s="6" t="str">
        <f>IF(ISNONTEXT(deployment_raw[[#This Row],[Column4]]), "", deployment_raw[[#This Row],[Column4]])</f>
        <v/>
      </c>
      <c r="E636" s="7" t="str">
        <f>IF(ISNUMBER(deployment_raw[[#This Row],[Column5]]), deployment_raw[[#This Row],[Column5]],"")</f>
        <v/>
      </c>
      <c r="F636" s="32" t="str">
        <f>IF(ISNUMBER(deployment_raw[[#This Row],[Column17]]), deployment_raw[[#This Row],[Column17]]/IF(OR($E$2="Deployment",deployment_raw[[#This Row],[Column5]]=0),1,deployment_raw[[#This Row],[Column5]]),"")</f>
        <v/>
      </c>
      <c r="G636" s="42" t="str">
        <f>IF(ISNUMBER(deployment_raw[[#This Row],[Column14]]), deployment_raw[[#This Row],[Column14]]/IF(OR($E$2="Deployment",deployment_raw[[#This Row],[Column5]]=0),1,deployment_raw[[#This Row],[Column5]]),"")</f>
        <v/>
      </c>
      <c r="H636" s="79" t="str">
        <f>IF(ISNUMBER(deployment_raw[[#This Row],[Column19]]), IF(I636&lt;&gt;0,(deployment_raw[[#This Row],[Column19]]/IF(OR($E$2="Deployment",deployment_raw[[#This Row],[Column5]]=0),1,deployment_raw[[#This Row],[Column5]]))/I636,0),"")</f>
        <v/>
      </c>
      <c r="I636" s="69" t="str">
        <f>IF(ISNUMBER(deployment_raw[[#This Row],[Column6]]), (deployment_raw[[#This Row],[Column6]] * IF($E$2="Deployment",deployment_raw[[#This Row],[Column5]],1)),"")</f>
        <v/>
      </c>
      <c r="J636" s="79" t="str">
        <f>IF(ISNUMBER(deployment_raw[[#This Row],[Column19]]), IF(K636&lt;&gt;0,(deployment_raw[[#This Row],[Column19]]/IF(OR($E$2="Deployment",deployment_raw[[#This Row],[Column5]]=0),1,deployment_raw[[#This Row],[Column5]]))/K636,0),"")</f>
        <v/>
      </c>
      <c r="K636" s="72" t="str">
        <f>IF(ISNUMBER(deployment_raw[[#This Row],[Column8]]), (deployment_raw[[#This Row],[Column8]]  * IF($E$2="Deployment",deployment_raw[[#This Row],[Column5]],1)),"")</f>
        <v/>
      </c>
      <c r="L63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3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36" s="81" t="str">
        <f>IF(ISNUMBER(deployment_raw[[#This Row],[Column20]]), IF(O636&lt;&gt;0,deployment_raw[[#This Row],[Column20]]/IF(OR($E$2="Deployment",deployment_raw[[#This Row],[Column5]]=0),1,deployment_raw[[#This Row],[Column5]])/1048576/O636,0),"")</f>
        <v/>
      </c>
      <c r="O636" s="74" t="str">
        <f>IF(ISNUMBER(deployment_raw[[#This Row],[Column7]]), (deployment_raw[[#This Row],[Column7]] * IF($E$2="Deployment",deployment_raw[[#This Row],[Column5]],1))/1048576,"")</f>
        <v/>
      </c>
      <c r="P636" s="81" t="str">
        <f>IF(ISNUMBER(deployment_raw[[#This Row],[Column20]]), IF(Q636&lt;&gt;0,deployment_raw[[#This Row],[Column20]]/IF(OR($E$2="Deployment",deployment_raw[[#This Row],[Column5]]=0),1,deployment_raw[[#This Row],[Column5]])/1048576/Q636,0),"")</f>
        <v/>
      </c>
      <c r="Q636" s="76" t="str">
        <f>IF(ISNUMBER(deployment_raw[[#This Row],[Column9]]), (deployment_raw[[#This Row],[Column9]] * IF($E$2="Deployment",deployment_raw[[#This Row],[Column5]],1))/1048576,"")</f>
        <v/>
      </c>
      <c r="R636" s="57" t="str">
        <f>IF(ISNUMBER(deployment_raw[[#This Row],[Column10]]), (deployment_raw[[#This Row],[Column10]] * IF($E$2="Deployment",deployment_raw[[#This Row],[Column5]],1)),"")</f>
        <v/>
      </c>
      <c r="S636" s="48" t="str">
        <f>IF(ISNUMBER(deployment_raw[[#This Row],[Column11]]), (deployment_raw[[#This Row],[Column11]] * IF($E$2="Deployment",deployment_raw[[#This Row],[Column5]],1))/1048576,"")</f>
        <v/>
      </c>
      <c r="T636" s="59" t="str">
        <f>IF(ISNUMBER(deployment_raw[[#This Row],[Column8]]),IF(OR(deployment_raw[[#This Row],[Column5]] &lt;&gt; 0,$E$2 &lt;&gt; "Deployment"), MAX(V636, ($T$2 * IF($E$2="Deployment",deployment_raw[[#This Row],[Column5]],1))), 0),"")</f>
        <v/>
      </c>
      <c r="U636" s="50" t="str">
        <f>IF(ISNUMBER(deployment_raw[[#This Row],[Column9]]),IF(OR(deployment_raw[[#This Row],[Column5]] &lt;&gt; 0,$E$2&lt;&gt;"Deployment"), MAX(W636, ($U$2 * IF($E$2="Deployment",deployment_raw[[#This Row],[Column5]],1))), 0),"")</f>
        <v/>
      </c>
      <c r="V636" s="15" t="str">
        <f>IF(ISNUMBER(deployment_raw[[#This Row],[Column12]]), (deployment_raw[[#This Row],[Column12]] * IF($E$2="Deployment",deployment_raw[[#This Row],[Column5]],1)*(1+$V$2)),"")</f>
        <v/>
      </c>
      <c r="W636" s="14" t="str">
        <f>IF(ISNUMBER(deployment_raw[[#This Row],[Column13]]), (deployment_raw[[#This Row],[Column13]] * IF($E$2="Deployment",deployment_raw[[#This Row],[Column5]],1)*(1+$W$2))/1048576,"")</f>
        <v/>
      </c>
    </row>
    <row r="637" spans="1:23" ht="15.75" customHeight="1" x14ac:dyDescent="0.25">
      <c r="A637" s="5" t="str">
        <f>IF(ISNONTEXT(deployment_raw[[#This Row],[Column1]]), "", deployment_raw[[#This Row],[Column1]])</f>
        <v/>
      </c>
      <c r="B637" s="6" t="str">
        <f>IF(ISNONTEXT(deployment_raw[[#This Row],[Column2]]), "", deployment_raw[[#This Row],[Column2]])</f>
        <v/>
      </c>
      <c r="C637" s="6" t="str">
        <f>IF(ISNONTEXT(deployment_raw[[#This Row],[Column3]]), "", deployment_raw[[#This Row],[Column3]])</f>
        <v/>
      </c>
      <c r="D637" s="6" t="str">
        <f>IF(ISNONTEXT(deployment_raw[[#This Row],[Column4]]), "", deployment_raw[[#This Row],[Column4]])</f>
        <v/>
      </c>
      <c r="E637" s="7" t="str">
        <f>IF(ISNUMBER(deployment_raw[[#This Row],[Column5]]), deployment_raw[[#This Row],[Column5]],"")</f>
        <v/>
      </c>
      <c r="F637" s="32" t="str">
        <f>IF(ISNUMBER(deployment_raw[[#This Row],[Column17]]), deployment_raw[[#This Row],[Column17]]/IF(OR($E$2="Deployment",deployment_raw[[#This Row],[Column5]]=0),1,deployment_raw[[#This Row],[Column5]]),"")</f>
        <v/>
      </c>
      <c r="G637" s="42" t="str">
        <f>IF(ISNUMBER(deployment_raw[[#This Row],[Column14]]), deployment_raw[[#This Row],[Column14]]/IF(OR($E$2="Deployment",deployment_raw[[#This Row],[Column5]]=0),1,deployment_raw[[#This Row],[Column5]]),"")</f>
        <v/>
      </c>
      <c r="H637" s="79" t="str">
        <f>IF(ISNUMBER(deployment_raw[[#This Row],[Column19]]), IF(I637&lt;&gt;0,(deployment_raw[[#This Row],[Column19]]/IF(OR($E$2="Deployment",deployment_raw[[#This Row],[Column5]]=0),1,deployment_raw[[#This Row],[Column5]]))/I637,0),"")</f>
        <v/>
      </c>
      <c r="I637" s="69" t="str">
        <f>IF(ISNUMBER(deployment_raw[[#This Row],[Column6]]), (deployment_raw[[#This Row],[Column6]] * IF($E$2="Deployment",deployment_raw[[#This Row],[Column5]],1)),"")</f>
        <v/>
      </c>
      <c r="J637" s="79" t="str">
        <f>IF(ISNUMBER(deployment_raw[[#This Row],[Column19]]), IF(K637&lt;&gt;0,(deployment_raw[[#This Row],[Column19]]/IF(OR($E$2="Deployment",deployment_raw[[#This Row],[Column5]]=0),1,deployment_raw[[#This Row],[Column5]]))/K637,0),"")</f>
        <v/>
      </c>
      <c r="K637" s="72" t="str">
        <f>IF(ISNUMBER(deployment_raw[[#This Row],[Column8]]), (deployment_raw[[#This Row],[Column8]]  * IF($E$2="Deployment",deployment_raw[[#This Row],[Column5]],1)),"")</f>
        <v/>
      </c>
      <c r="L63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3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37" s="81" t="str">
        <f>IF(ISNUMBER(deployment_raw[[#This Row],[Column20]]), IF(O637&lt;&gt;0,deployment_raw[[#This Row],[Column20]]/IF(OR($E$2="Deployment",deployment_raw[[#This Row],[Column5]]=0),1,deployment_raw[[#This Row],[Column5]])/1048576/O637,0),"")</f>
        <v/>
      </c>
      <c r="O637" s="74" t="str">
        <f>IF(ISNUMBER(deployment_raw[[#This Row],[Column7]]), (deployment_raw[[#This Row],[Column7]] * IF($E$2="Deployment",deployment_raw[[#This Row],[Column5]],1))/1048576,"")</f>
        <v/>
      </c>
      <c r="P637" s="81" t="str">
        <f>IF(ISNUMBER(deployment_raw[[#This Row],[Column20]]), IF(Q637&lt;&gt;0,deployment_raw[[#This Row],[Column20]]/IF(OR($E$2="Deployment",deployment_raw[[#This Row],[Column5]]=0),1,deployment_raw[[#This Row],[Column5]])/1048576/Q637,0),"")</f>
        <v/>
      </c>
      <c r="Q637" s="76" t="str">
        <f>IF(ISNUMBER(deployment_raw[[#This Row],[Column9]]), (deployment_raw[[#This Row],[Column9]] * IF($E$2="Deployment",deployment_raw[[#This Row],[Column5]],1))/1048576,"")</f>
        <v/>
      </c>
      <c r="R637" s="57" t="str">
        <f>IF(ISNUMBER(deployment_raw[[#This Row],[Column10]]), (deployment_raw[[#This Row],[Column10]] * IF($E$2="Deployment",deployment_raw[[#This Row],[Column5]],1)),"")</f>
        <v/>
      </c>
      <c r="S637" s="48" t="str">
        <f>IF(ISNUMBER(deployment_raw[[#This Row],[Column11]]), (deployment_raw[[#This Row],[Column11]] * IF($E$2="Deployment",deployment_raw[[#This Row],[Column5]],1))/1048576,"")</f>
        <v/>
      </c>
      <c r="T637" s="59" t="str">
        <f>IF(ISNUMBER(deployment_raw[[#This Row],[Column8]]),IF(OR(deployment_raw[[#This Row],[Column5]] &lt;&gt; 0,$E$2 &lt;&gt; "Deployment"), MAX(V637, ($T$2 * IF($E$2="Deployment",deployment_raw[[#This Row],[Column5]],1))), 0),"")</f>
        <v/>
      </c>
      <c r="U637" s="50" t="str">
        <f>IF(ISNUMBER(deployment_raw[[#This Row],[Column9]]),IF(OR(deployment_raw[[#This Row],[Column5]] &lt;&gt; 0,$E$2&lt;&gt;"Deployment"), MAX(W637, ($U$2 * IF($E$2="Deployment",deployment_raw[[#This Row],[Column5]],1))), 0),"")</f>
        <v/>
      </c>
      <c r="V637" s="15" t="str">
        <f>IF(ISNUMBER(deployment_raw[[#This Row],[Column12]]), (deployment_raw[[#This Row],[Column12]] * IF($E$2="Deployment",deployment_raw[[#This Row],[Column5]],1)*(1+$V$2)),"")</f>
        <v/>
      </c>
      <c r="W637" s="14" t="str">
        <f>IF(ISNUMBER(deployment_raw[[#This Row],[Column13]]), (deployment_raw[[#This Row],[Column13]] * IF($E$2="Deployment",deployment_raw[[#This Row],[Column5]],1)*(1+$W$2))/1048576,"")</f>
        <v/>
      </c>
    </row>
    <row r="638" spans="1:23" ht="15.75" customHeight="1" x14ac:dyDescent="0.25">
      <c r="A638" s="5" t="str">
        <f>IF(ISNONTEXT(deployment_raw[[#This Row],[Column1]]), "", deployment_raw[[#This Row],[Column1]])</f>
        <v/>
      </c>
      <c r="B638" s="6" t="str">
        <f>IF(ISNONTEXT(deployment_raw[[#This Row],[Column2]]), "", deployment_raw[[#This Row],[Column2]])</f>
        <v/>
      </c>
      <c r="C638" s="6" t="str">
        <f>IF(ISNONTEXT(deployment_raw[[#This Row],[Column3]]), "", deployment_raw[[#This Row],[Column3]])</f>
        <v/>
      </c>
      <c r="D638" s="6" t="str">
        <f>IF(ISNONTEXT(deployment_raw[[#This Row],[Column4]]), "", deployment_raw[[#This Row],[Column4]])</f>
        <v/>
      </c>
      <c r="E638" s="7" t="str">
        <f>IF(ISNUMBER(deployment_raw[[#This Row],[Column5]]), deployment_raw[[#This Row],[Column5]],"")</f>
        <v/>
      </c>
      <c r="F638" s="32" t="str">
        <f>IF(ISNUMBER(deployment_raw[[#This Row],[Column17]]), deployment_raw[[#This Row],[Column17]]/IF(OR($E$2="Deployment",deployment_raw[[#This Row],[Column5]]=0),1,deployment_raw[[#This Row],[Column5]]),"")</f>
        <v/>
      </c>
      <c r="G638" s="42" t="str">
        <f>IF(ISNUMBER(deployment_raw[[#This Row],[Column14]]), deployment_raw[[#This Row],[Column14]]/IF(OR($E$2="Deployment",deployment_raw[[#This Row],[Column5]]=0),1,deployment_raw[[#This Row],[Column5]]),"")</f>
        <v/>
      </c>
      <c r="H638" s="79" t="str">
        <f>IF(ISNUMBER(deployment_raw[[#This Row],[Column19]]), IF(I638&lt;&gt;0,(deployment_raw[[#This Row],[Column19]]/IF(OR($E$2="Deployment",deployment_raw[[#This Row],[Column5]]=0),1,deployment_raw[[#This Row],[Column5]]))/I638,0),"")</f>
        <v/>
      </c>
      <c r="I638" s="69" t="str">
        <f>IF(ISNUMBER(deployment_raw[[#This Row],[Column6]]), (deployment_raw[[#This Row],[Column6]] * IF($E$2="Deployment",deployment_raw[[#This Row],[Column5]],1)),"")</f>
        <v/>
      </c>
      <c r="J638" s="79" t="str">
        <f>IF(ISNUMBER(deployment_raw[[#This Row],[Column19]]), IF(K638&lt;&gt;0,(deployment_raw[[#This Row],[Column19]]/IF(OR($E$2="Deployment",deployment_raw[[#This Row],[Column5]]=0),1,deployment_raw[[#This Row],[Column5]]))/K638,0),"")</f>
        <v/>
      </c>
      <c r="K638" s="72" t="str">
        <f>IF(ISNUMBER(deployment_raw[[#This Row],[Column8]]), (deployment_raw[[#This Row],[Column8]]  * IF($E$2="Deployment",deployment_raw[[#This Row],[Column5]],1)),"")</f>
        <v/>
      </c>
      <c r="L63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3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38" s="81" t="str">
        <f>IF(ISNUMBER(deployment_raw[[#This Row],[Column20]]), IF(O638&lt;&gt;0,deployment_raw[[#This Row],[Column20]]/IF(OR($E$2="Deployment",deployment_raw[[#This Row],[Column5]]=0),1,deployment_raw[[#This Row],[Column5]])/1048576/O638,0),"")</f>
        <v/>
      </c>
      <c r="O638" s="74" t="str">
        <f>IF(ISNUMBER(deployment_raw[[#This Row],[Column7]]), (deployment_raw[[#This Row],[Column7]] * IF($E$2="Deployment",deployment_raw[[#This Row],[Column5]],1))/1048576,"")</f>
        <v/>
      </c>
      <c r="P638" s="81" t="str">
        <f>IF(ISNUMBER(deployment_raw[[#This Row],[Column20]]), IF(Q638&lt;&gt;0,deployment_raw[[#This Row],[Column20]]/IF(OR($E$2="Deployment",deployment_raw[[#This Row],[Column5]]=0),1,deployment_raw[[#This Row],[Column5]])/1048576/Q638,0),"")</f>
        <v/>
      </c>
      <c r="Q638" s="76" t="str">
        <f>IF(ISNUMBER(deployment_raw[[#This Row],[Column9]]), (deployment_raw[[#This Row],[Column9]] * IF($E$2="Deployment",deployment_raw[[#This Row],[Column5]],1))/1048576,"")</f>
        <v/>
      </c>
      <c r="R638" s="57" t="str">
        <f>IF(ISNUMBER(deployment_raw[[#This Row],[Column10]]), (deployment_raw[[#This Row],[Column10]] * IF($E$2="Deployment",deployment_raw[[#This Row],[Column5]],1)),"")</f>
        <v/>
      </c>
      <c r="S638" s="48" t="str">
        <f>IF(ISNUMBER(deployment_raw[[#This Row],[Column11]]), (deployment_raw[[#This Row],[Column11]] * IF($E$2="Deployment",deployment_raw[[#This Row],[Column5]],1))/1048576,"")</f>
        <v/>
      </c>
      <c r="T638" s="59" t="str">
        <f>IF(ISNUMBER(deployment_raw[[#This Row],[Column8]]),IF(OR(deployment_raw[[#This Row],[Column5]] &lt;&gt; 0,$E$2 &lt;&gt; "Deployment"), MAX(V638, ($T$2 * IF($E$2="Deployment",deployment_raw[[#This Row],[Column5]],1))), 0),"")</f>
        <v/>
      </c>
      <c r="U638" s="50" t="str">
        <f>IF(ISNUMBER(deployment_raw[[#This Row],[Column9]]),IF(OR(deployment_raw[[#This Row],[Column5]] &lt;&gt; 0,$E$2&lt;&gt;"Deployment"), MAX(W638, ($U$2 * IF($E$2="Deployment",deployment_raw[[#This Row],[Column5]],1))), 0),"")</f>
        <v/>
      </c>
      <c r="V638" s="15" t="str">
        <f>IF(ISNUMBER(deployment_raw[[#This Row],[Column12]]), (deployment_raw[[#This Row],[Column12]] * IF($E$2="Deployment",deployment_raw[[#This Row],[Column5]],1)*(1+$V$2)),"")</f>
        <v/>
      </c>
      <c r="W638" s="14" t="str">
        <f>IF(ISNUMBER(deployment_raw[[#This Row],[Column13]]), (deployment_raw[[#This Row],[Column13]] * IF($E$2="Deployment",deployment_raw[[#This Row],[Column5]],1)*(1+$W$2))/1048576,"")</f>
        <v/>
      </c>
    </row>
    <row r="639" spans="1:23" ht="15.75" customHeight="1" x14ac:dyDescent="0.25">
      <c r="A639" s="5" t="str">
        <f>IF(ISNONTEXT(deployment_raw[[#This Row],[Column1]]), "", deployment_raw[[#This Row],[Column1]])</f>
        <v/>
      </c>
      <c r="B639" s="6" t="str">
        <f>IF(ISNONTEXT(deployment_raw[[#This Row],[Column2]]), "", deployment_raw[[#This Row],[Column2]])</f>
        <v/>
      </c>
      <c r="C639" s="6" t="str">
        <f>IF(ISNONTEXT(deployment_raw[[#This Row],[Column3]]), "", deployment_raw[[#This Row],[Column3]])</f>
        <v/>
      </c>
      <c r="D639" s="6" t="str">
        <f>IF(ISNONTEXT(deployment_raw[[#This Row],[Column4]]), "", deployment_raw[[#This Row],[Column4]])</f>
        <v/>
      </c>
      <c r="E639" s="7" t="str">
        <f>IF(ISNUMBER(deployment_raw[[#This Row],[Column5]]), deployment_raw[[#This Row],[Column5]],"")</f>
        <v/>
      </c>
      <c r="F639" s="32" t="str">
        <f>IF(ISNUMBER(deployment_raw[[#This Row],[Column17]]), deployment_raw[[#This Row],[Column17]]/IF(OR($E$2="Deployment",deployment_raw[[#This Row],[Column5]]=0),1,deployment_raw[[#This Row],[Column5]]),"")</f>
        <v/>
      </c>
      <c r="G639" s="42" t="str">
        <f>IF(ISNUMBER(deployment_raw[[#This Row],[Column14]]), deployment_raw[[#This Row],[Column14]]/IF(OR($E$2="Deployment",deployment_raw[[#This Row],[Column5]]=0),1,deployment_raw[[#This Row],[Column5]]),"")</f>
        <v/>
      </c>
      <c r="H639" s="79" t="str">
        <f>IF(ISNUMBER(deployment_raw[[#This Row],[Column19]]), IF(I639&lt;&gt;0,(deployment_raw[[#This Row],[Column19]]/IF(OR($E$2="Deployment",deployment_raw[[#This Row],[Column5]]=0),1,deployment_raw[[#This Row],[Column5]]))/I639,0),"")</f>
        <v/>
      </c>
      <c r="I639" s="69" t="str">
        <f>IF(ISNUMBER(deployment_raw[[#This Row],[Column6]]), (deployment_raw[[#This Row],[Column6]] * IF($E$2="Deployment",deployment_raw[[#This Row],[Column5]],1)),"")</f>
        <v/>
      </c>
      <c r="J639" s="79" t="str">
        <f>IF(ISNUMBER(deployment_raw[[#This Row],[Column19]]), IF(K639&lt;&gt;0,(deployment_raw[[#This Row],[Column19]]/IF(OR($E$2="Deployment",deployment_raw[[#This Row],[Column5]]=0),1,deployment_raw[[#This Row],[Column5]]))/K639,0),"")</f>
        <v/>
      </c>
      <c r="K639" s="72" t="str">
        <f>IF(ISNUMBER(deployment_raw[[#This Row],[Column8]]), (deployment_raw[[#This Row],[Column8]]  * IF($E$2="Deployment",deployment_raw[[#This Row],[Column5]],1)),"")</f>
        <v/>
      </c>
      <c r="L63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3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39" s="81" t="str">
        <f>IF(ISNUMBER(deployment_raw[[#This Row],[Column20]]), IF(O639&lt;&gt;0,deployment_raw[[#This Row],[Column20]]/IF(OR($E$2="Deployment",deployment_raw[[#This Row],[Column5]]=0),1,deployment_raw[[#This Row],[Column5]])/1048576/O639,0),"")</f>
        <v/>
      </c>
      <c r="O639" s="74" t="str">
        <f>IF(ISNUMBER(deployment_raw[[#This Row],[Column7]]), (deployment_raw[[#This Row],[Column7]] * IF($E$2="Deployment",deployment_raw[[#This Row],[Column5]],1))/1048576,"")</f>
        <v/>
      </c>
      <c r="P639" s="81" t="str">
        <f>IF(ISNUMBER(deployment_raw[[#This Row],[Column20]]), IF(Q639&lt;&gt;0,deployment_raw[[#This Row],[Column20]]/IF(OR($E$2="Deployment",deployment_raw[[#This Row],[Column5]]=0),1,deployment_raw[[#This Row],[Column5]])/1048576/Q639,0),"")</f>
        <v/>
      </c>
      <c r="Q639" s="76" t="str">
        <f>IF(ISNUMBER(deployment_raw[[#This Row],[Column9]]), (deployment_raw[[#This Row],[Column9]] * IF($E$2="Deployment",deployment_raw[[#This Row],[Column5]],1))/1048576,"")</f>
        <v/>
      </c>
      <c r="R639" s="57" t="str">
        <f>IF(ISNUMBER(deployment_raw[[#This Row],[Column10]]), (deployment_raw[[#This Row],[Column10]] * IF($E$2="Deployment",deployment_raw[[#This Row],[Column5]],1)),"")</f>
        <v/>
      </c>
      <c r="S639" s="48" t="str">
        <f>IF(ISNUMBER(deployment_raw[[#This Row],[Column11]]), (deployment_raw[[#This Row],[Column11]] * IF($E$2="Deployment",deployment_raw[[#This Row],[Column5]],1))/1048576,"")</f>
        <v/>
      </c>
      <c r="T639" s="59" t="str">
        <f>IF(ISNUMBER(deployment_raw[[#This Row],[Column8]]),IF(OR(deployment_raw[[#This Row],[Column5]] &lt;&gt; 0,$E$2 &lt;&gt; "Deployment"), MAX(V639, ($T$2 * IF($E$2="Deployment",deployment_raw[[#This Row],[Column5]],1))), 0),"")</f>
        <v/>
      </c>
      <c r="U639" s="50" t="str">
        <f>IF(ISNUMBER(deployment_raw[[#This Row],[Column9]]),IF(OR(deployment_raw[[#This Row],[Column5]] &lt;&gt; 0,$E$2&lt;&gt;"Deployment"), MAX(W639, ($U$2 * IF($E$2="Deployment",deployment_raw[[#This Row],[Column5]],1))), 0),"")</f>
        <v/>
      </c>
      <c r="V639" s="15" t="str">
        <f>IF(ISNUMBER(deployment_raw[[#This Row],[Column12]]), (deployment_raw[[#This Row],[Column12]] * IF($E$2="Deployment",deployment_raw[[#This Row],[Column5]],1)*(1+$V$2)),"")</f>
        <v/>
      </c>
      <c r="W639" s="14" t="str">
        <f>IF(ISNUMBER(deployment_raw[[#This Row],[Column13]]), (deployment_raw[[#This Row],[Column13]] * IF($E$2="Deployment",deployment_raw[[#This Row],[Column5]],1)*(1+$W$2))/1048576,"")</f>
        <v/>
      </c>
    </row>
    <row r="640" spans="1:23" ht="15.75" customHeight="1" x14ac:dyDescent="0.25">
      <c r="A640" s="5" t="str">
        <f>IF(ISNONTEXT(deployment_raw[[#This Row],[Column1]]), "", deployment_raw[[#This Row],[Column1]])</f>
        <v/>
      </c>
      <c r="B640" s="6" t="str">
        <f>IF(ISNONTEXT(deployment_raw[[#This Row],[Column2]]), "", deployment_raw[[#This Row],[Column2]])</f>
        <v/>
      </c>
      <c r="C640" s="6" t="str">
        <f>IF(ISNONTEXT(deployment_raw[[#This Row],[Column3]]), "", deployment_raw[[#This Row],[Column3]])</f>
        <v/>
      </c>
      <c r="D640" s="6" t="str">
        <f>IF(ISNONTEXT(deployment_raw[[#This Row],[Column4]]), "", deployment_raw[[#This Row],[Column4]])</f>
        <v/>
      </c>
      <c r="E640" s="7" t="str">
        <f>IF(ISNUMBER(deployment_raw[[#This Row],[Column5]]), deployment_raw[[#This Row],[Column5]],"")</f>
        <v/>
      </c>
      <c r="F640" s="32" t="str">
        <f>IF(ISNUMBER(deployment_raw[[#This Row],[Column17]]), deployment_raw[[#This Row],[Column17]]/IF(OR($E$2="Deployment",deployment_raw[[#This Row],[Column5]]=0),1,deployment_raw[[#This Row],[Column5]]),"")</f>
        <v/>
      </c>
      <c r="G640" s="42" t="str">
        <f>IF(ISNUMBER(deployment_raw[[#This Row],[Column14]]), deployment_raw[[#This Row],[Column14]]/IF(OR($E$2="Deployment",deployment_raw[[#This Row],[Column5]]=0),1,deployment_raw[[#This Row],[Column5]]),"")</f>
        <v/>
      </c>
      <c r="H640" s="79" t="str">
        <f>IF(ISNUMBER(deployment_raw[[#This Row],[Column19]]), IF(I640&lt;&gt;0,(deployment_raw[[#This Row],[Column19]]/IF(OR($E$2="Deployment",deployment_raw[[#This Row],[Column5]]=0),1,deployment_raw[[#This Row],[Column5]]))/I640,0),"")</f>
        <v/>
      </c>
      <c r="I640" s="69" t="str">
        <f>IF(ISNUMBER(deployment_raw[[#This Row],[Column6]]), (deployment_raw[[#This Row],[Column6]] * IF($E$2="Deployment",deployment_raw[[#This Row],[Column5]],1)),"")</f>
        <v/>
      </c>
      <c r="J640" s="79" t="str">
        <f>IF(ISNUMBER(deployment_raw[[#This Row],[Column19]]), IF(K640&lt;&gt;0,(deployment_raw[[#This Row],[Column19]]/IF(OR($E$2="Deployment",deployment_raw[[#This Row],[Column5]]=0),1,deployment_raw[[#This Row],[Column5]]))/K640,0),"")</f>
        <v/>
      </c>
      <c r="K640" s="72" t="str">
        <f>IF(ISNUMBER(deployment_raw[[#This Row],[Column8]]), (deployment_raw[[#This Row],[Column8]]  * IF($E$2="Deployment",deployment_raw[[#This Row],[Column5]],1)),"")</f>
        <v/>
      </c>
      <c r="L64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4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40" s="81" t="str">
        <f>IF(ISNUMBER(deployment_raw[[#This Row],[Column20]]), IF(O640&lt;&gt;0,deployment_raw[[#This Row],[Column20]]/IF(OR($E$2="Deployment",deployment_raw[[#This Row],[Column5]]=0),1,deployment_raw[[#This Row],[Column5]])/1048576/O640,0),"")</f>
        <v/>
      </c>
      <c r="O640" s="74" t="str">
        <f>IF(ISNUMBER(deployment_raw[[#This Row],[Column7]]), (deployment_raw[[#This Row],[Column7]] * IF($E$2="Deployment",deployment_raw[[#This Row],[Column5]],1))/1048576,"")</f>
        <v/>
      </c>
      <c r="P640" s="81" t="str">
        <f>IF(ISNUMBER(deployment_raw[[#This Row],[Column20]]), IF(Q640&lt;&gt;0,deployment_raw[[#This Row],[Column20]]/IF(OR($E$2="Deployment",deployment_raw[[#This Row],[Column5]]=0),1,deployment_raw[[#This Row],[Column5]])/1048576/Q640,0),"")</f>
        <v/>
      </c>
      <c r="Q640" s="76" t="str">
        <f>IF(ISNUMBER(deployment_raw[[#This Row],[Column9]]), (deployment_raw[[#This Row],[Column9]] * IF($E$2="Deployment",deployment_raw[[#This Row],[Column5]],1))/1048576,"")</f>
        <v/>
      </c>
      <c r="R640" s="57" t="str">
        <f>IF(ISNUMBER(deployment_raw[[#This Row],[Column10]]), (deployment_raw[[#This Row],[Column10]] * IF($E$2="Deployment",deployment_raw[[#This Row],[Column5]],1)),"")</f>
        <v/>
      </c>
      <c r="S640" s="48" t="str">
        <f>IF(ISNUMBER(deployment_raw[[#This Row],[Column11]]), (deployment_raw[[#This Row],[Column11]] * IF($E$2="Deployment",deployment_raw[[#This Row],[Column5]],1))/1048576,"")</f>
        <v/>
      </c>
      <c r="T640" s="59" t="str">
        <f>IF(ISNUMBER(deployment_raw[[#This Row],[Column8]]),IF(OR(deployment_raw[[#This Row],[Column5]] &lt;&gt; 0,$E$2 &lt;&gt; "Deployment"), MAX(V640, ($T$2 * IF($E$2="Deployment",deployment_raw[[#This Row],[Column5]],1))), 0),"")</f>
        <v/>
      </c>
      <c r="U640" s="50" t="str">
        <f>IF(ISNUMBER(deployment_raw[[#This Row],[Column9]]),IF(OR(deployment_raw[[#This Row],[Column5]] &lt;&gt; 0,$E$2&lt;&gt;"Deployment"), MAX(W640, ($U$2 * IF($E$2="Deployment",deployment_raw[[#This Row],[Column5]],1))), 0),"")</f>
        <v/>
      </c>
      <c r="V640" s="15" t="str">
        <f>IF(ISNUMBER(deployment_raw[[#This Row],[Column12]]), (deployment_raw[[#This Row],[Column12]] * IF($E$2="Deployment",deployment_raw[[#This Row],[Column5]],1)*(1+$V$2)),"")</f>
        <v/>
      </c>
      <c r="W640" s="14" t="str">
        <f>IF(ISNUMBER(deployment_raw[[#This Row],[Column13]]), (deployment_raw[[#This Row],[Column13]] * IF($E$2="Deployment",deployment_raw[[#This Row],[Column5]],1)*(1+$W$2))/1048576,"")</f>
        <v/>
      </c>
    </row>
    <row r="641" spans="1:23" ht="15.75" customHeight="1" x14ac:dyDescent="0.25">
      <c r="A641" s="5" t="str">
        <f>IF(ISNONTEXT(deployment_raw[[#This Row],[Column1]]), "", deployment_raw[[#This Row],[Column1]])</f>
        <v/>
      </c>
      <c r="B641" s="6" t="str">
        <f>IF(ISNONTEXT(deployment_raw[[#This Row],[Column2]]), "", deployment_raw[[#This Row],[Column2]])</f>
        <v/>
      </c>
      <c r="C641" s="6" t="str">
        <f>IF(ISNONTEXT(deployment_raw[[#This Row],[Column3]]), "", deployment_raw[[#This Row],[Column3]])</f>
        <v/>
      </c>
      <c r="D641" s="6" t="str">
        <f>IF(ISNONTEXT(deployment_raw[[#This Row],[Column4]]), "", deployment_raw[[#This Row],[Column4]])</f>
        <v/>
      </c>
      <c r="E641" s="7" t="str">
        <f>IF(ISNUMBER(deployment_raw[[#This Row],[Column5]]), deployment_raw[[#This Row],[Column5]],"")</f>
        <v/>
      </c>
      <c r="F641" s="32" t="str">
        <f>IF(ISNUMBER(deployment_raw[[#This Row],[Column17]]), deployment_raw[[#This Row],[Column17]]/IF(OR($E$2="Deployment",deployment_raw[[#This Row],[Column5]]=0),1,deployment_raw[[#This Row],[Column5]]),"")</f>
        <v/>
      </c>
      <c r="G641" s="42" t="str">
        <f>IF(ISNUMBER(deployment_raw[[#This Row],[Column14]]), deployment_raw[[#This Row],[Column14]]/IF(OR($E$2="Deployment",deployment_raw[[#This Row],[Column5]]=0),1,deployment_raw[[#This Row],[Column5]]),"")</f>
        <v/>
      </c>
      <c r="H641" s="79" t="str">
        <f>IF(ISNUMBER(deployment_raw[[#This Row],[Column19]]), IF(I641&lt;&gt;0,(deployment_raw[[#This Row],[Column19]]/IF(OR($E$2="Deployment",deployment_raw[[#This Row],[Column5]]=0),1,deployment_raw[[#This Row],[Column5]]))/I641,0),"")</f>
        <v/>
      </c>
      <c r="I641" s="69" t="str">
        <f>IF(ISNUMBER(deployment_raw[[#This Row],[Column6]]), (deployment_raw[[#This Row],[Column6]] * IF($E$2="Deployment",deployment_raw[[#This Row],[Column5]],1)),"")</f>
        <v/>
      </c>
      <c r="J641" s="79" t="str">
        <f>IF(ISNUMBER(deployment_raw[[#This Row],[Column19]]), IF(K641&lt;&gt;0,(deployment_raw[[#This Row],[Column19]]/IF(OR($E$2="Deployment",deployment_raw[[#This Row],[Column5]]=0),1,deployment_raw[[#This Row],[Column5]]))/K641,0),"")</f>
        <v/>
      </c>
      <c r="K641" s="72" t="str">
        <f>IF(ISNUMBER(deployment_raw[[#This Row],[Column8]]), (deployment_raw[[#This Row],[Column8]]  * IF($E$2="Deployment",deployment_raw[[#This Row],[Column5]],1)),"")</f>
        <v/>
      </c>
      <c r="L64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4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41" s="81" t="str">
        <f>IF(ISNUMBER(deployment_raw[[#This Row],[Column20]]), IF(O641&lt;&gt;0,deployment_raw[[#This Row],[Column20]]/IF(OR($E$2="Deployment",deployment_raw[[#This Row],[Column5]]=0),1,deployment_raw[[#This Row],[Column5]])/1048576/O641,0),"")</f>
        <v/>
      </c>
      <c r="O641" s="74" t="str">
        <f>IF(ISNUMBER(deployment_raw[[#This Row],[Column7]]), (deployment_raw[[#This Row],[Column7]] * IF($E$2="Deployment",deployment_raw[[#This Row],[Column5]],1))/1048576,"")</f>
        <v/>
      </c>
      <c r="P641" s="81" t="str">
        <f>IF(ISNUMBER(deployment_raw[[#This Row],[Column20]]), IF(Q641&lt;&gt;0,deployment_raw[[#This Row],[Column20]]/IF(OR($E$2="Deployment",deployment_raw[[#This Row],[Column5]]=0),1,deployment_raw[[#This Row],[Column5]])/1048576/Q641,0),"")</f>
        <v/>
      </c>
      <c r="Q641" s="76" t="str">
        <f>IF(ISNUMBER(deployment_raw[[#This Row],[Column9]]), (deployment_raw[[#This Row],[Column9]] * IF($E$2="Deployment",deployment_raw[[#This Row],[Column5]],1))/1048576,"")</f>
        <v/>
      </c>
      <c r="R641" s="57" t="str">
        <f>IF(ISNUMBER(deployment_raw[[#This Row],[Column10]]), (deployment_raw[[#This Row],[Column10]] * IF($E$2="Deployment",deployment_raw[[#This Row],[Column5]],1)),"")</f>
        <v/>
      </c>
      <c r="S641" s="48" t="str">
        <f>IF(ISNUMBER(deployment_raw[[#This Row],[Column11]]), (deployment_raw[[#This Row],[Column11]] * IF($E$2="Deployment",deployment_raw[[#This Row],[Column5]],1))/1048576,"")</f>
        <v/>
      </c>
      <c r="T641" s="59" t="str">
        <f>IF(ISNUMBER(deployment_raw[[#This Row],[Column8]]),IF(OR(deployment_raw[[#This Row],[Column5]] &lt;&gt; 0,$E$2 &lt;&gt; "Deployment"), MAX(V641, ($T$2 * IF($E$2="Deployment",deployment_raw[[#This Row],[Column5]],1))), 0),"")</f>
        <v/>
      </c>
      <c r="U641" s="50" t="str">
        <f>IF(ISNUMBER(deployment_raw[[#This Row],[Column9]]),IF(OR(deployment_raw[[#This Row],[Column5]] &lt;&gt; 0,$E$2&lt;&gt;"Deployment"), MAX(W641, ($U$2 * IF($E$2="Deployment",deployment_raw[[#This Row],[Column5]],1))), 0),"")</f>
        <v/>
      </c>
      <c r="V641" s="15" t="str">
        <f>IF(ISNUMBER(deployment_raw[[#This Row],[Column12]]), (deployment_raw[[#This Row],[Column12]] * IF($E$2="Deployment",deployment_raw[[#This Row],[Column5]],1)*(1+$V$2)),"")</f>
        <v/>
      </c>
      <c r="W641" s="14" t="str">
        <f>IF(ISNUMBER(deployment_raw[[#This Row],[Column13]]), (deployment_raw[[#This Row],[Column13]] * IF($E$2="Deployment",deployment_raw[[#This Row],[Column5]],1)*(1+$W$2))/1048576,"")</f>
        <v/>
      </c>
    </row>
    <row r="642" spans="1:23" ht="15.75" customHeight="1" x14ac:dyDescent="0.25">
      <c r="A642" s="5" t="str">
        <f>IF(ISNONTEXT(deployment_raw[[#This Row],[Column1]]), "", deployment_raw[[#This Row],[Column1]])</f>
        <v/>
      </c>
      <c r="B642" s="6" t="str">
        <f>IF(ISNONTEXT(deployment_raw[[#This Row],[Column2]]), "", deployment_raw[[#This Row],[Column2]])</f>
        <v/>
      </c>
      <c r="C642" s="6" t="str">
        <f>IF(ISNONTEXT(deployment_raw[[#This Row],[Column3]]), "", deployment_raw[[#This Row],[Column3]])</f>
        <v/>
      </c>
      <c r="D642" s="6" t="str">
        <f>IF(ISNONTEXT(deployment_raw[[#This Row],[Column4]]), "", deployment_raw[[#This Row],[Column4]])</f>
        <v/>
      </c>
      <c r="E642" s="7" t="str">
        <f>IF(ISNUMBER(deployment_raw[[#This Row],[Column5]]), deployment_raw[[#This Row],[Column5]],"")</f>
        <v/>
      </c>
      <c r="F642" s="32" t="str">
        <f>IF(ISNUMBER(deployment_raw[[#This Row],[Column17]]), deployment_raw[[#This Row],[Column17]]/IF(OR($E$2="Deployment",deployment_raw[[#This Row],[Column5]]=0),1,deployment_raw[[#This Row],[Column5]]),"")</f>
        <v/>
      </c>
      <c r="G642" s="42" t="str">
        <f>IF(ISNUMBER(deployment_raw[[#This Row],[Column14]]), deployment_raw[[#This Row],[Column14]]/IF(OR($E$2="Deployment",deployment_raw[[#This Row],[Column5]]=0),1,deployment_raw[[#This Row],[Column5]]),"")</f>
        <v/>
      </c>
      <c r="H642" s="79" t="str">
        <f>IF(ISNUMBER(deployment_raw[[#This Row],[Column19]]), IF(I642&lt;&gt;0,(deployment_raw[[#This Row],[Column19]]/IF(OR($E$2="Deployment",deployment_raw[[#This Row],[Column5]]=0),1,deployment_raw[[#This Row],[Column5]]))/I642,0),"")</f>
        <v/>
      </c>
      <c r="I642" s="69" t="str">
        <f>IF(ISNUMBER(deployment_raw[[#This Row],[Column6]]), (deployment_raw[[#This Row],[Column6]] * IF($E$2="Deployment",deployment_raw[[#This Row],[Column5]],1)),"")</f>
        <v/>
      </c>
      <c r="J642" s="79" t="str">
        <f>IF(ISNUMBER(deployment_raw[[#This Row],[Column19]]), IF(K642&lt;&gt;0,(deployment_raw[[#This Row],[Column19]]/IF(OR($E$2="Deployment",deployment_raw[[#This Row],[Column5]]=0),1,deployment_raw[[#This Row],[Column5]]))/K642,0),"")</f>
        <v/>
      </c>
      <c r="K642" s="72" t="str">
        <f>IF(ISNUMBER(deployment_raw[[#This Row],[Column8]]), (deployment_raw[[#This Row],[Column8]]  * IF($E$2="Deployment",deployment_raw[[#This Row],[Column5]],1)),"")</f>
        <v/>
      </c>
      <c r="L64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4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42" s="81" t="str">
        <f>IF(ISNUMBER(deployment_raw[[#This Row],[Column20]]), IF(O642&lt;&gt;0,deployment_raw[[#This Row],[Column20]]/IF(OR($E$2="Deployment",deployment_raw[[#This Row],[Column5]]=0),1,deployment_raw[[#This Row],[Column5]])/1048576/O642,0),"")</f>
        <v/>
      </c>
      <c r="O642" s="74" t="str">
        <f>IF(ISNUMBER(deployment_raw[[#This Row],[Column7]]), (deployment_raw[[#This Row],[Column7]] * IF($E$2="Deployment",deployment_raw[[#This Row],[Column5]],1))/1048576,"")</f>
        <v/>
      </c>
      <c r="P642" s="81" t="str">
        <f>IF(ISNUMBER(deployment_raw[[#This Row],[Column20]]), IF(Q642&lt;&gt;0,deployment_raw[[#This Row],[Column20]]/IF(OR($E$2="Deployment",deployment_raw[[#This Row],[Column5]]=0),1,deployment_raw[[#This Row],[Column5]])/1048576/Q642,0),"")</f>
        <v/>
      </c>
      <c r="Q642" s="76" t="str">
        <f>IF(ISNUMBER(deployment_raw[[#This Row],[Column9]]), (deployment_raw[[#This Row],[Column9]] * IF($E$2="Deployment",deployment_raw[[#This Row],[Column5]],1))/1048576,"")</f>
        <v/>
      </c>
      <c r="R642" s="57" t="str">
        <f>IF(ISNUMBER(deployment_raw[[#This Row],[Column10]]), (deployment_raw[[#This Row],[Column10]] * IF($E$2="Deployment",deployment_raw[[#This Row],[Column5]],1)),"")</f>
        <v/>
      </c>
      <c r="S642" s="48" t="str">
        <f>IF(ISNUMBER(deployment_raw[[#This Row],[Column11]]), (deployment_raw[[#This Row],[Column11]] * IF($E$2="Deployment",deployment_raw[[#This Row],[Column5]],1))/1048576,"")</f>
        <v/>
      </c>
      <c r="T642" s="59" t="str">
        <f>IF(ISNUMBER(deployment_raw[[#This Row],[Column8]]),IF(OR(deployment_raw[[#This Row],[Column5]] &lt;&gt; 0,$E$2 &lt;&gt; "Deployment"), MAX(V642, ($T$2 * IF($E$2="Deployment",deployment_raw[[#This Row],[Column5]],1))), 0),"")</f>
        <v/>
      </c>
      <c r="U642" s="50" t="str">
        <f>IF(ISNUMBER(deployment_raw[[#This Row],[Column9]]),IF(OR(deployment_raw[[#This Row],[Column5]] &lt;&gt; 0,$E$2&lt;&gt;"Deployment"), MAX(W642, ($U$2 * IF($E$2="Deployment",deployment_raw[[#This Row],[Column5]],1))), 0),"")</f>
        <v/>
      </c>
      <c r="V642" s="15" t="str">
        <f>IF(ISNUMBER(deployment_raw[[#This Row],[Column12]]), (deployment_raw[[#This Row],[Column12]] * IF($E$2="Deployment",deployment_raw[[#This Row],[Column5]],1)*(1+$V$2)),"")</f>
        <v/>
      </c>
      <c r="W642" s="14" t="str">
        <f>IF(ISNUMBER(deployment_raw[[#This Row],[Column13]]), (deployment_raw[[#This Row],[Column13]] * IF($E$2="Deployment",deployment_raw[[#This Row],[Column5]],1)*(1+$W$2))/1048576,"")</f>
        <v/>
      </c>
    </row>
    <row r="643" spans="1:23" ht="15.75" customHeight="1" x14ac:dyDescent="0.25">
      <c r="A643" s="5" t="str">
        <f>IF(ISNONTEXT(deployment_raw[[#This Row],[Column1]]), "", deployment_raw[[#This Row],[Column1]])</f>
        <v/>
      </c>
      <c r="B643" s="6" t="str">
        <f>IF(ISNONTEXT(deployment_raw[[#This Row],[Column2]]), "", deployment_raw[[#This Row],[Column2]])</f>
        <v/>
      </c>
      <c r="C643" s="6" t="str">
        <f>IF(ISNONTEXT(deployment_raw[[#This Row],[Column3]]), "", deployment_raw[[#This Row],[Column3]])</f>
        <v/>
      </c>
      <c r="D643" s="6" t="str">
        <f>IF(ISNONTEXT(deployment_raw[[#This Row],[Column4]]), "", deployment_raw[[#This Row],[Column4]])</f>
        <v/>
      </c>
      <c r="E643" s="7" t="str">
        <f>IF(ISNUMBER(deployment_raw[[#This Row],[Column5]]), deployment_raw[[#This Row],[Column5]],"")</f>
        <v/>
      </c>
      <c r="F643" s="32" t="str">
        <f>IF(ISNUMBER(deployment_raw[[#This Row],[Column17]]), deployment_raw[[#This Row],[Column17]]/IF(OR($E$2="Deployment",deployment_raw[[#This Row],[Column5]]=0),1,deployment_raw[[#This Row],[Column5]]),"")</f>
        <v/>
      </c>
      <c r="G643" s="42" t="str">
        <f>IF(ISNUMBER(deployment_raw[[#This Row],[Column14]]), deployment_raw[[#This Row],[Column14]]/IF(OR($E$2="Deployment",deployment_raw[[#This Row],[Column5]]=0),1,deployment_raw[[#This Row],[Column5]]),"")</f>
        <v/>
      </c>
      <c r="H643" s="79" t="str">
        <f>IF(ISNUMBER(deployment_raw[[#This Row],[Column19]]), IF(I643&lt;&gt;0,(deployment_raw[[#This Row],[Column19]]/IF(OR($E$2="Deployment",deployment_raw[[#This Row],[Column5]]=0),1,deployment_raw[[#This Row],[Column5]]))/I643,0),"")</f>
        <v/>
      </c>
      <c r="I643" s="69" t="str">
        <f>IF(ISNUMBER(deployment_raw[[#This Row],[Column6]]), (deployment_raw[[#This Row],[Column6]] * IF($E$2="Deployment",deployment_raw[[#This Row],[Column5]],1)),"")</f>
        <v/>
      </c>
      <c r="J643" s="79" t="str">
        <f>IF(ISNUMBER(deployment_raw[[#This Row],[Column19]]), IF(K643&lt;&gt;0,(deployment_raw[[#This Row],[Column19]]/IF(OR($E$2="Deployment",deployment_raw[[#This Row],[Column5]]=0),1,deployment_raw[[#This Row],[Column5]]))/K643,0),"")</f>
        <v/>
      </c>
      <c r="K643" s="72" t="str">
        <f>IF(ISNUMBER(deployment_raw[[#This Row],[Column8]]), (deployment_raw[[#This Row],[Column8]]  * IF($E$2="Deployment",deployment_raw[[#This Row],[Column5]],1)),"")</f>
        <v/>
      </c>
      <c r="L64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4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43" s="81" t="str">
        <f>IF(ISNUMBER(deployment_raw[[#This Row],[Column20]]), IF(O643&lt;&gt;0,deployment_raw[[#This Row],[Column20]]/IF(OR($E$2="Deployment",deployment_raw[[#This Row],[Column5]]=0),1,deployment_raw[[#This Row],[Column5]])/1048576/O643,0),"")</f>
        <v/>
      </c>
      <c r="O643" s="74" t="str">
        <f>IF(ISNUMBER(deployment_raw[[#This Row],[Column7]]), (deployment_raw[[#This Row],[Column7]] * IF($E$2="Deployment",deployment_raw[[#This Row],[Column5]],1))/1048576,"")</f>
        <v/>
      </c>
      <c r="P643" s="81" t="str">
        <f>IF(ISNUMBER(deployment_raw[[#This Row],[Column20]]), IF(Q643&lt;&gt;0,deployment_raw[[#This Row],[Column20]]/IF(OR($E$2="Deployment",deployment_raw[[#This Row],[Column5]]=0),1,deployment_raw[[#This Row],[Column5]])/1048576/Q643,0),"")</f>
        <v/>
      </c>
      <c r="Q643" s="76" t="str">
        <f>IF(ISNUMBER(deployment_raw[[#This Row],[Column9]]), (deployment_raw[[#This Row],[Column9]] * IF($E$2="Deployment",deployment_raw[[#This Row],[Column5]],1))/1048576,"")</f>
        <v/>
      </c>
      <c r="R643" s="57" t="str">
        <f>IF(ISNUMBER(deployment_raw[[#This Row],[Column10]]), (deployment_raw[[#This Row],[Column10]] * IF($E$2="Deployment",deployment_raw[[#This Row],[Column5]],1)),"")</f>
        <v/>
      </c>
      <c r="S643" s="48" t="str">
        <f>IF(ISNUMBER(deployment_raw[[#This Row],[Column11]]), (deployment_raw[[#This Row],[Column11]] * IF($E$2="Deployment",deployment_raw[[#This Row],[Column5]],1))/1048576,"")</f>
        <v/>
      </c>
      <c r="T643" s="59" t="str">
        <f>IF(ISNUMBER(deployment_raw[[#This Row],[Column8]]),IF(OR(deployment_raw[[#This Row],[Column5]] &lt;&gt; 0,$E$2 &lt;&gt; "Deployment"), MAX(V643, ($T$2 * IF($E$2="Deployment",deployment_raw[[#This Row],[Column5]],1))), 0),"")</f>
        <v/>
      </c>
      <c r="U643" s="50" t="str">
        <f>IF(ISNUMBER(deployment_raw[[#This Row],[Column9]]),IF(OR(deployment_raw[[#This Row],[Column5]] &lt;&gt; 0,$E$2&lt;&gt;"Deployment"), MAX(W643, ($U$2 * IF($E$2="Deployment",deployment_raw[[#This Row],[Column5]],1))), 0),"")</f>
        <v/>
      </c>
      <c r="V643" s="15" t="str">
        <f>IF(ISNUMBER(deployment_raw[[#This Row],[Column12]]), (deployment_raw[[#This Row],[Column12]] * IF($E$2="Deployment",deployment_raw[[#This Row],[Column5]],1)*(1+$V$2)),"")</f>
        <v/>
      </c>
      <c r="W643" s="14" t="str">
        <f>IF(ISNUMBER(deployment_raw[[#This Row],[Column13]]), (deployment_raw[[#This Row],[Column13]] * IF($E$2="Deployment",deployment_raw[[#This Row],[Column5]],1)*(1+$W$2))/1048576,"")</f>
        <v/>
      </c>
    </row>
    <row r="644" spans="1:23" ht="15.75" customHeight="1" x14ac:dyDescent="0.25">
      <c r="A644" s="5" t="str">
        <f>IF(ISNONTEXT(deployment_raw[[#This Row],[Column1]]), "", deployment_raw[[#This Row],[Column1]])</f>
        <v/>
      </c>
      <c r="B644" s="6" t="str">
        <f>IF(ISNONTEXT(deployment_raw[[#This Row],[Column2]]), "", deployment_raw[[#This Row],[Column2]])</f>
        <v/>
      </c>
      <c r="C644" s="6" t="str">
        <f>IF(ISNONTEXT(deployment_raw[[#This Row],[Column3]]), "", deployment_raw[[#This Row],[Column3]])</f>
        <v/>
      </c>
      <c r="D644" s="6" t="str">
        <f>IF(ISNONTEXT(deployment_raw[[#This Row],[Column4]]), "", deployment_raw[[#This Row],[Column4]])</f>
        <v/>
      </c>
      <c r="E644" s="7" t="str">
        <f>IF(ISNUMBER(deployment_raw[[#This Row],[Column5]]), deployment_raw[[#This Row],[Column5]],"")</f>
        <v/>
      </c>
      <c r="F644" s="32" t="str">
        <f>IF(ISNUMBER(deployment_raw[[#This Row],[Column17]]), deployment_raw[[#This Row],[Column17]]/IF(OR($E$2="Deployment",deployment_raw[[#This Row],[Column5]]=0),1,deployment_raw[[#This Row],[Column5]]),"")</f>
        <v/>
      </c>
      <c r="G644" s="42" t="str">
        <f>IF(ISNUMBER(deployment_raw[[#This Row],[Column14]]), deployment_raw[[#This Row],[Column14]]/IF(OR($E$2="Deployment",deployment_raw[[#This Row],[Column5]]=0),1,deployment_raw[[#This Row],[Column5]]),"")</f>
        <v/>
      </c>
      <c r="H644" s="79" t="str">
        <f>IF(ISNUMBER(deployment_raw[[#This Row],[Column19]]), IF(I644&lt;&gt;0,(deployment_raw[[#This Row],[Column19]]/IF(OR($E$2="Deployment",deployment_raw[[#This Row],[Column5]]=0),1,deployment_raw[[#This Row],[Column5]]))/I644,0),"")</f>
        <v/>
      </c>
      <c r="I644" s="69" t="str">
        <f>IF(ISNUMBER(deployment_raw[[#This Row],[Column6]]), (deployment_raw[[#This Row],[Column6]] * IF($E$2="Deployment",deployment_raw[[#This Row],[Column5]],1)),"")</f>
        <v/>
      </c>
      <c r="J644" s="79" t="str">
        <f>IF(ISNUMBER(deployment_raw[[#This Row],[Column19]]), IF(K644&lt;&gt;0,(deployment_raw[[#This Row],[Column19]]/IF(OR($E$2="Deployment",deployment_raw[[#This Row],[Column5]]=0),1,deployment_raw[[#This Row],[Column5]]))/K644,0),"")</f>
        <v/>
      </c>
      <c r="K644" s="72" t="str">
        <f>IF(ISNUMBER(deployment_raw[[#This Row],[Column8]]), (deployment_raw[[#This Row],[Column8]]  * IF($E$2="Deployment",deployment_raw[[#This Row],[Column5]],1)),"")</f>
        <v/>
      </c>
      <c r="L64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4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44" s="81" t="str">
        <f>IF(ISNUMBER(deployment_raw[[#This Row],[Column20]]), IF(O644&lt;&gt;0,deployment_raw[[#This Row],[Column20]]/IF(OR($E$2="Deployment",deployment_raw[[#This Row],[Column5]]=0),1,deployment_raw[[#This Row],[Column5]])/1048576/O644,0),"")</f>
        <v/>
      </c>
      <c r="O644" s="74" t="str">
        <f>IF(ISNUMBER(deployment_raw[[#This Row],[Column7]]), (deployment_raw[[#This Row],[Column7]] * IF($E$2="Deployment",deployment_raw[[#This Row],[Column5]],1))/1048576,"")</f>
        <v/>
      </c>
      <c r="P644" s="81" t="str">
        <f>IF(ISNUMBER(deployment_raw[[#This Row],[Column20]]), IF(Q644&lt;&gt;0,deployment_raw[[#This Row],[Column20]]/IF(OR($E$2="Deployment",deployment_raw[[#This Row],[Column5]]=0),1,deployment_raw[[#This Row],[Column5]])/1048576/Q644,0),"")</f>
        <v/>
      </c>
      <c r="Q644" s="76" t="str">
        <f>IF(ISNUMBER(deployment_raw[[#This Row],[Column9]]), (deployment_raw[[#This Row],[Column9]] * IF($E$2="Deployment",deployment_raw[[#This Row],[Column5]],1))/1048576,"")</f>
        <v/>
      </c>
      <c r="R644" s="57" t="str">
        <f>IF(ISNUMBER(deployment_raw[[#This Row],[Column10]]), (deployment_raw[[#This Row],[Column10]] * IF($E$2="Deployment",deployment_raw[[#This Row],[Column5]],1)),"")</f>
        <v/>
      </c>
      <c r="S644" s="48" t="str">
        <f>IF(ISNUMBER(deployment_raw[[#This Row],[Column11]]), (deployment_raw[[#This Row],[Column11]] * IF($E$2="Deployment",deployment_raw[[#This Row],[Column5]],1))/1048576,"")</f>
        <v/>
      </c>
      <c r="T644" s="59" t="str">
        <f>IF(ISNUMBER(deployment_raw[[#This Row],[Column8]]),IF(OR(deployment_raw[[#This Row],[Column5]] &lt;&gt; 0,$E$2 &lt;&gt; "Deployment"), MAX(V644, ($T$2 * IF($E$2="Deployment",deployment_raw[[#This Row],[Column5]],1))), 0),"")</f>
        <v/>
      </c>
      <c r="U644" s="50" t="str">
        <f>IF(ISNUMBER(deployment_raw[[#This Row],[Column9]]),IF(OR(deployment_raw[[#This Row],[Column5]] &lt;&gt; 0,$E$2&lt;&gt;"Deployment"), MAX(W644, ($U$2 * IF($E$2="Deployment",deployment_raw[[#This Row],[Column5]],1))), 0),"")</f>
        <v/>
      </c>
      <c r="V644" s="15" t="str">
        <f>IF(ISNUMBER(deployment_raw[[#This Row],[Column12]]), (deployment_raw[[#This Row],[Column12]] * IF($E$2="Deployment",deployment_raw[[#This Row],[Column5]],1)*(1+$V$2)),"")</f>
        <v/>
      </c>
      <c r="W644" s="14" t="str">
        <f>IF(ISNUMBER(deployment_raw[[#This Row],[Column13]]), (deployment_raw[[#This Row],[Column13]] * IF($E$2="Deployment",deployment_raw[[#This Row],[Column5]],1)*(1+$W$2))/1048576,"")</f>
        <v/>
      </c>
    </row>
    <row r="645" spans="1:23" ht="15.75" customHeight="1" x14ac:dyDescent="0.25">
      <c r="A645" s="5" t="str">
        <f>IF(ISNONTEXT(deployment_raw[[#This Row],[Column1]]), "", deployment_raw[[#This Row],[Column1]])</f>
        <v/>
      </c>
      <c r="B645" s="6" t="str">
        <f>IF(ISNONTEXT(deployment_raw[[#This Row],[Column2]]), "", deployment_raw[[#This Row],[Column2]])</f>
        <v/>
      </c>
      <c r="C645" s="6" t="str">
        <f>IF(ISNONTEXT(deployment_raw[[#This Row],[Column3]]), "", deployment_raw[[#This Row],[Column3]])</f>
        <v/>
      </c>
      <c r="D645" s="6" t="str">
        <f>IF(ISNONTEXT(deployment_raw[[#This Row],[Column4]]), "", deployment_raw[[#This Row],[Column4]])</f>
        <v/>
      </c>
      <c r="E645" s="7" t="str">
        <f>IF(ISNUMBER(deployment_raw[[#This Row],[Column5]]), deployment_raw[[#This Row],[Column5]],"")</f>
        <v/>
      </c>
      <c r="F645" s="32" t="str">
        <f>IF(ISNUMBER(deployment_raw[[#This Row],[Column17]]), deployment_raw[[#This Row],[Column17]]/IF(OR($E$2="Deployment",deployment_raw[[#This Row],[Column5]]=0),1,deployment_raw[[#This Row],[Column5]]),"")</f>
        <v/>
      </c>
      <c r="G645" s="42" t="str">
        <f>IF(ISNUMBER(deployment_raw[[#This Row],[Column14]]), deployment_raw[[#This Row],[Column14]]/IF(OR($E$2="Deployment",deployment_raw[[#This Row],[Column5]]=0),1,deployment_raw[[#This Row],[Column5]]),"")</f>
        <v/>
      </c>
      <c r="H645" s="79" t="str">
        <f>IF(ISNUMBER(deployment_raw[[#This Row],[Column19]]), IF(I645&lt;&gt;0,(deployment_raw[[#This Row],[Column19]]/IF(OR($E$2="Deployment",deployment_raw[[#This Row],[Column5]]=0),1,deployment_raw[[#This Row],[Column5]]))/I645,0),"")</f>
        <v/>
      </c>
      <c r="I645" s="69" t="str">
        <f>IF(ISNUMBER(deployment_raw[[#This Row],[Column6]]), (deployment_raw[[#This Row],[Column6]] * IF($E$2="Deployment",deployment_raw[[#This Row],[Column5]],1)),"")</f>
        <v/>
      </c>
      <c r="J645" s="79" t="str">
        <f>IF(ISNUMBER(deployment_raw[[#This Row],[Column19]]), IF(K645&lt;&gt;0,(deployment_raw[[#This Row],[Column19]]/IF(OR($E$2="Deployment",deployment_raw[[#This Row],[Column5]]=0),1,deployment_raw[[#This Row],[Column5]]))/K645,0),"")</f>
        <v/>
      </c>
      <c r="K645" s="72" t="str">
        <f>IF(ISNUMBER(deployment_raw[[#This Row],[Column8]]), (deployment_raw[[#This Row],[Column8]]  * IF($E$2="Deployment",deployment_raw[[#This Row],[Column5]],1)),"")</f>
        <v/>
      </c>
      <c r="L64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4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45" s="81" t="str">
        <f>IF(ISNUMBER(deployment_raw[[#This Row],[Column20]]), IF(O645&lt;&gt;0,deployment_raw[[#This Row],[Column20]]/IF(OR($E$2="Deployment",deployment_raw[[#This Row],[Column5]]=0),1,deployment_raw[[#This Row],[Column5]])/1048576/O645,0),"")</f>
        <v/>
      </c>
      <c r="O645" s="74" t="str">
        <f>IF(ISNUMBER(deployment_raw[[#This Row],[Column7]]), (deployment_raw[[#This Row],[Column7]] * IF($E$2="Deployment",deployment_raw[[#This Row],[Column5]],1))/1048576,"")</f>
        <v/>
      </c>
      <c r="P645" s="81" t="str">
        <f>IF(ISNUMBER(deployment_raw[[#This Row],[Column20]]), IF(Q645&lt;&gt;0,deployment_raw[[#This Row],[Column20]]/IF(OR($E$2="Deployment",deployment_raw[[#This Row],[Column5]]=0),1,deployment_raw[[#This Row],[Column5]])/1048576/Q645,0),"")</f>
        <v/>
      </c>
      <c r="Q645" s="76" t="str">
        <f>IF(ISNUMBER(deployment_raw[[#This Row],[Column9]]), (deployment_raw[[#This Row],[Column9]] * IF($E$2="Deployment",deployment_raw[[#This Row],[Column5]],1))/1048576,"")</f>
        <v/>
      </c>
      <c r="R645" s="57" t="str">
        <f>IF(ISNUMBER(deployment_raw[[#This Row],[Column10]]), (deployment_raw[[#This Row],[Column10]] * IF($E$2="Deployment",deployment_raw[[#This Row],[Column5]],1)),"")</f>
        <v/>
      </c>
      <c r="S645" s="48" t="str">
        <f>IF(ISNUMBER(deployment_raw[[#This Row],[Column11]]), (deployment_raw[[#This Row],[Column11]] * IF($E$2="Deployment",deployment_raw[[#This Row],[Column5]],1))/1048576,"")</f>
        <v/>
      </c>
      <c r="T645" s="59" t="str">
        <f>IF(ISNUMBER(deployment_raw[[#This Row],[Column8]]),IF(OR(deployment_raw[[#This Row],[Column5]] &lt;&gt; 0,$E$2 &lt;&gt; "Deployment"), MAX(V645, ($T$2 * IF($E$2="Deployment",deployment_raw[[#This Row],[Column5]],1))), 0),"")</f>
        <v/>
      </c>
      <c r="U645" s="50" t="str">
        <f>IF(ISNUMBER(deployment_raw[[#This Row],[Column9]]),IF(OR(deployment_raw[[#This Row],[Column5]] &lt;&gt; 0,$E$2&lt;&gt;"Deployment"), MAX(W645, ($U$2 * IF($E$2="Deployment",deployment_raw[[#This Row],[Column5]],1))), 0),"")</f>
        <v/>
      </c>
      <c r="V645" s="15" t="str">
        <f>IF(ISNUMBER(deployment_raw[[#This Row],[Column12]]), (deployment_raw[[#This Row],[Column12]] * IF($E$2="Deployment",deployment_raw[[#This Row],[Column5]],1)*(1+$V$2)),"")</f>
        <v/>
      </c>
      <c r="W645" s="14" t="str">
        <f>IF(ISNUMBER(deployment_raw[[#This Row],[Column13]]), (deployment_raw[[#This Row],[Column13]] * IF($E$2="Deployment",deployment_raw[[#This Row],[Column5]],1)*(1+$W$2))/1048576,"")</f>
        <v/>
      </c>
    </row>
    <row r="646" spans="1:23" ht="15.75" customHeight="1" x14ac:dyDescent="0.25">
      <c r="A646" s="5" t="str">
        <f>IF(ISNONTEXT(deployment_raw[[#This Row],[Column1]]), "", deployment_raw[[#This Row],[Column1]])</f>
        <v/>
      </c>
      <c r="B646" s="6" t="str">
        <f>IF(ISNONTEXT(deployment_raw[[#This Row],[Column2]]), "", deployment_raw[[#This Row],[Column2]])</f>
        <v/>
      </c>
      <c r="C646" s="6" t="str">
        <f>IF(ISNONTEXT(deployment_raw[[#This Row],[Column3]]), "", deployment_raw[[#This Row],[Column3]])</f>
        <v/>
      </c>
      <c r="D646" s="6" t="str">
        <f>IF(ISNONTEXT(deployment_raw[[#This Row],[Column4]]), "", deployment_raw[[#This Row],[Column4]])</f>
        <v/>
      </c>
      <c r="E646" s="7" t="str">
        <f>IF(ISNUMBER(deployment_raw[[#This Row],[Column5]]), deployment_raw[[#This Row],[Column5]],"")</f>
        <v/>
      </c>
      <c r="F646" s="32" t="str">
        <f>IF(ISNUMBER(deployment_raw[[#This Row],[Column17]]), deployment_raw[[#This Row],[Column17]]/IF(OR($E$2="Deployment",deployment_raw[[#This Row],[Column5]]=0),1,deployment_raw[[#This Row],[Column5]]),"")</f>
        <v/>
      </c>
      <c r="G646" s="42" t="str">
        <f>IF(ISNUMBER(deployment_raw[[#This Row],[Column14]]), deployment_raw[[#This Row],[Column14]]/IF(OR($E$2="Deployment",deployment_raw[[#This Row],[Column5]]=0),1,deployment_raw[[#This Row],[Column5]]),"")</f>
        <v/>
      </c>
      <c r="H646" s="79" t="str">
        <f>IF(ISNUMBER(deployment_raw[[#This Row],[Column19]]), IF(I646&lt;&gt;0,(deployment_raw[[#This Row],[Column19]]/IF(OR($E$2="Deployment",deployment_raw[[#This Row],[Column5]]=0),1,deployment_raw[[#This Row],[Column5]]))/I646,0),"")</f>
        <v/>
      </c>
      <c r="I646" s="69" t="str">
        <f>IF(ISNUMBER(deployment_raw[[#This Row],[Column6]]), (deployment_raw[[#This Row],[Column6]] * IF($E$2="Deployment",deployment_raw[[#This Row],[Column5]],1)),"")</f>
        <v/>
      </c>
      <c r="J646" s="79" t="str">
        <f>IF(ISNUMBER(deployment_raw[[#This Row],[Column19]]), IF(K646&lt;&gt;0,(deployment_raw[[#This Row],[Column19]]/IF(OR($E$2="Deployment",deployment_raw[[#This Row],[Column5]]=0),1,deployment_raw[[#This Row],[Column5]]))/K646,0),"")</f>
        <v/>
      </c>
      <c r="K646" s="72" t="str">
        <f>IF(ISNUMBER(deployment_raw[[#This Row],[Column8]]), (deployment_raw[[#This Row],[Column8]]  * IF($E$2="Deployment",deployment_raw[[#This Row],[Column5]],1)),"")</f>
        <v/>
      </c>
      <c r="L64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4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46" s="81" t="str">
        <f>IF(ISNUMBER(deployment_raw[[#This Row],[Column20]]), IF(O646&lt;&gt;0,deployment_raw[[#This Row],[Column20]]/IF(OR($E$2="Deployment",deployment_raw[[#This Row],[Column5]]=0),1,deployment_raw[[#This Row],[Column5]])/1048576/O646,0),"")</f>
        <v/>
      </c>
      <c r="O646" s="74" t="str">
        <f>IF(ISNUMBER(deployment_raw[[#This Row],[Column7]]), (deployment_raw[[#This Row],[Column7]] * IF($E$2="Deployment",deployment_raw[[#This Row],[Column5]],1))/1048576,"")</f>
        <v/>
      </c>
      <c r="P646" s="81" t="str">
        <f>IF(ISNUMBER(deployment_raw[[#This Row],[Column20]]), IF(Q646&lt;&gt;0,deployment_raw[[#This Row],[Column20]]/IF(OR($E$2="Deployment",deployment_raw[[#This Row],[Column5]]=0),1,deployment_raw[[#This Row],[Column5]])/1048576/Q646,0),"")</f>
        <v/>
      </c>
      <c r="Q646" s="76" t="str">
        <f>IF(ISNUMBER(deployment_raw[[#This Row],[Column9]]), (deployment_raw[[#This Row],[Column9]] * IF($E$2="Deployment",deployment_raw[[#This Row],[Column5]],1))/1048576,"")</f>
        <v/>
      </c>
      <c r="R646" s="57" t="str">
        <f>IF(ISNUMBER(deployment_raw[[#This Row],[Column10]]), (deployment_raw[[#This Row],[Column10]] * IF($E$2="Deployment",deployment_raw[[#This Row],[Column5]],1)),"")</f>
        <v/>
      </c>
      <c r="S646" s="48" t="str">
        <f>IF(ISNUMBER(deployment_raw[[#This Row],[Column11]]), (deployment_raw[[#This Row],[Column11]] * IF($E$2="Deployment",deployment_raw[[#This Row],[Column5]],1))/1048576,"")</f>
        <v/>
      </c>
      <c r="T646" s="59" t="str">
        <f>IF(ISNUMBER(deployment_raw[[#This Row],[Column8]]),IF(OR(deployment_raw[[#This Row],[Column5]] &lt;&gt; 0,$E$2 &lt;&gt; "Deployment"), MAX(V646, ($T$2 * IF($E$2="Deployment",deployment_raw[[#This Row],[Column5]],1))), 0),"")</f>
        <v/>
      </c>
      <c r="U646" s="50" t="str">
        <f>IF(ISNUMBER(deployment_raw[[#This Row],[Column9]]),IF(OR(deployment_raw[[#This Row],[Column5]] &lt;&gt; 0,$E$2&lt;&gt;"Deployment"), MAX(W646, ($U$2 * IF($E$2="Deployment",deployment_raw[[#This Row],[Column5]],1))), 0),"")</f>
        <v/>
      </c>
      <c r="V646" s="15" t="str">
        <f>IF(ISNUMBER(deployment_raw[[#This Row],[Column12]]), (deployment_raw[[#This Row],[Column12]] * IF($E$2="Deployment",deployment_raw[[#This Row],[Column5]],1)*(1+$V$2)),"")</f>
        <v/>
      </c>
      <c r="W646" s="14" t="str">
        <f>IF(ISNUMBER(deployment_raw[[#This Row],[Column13]]), (deployment_raw[[#This Row],[Column13]] * IF($E$2="Deployment",deployment_raw[[#This Row],[Column5]],1)*(1+$W$2))/1048576,"")</f>
        <v/>
      </c>
    </row>
    <row r="647" spans="1:23" ht="15.75" customHeight="1" x14ac:dyDescent="0.25">
      <c r="A647" s="5" t="str">
        <f>IF(ISNONTEXT(deployment_raw[[#This Row],[Column1]]), "", deployment_raw[[#This Row],[Column1]])</f>
        <v/>
      </c>
      <c r="B647" s="6" t="str">
        <f>IF(ISNONTEXT(deployment_raw[[#This Row],[Column2]]), "", deployment_raw[[#This Row],[Column2]])</f>
        <v/>
      </c>
      <c r="C647" s="6" t="str">
        <f>IF(ISNONTEXT(deployment_raw[[#This Row],[Column3]]), "", deployment_raw[[#This Row],[Column3]])</f>
        <v/>
      </c>
      <c r="D647" s="6" t="str">
        <f>IF(ISNONTEXT(deployment_raw[[#This Row],[Column4]]), "", deployment_raw[[#This Row],[Column4]])</f>
        <v/>
      </c>
      <c r="E647" s="7" t="str">
        <f>IF(ISNUMBER(deployment_raw[[#This Row],[Column5]]), deployment_raw[[#This Row],[Column5]],"")</f>
        <v/>
      </c>
      <c r="F647" s="32" t="str">
        <f>IF(ISNUMBER(deployment_raw[[#This Row],[Column17]]), deployment_raw[[#This Row],[Column17]]/IF(OR($E$2="Deployment",deployment_raw[[#This Row],[Column5]]=0),1,deployment_raw[[#This Row],[Column5]]),"")</f>
        <v/>
      </c>
      <c r="G647" s="42" t="str">
        <f>IF(ISNUMBER(deployment_raw[[#This Row],[Column14]]), deployment_raw[[#This Row],[Column14]]/IF(OR($E$2="Deployment",deployment_raw[[#This Row],[Column5]]=0),1,deployment_raw[[#This Row],[Column5]]),"")</f>
        <v/>
      </c>
      <c r="H647" s="79" t="str">
        <f>IF(ISNUMBER(deployment_raw[[#This Row],[Column19]]), IF(I647&lt;&gt;0,(deployment_raw[[#This Row],[Column19]]/IF(OR($E$2="Deployment",deployment_raw[[#This Row],[Column5]]=0),1,deployment_raw[[#This Row],[Column5]]))/I647,0),"")</f>
        <v/>
      </c>
      <c r="I647" s="69" t="str">
        <f>IF(ISNUMBER(deployment_raw[[#This Row],[Column6]]), (deployment_raw[[#This Row],[Column6]] * IF($E$2="Deployment",deployment_raw[[#This Row],[Column5]],1)),"")</f>
        <v/>
      </c>
      <c r="J647" s="79" t="str">
        <f>IF(ISNUMBER(deployment_raw[[#This Row],[Column19]]), IF(K647&lt;&gt;0,(deployment_raw[[#This Row],[Column19]]/IF(OR($E$2="Deployment",deployment_raw[[#This Row],[Column5]]=0),1,deployment_raw[[#This Row],[Column5]]))/K647,0),"")</f>
        <v/>
      </c>
      <c r="K647" s="72" t="str">
        <f>IF(ISNUMBER(deployment_raw[[#This Row],[Column8]]), (deployment_raw[[#This Row],[Column8]]  * IF($E$2="Deployment",deployment_raw[[#This Row],[Column5]],1)),"")</f>
        <v/>
      </c>
      <c r="L64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4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47" s="81" t="str">
        <f>IF(ISNUMBER(deployment_raw[[#This Row],[Column20]]), IF(O647&lt;&gt;0,deployment_raw[[#This Row],[Column20]]/IF(OR($E$2="Deployment",deployment_raw[[#This Row],[Column5]]=0),1,deployment_raw[[#This Row],[Column5]])/1048576/O647,0),"")</f>
        <v/>
      </c>
      <c r="O647" s="74" t="str">
        <f>IF(ISNUMBER(deployment_raw[[#This Row],[Column7]]), (deployment_raw[[#This Row],[Column7]] * IF($E$2="Deployment",deployment_raw[[#This Row],[Column5]],1))/1048576,"")</f>
        <v/>
      </c>
      <c r="P647" s="81" t="str">
        <f>IF(ISNUMBER(deployment_raw[[#This Row],[Column20]]), IF(Q647&lt;&gt;0,deployment_raw[[#This Row],[Column20]]/IF(OR($E$2="Deployment",deployment_raw[[#This Row],[Column5]]=0),1,deployment_raw[[#This Row],[Column5]])/1048576/Q647,0),"")</f>
        <v/>
      </c>
      <c r="Q647" s="76" t="str">
        <f>IF(ISNUMBER(deployment_raw[[#This Row],[Column9]]), (deployment_raw[[#This Row],[Column9]] * IF($E$2="Deployment",deployment_raw[[#This Row],[Column5]],1))/1048576,"")</f>
        <v/>
      </c>
      <c r="R647" s="57" t="str">
        <f>IF(ISNUMBER(deployment_raw[[#This Row],[Column10]]), (deployment_raw[[#This Row],[Column10]] * IF($E$2="Deployment",deployment_raw[[#This Row],[Column5]],1)),"")</f>
        <v/>
      </c>
      <c r="S647" s="48" t="str">
        <f>IF(ISNUMBER(deployment_raw[[#This Row],[Column11]]), (deployment_raw[[#This Row],[Column11]] * IF($E$2="Deployment",deployment_raw[[#This Row],[Column5]],1))/1048576,"")</f>
        <v/>
      </c>
      <c r="T647" s="59" t="str">
        <f>IF(ISNUMBER(deployment_raw[[#This Row],[Column8]]),IF(OR(deployment_raw[[#This Row],[Column5]] &lt;&gt; 0,$E$2 &lt;&gt; "Deployment"), MAX(V647, ($T$2 * IF($E$2="Deployment",deployment_raw[[#This Row],[Column5]],1))), 0),"")</f>
        <v/>
      </c>
      <c r="U647" s="50" t="str">
        <f>IF(ISNUMBER(deployment_raw[[#This Row],[Column9]]),IF(OR(deployment_raw[[#This Row],[Column5]] &lt;&gt; 0,$E$2&lt;&gt;"Deployment"), MAX(W647, ($U$2 * IF($E$2="Deployment",deployment_raw[[#This Row],[Column5]],1))), 0),"")</f>
        <v/>
      </c>
      <c r="V647" s="15" t="str">
        <f>IF(ISNUMBER(deployment_raw[[#This Row],[Column12]]), (deployment_raw[[#This Row],[Column12]] * IF($E$2="Deployment",deployment_raw[[#This Row],[Column5]],1)*(1+$V$2)),"")</f>
        <v/>
      </c>
      <c r="W647" s="14" t="str">
        <f>IF(ISNUMBER(deployment_raw[[#This Row],[Column13]]), (deployment_raw[[#This Row],[Column13]] * IF($E$2="Deployment",deployment_raw[[#This Row],[Column5]],1)*(1+$W$2))/1048576,"")</f>
        <v/>
      </c>
    </row>
    <row r="648" spans="1:23" ht="15.75" customHeight="1" x14ac:dyDescent="0.25">
      <c r="A648" s="5" t="str">
        <f>IF(ISNONTEXT(deployment_raw[[#This Row],[Column1]]), "", deployment_raw[[#This Row],[Column1]])</f>
        <v/>
      </c>
      <c r="B648" s="6" t="str">
        <f>IF(ISNONTEXT(deployment_raw[[#This Row],[Column2]]), "", deployment_raw[[#This Row],[Column2]])</f>
        <v/>
      </c>
      <c r="C648" s="6" t="str">
        <f>IF(ISNONTEXT(deployment_raw[[#This Row],[Column3]]), "", deployment_raw[[#This Row],[Column3]])</f>
        <v/>
      </c>
      <c r="D648" s="6" t="str">
        <f>IF(ISNONTEXT(deployment_raw[[#This Row],[Column4]]), "", deployment_raw[[#This Row],[Column4]])</f>
        <v/>
      </c>
      <c r="E648" s="7" t="str">
        <f>IF(ISNUMBER(deployment_raw[[#This Row],[Column5]]), deployment_raw[[#This Row],[Column5]],"")</f>
        <v/>
      </c>
      <c r="F648" s="32" t="str">
        <f>IF(ISNUMBER(deployment_raw[[#This Row],[Column17]]), deployment_raw[[#This Row],[Column17]]/IF(OR($E$2="Deployment",deployment_raw[[#This Row],[Column5]]=0),1,deployment_raw[[#This Row],[Column5]]),"")</f>
        <v/>
      </c>
      <c r="G648" s="42" t="str">
        <f>IF(ISNUMBER(deployment_raw[[#This Row],[Column14]]), deployment_raw[[#This Row],[Column14]]/IF(OR($E$2="Deployment",deployment_raw[[#This Row],[Column5]]=0),1,deployment_raw[[#This Row],[Column5]]),"")</f>
        <v/>
      </c>
      <c r="H648" s="79" t="str">
        <f>IF(ISNUMBER(deployment_raw[[#This Row],[Column19]]), IF(I648&lt;&gt;0,(deployment_raw[[#This Row],[Column19]]/IF(OR($E$2="Deployment",deployment_raw[[#This Row],[Column5]]=0),1,deployment_raw[[#This Row],[Column5]]))/I648,0),"")</f>
        <v/>
      </c>
      <c r="I648" s="69" t="str">
        <f>IF(ISNUMBER(deployment_raw[[#This Row],[Column6]]), (deployment_raw[[#This Row],[Column6]] * IF($E$2="Deployment",deployment_raw[[#This Row],[Column5]],1)),"")</f>
        <v/>
      </c>
      <c r="J648" s="79" t="str">
        <f>IF(ISNUMBER(deployment_raw[[#This Row],[Column19]]), IF(K648&lt;&gt;0,(deployment_raw[[#This Row],[Column19]]/IF(OR($E$2="Deployment",deployment_raw[[#This Row],[Column5]]=0),1,deployment_raw[[#This Row],[Column5]]))/K648,0),"")</f>
        <v/>
      </c>
      <c r="K648" s="72" t="str">
        <f>IF(ISNUMBER(deployment_raw[[#This Row],[Column8]]), (deployment_raw[[#This Row],[Column8]]  * IF($E$2="Deployment",deployment_raw[[#This Row],[Column5]],1)),"")</f>
        <v/>
      </c>
      <c r="L64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4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48" s="81" t="str">
        <f>IF(ISNUMBER(deployment_raw[[#This Row],[Column20]]), IF(O648&lt;&gt;0,deployment_raw[[#This Row],[Column20]]/IF(OR($E$2="Deployment",deployment_raw[[#This Row],[Column5]]=0),1,deployment_raw[[#This Row],[Column5]])/1048576/O648,0),"")</f>
        <v/>
      </c>
      <c r="O648" s="74" t="str">
        <f>IF(ISNUMBER(deployment_raw[[#This Row],[Column7]]), (deployment_raw[[#This Row],[Column7]] * IF($E$2="Deployment",deployment_raw[[#This Row],[Column5]],1))/1048576,"")</f>
        <v/>
      </c>
      <c r="P648" s="81" t="str">
        <f>IF(ISNUMBER(deployment_raw[[#This Row],[Column20]]), IF(Q648&lt;&gt;0,deployment_raw[[#This Row],[Column20]]/IF(OR($E$2="Deployment",deployment_raw[[#This Row],[Column5]]=0),1,deployment_raw[[#This Row],[Column5]])/1048576/Q648,0),"")</f>
        <v/>
      </c>
      <c r="Q648" s="76" t="str">
        <f>IF(ISNUMBER(deployment_raw[[#This Row],[Column9]]), (deployment_raw[[#This Row],[Column9]] * IF($E$2="Deployment",deployment_raw[[#This Row],[Column5]],1))/1048576,"")</f>
        <v/>
      </c>
      <c r="R648" s="57" t="str">
        <f>IF(ISNUMBER(deployment_raw[[#This Row],[Column10]]), (deployment_raw[[#This Row],[Column10]] * IF($E$2="Deployment",deployment_raw[[#This Row],[Column5]],1)),"")</f>
        <v/>
      </c>
      <c r="S648" s="48" t="str">
        <f>IF(ISNUMBER(deployment_raw[[#This Row],[Column11]]), (deployment_raw[[#This Row],[Column11]] * IF($E$2="Deployment",deployment_raw[[#This Row],[Column5]],1))/1048576,"")</f>
        <v/>
      </c>
      <c r="T648" s="59" t="str">
        <f>IF(ISNUMBER(deployment_raw[[#This Row],[Column8]]),IF(OR(deployment_raw[[#This Row],[Column5]] &lt;&gt; 0,$E$2 &lt;&gt; "Deployment"), MAX(V648, ($T$2 * IF($E$2="Deployment",deployment_raw[[#This Row],[Column5]],1))), 0),"")</f>
        <v/>
      </c>
      <c r="U648" s="50" t="str">
        <f>IF(ISNUMBER(deployment_raw[[#This Row],[Column9]]),IF(OR(deployment_raw[[#This Row],[Column5]] &lt;&gt; 0,$E$2&lt;&gt;"Deployment"), MAX(W648, ($U$2 * IF($E$2="Deployment",deployment_raw[[#This Row],[Column5]],1))), 0),"")</f>
        <v/>
      </c>
      <c r="V648" s="15" t="str">
        <f>IF(ISNUMBER(deployment_raw[[#This Row],[Column12]]), (deployment_raw[[#This Row],[Column12]] * IF($E$2="Deployment",deployment_raw[[#This Row],[Column5]],1)*(1+$V$2)),"")</f>
        <v/>
      </c>
      <c r="W648" s="14" t="str">
        <f>IF(ISNUMBER(deployment_raw[[#This Row],[Column13]]), (deployment_raw[[#This Row],[Column13]] * IF($E$2="Deployment",deployment_raw[[#This Row],[Column5]],1)*(1+$W$2))/1048576,"")</f>
        <v/>
      </c>
    </row>
    <row r="649" spans="1:23" ht="15.75" customHeight="1" x14ac:dyDescent="0.25">
      <c r="A649" s="5" t="str">
        <f>IF(ISNONTEXT(deployment_raw[[#This Row],[Column1]]), "", deployment_raw[[#This Row],[Column1]])</f>
        <v/>
      </c>
      <c r="B649" s="6" t="str">
        <f>IF(ISNONTEXT(deployment_raw[[#This Row],[Column2]]), "", deployment_raw[[#This Row],[Column2]])</f>
        <v/>
      </c>
      <c r="C649" s="6" t="str">
        <f>IF(ISNONTEXT(deployment_raw[[#This Row],[Column3]]), "", deployment_raw[[#This Row],[Column3]])</f>
        <v/>
      </c>
      <c r="D649" s="6" t="str">
        <f>IF(ISNONTEXT(deployment_raw[[#This Row],[Column4]]), "", deployment_raw[[#This Row],[Column4]])</f>
        <v/>
      </c>
      <c r="E649" s="7" t="str">
        <f>IF(ISNUMBER(deployment_raw[[#This Row],[Column5]]), deployment_raw[[#This Row],[Column5]],"")</f>
        <v/>
      </c>
      <c r="F649" s="32" t="str">
        <f>IF(ISNUMBER(deployment_raw[[#This Row],[Column17]]), deployment_raw[[#This Row],[Column17]]/IF(OR($E$2="Deployment",deployment_raw[[#This Row],[Column5]]=0),1,deployment_raw[[#This Row],[Column5]]),"")</f>
        <v/>
      </c>
      <c r="G649" s="42" t="str">
        <f>IF(ISNUMBER(deployment_raw[[#This Row],[Column14]]), deployment_raw[[#This Row],[Column14]]/IF(OR($E$2="Deployment",deployment_raw[[#This Row],[Column5]]=0),1,deployment_raw[[#This Row],[Column5]]),"")</f>
        <v/>
      </c>
      <c r="H649" s="79" t="str">
        <f>IF(ISNUMBER(deployment_raw[[#This Row],[Column19]]), IF(I649&lt;&gt;0,(deployment_raw[[#This Row],[Column19]]/IF(OR($E$2="Deployment",deployment_raw[[#This Row],[Column5]]=0),1,deployment_raw[[#This Row],[Column5]]))/I649,0),"")</f>
        <v/>
      </c>
      <c r="I649" s="69" t="str">
        <f>IF(ISNUMBER(deployment_raw[[#This Row],[Column6]]), (deployment_raw[[#This Row],[Column6]] * IF($E$2="Deployment",deployment_raw[[#This Row],[Column5]],1)),"")</f>
        <v/>
      </c>
      <c r="J649" s="79" t="str">
        <f>IF(ISNUMBER(deployment_raw[[#This Row],[Column19]]), IF(K649&lt;&gt;0,(deployment_raw[[#This Row],[Column19]]/IF(OR($E$2="Deployment",deployment_raw[[#This Row],[Column5]]=0),1,deployment_raw[[#This Row],[Column5]]))/K649,0),"")</f>
        <v/>
      </c>
      <c r="K649" s="72" t="str">
        <f>IF(ISNUMBER(deployment_raw[[#This Row],[Column8]]), (deployment_raw[[#This Row],[Column8]]  * IF($E$2="Deployment",deployment_raw[[#This Row],[Column5]],1)),"")</f>
        <v/>
      </c>
      <c r="L64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4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49" s="81" t="str">
        <f>IF(ISNUMBER(deployment_raw[[#This Row],[Column20]]), IF(O649&lt;&gt;0,deployment_raw[[#This Row],[Column20]]/IF(OR($E$2="Deployment",deployment_raw[[#This Row],[Column5]]=0),1,deployment_raw[[#This Row],[Column5]])/1048576/O649,0),"")</f>
        <v/>
      </c>
      <c r="O649" s="74" t="str">
        <f>IF(ISNUMBER(deployment_raw[[#This Row],[Column7]]), (deployment_raw[[#This Row],[Column7]] * IF($E$2="Deployment",deployment_raw[[#This Row],[Column5]],1))/1048576,"")</f>
        <v/>
      </c>
      <c r="P649" s="81" t="str">
        <f>IF(ISNUMBER(deployment_raw[[#This Row],[Column20]]), IF(Q649&lt;&gt;0,deployment_raw[[#This Row],[Column20]]/IF(OR($E$2="Deployment",deployment_raw[[#This Row],[Column5]]=0),1,deployment_raw[[#This Row],[Column5]])/1048576/Q649,0),"")</f>
        <v/>
      </c>
      <c r="Q649" s="76" t="str">
        <f>IF(ISNUMBER(deployment_raw[[#This Row],[Column9]]), (deployment_raw[[#This Row],[Column9]] * IF($E$2="Deployment",deployment_raw[[#This Row],[Column5]],1))/1048576,"")</f>
        <v/>
      </c>
      <c r="R649" s="57" t="str">
        <f>IF(ISNUMBER(deployment_raw[[#This Row],[Column10]]), (deployment_raw[[#This Row],[Column10]] * IF($E$2="Deployment",deployment_raw[[#This Row],[Column5]],1)),"")</f>
        <v/>
      </c>
      <c r="S649" s="48" t="str">
        <f>IF(ISNUMBER(deployment_raw[[#This Row],[Column11]]), (deployment_raw[[#This Row],[Column11]] * IF($E$2="Deployment",deployment_raw[[#This Row],[Column5]],1))/1048576,"")</f>
        <v/>
      </c>
      <c r="T649" s="59" t="str">
        <f>IF(ISNUMBER(deployment_raw[[#This Row],[Column8]]),IF(OR(deployment_raw[[#This Row],[Column5]] &lt;&gt; 0,$E$2 &lt;&gt; "Deployment"), MAX(V649, ($T$2 * IF($E$2="Deployment",deployment_raw[[#This Row],[Column5]],1))), 0),"")</f>
        <v/>
      </c>
      <c r="U649" s="50" t="str">
        <f>IF(ISNUMBER(deployment_raw[[#This Row],[Column9]]),IF(OR(deployment_raw[[#This Row],[Column5]] &lt;&gt; 0,$E$2&lt;&gt;"Deployment"), MAX(W649, ($U$2 * IF($E$2="Deployment",deployment_raw[[#This Row],[Column5]],1))), 0),"")</f>
        <v/>
      </c>
      <c r="V649" s="15" t="str">
        <f>IF(ISNUMBER(deployment_raw[[#This Row],[Column12]]), (deployment_raw[[#This Row],[Column12]] * IF($E$2="Deployment",deployment_raw[[#This Row],[Column5]],1)*(1+$V$2)),"")</f>
        <v/>
      </c>
      <c r="W649" s="14" t="str">
        <f>IF(ISNUMBER(deployment_raw[[#This Row],[Column13]]), (deployment_raw[[#This Row],[Column13]] * IF($E$2="Deployment",deployment_raw[[#This Row],[Column5]],1)*(1+$W$2))/1048576,"")</f>
        <v/>
      </c>
    </row>
    <row r="650" spans="1:23" ht="15.75" customHeight="1" x14ac:dyDescent="0.25">
      <c r="A650" s="5" t="str">
        <f>IF(ISNONTEXT(deployment_raw[[#This Row],[Column1]]), "", deployment_raw[[#This Row],[Column1]])</f>
        <v/>
      </c>
      <c r="B650" s="6" t="str">
        <f>IF(ISNONTEXT(deployment_raw[[#This Row],[Column2]]), "", deployment_raw[[#This Row],[Column2]])</f>
        <v/>
      </c>
      <c r="C650" s="6" t="str">
        <f>IF(ISNONTEXT(deployment_raw[[#This Row],[Column3]]), "", deployment_raw[[#This Row],[Column3]])</f>
        <v/>
      </c>
      <c r="D650" s="6" t="str">
        <f>IF(ISNONTEXT(deployment_raw[[#This Row],[Column4]]), "", deployment_raw[[#This Row],[Column4]])</f>
        <v/>
      </c>
      <c r="E650" s="7" t="str">
        <f>IF(ISNUMBER(deployment_raw[[#This Row],[Column5]]), deployment_raw[[#This Row],[Column5]],"")</f>
        <v/>
      </c>
      <c r="F650" s="32" t="str">
        <f>IF(ISNUMBER(deployment_raw[[#This Row],[Column17]]), deployment_raw[[#This Row],[Column17]]/IF(OR($E$2="Deployment",deployment_raw[[#This Row],[Column5]]=0),1,deployment_raw[[#This Row],[Column5]]),"")</f>
        <v/>
      </c>
      <c r="G650" s="42" t="str">
        <f>IF(ISNUMBER(deployment_raw[[#This Row],[Column14]]), deployment_raw[[#This Row],[Column14]]/IF(OR($E$2="Deployment",deployment_raw[[#This Row],[Column5]]=0),1,deployment_raw[[#This Row],[Column5]]),"")</f>
        <v/>
      </c>
      <c r="H650" s="79" t="str">
        <f>IF(ISNUMBER(deployment_raw[[#This Row],[Column19]]), IF(I650&lt;&gt;0,(deployment_raw[[#This Row],[Column19]]/IF(OR($E$2="Deployment",deployment_raw[[#This Row],[Column5]]=0),1,deployment_raw[[#This Row],[Column5]]))/I650,0),"")</f>
        <v/>
      </c>
      <c r="I650" s="69" t="str">
        <f>IF(ISNUMBER(deployment_raw[[#This Row],[Column6]]), (deployment_raw[[#This Row],[Column6]] * IF($E$2="Deployment",deployment_raw[[#This Row],[Column5]],1)),"")</f>
        <v/>
      </c>
      <c r="J650" s="79" t="str">
        <f>IF(ISNUMBER(deployment_raw[[#This Row],[Column19]]), IF(K650&lt;&gt;0,(deployment_raw[[#This Row],[Column19]]/IF(OR($E$2="Deployment",deployment_raw[[#This Row],[Column5]]=0),1,deployment_raw[[#This Row],[Column5]]))/K650,0),"")</f>
        <v/>
      </c>
      <c r="K650" s="72" t="str">
        <f>IF(ISNUMBER(deployment_raw[[#This Row],[Column8]]), (deployment_raw[[#This Row],[Column8]]  * IF($E$2="Deployment",deployment_raw[[#This Row],[Column5]],1)),"")</f>
        <v/>
      </c>
      <c r="L65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5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50" s="81" t="str">
        <f>IF(ISNUMBER(deployment_raw[[#This Row],[Column20]]), IF(O650&lt;&gt;0,deployment_raw[[#This Row],[Column20]]/IF(OR($E$2="Deployment",deployment_raw[[#This Row],[Column5]]=0),1,deployment_raw[[#This Row],[Column5]])/1048576/O650,0),"")</f>
        <v/>
      </c>
      <c r="O650" s="74" t="str">
        <f>IF(ISNUMBER(deployment_raw[[#This Row],[Column7]]), (deployment_raw[[#This Row],[Column7]] * IF($E$2="Deployment",deployment_raw[[#This Row],[Column5]],1))/1048576,"")</f>
        <v/>
      </c>
      <c r="P650" s="81" t="str">
        <f>IF(ISNUMBER(deployment_raw[[#This Row],[Column20]]), IF(Q650&lt;&gt;0,deployment_raw[[#This Row],[Column20]]/IF(OR($E$2="Deployment",deployment_raw[[#This Row],[Column5]]=0),1,deployment_raw[[#This Row],[Column5]])/1048576/Q650,0),"")</f>
        <v/>
      </c>
      <c r="Q650" s="76" t="str">
        <f>IF(ISNUMBER(deployment_raw[[#This Row],[Column9]]), (deployment_raw[[#This Row],[Column9]] * IF($E$2="Deployment",deployment_raw[[#This Row],[Column5]],1))/1048576,"")</f>
        <v/>
      </c>
      <c r="R650" s="57" t="str">
        <f>IF(ISNUMBER(deployment_raw[[#This Row],[Column10]]), (deployment_raw[[#This Row],[Column10]] * IF($E$2="Deployment",deployment_raw[[#This Row],[Column5]],1)),"")</f>
        <v/>
      </c>
      <c r="S650" s="48" t="str">
        <f>IF(ISNUMBER(deployment_raw[[#This Row],[Column11]]), (deployment_raw[[#This Row],[Column11]] * IF($E$2="Deployment",deployment_raw[[#This Row],[Column5]],1))/1048576,"")</f>
        <v/>
      </c>
      <c r="T650" s="59" t="str">
        <f>IF(ISNUMBER(deployment_raw[[#This Row],[Column8]]),IF(OR(deployment_raw[[#This Row],[Column5]] &lt;&gt; 0,$E$2 &lt;&gt; "Deployment"), MAX(V650, ($T$2 * IF($E$2="Deployment",deployment_raw[[#This Row],[Column5]],1))), 0),"")</f>
        <v/>
      </c>
      <c r="U650" s="50" t="str">
        <f>IF(ISNUMBER(deployment_raw[[#This Row],[Column9]]),IF(OR(deployment_raw[[#This Row],[Column5]] &lt;&gt; 0,$E$2&lt;&gt;"Deployment"), MAX(W650, ($U$2 * IF($E$2="Deployment",deployment_raw[[#This Row],[Column5]],1))), 0),"")</f>
        <v/>
      </c>
      <c r="V650" s="15" t="str">
        <f>IF(ISNUMBER(deployment_raw[[#This Row],[Column12]]), (deployment_raw[[#This Row],[Column12]] * IF($E$2="Deployment",deployment_raw[[#This Row],[Column5]],1)*(1+$V$2)),"")</f>
        <v/>
      </c>
      <c r="W650" s="14" t="str">
        <f>IF(ISNUMBER(deployment_raw[[#This Row],[Column13]]), (deployment_raw[[#This Row],[Column13]] * IF($E$2="Deployment",deployment_raw[[#This Row],[Column5]],1)*(1+$W$2))/1048576,"")</f>
        <v/>
      </c>
    </row>
    <row r="651" spans="1:23" ht="15.75" customHeight="1" x14ac:dyDescent="0.25">
      <c r="A651" s="5" t="str">
        <f>IF(ISNONTEXT(deployment_raw[[#This Row],[Column1]]), "", deployment_raw[[#This Row],[Column1]])</f>
        <v/>
      </c>
      <c r="B651" s="6" t="str">
        <f>IF(ISNONTEXT(deployment_raw[[#This Row],[Column2]]), "", deployment_raw[[#This Row],[Column2]])</f>
        <v/>
      </c>
      <c r="C651" s="6" t="str">
        <f>IF(ISNONTEXT(deployment_raw[[#This Row],[Column3]]), "", deployment_raw[[#This Row],[Column3]])</f>
        <v/>
      </c>
      <c r="D651" s="6" t="str">
        <f>IF(ISNONTEXT(deployment_raw[[#This Row],[Column4]]), "", deployment_raw[[#This Row],[Column4]])</f>
        <v/>
      </c>
      <c r="E651" s="7" t="str">
        <f>IF(ISNUMBER(deployment_raw[[#This Row],[Column5]]), deployment_raw[[#This Row],[Column5]],"")</f>
        <v/>
      </c>
      <c r="F651" s="32" t="str">
        <f>IF(ISNUMBER(deployment_raw[[#This Row],[Column17]]), deployment_raw[[#This Row],[Column17]]/IF(OR($E$2="Deployment",deployment_raw[[#This Row],[Column5]]=0),1,deployment_raw[[#This Row],[Column5]]),"")</f>
        <v/>
      </c>
      <c r="G651" s="42" t="str">
        <f>IF(ISNUMBER(deployment_raw[[#This Row],[Column14]]), deployment_raw[[#This Row],[Column14]]/IF(OR($E$2="Deployment",deployment_raw[[#This Row],[Column5]]=0),1,deployment_raw[[#This Row],[Column5]]),"")</f>
        <v/>
      </c>
      <c r="H651" s="79" t="str">
        <f>IF(ISNUMBER(deployment_raw[[#This Row],[Column19]]), IF(I651&lt;&gt;0,(deployment_raw[[#This Row],[Column19]]/IF(OR($E$2="Deployment",deployment_raw[[#This Row],[Column5]]=0),1,deployment_raw[[#This Row],[Column5]]))/I651,0),"")</f>
        <v/>
      </c>
      <c r="I651" s="69" t="str">
        <f>IF(ISNUMBER(deployment_raw[[#This Row],[Column6]]), (deployment_raw[[#This Row],[Column6]] * IF($E$2="Deployment",deployment_raw[[#This Row],[Column5]],1)),"")</f>
        <v/>
      </c>
      <c r="J651" s="79" t="str">
        <f>IF(ISNUMBER(deployment_raw[[#This Row],[Column19]]), IF(K651&lt;&gt;0,(deployment_raw[[#This Row],[Column19]]/IF(OR($E$2="Deployment",deployment_raw[[#This Row],[Column5]]=0),1,deployment_raw[[#This Row],[Column5]]))/K651,0),"")</f>
        <v/>
      </c>
      <c r="K651" s="72" t="str">
        <f>IF(ISNUMBER(deployment_raw[[#This Row],[Column8]]), (deployment_raw[[#This Row],[Column8]]  * IF($E$2="Deployment",deployment_raw[[#This Row],[Column5]],1)),"")</f>
        <v/>
      </c>
      <c r="L65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5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51" s="81" t="str">
        <f>IF(ISNUMBER(deployment_raw[[#This Row],[Column20]]), IF(O651&lt;&gt;0,deployment_raw[[#This Row],[Column20]]/IF(OR($E$2="Deployment",deployment_raw[[#This Row],[Column5]]=0),1,deployment_raw[[#This Row],[Column5]])/1048576/O651,0),"")</f>
        <v/>
      </c>
      <c r="O651" s="74" t="str">
        <f>IF(ISNUMBER(deployment_raw[[#This Row],[Column7]]), (deployment_raw[[#This Row],[Column7]] * IF($E$2="Deployment",deployment_raw[[#This Row],[Column5]],1))/1048576,"")</f>
        <v/>
      </c>
      <c r="P651" s="81" t="str">
        <f>IF(ISNUMBER(deployment_raw[[#This Row],[Column20]]), IF(Q651&lt;&gt;0,deployment_raw[[#This Row],[Column20]]/IF(OR($E$2="Deployment",deployment_raw[[#This Row],[Column5]]=0),1,deployment_raw[[#This Row],[Column5]])/1048576/Q651,0),"")</f>
        <v/>
      </c>
      <c r="Q651" s="76" t="str">
        <f>IF(ISNUMBER(deployment_raw[[#This Row],[Column9]]), (deployment_raw[[#This Row],[Column9]] * IF($E$2="Deployment",deployment_raw[[#This Row],[Column5]],1))/1048576,"")</f>
        <v/>
      </c>
      <c r="R651" s="57" t="str">
        <f>IF(ISNUMBER(deployment_raw[[#This Row],[Column10]]), (deployment_raw[[#This Row],[Column10]] * IF($E$2="Deployment",deployment_raw[[#This Row],[Column5]],1)),"")</f>
        <v/>
      </c>
      <c r="S651" s="48" t="str">
        <f>IF(ISNUMBER(deployment_raw[[#This Row],[Column11]]), (deployment_raw[[#This Row],[Column11]] * IF($E$2="Deployment",deployment_raw[[#This Row],[Column5]],1))/1048576,"")</f>
        <v/>
      </c>
      <c r="T651" s="59" t="str">
        <f>IF(ISNUMBER(deployment_raw[[#This Row],[Column8]]),IF(OR(deployment_raw[[#This Row],[Column5]] &lt;&gt; 0,$E$2 &lt;&gt; "Deployment"), MAX(V651, ($T$2 * IF($E$2="Deployment",deployment_raw[[#This Row],[Column5]],1))), 0),"")</f>
        <v/>
      </c>
      <c r="U651" s="50" t="str">
        <f>IF(ISNUMBER(deployment_raw[[#This Row],[Column9]]),IF(OR(deployment_raw[[#This Row],[Column5]] &lt;&gt; 0,$E$2&lt;&gt;"Deployment"), MAX(W651, ($U$2 * IF($E$2="Deployment",deployment_raw[[#This Row],[Column5]],1))), 0),"")</f>
        <v/>
      </c>
      <c r="V651" s="15" t="str">
        <f>IF(ISNUMBER(deployment_raw[[#This Row],[Column12]]), (deployment_raw[[#This Row],[Column12]] * IF($E$2="Deployment",deployment_raw[[#This Row],[Column5]],1)*(1+$V$2)),"")</f>
        <v/>
      </c>
      <c r="W651" s="14" t="str">
        <f>IF(ISNUMBER(deployment_raw[[#This Row],[Column13]]), (deployment_raw[[#This Row],[Column13]] * IF($E$2="Deployment",deployment_raw[[#This Row],[Column5]],1)*(1+$W$2))/1048576,"")</f>
        <v/>
      </c>
    </row>
    <row r="652" spans="1:23" ht="15.75" customHeight="1" x14ac:dyDescent="0.25">
      <c r="A652" s="5" t="str">
        <f>IF(ISNONTEXT(deployment_raw[[#This Row],[Column1]]), "", deployment_raw[[#This Row],[Column1]])</f>
        <v/>
      </c>
      <c r="B652" s="6" t="str">
        <f>IF(ISNONTEXT(deployment_raw[[#This Row],[Column2]]), "", deployment_raw[[#This Row],[Column2]])</f>
        <v/>
      </c>
      <c r="C652" s="6" t="str">
        <f>IF(ISNONTEXT(deployment_raw[[#This Row],[Column3]]), "", deployment_raw[[#This Row],[Column3]])</f>
        <v/>
      </c>
      <c r="D652" s="6" t="str">
        <f>IF(ISNONTEXT(deployment_raw[[#This Row],[Column4]]), "", deployment_raw[[#This Row],[Column4]])</f>
        <v/>
      </c>
      <c r="E652" s="7" t="str">
        <f>IF(ISNUMBER(deployment_raw[[#This Row],[Column5]]), deployment_raw[[#This Row],[Column5]],"")</f>
        <v/>
      </c>
      <c r="F652" s="32" t="str">
        <f>IF(ISNUMBER(deployment_raw[[#This Row],[Column17]]), deployment_raw[[#This Row],[Column17]]/IF(OR($E$2="Deployment",deployment_raw[[#This Row],[Column5]]=0),1,deployment_raw[[#This Row],[Column5]]),"")</f>
        <v/>
      </c>
      <c r="G652" s="42" t="str">
        <f>IF(ISNUMBER(deployment_raw[[#This Row],[Column14]]), deployment_raw[[#This Row],[Column14]]/IF(OR($E$2="Deployment",deployment_raw[[#This Row],[Column5]]=0),1,deployment_raw[[#This Row],[Column5]]),"")</f>
        <v/>
      </c>
      <c r="H652" s="79" t="str">
        <f>IF(ISNUMBER(deployment_raw[[#This Row],[Column19]]), IF(I652&lt;&gt;0,(deployment_raw[[#This Row],[Column19]]/IF(OR($E$2="Deployment",deployment_raw[[#This Row],[Column5]]=0),1,deployment_raw[[#This Row],[Column5]]))/I652,0),"")</f>
        <v/>
      </c>
      <c r="I652" s="69" t="str">
        <f>IF(ISNUMBER(deployment_raw[[#This Row],[Column6]]), (deployment_raw[[#This Row],[Column6]] * IF($E$2="Deployment",deployment_raw[[#This Row],[Column5]],1)),"")</f>
        <v/>
      </c>
      <c r="J652" s="79" t="str">
        <f>IF(ISNUMBER(deployment_raw[[#This Row],[Column19]]), IF(K652&lt;&gt;0,(deployment_raw[[#This Row],[Column19]]/IF(OR($E$2="Deployment",deployment_raw[[#This Row],[Column5]]=0),1,deployment_raw[[#This Row],[Column5]]))/K652,0),"")</f>
        <v/>
      </c>
      <c r="K652" s="72" t="str">
        <f>IF(ISNUMBER(deployment_raw[[#This Row],[Column8]]), (deployment_raw[[#This Row],[Column8]]  * IF($E$2="Deployment",deployment_raw[[#This Row],[Column5]],1)),"")</f>
        <v/>
      </c>
      <c r="L65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5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52" s="81" t="str">
        <f>IF(ISNUMBER(deployment_raw[[#This Row],[Column20]]), IF(O652&lt;&gt;0,deployment_raw[[#This Row],[Column20]]/IF(OR($E$2="Deployment",deployment_raw[[#This Row],[Column5]]=0),1,deployment_raw[[#This Row],[Column5]])/1048576/O652,0),"")</f>
        <v/>
      </c>
      <c r="O652" s="74" t="str">
        <f>IF(ISNUMBER(deployment_raw[[#This Row],[Column7]]), (deployment_raw[[#This Row],[Column7]] * IF($E$2="Deployment",deployment_raw[[#This Row],[Column5]],1))/1048576,"")</f>
        <v/>
      </c>
      <c r="P652" s="81" t="str">
        <f>IF(ISNUMBER(deployment_raw[[#This Row],[Column20]]), IF(Q652&lt;&gt;0,deployment_raw[[#This Row],[Column20]]/IF(OR($E$2="Deployment",deployment_raw[[#This Row],[Column5]]=0),1,deployment_raw[[#This Row],[Column5]])/1048576/Q652,0),"")</f>
        <v/>
      </c>
      <c r="Q652" s="76" t="str">
        <f>IF(ISNUMBER(deployment_raw[[#This Row],[Column9]]), (deployment_raw[[#This Row],[Column9]] * IF($E$2="Deployment",deployment_raw[[#This Row],[Column5]],1))/1048576,"")</f>
        <v/>
      </c>
      <c r="R652" s="57" t="str">
        <f>IF(ISNUMBER(deployment_raw[[#This Row],[Column10]]), (deployment_raw[[#This Row],[Column10]] * IF($E$2="Deployment",deployment_raw[[#This Row],[Column5]],1)),"")</f>
        <v/>
      </c>
      <c r="S652" s="48" t="str">
        <f>IF(ISNUMBER(deployment_raw[[#This Row],[Column11]]), (deployment_raw[[#This Row],[Column11]] * IF($E$2="Deployment",deployment_raw[[#This Row],[Column5]],1))/1048576,"")</f>
        <v/>
      </c>
      <c r="T652" s="59" t="str">
        <f>IF(ISNUMBER(deployment_raw[[#This Row],[Column8]]),IF(OR(deployment_raw[[#This Row],[Column5]] &lt;&gt; 0,$E$2 &lt;&gt; "Deployment"), MAX(V652, ($T$2 * IF($E$2="Deployment",deployment_raw[[#This Row],[Column5]],1))), 0),"")</f>
        <v/>
      </c>
      <c r="U652" s="50" t="str">
        <f>IF(ISNUMBER(deployment_raw[[#This Row],[Column9]]),IF(OR(deployment_raw[[#This Row],[Column5]] &lt;&gt; 0,$E$2&lt;&gt;"Deployment"), MAX(W652, ($U$2 * IF($E$2="Deployment",deployment_raw[[#This Row],[Column5]],1))), 0),"")</f>
        <v/>
      </c>
      <c r="V652" s="15" t="str">
        <f>IF(ISNUMBER(deployment_raw[[#This Row],[Column12]]), (deployment_raw[[#This Row],[Column12]] * IF($E$2="Deployment",deployment_raw[[#This Row],[Column5]],1)*(1+$V$2)),"")</f>
        <v/>
      </c>
      <c r="W652" s="14" t="str">
        <f>IF(ISNUMBER(deployment_raw[[#This Row],[Column13]]), (deployment_raw[[#This Row],[Column13]] * IF($E$2="Deployment",deployment_raw[[#This Row],[Column5]],1)*(1+$W$2))/1048576,"")</f>
        <v/>
      </c>
    </row>
    <row r="653" spans="1:23" ht="15.75" customHeight="1" x14ac:dyDescent="0.25">
      <c r="A653" s="5" t="str">
        <f>IF(ISNONTEXT(deployment_raw[[#This Row],[Column1]]), "", deployment_raw[[#This Row],[Column1]])</f>
        <v/>
      </c>
      <c r="B653" s="6" t="str">
        <f>IF(ISNONTEXT(deployment_raw[[#This Row],[Column2]]), "", deployment_raw[[#This Row],[Column2]])</f>
        <v/>
      </c>
      <c r="C653" s="6" t="str">
        <f>IF(ISNONTEXT(deployment_raw[[#This Row],[Column3]]), "", deployment_raw[[#This Row],[Column3]])</f>
        <v/>
      </c>
      <c r="D653" s="6" t="str">
        <f>IF(ISNONTEXT(deployment_raw[[#This Row],[Column4]]), "", deployment_raw[[#This Row],[Column4]])</f>
        <v/>
      </c>
      <c r="E653" s="7" t="str">
        <f>IF(ISNUMBER(deployment_raw[[#This Row],[Column5]]), deployment_raw[[#This Row],[Column5]],"")</f>
        <v/>
      </c>
      <c r="F653" s="32" t="str">
        <f>IF(ISNUMBER(deployment_raw[[#This Row],[Column17]]), deployment_raw[[#This Row],[Column17]]/IF(OR($E$2="Deployment",deployment_raw[[#This Row],[Column5]]=0),1,deployment_raw[[#This Row],[Column5]]),"")</f>
        <v/>
      </c>
      <c r="G653" s="42" t="str">
        <f>IF(ISNUMBER(deployment_raw[[#This Row],[Column14]]), deployment_raw[[#This Row],[Column14]]/IF(OR($E$2="Deployment",deployment_raw[[#This Row],[Column5]]=0),1,deployment_raw[[#This Row],[Column5]]),"")</f>
        <v/>
      </c>
      <c r="H653" s="79" t="str">
        <f>IF(ISNUMBER(deployment_raw[[#This Row],[Column19]]), IF(I653&lt;&gt;0,(deployment_raw[[#This Row],[Column19]]/IF(OR($E$2="Deployment",deployment_raw[[#This Row],[Column5]]=0),1,deployment_raw[[#This Row],[Column5]]))/I653,0),"")</f>
        <v/>
      </c>
      <c r="I653" s="69" t="str">
        <f>IF(ISNUMBER(deployment_raw[[#This Row],[Column6]]), (deployment_raw[[#This Row],[Column6]] * IF($E$2="Deployment",deployment_raw[[#This Row],[Column5]],1)),"")</f>
        <v/>
      </c>
      <c r="J653" s="79" t="str">
        <f>IF(ISNUMBER(deployment_raw[[#This Row],[Column19]]), IF(K653&lt;&gt;0,(deployment_raw[[#This Row],[Column19]]/IF(OR($E$2="Deployment",deployment_raw[[#This Row],[Column5]]=0),1,deployment_raw[[#This Row],[Column5]]))/K653,0),"")</f>
        <v/>
      </c>
      <c r="K653" s="72" t="str">
        <f>IF(ISNUMBER(deployment_raw[[#This Row],[Column8]]), (deployment_raw[[#This Row],[Column8]]  * IF($E$2="Deployment",deployment_raw[[#This Row],[Column5]],1)),"")</f>
        <v/>
      </c>
      <c r="L65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5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53" s="81" t="str">
        <f>IF(ISNUMBER(deployment_raw[[#This Row],[Column20]]), IF(O653&lt;&gt;0,deployment_raw[[#This Row],[Column20]]/IF(OR($E$2="Deployment",deployment_raw[[#This Row],[Column5]]=0),1,deployment_raw[[#This Row],[Column5]])/1048576/O653,0),"")</f>
        <v/>
      </c>
      <c r="O653" s="74" t="str">
        <f>IF(ISNUMBER(deployment_raw[[#This Row],[Column7]]), (deployment_raw[[#This Row],[Column7]] * IF($E$2="Deployment",deployment_raw[[#This Row],[Column5]],1))/1048576,"")</f>
        <v/>
      </c>
      <c r="P653" s="81" t="str">
        <f>IF(ISNUMBER(deployment_raw[[#This Row],[Column20]]), IF(Q653&lt;&gt;0,deployment_raw[[#This Row],[Column20]]/IF(OR($E$2="Deployment",deployment_raw[[#This Row],[Column5]]=0),1,deployment_raw[[#This Row],[Column5]])/1048576/Q653,0),"")</f>
        <v/>
      </c>
      <c r="Q653" s="76" t="str">
        <f>IF(ISNUMBER(deployment_raw[[#This Row],[Column9]]), (deployment_raw[[#This Row],[Column9]] * IF($E$2="Deployment",deployment_raw[[#This Row],[Column5]],1))/1048576,"")</f>
        <v/>
      </c>
      <c r="R653" s="57" t="str">
        <f>IF(ISNUMBER(deployment_raw[[#This Row],[Column10]]), (deployment_raw[[#This Row],[Column10]] * IF($E$2="Deployment",deployment_raw[[#This Row],[Column5]],1)),"")</f>
        <v/>
      </c>
      <c r="S653" s="48" t="str">
        <f>IF(ISNUMBER(deployment_raw[[#This Row],[Column11]]), (deployment_raw[[#This Row],[Column11]] * IF($E$2="Deployment",deployment_raw[[#This Row],[Column5]],1))/1048576,"")</f>
        <v/>
      </c>
      <c r="T653" s="59" t="str">
        <f>IF(ISNUMBER(deployment_raw[[#This Row],[Column8]]),IF(OR(deployment_raw[[#This Row],[Column5]] &lt;&gt; 0,$E$2 &lt;&gt; "Deployment"), MAX(V653, ($T$2 * IF($E$2="Deployment",deployment_raw[[#This Row],[Column5]],1))), 0),"")</f>
        <v/>
      </c>
      <c r="U653" s="50" t="str">
        <f>IF(ISNUMBER(deployment_raw[[#This Row],[Column9]]),IF(OR(deployment_raw[[#This Row],[Column5]] &lt;&gt; 0,$E$2&lt;&gt;"Deployment"), MAX(W653, ($U$2 * IF($E$2="Deployment",deployment_raw[[#This Row],[Column5]],1))), 0),"")</f>
        <v/>
      </c>
      <c r="V653" s="15" t="str">
        <f>IF(ISNUMBER(deployment_raw[[#This Row],[Column12]]), (deployment_raw[[#This Row],[Column12]] * IF($E$2="Deployment",deployment_raw[[#This Row],[Column5]],1)*(1+$V$2)),"")</f>
        <v/>
      </c>
      <c r="W653" s="14" t="str">
        <f>IF(ISNUMBER(deployment_raw[[#This Row],[Column13]]), (deployment_raw[[#This Row],[Column13]] * IF($E$2="Deployment",deployment_raw[[#This Row],[Column5]],1)*(1+$W$2))/1048576,"")</f>
        <v/>
      </c>
    </row>
    <row r="654" spans="1:23" ht="15.75" customHeight="1" x14ac:dyDescent="0.25">
      <c r="A654" s="5" t="str">
        <f>IF(ISNONTEXT(deployment_raw[[#This Row],[Column1]]), "", deployment_raw[[#This Row],[Column1]])</f>
        <v/>
      </c>
      <c r="B654" s="6" t="str">
        <f>IF(ISNONTEXT(deployment_raw[[#This Row],[Column2]]), "", deployment_raw[[#This Row],[Column2]])</f>
        <v/>
      </c>
      <c r="C654" s="6" t="str">
        <f>IF(ISNONTEXT(deployment_raw[[#This Row],[Column3]]), "", deployment_raw[[#This Row],[Column3]])</f>
        <v/>
      </c>
      <c r="D654" s="6" t="str">
        <f>IF(ISNONTEXT(deployment_raw[[#This Row],[Column4]]), "", deployment_raw[[#This Row],[Column4]])</f>
        <v/>
      </c>
      <c r="E654" s="7" t="str">
        <f>IF(ISNUMBER(deployment_raw[[#This Row],[Column5]]), deployment_raw[[#This Row],[Column5]],"")</f>
        <v/>
      </c>
      <c r="F654" s="32" t="str">
        <f>IF(ISNUMBER(deployment_raw[[#This Row],[Column17]]), deployment_raw[[#This Row],[Column17]]/IF(OR($E$2="Deployment",deployment_raw[[#This Row],[Column5]]=0),1,deployment_raw[[#This Row],[Column5]]),"")</f>
        <v/>
      </c>
      <c r="G654" s="42" t="str">
        <f>IF(ISNUMBER(deployment_raw[[#This Row],[Column14]]), deployment_raw[[#This Row],[Column14]]/IF(OR($E$2="Deployment",deployment_raw[[#This Row],[Column5]]=0),1,deployment_raw[[#This Row],[Column5]]),"")</f>
        <v/>
      </c>
      <c r="H654" s="79" t="str">
        <f>IF(ISNUMBER(deployment_raw[[#This Row],[Column19]]), IF(I654&lt;&gt;0,(deployment_raw[[#This Row],[Column19]]/IF(OR($E$2="Deployment",deployment_raw[[#This Row],[Column5]]=0),1,deployment_raw[[#This Row],[Column5]]))/I654,0),"")</f>
        <v/>
      </c>
      <c r="I654" s="69" t="str">
        <f>IF(ISNUMBER(deployment_raw[[#This Row],[Column6]]), (deployment_raw[[#This Row],[Column6]] * IF($E$2="Deployment",deployment_raw[[#This Row],[Column5]],1)),"")</f>
        <v/>
      </c>
      <c r="J654" s="79" t="str">
        <f>IF(ISNUMBER(deployment_raw[[#This Row],[Column19]]), IF(K654&lt;&gt;0,(deployment_raw[[#This Row],[Column19]]/IF(OR($E$2="Deployment",deployment_raw[[#This Row],[Column5]]=0),1,deployment_raw[[#This Row],[Column5]]))/K654,0),"")</f>
        <v/>
      </c>
      <c r="K654" s="72" t="str">
        <f>IF(ISNUMBER(deployment_raw[[#This Row],[Column8]]), (deployment_raw[[#This Row],[Column8]]  * IF($E$2="Deployment",deployment_raw[[#This Row],[Column5]],1)),"")</f>
        <v/>
      </c>
      <c r="L65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5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54" s="81" t="str">
        <f>IF(ISNUMBER(deployment_raw[[#This Row],[Column20]]), IF(O654&lt;&gt;0,deployment_raw[[#This Row],[Column20]]/IF(OR($E$2="Deployment",deployment_raw[[#This Row],[Column5]]=0),1,deployment_raw[[#This Row],[Column5]])/1048576/O654,0),"")</f>
        <v/>
      </c>
      <c r="O654" s="74" t="str">
        <f>IF(ISNUMBER(deployment_raw[[#This Row],[Column7]]), (deployment_raw[[#This Row],[Column7]] * IF($E$2="Deployment",deployment_raw[[#This Row],[Column5]],1))/1048576,"")</f>
        <v/>
      </c>
      <c r="P654" s="81" t="str">
        <f>IF(ISNUMBER(deployment_raw[[#This Row],[Column20]]), IF(Q654&lt;&gt;0,deployment_raw[[#This Row],[Column20]]/IF(OR($E$2="Deployment",deployment_raw[[#This Row],[Column5]]=0),1,deployment_raw[[#This Row],[Column5]])/1048576/Q654,0),"")</f>
        <v/>
      </c>
      <c r="Q654" s="76" t="str">
        <f>IF(ISNUMBER(deployment_raw[[#This Row],[Column9]]), (deployment_raw[[#This Row],[Column9]] * IF($E$2="Deployment",deployment_raw[[#This Row],[Column5]],1))/1048576,"")</f>
        <v/>
      </c>
      <c r="R654" s="57" t="str">
        <f>IF(ISNUMBER(deployment_raw[[#This Row],[Column10]]), (deployment_raw[[#This Row],[Column10]] * IF($E$2="Deployment",deployment_raw[[#This Row],[Column5]],1)),"")</f>
        <v/>
      </c>
      <c r="S654" s="48" t="str">
        <f>IF(ISNUMBER(deployment_raw[[#This Row],[Column11]]), (deployment_raw[[#This Row],[Column11]] * IF($E$2="Deployment",deployment_raw[[#This Row],[Column5]],1))/1048576,"")</f>
        <v/>
      </c>
      <c r="T654" s="59" t="str">
        <f>IF(ISNUMBER(deployment_raw[[#This Row],[Column8]]),IF(OR(deployment_raw[[#This Row],[Column5]] &lt;&gt; 0,$E$2 &lt;&gt; "Deployment"), MAX(V654, ($T$2 * IF($E$2="Deployment",deployment_raw[[#This Row],[Column5]],1))), 0),"")</f>
        <v/>
      </c>
      <c r="U654" s="50" t="str">
        <f>IF(ISNUMBER(deployment_raw[[#This Row],[Column9]]),IF(OR(deployment_raw[[#This Row],[Column5]] &lt;&gt; 0,$E$2&lt;&gt;"Deployment"), MAX(W654, ($U$2 * IF($E$2="Deployment",deployment_raw[[#This Row],[Column5]],1))), 0),"")</f>
        <v/>
      </c>
      <c r="V654" s="15" t="str">
        <f>IF(ISNUMBER(deployment_raw[[#This Row],[Column12]]), (deployment_raw[[#This Row],[Column12]] * IF($E$2="Deployment",deployment_raw[[#This Row],[Column5]],1)*(1+$V$2)),"")</f>
        <v/>
      </c>
      <c r="W654" s="14" t="str">
        <f>IF(ISNUMBER(deployment_raw[[#This Row],[Column13]]), (deployment_raw[[#This Row],[Column13]] * IF($E$2="Deployment",deployment_raw[[#This Row],[Column5]],1)*(1+$W$2))/1048576,"")</f>
        <v/>
      </c>
    </row>
    <row r="655" spans="1:23" ht="15.75" customHeight="1" x14ac:dyDescent="0.25">
      <c r="A655" s="5" t="str">
        <f>IF(ISNONTEXT(deployment_raw[[#This Row],[Column1]]), "", deployment_raw[[#This Row],[Column1]])</f>
        <v/>
      </c>
      <c r="B655" s="6" t="str">
        <f>IF(ISNONTEXT(deployment_raw[[#This Row],[Column2]]), "", deployment_raw[[#This Row],[Column2]])</f>
        <v/>
      </c>
      <c r="C655" s="6" t="str">
        <f>IF(ISNONTEXT(deployment_raw[[#This Row],[Column3]]), "", deployment_raw[[#This Row],[Column3]])</f>
        <v/>
      </c>
      <c r="D655" s="6" t="str">
        <f>IF(ISNONTEXT(deployment_raw[[#This Row],[Column4]]), "", deployment_raw[[#This Row],[Column4]])</f>
        <v/>
      </c>
      <c r="E655" s="7" t="str">
        <f>IF(ISNUMBER(deployment_raw[[#This Row],[Column5]]), deployment_raw[[#This Row],[Column5]],"")</f>
        <v/>
      </c>
      <c r="F655" s="32" t="str">
        <f>IF(ISNUMBER(deployment_raw[[#This Row],[Column17]]), deployment_raw[[#This Row],[Column17]]/IF(OR($E$2="Deployment",deployment_raw[[#This Row],[Column5]]=0),1,deployment_raw[[#This Row],[Column5]]),"")</f>
        <v/>
      </c>
      <c r="G655" s="42" t="str">
        <f>IF(ISNUMBER(deployment_raw[[#This Row],[Column14]]), deployment_raw[[#This Row],[Column14]]/IF(OR($E$2="Deployment",deployment_raw[[#This Row],[Column5]]=0),1,deployment_raw[[#This Row],[Column5]]),"")</f>
        <v/>
      </c>
      <c r="H655" s="79" t="str">
        <f>IF(ISNUMBER(deployment_raw[[#This Row],[Column19]]), IF(I655&lt;&gt;0,(deployment_raw[[#This Row],[Column19]]/IF(OR($E$2="Deployment",deployment_raw[[#This Row],[Column5]]=0),1,deployment_raw[[#This Row],[Column5]]))/I655,0),"")</f>
        <v/>
      </c>
      <c r="I655" s="69" t="str">
        <f>IF(ISNUMBER(deployment_raw[[#This Row],[Column6]]), (deployment_raw[[#This Row],[Column6]] * IF($E$2="Deployment",deployment_raw[[#This Row],[Column5]],1)),"")</f>
        <v/>
      </c>
      <c r="J655" s="79" t="str">
        <f>IF(ISNUMBER(deployment_raw[[#This Row],[Column19]]), IF(K655&lt;&gt;0,(deployment_raw[[#This Row],[Column19]]/IF(OR($E$2="Deployment",deployment_raw[[#This Row],[Column5]]=0),1,deployment_raw[[#This Row],[Column5]]))/K655,0),"")</f>
        <v/>
      </c>
      <c r="K655" s="72" t="str">
        <f>IF(ISNUMBER(deployment_raw[[#This Row],[Column8]]), (deployment_raw[[#This Row],[Column8]]  * IF($E$2="Deployment",deployment_raw[[#This Row],[Column5]],1)),"")</f>
        <v/>
      </c>
      <c r="L65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5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55" s="81" t="str">
        <f>IF(ISNUMBER(deployment_raw[[#This Row],[Column20]]), IF(O655&lt;&gt;0,deployment_raw[[#This Row],[Column20]]/IF(OR($E$2="Deployment",deployment_raw[[#This Row],[Column5]]=0),1,deployment_raw[[#This Row],[Column5]])/1048576/O655,0),"")</f>
        <v/>
      </c>
      <c r="O655" s="74" t="str">
        <f>IF(ISNUMBER(deployment_raw[[#This Row],[Column7]]), (deployment_raw[[#This Row],[Column7]] * IF($E$2="Deployment",deployment_raw[[#This Row],[Column5]],1))/1048576,"")</f>
        <v/>
      </c>
      <c r="P655" s="81" t="str">
        <f>IF(ISNUMBER(deployment_raw[[#This Row],[Column20]]), IF(Q655&lt;&gt;0,deployment_raw[[#This Row],[Column20]]/IF(OR($E$2="Deployment",deployment_raw[[#This Row],[Column5]]=0),1,deployment_raw[[#This Row],[Column5]])/1048576/Q655,0),"")</f>
        <v/>
      </c>
      <c r="Q655" s="76" t="str">
        <f>IF(ISNUMBER(deployment_raw[[#This Row],[Column9]]), (deployment_raw[[#This Row],[Column9]] * IF($E$2="Deployment",deployment_raw[[#This Row],[Column5]],1))/1048576,"")</f>
        <v/>
      </c>
      <c r="R655" s="57" t="str">
        <f>IF(ISNUMBER(deployment_raw[[#This Row],[Column10]]), (deployment_raw[[#This Row],[Column10]] * IF($E$2="Deployment",deployment_raw[[#This Row],[Column5]],1)),"")</f>
        <v/>
      </c>
      <c r="S655" s="48" t="str">
        <f>IF(ISNUMBER(deployment_raw[[#This Row],[Column11]]), (deployment_raw[[#This Row],[Column11]] * IF($E$2="Deployment",deployment_raw[[#This Row],[Column5]],1))/1048576,"")</f>
        <v/>
      </c>
      <c r="T655" s="59" t="str">
        <f>IF(ISNUMBER(deployment_raw[[#This Row],[Column8]]),IF(OR(deployment_raw[[#This Row],[Column5]] &lt;&gt; 0,$E$2 &lt;&gt; "Deployment"), MAX(V655, ($T$2 * IF($E$2="Deployment",deployment_raw[[#This Row],[Column5]],1))), 0),"")</f>
        <v/>
      </c>
      <c r="U655" s="50" t="str">
        <f>IF(ISNUMBER(deployment_raw[[#This Row],[Column9]]),IF(OR(deployment_raw[[#This Row],[Column5]] &lt;&gt; 0,$E$2&lt;&gt;"Deployment"), MAX(W655, ($U$2 * IF($E$2="Deployment",deployment_raw[[#This Row],[Column5]],1))), 0),"")</f>
        <v/>
      </c>
      <c r="V655" s="15" t="str">
        <f>IF(ISNUMBER(deployment_raw[[#This Row],[Column12]]), (deployment_raw[[#This Row],[Column12]] * IF($E$2="Deployment",deployment_raw[[#This Row],[Column5]],1)*(1+$V$2)),"")</f>
        <v/>
      </c>
      <c r="W655" s="14" t="str">
        <f>IF(ISNUMBER(deployment_raw[[#This Row],[Column13]]), (deployment_raw[[#This Row],[Column13]] * IF($E$2="Deployment",deployment_raw[[#This Row],[Column5]],1)*(1+$W$2))/1048576,"")</f>
        <v/>
      </c>
    </row>
    <row r="656" spans="1:23" ht="15.75" customHeight="1" x14ac:dyDescent="0.25">
      <c r="A656" s="5" t="str">
        <f>IF(ISNONTEXT(deployment_raw[[#This Row],[Column1]]), "", deployment_raw[[#This Row],[Column1]])</f>
        <v/>
      </c>
      <c r="B656" s="6" t="str">
        <f>IF(ISNONTEXT(deployment_raw[[#This Row],[Column2]]), "", deployment_raw[[#This Row],[Column2]])</f>
        <v/>
      </c>
      <c r="C656" s="6" t="str">
        <f>IF(ISNONTEXT(deployment_raw[[#This Row],[Column3]]), "", deployment_raw[[#This Row],[Column3]])</f>
        <v/>
      </c>
      <c r="D656" s="6" t="str">
        <f>IF(ISNONTEXT(deployment_raw[[#This Row],[Column4]]), "", deployment_raw[[#This Row],[Column4]])</f>
        <v/>
      </c>
      <c r="E656" s="7" t="str">
        <f>IF(ISNUMBER(deployment_raw[[#This Row],[Column5]]), deployment_raw[[#This Row],[Column5]],"")</f>
        <v/>
      </c>
      <c r="F656" s="32" t="str">
        <f>IF(ISNUMBER(deployment_raw[[#This Row],[Column17]]), deployment_raw[[#This Row],[Column17]]/IF(OR($E$2="Deployment",deployment_raw[[#This Row],[Column5]]=0),1,deployment_raw[[#This Row],[Column5]]),"")</f>
        <v/>
      </c>
      <c r="G656" s="42" t="str">
        <f>IF(ISNUMBER(deployment_raw[[#This Row],[Column14]]), deployment_raw[[#This Row],[Column14]]/IF(OR($E$2="Deployment",deployment_raw[[#This Row],[Column5]]=0),1,deployment_raw[[#This Row],[Column5]]),"")</f>
        <v/>
      </c>
      <c r="H656" s="79" t="str">
        <f>IF(ISNUMBER(deployment_raw[[#This Row],[Column19]]), IF(I656&lt;&gt;0,(deployment_raw[[#This Row],[Column19]]/IF(OR($E$2="Deployment",deployment_raw[[#This Row],[Column5]]=0),1,deployment_raw[[#This Row],[Column5]]))/I656,0),"")</f>
        <v/>
      </c>
      <c r="I656" s="69" t="str">
        <f>IF(ISNUMBER(deployment_raw[[#This Row],[Column6]]), (deployment_raw[[#This Row],[Column6]] * IF($E$2="Deployment",deployment_raw[[#This Row],[Column5]],1)),"")</f>
        <v/>
      </c>
      <c r="J656" s="79" t="str">
        <f>IF(ISNUMBER(deployment_raw[[#This Row],[Column19]]), IF(K656&lt;&gt;0,(deployment_raw[[#This Row],[Column19]]/IF(OR($E$2="Deployment",deployment_raw[[#This Row],[Column5]]=0),1,deployment_raw[[#This Row],[Column5]]))/K656,0),"")</f>
        <v/>
      </c>
      <c r="K656" s="72" t="str">
        <f>IF(ISNUMBER(deployment_raw[[#This Row],[Column8]]), (deployment_raw[[#This Row],[Column8]]  * IF($E$2="Deployment",deployment_raw[[#This Row],[Column5]],1)),"")</f>
        <v/>
      </c>
      <c r="L65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5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56" s="81" t="str">
        <f>IF(ISNUMBER(deployment_raw[[#This Row],[Column20]]), IF(O656&lt;&gt;0,deployment_raw[[#This Row],[Column20]]/IF(OR($E$2="Deployment",deployment_raw[[#This Row],[Column5]]=0),1,deployment_raw[[#This Row],[Column5]])/1048576/O656,0),"")</f>
        <v/>
      </c>
      <c r="O656" s="74" t="str">
        <f>IF(ISNUMBER(deployment_raw[[#This Row],[Column7]]), (deployment_raw[[#This Row],[Column7]] * IF($E$2="Deployment",deployment_raw[[#This Row],[Column5]],1))/1048576,"")</f>
        <v/>
      </c>
      <c r="P656" s="81" t="str">
        <f>IF(ISNUMBER(deployment_raw[[#This Row],[Column20]]), IF(Q656&lt;&gt;0,deployment_raw[[#This Row],[Column20]]/IF(OR($E$2="Deployment",deployment_raw[[#This Row],[Column5]]=0),1,deployment_raw[[#This Row],[Column5]])/1048576/Q656,0),"")</f>
        <v/>
      </c>
      <c r="Q656" s="76" t="str">
        <f>IF(ISNUMBER(deployment_raw[[#This Row],[Column9]]), (deployment_raw[[#This Row],[Column9]] * IF($E$2="Deployment",deployment_raw[[#This Row],[Column5]],1))/1048576,"")</f>
        <v/>
      </c>
      <c r="R656" s="57" t="str">
        <f>IF(ISNUMBER(deployment_raw[[#This Row],[Column10]]), (deployment_raw[[#This Row],[Column10]] * IF($E$2="Deployment",deployment_raw[[#This Row],[Column5]],1)),"")</f>
        <v/>
      </c>
      <c r="S656" s="48" t="str">
        <f>IF(ISNUMBER(deployment_raw[[#This Row],[Column11]]), (deployment_raw[[#This Row],[Column11]] * IF($E$2="Deployment",deployment_raw[[#This Row],[Column5]],1))/1048576,"")</f>
        <v/>
      </c>
      <c r="T656" s="59" t="str">
        <f>IF(ISNUMBER(deployment_raw[[#This Row],[Column8]]),IF(OR(deployment_raw[[#This Row],[Column5]] &lt;&gt; 0,$E$2 &lt;&gt; "Deployment"), MAX(V656, ($T$2 * IF($E$2="Deployment",deployment_raw[[#This Row],[Column5]],1))), 0),"")</f>
        <v/>
      </c>
      <c r="U656" s="50" t="str">
        <f>IF(ISNUMBER(deployment_raw[[#This Row],[Column9]]),IF(OR(deployment_raw[[#This Row],[Column5]] &lt;&gt; 0,$E$2&lt;&gt;"Deployment"), MAX(W656, ($U$2 * IF($E$2="Deployment",deployment_raw[[#This Row],[Column5]],1))), 0),"")</f>
        <v/>
      </c>
      <c r="V656" s="15" t="str">
        <f>IF(ISNUMBER(deployment_raw[[#This Row],[Column12]]), (deployment_raw[[#This Row],[Column12]] * IF($E$2="Deployment",deployment_raw[[#This Row],[Column5]],1)*(1+$V$2)),"")</f>
        <v/>
      </c>
      <c r="W656" s="14" t="str">
        <f>IF(ISNUMBER(deployment_raw[[#This Row],[Column13]]), (deployment_raw[[#This Row],[Column13]] * IF($E$2="Deployment",deployment_raw[[#This Row],[Column5]],1)*(1+$W$2))/1048576,"")</f>
        <v/>
      </c>
    </row>
    <row r="657" spans="1:23" ht="15.75" customHeight="1" x14ac:dyDescent="0.25">
      <c r="A657" s="5" t="str">
        <f>IF(ISNONTEXT(deployment_raw[[#This Row],[Column1]]), "", deployment_raw[[#This Row],[Column1]])</f>
        <v/>
      </c>
      <c r="B657" s="6" t="str">
        <f>IF(ISNONTEXT(deployment_raw[[#This Row],[Column2]]), "", deployment_raw[[#This Row],[Column2]])</f>
        <v/>
      </c>
      <c r="C657" s="6" t="str">
        <f>IF(ISNONTEXT(deployment_raw[[#This Row],[Column3]]), "", deployment_raw[[#This Row],[Column3]])</f>
        <v/>
      </c>
      <c r="D657" s="6" t="str">
        <f>IF(ISNONTEXT(deployment_raw[[#This Row],[Column4]]), "", deployment_raw[[#This Row],[Column4]])</f>
        <v/>
      </c>
      <c r="E657" s="7" t="str">
        <f>IF(ISNUMBER(deployment_raw[[#This Row],[Column5]]), deployment_raw[[#This Row],[Column5]],"")</f>
        <v/>
      </c>
      <c r="F657" s="32" t="str">
        <f>IF(ISNUMBER(deployment_raw[[#This Row],[Column17]]), deployment_raw[[#This Row],[Column17]]/IF(OR($E$2="Deployment",deployment_raw[[#This Row],[Column5]]=0),1,deployment_raw[[#This Row],[Column5]]),"")</f>
        <v/>
      </c>
      <c r="G657" s="42" t="str">
        <f>IF(ISNUMBER(deployment_raw[[#This Row],[Column14]]), deployment_raw[[#This Row],[Column14]]/IF(OR($E$2="Deployment",deployment_raw[[#This Row],[Column5]]=0),1,deployment_raw[[#This Row],[Column5]]),"")</f>
        <v/>
      </c>
      <c r="H657" s="79" t="str">
        <f>IF(ISNUMBER(deployment_raw[[#This Row],[Column19]]), IF(I657&lt;&gt;0,(deployment_raw[[#This Row],[Column19]]/IF(OR($E$2="Deployment",deployment_raw[[#This Row],[Column5]]=0),1,deployment_raw[[#This Row],[Column5]]))/I657,0),"")</f>
        <v/>
      </c>
      <c r="I657" s="69" t="str">
        <f>IF(ISNUMBER(deployment_raw[[#This Row],[Column6]]), (deployment_raw[[#This Row],[Column6]] * IF($E$2="Deployment",deployment_raw[[#This Row],[Column5]],1)),"")</f>
        <v/>
      </c>
      <c r="J657" s="79" t="str">
        <f>IF(ISNUMBER(deployment_raw[[#This Row],[Column19]]), IF(K657&lt;&gt;0,(deployment_raw[[#This Row],[Column19]]/IF(OR($E$2="Deployment",deployment_raw[[#This Row],[Column5]]=0),1,deployment_raw[[#This Row],[Column5]]))/K657,0),"")</f>
        <v/>
      </c>
      <c r="K657" s="72" t="str">
        <f>IF(ISNUMBER(deployment_raw[[#This Row],[Column8]]), (deployment_raw[[#This Row],[Column8]]  * IF($E$2="Deployment",deployment_raw[[#This Row],[Column5]],1)),"")</f>
        <v/>
      </c>
      <c r="L65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5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57" s="81" t="str">
        <f>IF(ISNUMBER(deployment_raw[[#This Row],[Column20]]), IF(O657&lt;&gt;0,deployment_raw[[#This Row],[Column20]]/IF(OR($E$2="Deployment",deployment_raw[[#This Row],[Column5]]=0),1,deployment_raw[[#This Row],[Column5]])/1048576/O657,0),"")</f>
        <v/>
      </c>
      <c r="O657" s="74" t="str">
        <f>IF(ISNUMBER(deployment_raw[[#This Row],[Column7]]), (deployment_raw[[#This Row],[Column7]] * IF($E$2="Deployment",deployment_raw[[#This Row],[Column5]],1))/1048576,"")</f>
        <v/>
      </c>
      <c r="P657" s="81" t="str">
        <f>IF(ISNUMBER(deployment_raw[[#This Row],[Column20]]), IF(Q657&lt;&gt;0,deployment_raw[[#This Row],[Column20]]/IF(OR($E$2="Deployment",deployment_raw[[#This Row],[Column5]]=0),1,deployment_raw[[#This Row],[Column5]])/1048576/Q657,0),"")</f>
        <v/>
      </c>
      <c r="Q657" s="76" t="str">
        <f>IF(ISNUMBER(deployment_raw[[#This Row],[Column9]]), (deployment_raw[[#This Row],[Column9]] * IF($E$2="Deployment",deployment_raw[[#This Row],[Column5]],1))/1048576,"")</f>
        <v/>
      </c>
      <c r="R657" s="57" t="str">
        <f>IF(ISNUMBER(deployment_raw[[#This Row],[Column10]]), (deployment_raw[[#This Row],[Column10]] * IF($E$2="Deployment",deployment_raw[[#This Row],[Column5]],1)),"")</f>
        <v/>
      </c>
      <c r="S657" s="48" t="str">
        <f>IF(ISNUMBER(deployment_raw[[#This Row],[Column11]]), (deployment_raw[[#This Row],[Column11]] * IF($E$2="Deployment",deployment_raw[[#This Row],[Column5]],1))/1048576,"")</f>
        <v/>
      </c>
      <c r="T657" s="59" t="str">
        <f>IF(ISNUMBER(deployment_raw[[#This Row],[Column8]]),IF(OR(deployment_raw[[#This Row],[Column5]] &lt;&gt; 0,$E$2 &lt;&gt; "Deployment"), MAX(V657, ($T$2 * IF($E$2="Deployment",deployment_raw[[#This Row],[Column5]],1))), 0),"")</f>
        <v/>
      </c>
      <c r="U657" s="50" t="str">
        <f>IF(ISNUMBER(deployment_raw[[#This Row],[Column9]]),IF(OR(deployment_raw[[#This Row],[Column5]] &lt;&gt; 0,$E$2&lt;&gt;"Deployment"), MAX(W657, ($U$2 * IF($E$2="Deployment",deployment_raw[[#This Row],[Column5]],1))), 0),"")</f>
        <v/>
      </c>
      <c r="V657" s="15" t="str">
        <f>IF(ISNUMBER(deployment_raw[[#This Row],[Column12]]), (deployment_raw[[#This Row],[Column12]] * IF($E$2="Deployment",deployment_raw[[#This Row],[Column5]],1)*(1+$V$2)),"")</f>
        <v/>
      </c>
      <c r="W657" s="14" t="str">
        <f>IF(ISNUMBER(deployment_raw[[#This Row],[Column13]]), (deployment_raw[[#This Row],[Column13]] * IF($E$2="Deployment",deployment_raw[[#This Row],[Column5]],1)*(1+$W$2))/1048576,"")</f>
        <v/>
      </c>
    </row>
    <row r="658" spans="1:23" ht="15.75" customHeight="1" x14ac:dyDescent="0.25">
      <c r="A658" s="5" t="str">
        <f>IF(ISNONTEXT(deployment_raw[[#This Row],[Column1]]), "", deployment_raw[[#This Row],[Column1]])</f>
        <v/>
      </c>
      <c r="B658" s="6" t="str">
        <f>IF(ISNONTEXT(deployment_raw[[#This Row],[Column2]]), "", deployment_raw[[#This Row],[Column2]])</f>
        <v/>
      </c>
      <c r="C658" s="6" t="str">
        <f>IF(ISNONTEXT(deployment_raw[[#This Row],[Column3]]), "", deployment_raw[[#This Row],[Column3]])</f>
        <v/>
      </c>
      <c r="D658" s="6" t="str">
        <f>IF(ISNONTEXT(deployment_raw[[#This Row],[Column4]]), "", deployment_raw[[#This Row],[Column4]])</f>
        <v/>
      </c>
      <c r="E658" s="7" t="str">
        <f>IF(ISNUMBER(deployment_raw[[#This Row],[Column5]]), deployment_raw[[#This Row],[Column5]],"")</f>
        <v/>
      </c>
      <c r="F658" s="32" t="str">
        <f>IF(ISNUMBER(deployment_raw[[#This Row],[Column17]]), deployment_raw[[#This Row],[Column17]]/IF(OR($E$2="Deployment",deployment_raw[[#This Row],[Column5]]=0),1,deployment_raw[[#This Row],[Column5]]),"")</f>
        <v/>
      </c>
      <c r="G658" s="42" t="str">
        <f>IF(ISNUMBER(deployment_raw[[#This Row],[Column14]]), deployment_raw[[#This Row],[Column14]]/IF(OR($E$2="Deployment",deployment_raw[[#This Row],[Column5]]=0),1,deployment_raw[[#This Row],[Column5]]),"")</f>
        <v/>
      </c>
      <c r="H658" s="79" t="str">
        <f>IF(ISNUMBER(deployment_raw[[#This Row],[Column19]]), IF(I658&lt;&gt;0,(deployment_raw[[#This Row],[Column19]]/IF(OR($E$2="Deployment",deployment_raw[[#This Row],[Column5]]=0),1,deployment_raw[[#This Row],[Column5]]))/I658,0),"")</f>
        <v/>
      </c>
      <c r="I658" s="69" t="str">
        <f>IF(ISNUMBER(deployment_raw[[#This Row],[Column6]]), (deployment_raw[[#This Row],[Column6]] * IF($E$2="Deployment",deployment_raw[[#This Row],[Column5]],1)),"")</f>
        <v/>
      </c>
      <c r="J658" s="79" t="str">
        <f>IF(ISNUMBER(deployment_raw[[#This Row],[Column19]]), IF(K658&lt;&gt;0,(deployment_raw[[#This Row],[Column19]]/IF(OR($E$2="Deployment",deployment_raw[[#This Row],[Column5]]=0),1,deployment_raw[[#This Row],[Column5]]))/K658,0),"")</f>
        <v/>
      </c>
      <c r="K658" s="72" t="str">
        <f>IF(ISNUMBER(deployment_raw[[#This Row],[Column8]]), (deployment_raw[[#This Row],[Column8]]  * IF($E$2="Deployment",deployment_raw[[#This Row],[Column5]],1)),"")</f>
        <v/>
      </c>
      <c r="L65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5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58" s="81" t="str">
        <f>IF(ISNUMBER(deployment_raw[[#This Row],[Column20]]), IF(O658&lt;&gt;0,deployment_raw[[#This Row],[Column20]]/IF(OR($E$2="Deployment",deployment_raw[[#This Row],[Column5]]=0),1,deployment_raw[[#This Row],[Column5]])/1048576/O658,0),"")</f>
        <v/>
      </c>
      <c r="O658" s="74" t="str">
        <f>IF(ISNUMBER(deployment_raw[[#This Row],[Column7]]), (deployment_raw[[#This Row],[Column7]] * IF($E$2="Deployment",deployment_raw[[#This Row],[Column5]],1))/1048576,"")</f>
        <v/>
      </c>
      <c r="P658" s="81" t="str">
        <f>IF(ISNUMBER(deployment_raw[[#This Row],[Column20]]), IF(Q658&lt;&gt;0,deployment_raw[[#This Row],[Column20]]/IF(OR($E$2="Deployment",deployment_raw[[#This Row],[Column5]]=0),1,deployment_raw[[#This Row],[Column5]])/1048576/Q658,0),"")</f>
        <v/>
      </c>
      <c r="Q658" s="76" t="str">
        <f>IF(ISNUMBER(deployment_raw[[#This Row],[Column9]]), (deployment_raw[[#This Row],[Column9]] * IF($E$2="Deployment",deployment_raw[[#This Row],[Column5]],1))/1048576,"")</f>
        <v/>
      </c>
      <c r="R658" s="57" t="str">
        <f>IF(ISNUMBER(deployment_raw[[#This Row],[Column10]]), (deployment_raw[[#This Row],[Column10]] * IF($E$2="Deployment",deployment_raw[[#This Row],[Column5]],1)),"")</f>
        <v/>
      </c>
      <c r="S658" s="48" t="str">
        <f>IF(ISNUMBER(deployment_raw[[#This Row],[Column11]]), (deployment_raw[[#This Row],[Column11]] * IF($E$2="Deployment",deployment_raw[[#This Row],[Column5]],1))/1048576,"")</f>
        <v/>
      </c>
      <c r="T658" s="59" t="str">
        <f>IF(ISNUMBER(deployment_raw[[#This Row],[Column8]]),IF(OR(deployment_raw[[#This Row],[Column5]] &lt;&gt; 0,$E$2 &lt;&gt; "Deployment"), MAX(V658, ($T$2 * IF($E$2="Deployment",deployment_raw[[#This Row],[Column5]],1))), 0),"")</f>
        <v/>
      </c>
      <c r="U658" s="50" t="str">
        <f>IF(ISNUMBER(deployment_raw[[#This Row],[Column9]]),IF(OR(deployment_raw[[#This Row],[Column5]] &lt;&gt; 0,$E$2&lt;&gt;"Deployment"), MAX(W658, ($U$2 * IF($E$2="Deployment",deployment_raw[[#This Row],[Column5]],1))), 0),"")</f>
        <v/>
      </c>
      <c r="V658" s="15" t="str">
        <f>IF(ISNUMBER(deployment_raw[[#This Row],[Column12]]), (deployment_raw[[#This Row],[Column12]] * IF($E$2="Deployment",deployment_raw[[#This Row],[Column5]],1)*(1+$V$2)),"")</f>
        <v/>
      </c>
      <c r="W658" s="14" t="str">
        <f>IF(ISNUMBER(deployment_raw[[#This Row],[Column13]]), (deployment_raw[[#This Row],[Column13]] * IF($E$2="Deployment",deployment_raw[[#This Row],[Column5]],1)*(1+$W$2))/1048576,"")</f>
        <v/>
      </c>
    </row>
    <row r="659" spans="1:23" ht="15.75" customHeight="1" x14ac:dyDescent="0.25">
      <c r="A659" s="5" t="str">
        <f>IF(ISNONTEXT(deployment_raw[[#This Row],[Column1]]), "", deployment_raw[[#This Row],[Column1]])</f>
        <v/>
      </c>
      <c r="B659" s="6" t="str">
        <f>IF(ISNONTEXT(deployment_raw[[#This Row],[Column2]]), "", deployment_raw[[#This Row],[Column2]])</f>
        <v/>
      </c>
      <c r="C659" s="6" t="str">
        <f>IF(ISNONTEXT(deployment_raw[[#This Row],[Column3]]), "", deployment_raw[[#This Row],[Column3]])</f>
        <v/>
      </c>
      <c r="D659" s="6" t="str">
        <f>IF(ISNONTEXT(deployment_raw[[#This Row],[Column4]]), "", deployment_raw[[#This Row],[Column4]])</f>
        <v/>
      </c>
      <c r="E659" s="7" t="str">
        <f>IF(ISNUMBER(deployment_raw[[#This Row],[Column5]]), deployment_raw[[#This Row],[Column5]],"")</f>
        <v/>
      </c>
      <c r="F659" s="32" t="str">
        <f>IF(ISNUMBER(deployment_raw[[#This Row],[Column17]]), deployment_raw[[#This Row],[Column17]]/IF(OR($E$2="Deployment",deployment_raw[[#This Row],[Column5]]=0),1,deployment_raw[[#This Row],[Column5]]),"")</f>
        <v/>
      </c>
      <c r="G659" s="42" t="str">
        <f>IF(ISNUMBER(deployment_raw[[#This Row],[Column14]]), deployment_raw[[#This Row],[Column14]]/IF(OR($E$2="Deployment",deployment_raw[[#This Row],[Column5]]=0),1,deployment_raw[[#This Row],[Column5]]),"")</f>
        <v/>
      </c>
      <c r="H659" s="79" t="str">
        <f>IF(ISNUMBER(deployment_raw[[#This Row],[Column19]]), IF(I659&lt;&gt;0,(deployment_raw[[#This Row],[Column19]]/IF(OR($E$2="Deployment",deployment_raw[[#This Row],[Column5]]=0),1,deployment_raw[[#This Row],[Column5]]))/I659,0),"")</f>
        <v/>
      </c>
      <c r="I659" s="69" t="str">
        <f>IF(ISNUMBER(deployment_raw[[#This Row],[Column6]]), (deployment_raw[[#This Row],[Column6]] * IF($E$2="Deployment",deployment_raw[[#This Row],[Column5]],1)),"")</f>
        <v/>
      </c>
      <c r="J659" s="79" t="str">
        <f>IF(ISNUMBER(deployment_raw[[#This Row],[Column19]]), IF(K659&lt;&gt;0,(deployment_raw[[#This Row],[Column19]]/IF(OR($E$2="Deployment",deployment_raw[[#This Row],[Column5]]=0),1,deployment_raw[[#This Row],[Column5]]))/K659,0),"")</f>
        <v/>
      </c>
      <c r="K659" s="72" t="str">
        <f>IF(ISNUMBER(deployment_raw[[#This Row],[Column8]]), (deployment_raw[[#This Row],[Column8]]  * IF($E$2="Deployment",deployment_raw[[#This Row],[Column5]],1)),"")</f>
        <v/>
      </c>
      <c r="L65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5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59" s="81" t="str">
        <f>IF(ISNUMBER(deployment_raw[[#This Row],[Column20]]), IF(O659&lt;&gt;0,deployment_raw[[#This Row],[Column20]]/IF(OR($E$2="Deployment",deployment_raw[[#This Row],[Column5]]=0),1,deployment_raw[[#This Row],[Column5]])/1048576/O659,0),"")</f>
        <v/>
      </c>
      <c r="O659" s="74" t="str">
        <f>IF(ISNUMBER(deployment_raw[[#This Row],[Column7]]), (deployment_raw[[#This Row],[Column7]] * IF($E$2="Deployment",deployment_raw[[#This Row],[Column5]],1))/1048576,"")</f>
        <v/>
      </c>
      <c r="P659" s="81" t="str">
        <f>IF(ISNUMBER(deployment_raw[[#This Row],[Column20]]), IF(Q659&lt;&gt;0,deployment_raw[[#This Row],[Column20]]/IF(OR($E$2="Deployment",deployment_raw[[#This Row],[Column5]]=0),1,deployment_raw[[#This Row],[Column5]])/1048576/Q659,0),"")</f>
        <v/>
      </c>
      <c r="Q659" s="76" t="str">
        <f>IF(ISNUMBER(deployment_raw[[#This Row],[Column9]]), (deployment_raw[[#This Row],[Column9]] * IF($E$2="Deployment",deployment_raw[[#This Row],[Column5]],1))/1048576,"")</f>
        <v/>
      </c>
      <c r="R659" s="57" t="str">
        <f>IF(ISNUMBER(deployment_raw[[#This Row],[Column10]]), (deployment_raw[[#This Row],[Column10]] * IF($E$2="Deployment",deployment_raw[[#This Row],[Column5]],1)),"")</f>
        <v/>
      </c>
      <c r="S659" s="48" t="str">
        <f>IF(ISNUMBER(deployment_raw[[#This Row],[Column11]]), (deployment_raw[[#This Row],[Column11]] * IF($E$2="Deployment",deployment_raw[[#This Row],[Column5]],1))/1048576,"")</f>
        <v/>
      </c>
      <c r="T659" s="59" t="str">
        <f>IF(ISNUMBER(deployment_raw[[#This Row],[Column8]]),IF(OR(deployment_raw[[#This Row],[Column5]] &lt;&gt; 0,$E$2 &lt;&gt; "Deployment"), MAX(V659, ($T$2 * IF($E$2="Deployment",deployment_raw[[#This Row],[Column5]],1))), 0),"")</f>
        <v/>
      </c>
      <c r="U659" s="50" t="str">
        <f>IF(ISNUMBER(deployment_raw[[#This Row],[Column9]]),IF(OR(deployment_raw[[#This Row],[Column5]] &lt;&gt; 0,$E$2&lt;&gt;"Deployment"), MAX(W659, ($U$2 * IF($E$2="Deployment",deployment_raw[[#This Row],[Column5]],1))), 0),"")</f>
        <v/>
      </c>
      <c r="V659" s="15" t="str">
        <f>IF(ISNUMBER(deployment_raw[[#This Row],[Column12]]), (deployment_raw[[#This Row],[Column12]] * IF($E$2="Deployment",deployment_raw[[#This Row],[Column5]],1)*(1+$V$2)),"")</f>
        <v/>
      </c>
      <c r="W659" s="14" t="str">
        <f>IF(ISNUMBER(deployment_raw[[#This Row],[Column13]]), (deployment_raw[[#This Row],[Column13]] * IF($E$2="Deployment",deployment_raw[[#This Row],[Column5]],1)*(1+$W$2))/1048576,"")</f>
        <v/>
      </c>
    </row>
    <row r="660" spans="1:23" ht="15.75" customHeight="1" x14ac:dyDescent="0.25">
      <c r="A660" s="5" t="str">
        <f>IF(ISNONTEXT(deployment_raw[[#This Row],[Column1]]), "", deployment_raw[[#This Row],[Column1]])</f>
        <v/>
      </c>
      <c r="B660" s="6" t="str">
        <f>IF(ISNONTEXT(deployment_raw[[#This Row],[Column2]]), "", deployment_raw[[#This Row],[Column2]])</f>
        <v/>
      </c>
      <c r="C660" s="6" t="str">
        <f>IF(ISNONTEXT(deployment_raw[[#This Row],[Column3]]), "", deployment_raw[[#This Row],[Column3]])</f>
        <v/>
      </c>
      <c r="D660" s="6" t="str">
        <f>IF(ISNONTEXT(deployment_raw[[#This Row],[Column4]]), "", deployment_raw[[#This Row],[Column4]])</f>
        <v/>
      </c>
      <c r="E660" s="7" t="str">
        <f>IF(ISNUMBER(deployment_raw[[#This Row],[Column5]]), deployment_raw[[#This Row],[Column5]],"")</f>
        <v/>
      </c>
      <c r="F660" s="32" t="str">
        <f>IF(ISNUMBER(deployment_raw[[#This Row],[Column17]]), deployment_raw[[#This Row],[Column17]]/IF(OR($E$2="Deployment",deployment_raw[[#This Row],[Column5]]=0),1,deployment_raw[[#This Row],[Column5]]),"")</f>
        <v/>
      </c>
      <c r="G660" s="42" t="str">
        <f>IF(ISNUMBER(deployment_raw[[#This Row],[Column14]]), deployment_raw[[#This Row],[Column14]]/IF(OR($E$2="Deployment",deployment_raw[[#This Row],[Column5]]=0),1,deployment_raw[[#This Row],[Column5]]),"")</f>
        <v/>
      </c>
      <c r="H660" s="79" t="str">
        <f>IF(ISNUMBER(deployment_raw[[#This Row],[Column19]]), IF(I660&lt;&gt;0,(deployment_raw[[#This Row],[Column19]]/IF(OR($E$2="Deployment",deployment_raw[[#This Row],[Column5]]=0),1,deployment_raw[[#This Row],[Column5]]))/I660,0),"")</f>
        <v/>
      </c>
      <c r="I660" s="69" t="str">
        <f>IF(ISNUMBER(deployment_raw[[#This Row],[Column6]]), (deployment_raw[[#This Row],[Column6]] * IF($E$2="Deployment",deployment_raw[[#This Row],[Column5]],1)),"")</f>
        <v/>
      </c>
      <c r="J660" s="79" t="str">
        <f>IF(ISNUMBER(deployment_raw[[#This Row],[Column19]]), IF(K660&lt;&gt;0,(deployment_raw[[#This Row],[Column19]]/IF(OR($E$2="Deployment",deployment_raw[[#This Row],[Column5]]=0),1,deployment_raw[[#This Row],[Column5]]))/K660,0),"")</f>
        <v/>
      </c>
      <c r="K660" s="72" t="str">
        <f>IF(ISNUMBER(deployment_raw[[#This Row],[Column8]]), (deployment_raw[[#This Row],[Column8]]  * IF($E$2="Deployment",deployment_raw[[#This Row],[Column5]],1)),"")</f>
        <v/>
      </c>
      <c r="L66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6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60" s="81" t="str">
        <f>IF(ISNUMBER(deployment_raw[[#This Row],[Column20]]), IF(O660&lt;&gt;0,deployment_raw[[#This Row],[Column20]]/IF(OR($E$2="Deployment",deployment_raw[[#This Row],[Column5]]=0),1,deployment_raw[[#This Row],[Column5]])/1048576/O660,0),"")</f>
        <v/>
      </c>
      <c r="O660" s="74" t="str">
        <f>IF(ISNUMBER(deployment_raw[[#This Row],[Column7]]), (deployment_raw[[#This Row],[Column7]] * IF($E$2="Deployment",deployment_raw[[#This Row],[Column5]],1))/1048576,"")</f>
        <v/>
      </c>
      <c r="P660" s="81" t="str">
        <f>IF(ISNUMBER(deployment_raw[[#This Row],[Column20]]), IF(Q660&lt;&gt;0,deployment_raw[[#This Row],[Column20]]/IF(OR($E$2="Deployment",deployment_raw[[#This Row],[Column5]]=0),1,deployment_raw[[#This Row],[Column5]])/1048576/Q660,0),"")</f>
        <v/>
      </c>
      <c r="Q660" s="76" t="str">
        <f>IF(ISNUMBER(deployment_raw[[#This Row],[Column9]]), (deployment_raw[[#This Row],[Column9]] * IF($E$2="Deployment",deployment_raw[[#This Row],[Column5]],1))/1048576,"")</f>
        <v/>
      </c>
      <c r="R660" s="57" t="str">
        <f>IF(ISNUMBER(deployment_raw[[#This Row],[Column10]]), (deployment_raw[[#This Row],[Column10]] * IF($E$2="Deployment",deployment_raw[[#This Row],[Column5]],1)),"")</f>
        <v/>
      </c>
      <c r="S660" s="48" t="str">
        <f>IF(ISNUMBER(deployment_raw[[#This Row],[Column11]]), (deployment_raw[[#This Row],[Column11]] * IF($E$2="Deployment",deployment_raw[[#This Row],[Column5]],1))/1048576,"")</f>
        <v/>
      </c>
      <c r="T660" s="59" t="str">
        <f>IF(ISNUMBER(deployment_raw[[#This Row],[Column8]]),IF(OR(deployment_raw[[#This Row],[Column5]] &lt;&gt; 0,$E$2 &lt;&gt; "Deployment"), MAX(V660, ($T$2 * IF($E$2="Deployment",deployment_raw[[#This Row],[Column5]],1))), 0),"")</f>
        <v/>
      </c>
      <c r="U660" s="50" t="str">
        <f>IF(ISNUMBER(deployment_raw[[#This Row],[Column9]]),IF(OR(deployment_raw[[#This Row],[Column5]] &lt;&gt; 0,$E$2&lt;&gt;"Deployment"), MAX(W660, ($U$2 * IF($E$2="Deployment",deployment_raw[[#This Row],[Column5]],1))), 0),"")</f>
        <v/>
      </c>
      <c r="V660" s="15" t="str">
        <f>IF(ISNUMBER(deployment_raw[[#This Row],[Column12]]), (deployment_raw[[#This Row],[Column12]] * IF($E$2="Deployment",deployment_raw[[#This Row],[Column5]],1)*(1+$V$2)),"")</f>
        <v/>
      </c>
      <c r="W660" s="14" t="str">
        <f>IF(ISNUMBER(deployment_raw[[#This Row],[Column13]]), (deployment_raw[[#This Row],[Column13]] * IF($E$2="Deployment",deployment_raw[[#This Row],[Column5]],1)*(1+$W$2))/1048576,"")</f>
        <v/>
      </c>
    </row>
    <row r="661" spans="1:23" ht="15.75" customHeight="1" x14ac:dyDescent="0.25">
      <c r="A661" s="5" t="str">
        <f>IF(ISNONTEXT(deployment_raw[[#This Row],[Column1]]), "", deployment_raw[[#This Row],[Column1]])</f>
        <v/>
      </c>
      <c r="B661" s="6" t="str">
        <f>IF(ISNONTEXT(deployment_raw[[#This Row],[Column2]]), "", deployment_raw[[#This Row],[Column2]])</f>
        <v/>
      </c>
      <c r="C661" s="6" t="str">
        <f>IF(ISNONTEXT(deployment_raw[[#This Row],[Column3]]), "", deployment_raw[[#This Row],[Column3]])</f>
        <v/>
      </c>
      <c r="D661" s="6" t="str">
        <f>IF(ISNONTEXT(deployment_raw[[#This Row],[Column4]]), "", deployment_raw[[#This Row],[Column4]])</f>
        <v/>
      </c>
      <c r="E661" s="7" t="str">
        <f>IF(ISNUMBER(deployment_raw[[#This Row],[Column5]]), deployment_raw[[#This Row],[Column5]],"")</f>
        <v/>
      </c>
      <c r="F661" s="32" t="str">
        <f>IF(ISNUMBER(deployment_raw[[#This Row],[Column17]]), deployment_raw[[#This Row],[Column17]]/IF(OR($E$2="Deployment",deployment_raw[[#This Row],[Column5]]=0),1,deployment_raw[[#This Row],[Column5]]),"")</f>
        <v/>
      </c>
      <c r="G661" s="42" t="str">
        <f>IF(ISNUMBER(deployment_raw[[#This Row],[Column14]]), deployment_raw[[#This Row],[Column14]]/IF(OR($E$2="Deployment",deployment_raw[[#This Row],[Column5]]=0),1,deployment_raw[[#This Row],[Column5]]),"")</f>
        <v/>
      </c>
      <c r="H661" s="79" t="str">
        <f>IF(ISNUMBER(deployment_raw[[#This Row],[Column19]]), IF(I661&lt;&gt;0,(deployment_raw[[#This Row],[Column19]]/IF(OR($E$2="Deployment",deployment_raw[[#This Row],[Column5]]=0),1,deployment_raw[[#This Row],[Column5]]))/I661,0),"")</f>
        <v/>
      </c>
      <c r="I661" s="69" t="str">
        <f>IF(ISNUMBER(deployment_raw[[#This Row],[Column6]]), (deployment_raw[[#This Row],[Column6]] * IF($E$2="Deployment",deployment_raw[[#This Row],[Column5]],1)),"")</f>
        <v/>
      </c>
      <c r="J661" s="79" t="str">
        <f>IF(ISNUMBER(deployment_raw[[#This Row],[Column19]]), IF(K661&lt;&gt;0,(deployment_raw[[#This Row],[Column19]]/IF(OR($E$2="Deployment",deployment_raw[[#This Row],[Column5]]=0),1,deployment_raw[[#This Row],[Column5]]))/K661,0),"")</f>
        <v/>
      </c>
      <c r="K661" s="72" t="str">
        <f>IF(ISNUMBER(deployment_raw[[#This Row],[Column8]]), (deployment_raw[[#This Row],[Column8]]  * IF($E$2="Deployment",deployment_raw[[#This Row],[Column5]],1)),"")</f>
        <v/>
      </c>
      <c r="L66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6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61" s="81" t="str">
        <f>IF(ISNUMBER(deployment_raw[[#This Row],[Column20]]), IF(O661&lt;&gt;0,deployment_raw[[#This Row],[Column20]]/IF(OR($E$2="Deployment",deployment_raw[[#This Row],[Column5]]=0),1,deployment_raw[[#This Row],[Column5]])/1048576/O661,0),"")</f>
        <v/>
      </c>
      <c r="O661" s="74" t="str">
        <f>IF(ISNUMBER(deployment_raw[[#This Row],[Column7]]), (deployment_raw[[#This Row],[Column7]] * IF($E$2="Deployment",deployment_raw[[#This Row],[Column5]],1))/1048576,"")</f>
        <v/>
      </c>
      <c r="P661" s="81" t="str">
        <f>IF(ISNUMBER(deployment_raw[[#This Row],[Column20]]), IF(Q661&lt;&gt;0,deployment_raw[[#This Row],[Column20]]/IF(OR($E$2="Deployment",deployment_raw[[#This Row],[Column5]]=0),1,deployment_raw[[#This Row],[Column5]])/1048576/Q661,0),"")</f>
        <v/>
      </c>
      <c r="Q661" s="76" t="str">
        <f>IF(ISNUMBER(deployment_raw[[#This Row],[Column9]]), (deployment_raw[[#This Row],[Column9]] * IF($E$2="Deployment",deployment_raw[[#This Row],[Column5]],1))/1048576,"")</f>
        <v/>
      </c>
      <c r="R661" s="57" t="str">
        <f>IF(ISNUMBER(deployment_raw[[#This Row],[Column10]]), (deployment_raw[[#This Row],[Column10]] * IF($E$2="Deployment",deployment_raw[[#This Row],[Column5]],1)),"")</f>
        <v/>
      </c>
      <c r="S661" s="48" t="str">
        <f>IF(ISNUMBER(deployment_raw[[#This Row],[Column11]]), (deployment_raw[[#This Row],[Column11]] * IF($E$2="Deployment",deployment_raw[[#This Row],[Column5]],1))/1048576,"")</f>
        <v/>
      </c>
      <c r="T661" s="59" t="str">
        <f>IF(ISNUMBER(deployment_raw[[#This Row],[Column8]]),IF(OR(deployment_raw[[#This Row],[Column5]] &lt;&gt; 0,$E$2 &lt;&gt; "Deployment"), MAX(V661, ($T$2 * IF($E$2="Deployment",deployment_raw[[#This Row],[Column5]],1))), 0),"")</f>
        <v/>
      </c>
      <c r="U661" s="50" t="str">
        <f>IF(ISNUMBER(deployment_raw[[#This Row],[Column9]]),IF(OR(deployment_raw[[#This Row],[Column5]] &lt;&gt; 0,$E$2&lt;&gt;"Deployment"), MAX(W661, ($U$2 * IF($E$2="Deployment",deployment_raw[[#This Row],[Column5]],1))), 0),"")</f>
        <v/>
      </c>
      <c r="V661" s="15" t="str">
        <f>IF(ISNUMBER(deployment_raw[[#This Row],[Column12]]), (deployment_raw[[#This Row],[Column12]] * IF($E$2="Deployment",deployment_raw[[#This Row],[Column5]],1)*(1+$V$2)),"")</f>
        <v/>
      </c>
      <c r="W661" s="14" t="str">
        <f>IF(ISNUMBER(deployment_raw[[#This Row],[Column13]]), (deployment_raw[[#This Row],[Column13]] * IF($E$2="Deployment",deployment_raw[[#This Row],[Column5]],1)*(1+$W$2))/1048576,"")</f>
        <v/>
      </c>
    </row>
    <row r="662" spans="1:23" ht="15.75" customHeight="1" x14ac:dyDescent="0.25">
      <c r="A662" s="5" t="str">
        <f>IF(ISNONTEXT(deployment_raw[[#This Row],[Column1]]), "", deployment_raw[[#This Row],[Column1]])</f>
        <v/>
      </c>
      <c r="B662" s="6" t="str">
        <f>IF(ISNONTEXT(deployment_raw[[#This Row],[Column2]]), "", deployment_raw[[#This Row],[Column2]])</f>
        <v/>
      </c>
      <c r="C662" s="6" t="str">
        <f>IF(ISNONTEXT(deployment_raw[[#This Row],[Column3]]), "", deployment_raw[[#This Row],[Column3]])</f>
        <v/>
      </c>
      <c r="D662" s="6" t="str">
        <f>IF(ISNONTEXT(deployment_raw[[#This Row],[Column4]]), "", deployment_raw[[#This Row],[Column4]])</f>
        <v/>
      </c>
      <c r="E662" s="7" t="str">
        <f>IF(ISNUMBER(deployment_raw[[#This Row],[Column5]]), deployment_raw[[#This Row],[Column5]],"")</f>
        <v/>
      </c>
      <c r="F662" s="32" t="str">
        <f>IF(ISNUMBER(deployment_raw[[#This Row],[Column17]]), deployment_raw[[#This Row],[Column17]]/IF(OR($E$2="Deployment",deployment_raw[[#This Row],[Column5]]=0),1,deployment_raw[[#This Row],[Column5]]),"")</f>
        <v/>
      </c>
      <c r="G662" s="42" t="str">
        <f>IF(ISNUMBER(deployment_raw[[#This Row],[Column14]]), deployment_raw[[#This Row],[Column14]]/IF(OR($E$2="Deployment",deployment_raw[[#This Row],[Column5]]=0),1,deployment_raw[[#This Row],[Column5]]),"")</f>
        <v/>
      </c>
      <c r="H662" s="79" t="str">
        <f>IF(ISNUMBER(deployment_raw[[#This Row],[Column19]]), IF(I662&lt;&gt;0,(deployment_raw[[#This Row],[Column19]]/IF(OR($E$2="Deployment",deployment_raw[[#This Row],[Column5]]=0),1,deployment_raw[[#This Row],[Column5]]))/I662,0),"")</f>
        <v/>
      </c>
      <c r="I662" s="69" t="str">
        <f>IF(ISNUMBER(deployment_raw[[#This Row],[Column6]]), (deployment_raw[[#This Row],[Column6]] * IF($E$2="Deployment",deployment_raw[[#This Row],[Column5]],1)),"")</f>
        <v/>
      </c>
      <c r="J662" s="79" t="str">
        <f>IF(ISNUMBER(deployment_raw[[#This Row],[Column19]]), IF(K662&lt;&gt;0,(deployment_raw[[#This Row],[Column19]]/IF(OR($E$2="Deployment",deployment_raw[[#This Row],[Column5]]=0),1,deployment_raw[[#This Row],[Column5]]))/K662,0),"")</f>
        <v/>
      </c>
      <c r="K662" s="72" t="str">
        <f>IF(ISNUMBER(deployment_raw[[#This Row],[Column8]]), (deployment_raw[[#This Row],[Column8]]  * IF($E$2="Deployment",deployment_raw[[#This Row],[Column5]],1)),"")</f>
        <v/>
      </c>
      <c r="L66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6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62" s="81" t="str">
        <f>IF(ISNUMBER(deployment_raw[[#This Row],[Column20]]), IF(O662&lt;&gt;0,deployment_raw[[#This Row],[Column20]]/IF(OR($E$2="Deployment",deployment_raw[[#This Row],[Column5]]=0),1,deployment_raw[[#This Row],[Column5]])/1048576/O662,0),"")</f>
        <v/>
      </c>
      <c r="O662" s="74" t="str">
        <f>IF(ISNUMBER(deployment_raw[[#This Row],[Column7]]), (deployment_raw[[#This Row],[Column7]] * IF($E$2="Deployment",deployment_raw[[#This Row],[Column5]],1))/1048576,"")</f>
        <v/>
      </c>
      <c r="P662" s="81" t="str">
        <f>IF(ISNUMBER(deployment_raw[[#This Row],[Column20]]), IF(Q662&lt;&gt;0,deployment_raw[[#This Row],[Column20]]/IF(OR($E$2="Deployment",deployment_raw[[#This Row],[Column5]]=0),1,deployment_raw[[#This Row],[Column5]])/1048576/Q662,0),"")</f>
        <v/>
      </c>
      <c r="Q662" s="76" t="str">
        <f>IF(ISNUMBER(deployment_raw[[#This Row],[Column9]]), (deployment_raw[[#This Row],[Column9]] * IF($E$2="Deployment",deployment_raw[[#This Row],[Column5]],1))/1048576,"")</f>
        <v/>
      </c>
      <c r="R662" s="57" t="str">
        <f>IF(ISNUMBER(deployment_raw[[#This Row],[Column10]]), (deployment_raw[[#This Row],[Column10]] * IF($E$2="Deployment",deployment_raw[[#This Row],[Column5]],1)),"")</f>
        <v/>
      </c>
      <c r="S662" s="48" t="str">
        <f>IF(ISNUMBER(deployment_raw[[#This Row],[Column11]]), (deployment_raw[[#This Row],[Column11]] * IF($E$2="Deployment",deployment_raw[[#This Row],[Column5]],1))/1048576,"")</f>
        <v/>
      </c>
      <c r="T662" s="59" t="str">
        <f>IF(ISNUMBER(deployment_raw[[#This Row],[Column8]]),IF(OR(deployment_raw[[#This Row],[Column5]] &lt;&gt; 0,$E$2 &lt;&gt; "Deployment"), MAX(V662, ($T$2 * IF($E$2="Deployment",deployment_raw[[#This Row],[Column5]],1))), 0),"")</f>
        <v/>
      </c>
      <c r="U662" s="50" t="str">
        <f>IF(ISNUMBER(deployment_raw[[#This Row],[Column9]]),IF(OR(deployment_raw[[#This Row],[Column5]] &lt;&gt; 0,$E$2&lt;&gt;"Deployment"), MAX(W662, ($U$2 * IF($E$2="Deployment",deployment_raw[[#This Row],[Column5]],1))), 0),"")</f>
        <v/>
      </c>
      <c r="V662" s="15" t="str">
        <f>IF(ISNUMBER(deployment_raw[[#This Row],[Column12]]), (deployment_raw[[#This Row],[Column12]] * IF($E$2="Deployment",deployment_raw[[#This Row],[Column5]],1)*(1+$V$2)),"")</f>
        <v/>
      </c>
      <c r="W662" s="14" t="str">
        <f>IF(ISNUMBER(deployment_raw[[#This Row],[Column13]]), (deployment_raw[[#This Row],[Column13]] * IF($E$2="Deployment",deployment_raw[[#This Row],[Column5]],1)*(1+$W$2))/1048576,"")</f>
        <v/>
      </c>
    </row>
    <row r="663" spans="1:23" ht="15.75" customHeight="1" x14ac:dyDescent="0.25">
      <c r="A663" s="5" t="str">
        <f>IF(ISNONTEXT(deployment_raw[[#This Row],[Column1]]), "", deployment_raw[[#This Row],[Column1]])</f>
        <v/>
      </c>
      <c r="B663" s="6" t="str">
        <f>IF(ISNONTEXT(deployment_raw[[#This Row],[Column2]]), "", deployment_raw[[#This Row],[Column2]])</f>
        <v/>
      </c>
      <c r="C663" s="6" t="str">
        <f>IF(ISNONTEXT(deployment_raw[[#This Row],[Column3]]), "", deployment_raw[[#This Row],[Column3]])</f>
        <v/>
      </c>
      <c r="D663" s="6" t="str">
        <f>IF(ISNONTEXT(deployment_raw[[#This Row],[Column4]]), "", deployment_raw[[#This Row],[Column4]])</f>
        <v/>
      </c>
      <c r="E663" s="7" t="str">
        <f>IF(ISNUMBER(deployment_raw[[#This Row],[Column5]]), deployment_raw[[#This Row],[Column5]],"")</f>
        <v/>
      </c>
      <c r="F663" s="32" t="str">
        <f>IF(ISNUMBER(deployment_raw[[#This Row],[Column17]]), deployment_raw[[#This Row],[Column17]]/IF(OR($E$2="Deployment",deployment_raw[[#This Row],[Column5]]=0),1,deployment_raw[[#This Row],[Column5]]),"")</f>
        <v/>
      </c>
      <c r="G663" s="42" t="str">
        <f>IF(ISNUMBER(deployment_raw[[#This Row],[Column14]]), deployment_raw[[#This Row],[Column14]]/IF(OR($E$2="Deployment",deployment_raw[[#This Row],[Column5]]=0),1,deployment_raw[[#This Row],[Column5]]),"")</f>
        <v/>
      </c>
      <c r="H663" s="79" t="str">
        <f>IF(ISNUMBER(deployment_raw[[#This Row],[Column19]]), IF(I663&lt;&gt;0,(deployment_raw[[#This Row],[Column19]]/IF(OR($E$2="Deployment",deployment_raw[[#This Row],[Column5]]=0),1,deployment_raw[[#This Row],[Column5]]))/I663,0),"")</f>
        <v/>
      </c>
      <c r="I663" s="69" t="str">
        <f>IF(ISNUMBER(deployment_raw[[#This Row],[Column6]]), (deployment_raw[[#This Row],[Column6]] * IF($E$2="Deployment",deployment_raw[[#This Row],[Column5]],1)),"")</f>
        <v/>
      </c>
      <c r="J663" s="79" t="str">
        <f>IF(ISNUMBER(deployment_raw[[#This Row],[Column19]]), IF(K663&lt;&gt;0,(deployment_raw[[#This Row],[Column19]]/IF(OR($E$2="Deployment",deployment_raw[[#This Row],[Column5]]=0),1,deployment_raw[[#This Row],[Column5]]))/K663,0),"")</f>
        <v/>
      </c>
      <c r="K663" s="72" t="str">
        <f>IF(ISNUMBER(deployment_raw[[#This Row],[Column8]]), (deployment_raw[[#This Row],[Column8]]  * IF($E$2="Deployment",deployment_raw[[#This Row],[Column5]],1)),"")</f>
        <v/>
      </c>
      <c r="L66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6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63" s="81" t="str">
        <f>IF(ISNUMBER(deployment_raw[[#This Row],[Column20]]), IF(O663&lt;&gt;0,deployment_raw[[#This Row],[Column20]]/IF(OR($E$2="Deployment",deployment_raw[[#This Row],[Column5]]=0),1,deployment_raw[[#This Row],[Column5]])/1048576/O663,0),"")</f>
        <v/>
      </c>
      <c r="O663" s="74" t="str">
        <f>IF(ISNUMBER(deployment_raw[[#This Row],[Column7]]), (deployment_raw[[#This Row],[Column7]] * IF($E$2="Deployment",deployment_raw[[#This Row],[Column5]],1))/1048576,"")</f>
        <v/>
      </c>
      <c r="P663" s="81" t="str">
        <f>IF(ISNUMBER(deployment_raw[[#This Row],[Column20]]), IF(Q663&lt;&gt;0,deployment_raw[[#This Row],[Column20]]/IF(OR($E$2="Deployment",deployment_raw[[#This Row],[Column5]]=0),1,deployment_raw[[#This Row],[Column5]])/1048576/Q663,0),"")</f>
        <v/>
      </c>
      <c r="Q663" s="76" t="str">
        <f>IF(ISNUMBER(deployment_raw[[#This Row],[Column9]]), (deployment_raw[[#This Row],[Column9]] * IF($E$2="Deployment",deployment_raw[[#This Row],[Column5]],1))/1048576,"")</f>
        <v/>
      </c>
      <c r="R663" s="57" t="str">
        <f>IF(ISNUMBER(deployment_raw[[#This Row],[Column10]]), (deployment_raw[[#This Row],[Column10]] * IF($E$2="Deployment",deployment_raw[[#This Row],[Column5]],1)),"")</f>
        <v/>
      </c>
      <c r="S663" s="48" t="str">
        <f>IF(ISNUMBER(deployment_raw[[#This Row],[Column11]]), (deployment_raw[[#This Row],[Column11]] * IF($E$2="Deployment",deployment_raw[[#This Row],[Column5]],1))/1048576,"")</f>
        <v/>
      </c>
      <c r="T663" s="59" t="str">
        <f>IF(ISNUMBER(deployment_raw[[#This Row],[Column8]]),IF(OR(deployment_raw[[#This Row],[Column5]] &lt;&gt; 0,$E$2 &lt;&gt; "Deployment"), MAX(V663, ($T$2 * IF($E$2="Deployment",deployment_raw[[#This Row],[Column5]],1))), 0),"")</f>
        <v/>
      </c>
      <c r="U663" s="50" t="str">
        <f>IF(ISNUMBER(deployment_raw[[#This Row],[Column9]]),IF(OR(deployment_raw[[#This Row],[Column5]] &lt;&gt; 0,$E$2&lt;&gt;"Deployment"), MAX(W663, ($U$2 * IF($E$2="Deployment",deployment_raw[[#This Row],[Column5]],1))), 0),"")</f>
        <v/>
      </c>
      <c r="V663" s="15" t="str">
        <f>IF(ISNUMBER(deployment_raw[[#This Row],[Column12]]), (deployment_raw[[#This Row],[Column12]] * IF($E$2="Deployment",deployment_raw[[#This Row],[Column5]],1)*(1+$V$2)),"")</f>
        <v/>
      </c>
      <c r="W663" s="14" t="str">
        <f>IF(ISNUMBER(deployment_raw[[#This Row],[Column13]]), (deployment_raw[[#This Row],[Column13]] * IF($E$2="Deployment",deployment_raw[[#This Row],[Column5]],1)*(1+$W$2))/1048576,"")</f>
        <v/>
      </c>
    </row>
    <row r="664" spans="1:23" ht="15.75" customHeight="1" x14ac:dyDescent="0.25">
      <c r="A664" s="5" t="str">
        <f>IF(ISNONTEXT(deployment_raw[[#This Row],[Column1]]), "", deployment_raw[[#This Row],[Column1]])</f>
        <v/>
      </c>
      <c r="B664" s="6" t="str">
        <f>IF(ISNONTEXT(deployment_raw[[#This Row],[Column2]]), "", deployment_raw[[#This Row],[Column2]])</f>
        <v/>
      </c>
      <c r="C664" s="6" t="str">
        <f>IF(ISNONTEXT(deployment_raw[[#This Row],[Column3]]), "", deployment_raw[[#This Row],[Column3]])</f>
        <v/>
      </c>
      <c r="D664" s="6" t="str">
        <f>IF(ISNONTEXT(deployment_raw[[#This Row],[Column4]]), "", deployment_raw[[#This Row],[Column4]])</f>
        <v/>
      </c>
      <c r="E664" s="7" t="str">
        <f>IF(ISNUMBER(deployment_raw[[#This Row],[Column5]]), deployment_raw[[#This Row],[Column5]],"")</f>
        <v/>
      </c>
      <c r="F664" s="32" t="str">
        <f>IF(ISNUMBER(deployment_raw[[#This Row],[Column17]]), deployment_raw[[#This Row],[Column17]]/IF(OR($E$2="Deployment",deployment_raw[[#This Row],[Column5]]=0),1,deployment_raw[[#This Row],[Column5]]),"")</f>
        <v/>
      </c>
      <c r="G664" s="42" t="str">
        <f>IF(ISNUMBER(deployment_raw[[#This Row],[Column14]]), deployment_raw[[#This Row],[Column14]]/IF(OR($E$2="Deployment",deployment_raw[[#This Row],[Column5]]=0),1,deployment_raw[[#This Row],[Column5]]),"")</f>
        <v/>
      </c>
      <c r="H664" s="79" t="str">
        <f>IF(ISNUMBER(deployment_raw[[#This Row],[Column19]]), IF(I664&lt;&gt;0,(deployment_raw[[#This Row],[Column19]]/IF(OR($E$2="Deployment",deployment_raw[[#This Row],[Column5]]=0),1,deployment_raw[[#This Row],[Column5]]))/I664,0),"")</f>
        <v/>
      </c>
      <c r="I664" s="69" t="str">
        <f>IF(ISNUMBER(deployment_raw[[#This Row],[Column6]]), (deployment_raw[[#This Row],[Column6]] * IF($E$2="Deployment",deployment_raw[[#This Row],[Column5]],1)),"")</f>
        <v/>
      </c>
      <c r="J664" s="79" t="str">
        <f>IF(ISNUMBER(deployment_raw[[#This Row],[Column19]]), IF(K664&lt;&gt;0,(deployment_raw[[#This Row],[Column19]]/IF(OR($E$2="Deployment",deployment_raw[[#This Row],[Column5]]=0),1,deployment_raw[[#This Row],[Column5]]))/K664,0),"")</f>
        <v/>
      </c>
      <c r="K664" s="72" t="str">
        <f>IF(ISNUMBER(deployment_raw[[#This Row],[Column8]]), (deployment_raw[[#This Row],[Column8]]  * IF($E$2="Deployment",deployment_raw[[#This Row],[Column5]],1)),"")</f>
        <v/>
      </c>
      <c r="L66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6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64" s="81" t="str">
        <f>IF(ISNUMBER(deployment_raw[[#This Row],[Column20]]), IF(O664&lt;&gt;0,deployment_raw[[#This Row],[Column20]]/IF(OR($E$2="Deployment",deployment_raw[[#This Row],[Column5]]=0),1,deployment_raw[[#This Row],[Column5]])/1048576/O664,0),"")</f>
        <v/>
      </c>
      <c r="O664" s="74" t="str">
        <f>IF(ISNUMBER(deployment_raw[[#This Row],[Column7]]), (deployment_raw[[#This Row],[Column7]] * IF($E$2="Deployment",deployment_raw[[#This Row],[Column5]],1))/1048576,"")</f>
        <v/>
      </c>
      <c r="P664" s="81" t="str">
        <f>IF(ISNUMBER(deployment_raw[[#This Row],[Column20]]), IF(Q664&lt;&gt;0,deployment_raw[[#This Row],[Column20]]/IF(OR($E$2="Deployment",deployment_raw[[#This Row],[Column5]]=0),1,deployment_raw[[#This Row],[Column5]])/1048576/Q664,0),"")</f>
        <v/>
      </c>
      <c r="Q664" s="76" t="str">
        <f>IF(ISNUMBER(deployment_raw[[#This Row],[Column9]]), (deployment_raw[[#This Row],[Column9]] * IF($E$2="Deployment",deployment_raw[[#This Row],[Column5]],1))/1048576,"")</f>
        <v/>
      </c>
      <c r="R664" s="57" t="str">
        <f>IF(ISNUMBER(deployment_raw[[#This Row],[Column10]]), (deployment_raw[[#This Row],[Column10]] * IF($E$2="Deployment",deployment_raw[[#This Row],[Column5]],1)),"")</f>
        <v/>
      </c>
      <c r="S664" s="48" t="str">
        <f>IF(ISNUMBER(deployment_raw[[#This Row],[Column11]]), (deployment_raw[[#This Row],[Column11]] * IF($E$2="Deployment",deployment_raw[[#This Row],[Column5]],1))/1048576,"")</f>
        <v/>
      </c>
      <c r="T664" s="59" t="str">
        <f>IF(ISNUMBER(deployment_raw[[#This Row],[Column8]]),IF(OR(deployment_raw[[#This Row],[Column5]] &lt;&gt; 0,$E$2 &lt;&gt; "Deployment"), MAX(V664, ($T$2 * IF($E$2="Deployment",deployment_raw[[#This Row],[Column5]],1))), 0),"")</f>
        <v/>
      </c>
      <c r="U664" s="50" t="str">
        <f>IF(ISNUMBER(deployment_raw[[#This Row],[Column9]]),IF(OR(deployment_raw[[#This Row],[Column5]] &lt;&gt; 0,$E$2&lt;&gt;"Deployment"), MAX(W664, ($U$2 * IF($E$2="Deployment",deployment_raw[[#This Row],[Column5]],1))), 0),"")</f>
        <v/>
      </c>
      <c r="V664" s="15" t="str">
        <f>IF(ISNUMBER(deployment_raw[[#This Row],[Column12]]), (deployment_raw[[#This Row],[Column12]] * IF($E$2="Deployment",deployment_raw[[#This Row],[Column5]],1)*(1+$V$2)),"")</f>
        <v/>
      </c>
      <c r="W664" s="14" t="str">
        <f>IF(ISNUMBER(deployment_raw[[#This Row],[Column13]]), (deployment_raw[[#This Row],[Column13]] * IF($E$2="Deployment",deployment_raw[[#This Row],[Column5]],1)*(1+$W$2))/1048576,"")</f>
        <v/>
      </c>
    </row>
    <row r="665" spans="1:23" ht="15.75" customHeight="1" x14ac:dyDescent="0.25">
      <c r="A665" s="5" t="str">
        <f>IF(ISNONTEXT(deployment_raw[[#This Row],[Column1]]), "", deployment_raw[[#This Row],[Column1]])</f>
        <v/>
      </c>
      <c r="B665" s="6" t="str">
        <f>IF(ISNONTEXT(deployment_raw[[#This Row],[Column2]]), "", deployment_raw[[#This Row],[Column2]])</f>
        <v/>
      </c>
      <c r="C665" s="6" t="str">
        <f>IF(ISNONTEXT(deployment_raw[[#This Row],[Column3]]), "", deployment_raw[[#This Row],[Column3]])</f>
        <v/>
      </c>
      <c r="D665" s="6" t="str">
        <f>IF(ISNONTEXT(deployment_raw[[#This Row],[Column4]]), "", deployment_raw[[#This Row],[Column4]])</f>
        <v/>
      </c>
      <c r="E665" s="7" t="str">
        <f>IF(ISNUMBER(deployment_raw[[#This Row],[Column5]]), deployment_raw[[#This Row],[Column5]],"")</f>
        <v/>
      </c>
      <c r="F665" s="32" t="str">
        <f>IF(ISNUMBER(deployment_raw[[#This Row],[Column17]]), deployment_raw[[#This Row],[Column17]]/IF(OR($E$2="Deployment",deployment_raw[[#This Row],[Column5]]=0),1,deployment_raw[[#This Row],[Column5]]),"")</f>
        <v/>
      </c>
      <c r="G665" s="42" t="str">
        <f>IF(ISNUMBER(deployment_raw[[#This Row],[Column14]]), deployment_raw[[#This Row],[Column14]]/IF(OR($E$2="Deployment",deployment_raw[[#This Row],[Column5]]=0),1,deployment_raw[[#This Row],[Column5]]),"")</f>
        <v/>
      </c>
      <c r="H665" s="79" t="str">
        <f>IF(ISNUMBER(deployment_raw[[#This Row],[Column19]]), IF(I665&lt;&gt;0,(deployment_raw[[#This Row],[Column19]]/IF(OR($E$2="Deployment",deployment_raw[[#This Row],[Column5]]=0),1,deployment_raw[[#This Row],[Column5]]))/I665,0),"")</f>
        <v/>
      </c>
      <c r="I665" s="69" t="str">
        <f>IF(ISNUMBER(deployment_raw[[#This Row],[Column6]]), (deployment_raw[[#This Row],[Column6]] * IF($E$2="Deployment",deployment_raw[[#This Row],[Column5]],1)),"")</f>
        <v/>
      </c>
      <c r="J665" s="79" t="str">
        <f>IF(ISNUMBER(deployment_raw[[#This Row],[Column19]]), IF(K665&lt;&gt;0,(deployment_raw[[#This Row],[Column19]]/IF(OR($E$2="Deployment",deployment_raw[[#This Row],[Column5]]=0),1,deployment_raw[[#This Row],[Column5]]))/K665,0),"")</f>
        <v/>
      </c>
      <c r="K665" s="72" t="str">
        <f>IF(ISNUMBER(deployment_raw[[#This Row],[Column8]]), (deployment_raw[[#This Row],[Column8]]  * IF($E$2="Deployment",deployment_raw[[#This Row],[Column5]],1)),"")</f>
        <v/>
      </c>
      <c r="L66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6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65" s="81" t="str">
        <f>IF(ISNUMBER(deployment_raw[[#This Row],[Column20]]), IF(O665&lt;&gt;0,deployment_raw[[#This Row],[Column20]]/IF(OR($E$2="Deployment",deployment_raw[[#This Row],[Column5]]=0),1,deployment_raw[[#This Row],[Column5]])/1048576/O665,0),"")</f>
        <v/>
      </c>
      <c r="O665" s="74" t="str">
        <f>IF(ISNUMBER(deployment_raw[[#This Row],[Column7]]), (deployment_raw[[#This Row],[Column7]] * IF($E$2="Deployment",deployment_raw[[#This Row],[Column5]],1))/1048576,"")</f>
        <v/>
      </c>
      <c r="P665" s="81" t="str">
        <f>IF(ISNUMBER(deployment_raw[[#This Row],[Column20]]), IF(Q665&lt;&gt;0,deployment_raw[[#This Row],[Column20]]/IF(OR($E$2="Deployment",deployment_raw[[#This Row],[Column5]]=0),1,deployment_raw[[#This Row],[Column5]])/1048576/Q665,0),"")</f>
        <v/>
      </c>
      <c r="Q665" s="76" t="str">
        <f>IF(ISNUMBER(deployment_raw[[#This Row],[Column9]]), (deployment_raw[[#This Row],[Column9]] * IF($E$2="Deployment",deployment_raw[[#This Row],[Column5]],1))/1048576,"")</f>
        <v/>
      </c>
      <c r="R665" s="57" t="str">
        <f>IF(ISNUMBER(deployment_raw[[#This Row],[Column10]]), (deployment_raw[[#This Row],[Column10]] * IF($E$2="Deployment",deployment_raw[[#This Row],[Column5]],1)),"")</f>
        <v/>
      </c>
      <c r="S665" s="48" t="str">
        <f>IF(ISNUMBER(deployment_raw[[#This Row],[Column11]]), (deployment_raw[[#This Row],[Column11]] * IF($E$2="Deployment",deployment_raw[[#This Row],[Column5]],1))/1048576,"")</f>
        <v/>
      </c>
      <c r="T665" s="59" t="str">
        <f>IF(ISNUMBER(deployment_raw[[#This Row],[Column8]]),IF(OR(deployment_raw[[#This Row],[Column5]] &lt;&gt; 0,$E$2 &lt;&gt; "Deployment"), MAX(V665, ($T$2 * IF($E$2="Deployment",deployment_raw[[#This Row],[Column5]],1))), 0),"")</f>
        <v/>
      </c>
      <c r="U665" s="50" t="str">
        <f>IF(ISNUMBER(deployment_raw[[#This Row],[Column9]]),IF(OR(deployment_raw[[#This Row],[Column5]] &lt;&gt; 0,$E$2&lt;&gt;"Deployment"), MAX(W665, ($U$2 * IF($E$2="Deployment",deployment_raw[[#This Row],[Column5]],1))), 0),"")</f>
        <v/>
      </c>
      <c r="V665" s="15" t="str">
        <f>IF(ISNUMBER(deployment_raw[[#This Row],[Column12]]), (deployment_raw[[#This Row],[Column12]] * IF($E$2="Deployment",deployment_raw[[#This Row],[Column5]],1)*(1+$V$2)),"")</f>
        <v/>
      </c>
      <c r="W665" s="14" t="str">
        <f>IF(ISNUMBER(deployment_raw[[#This Row],[Column13]]), (deployment_raw[[#This Row],[Column13]] * IF($E$2="Deployment",deployment_raw[[#This Row],[Column5]],1)*(1+$W$2))/1048576,"")</f>
        <v/>
      </c>
    </row>
    <row r="666" spans="1:23" ht="15.75" customHeight="1" x14ac:dyDescent="0.25">
      <c r="A666" s="5" t="str">
        <f>IF(ISNONTEXT(deployment_raw[[#This Row],[Column1]]), "", deployment_raw[[#This Row],[Column1]])</f>
        <v/>
      </c>
      <c r="B666" s="6" t="str">
        <f>IF(ISNONTEXT(deployment_raw[[#This Row],[Column2]]), "", deployment_raw[[#This Row],[Column2]])</f>
        <v/>
      </c>
      <c r="C666" s="6" t="str">
        <f>IF(ISNONTEXT(deployment_raw[[#This Row],[Column3]]), "", deployment_raw[[#This Row],[Column3]])</f>
        <v/>
      </c>
      <c r="D666" s="6" t="str">
        <f>IF(ISNONTEXT(deployment_raw[[#This Row],[Column4]]), "", deployment_raw[[#This Row],[Column4]])</f>
        <v/>
      </c>
      <c r="E666" s="7" t="str">
        <f>IF(ISNUMBER(deployment_raw[[#This Row],[Column5]]), deployment_raw[[#This Row],[Column5]],"")</f>
        <v/>
      </c>
      <c r="F666" s="32" t="str">
        <f>IF(ISNUMBER(deployment_raw[[#This Row],[Column17]]), deployment_raw[[#This Row],[Column17]]/IF(OR($E$2="Deployment",deployment_raw[[#This Row],[Column5]]=0),1,deployment_raw[[#This Row],[Column5]]),"")</f>
        <v/>
      </c>
      <c r="G666" s="42" t="str">
        <f>IF(ISNUMBER(deployment_raw[[#This Row],[Column14]]), deployment_raw[[#This Row],[Column14]]/IF(OR($E$2="Deployment",deployment_raw[[#This Row],[Column5]]=0),1,deployment_raw[[#This Row],[Column5]]),"")</f>
        <v/>
      </c>
      <c r="H666" s="79" t="str">
        <f>IF(ISNUMBER(deployment_raw[[#This Row],[Column19]]), IF(I666&lt;&gt;0,(deployment_raw[[#This Row],[Column19]]/IF(OR($E$2="Deployment",deployment_raw[[#This Row],[Column5]]=0),1,deployment_raw[[#This Row],[Column5]]))/I666,0),"")</f>
        <v/>
      </c>
      <c r="I666" s="69" t="str">
        <f>IF(ISNUMBER(deployment_raw[[#This Row],[Column6]]), (deployment_raw[[#This Row],[Column6]] * IF($E$2="Deployment",deployment_raw[[#This Row],[Column5]],1)),"")</f>
        <v/>
      </c>
      <c r="J666" s="79" t="str">
        <f>IF(ISNUMBER(deployment_raw[[#This Row],[Column19]]), IF(K666&lt;&gt;0,(deployment_raw[[#This Row],[Column19]]/IF(OR($E$2="Deployment",deployment_raw[[#This Row],[Column5]]=0),1,deployment_raw[[#This Row],[Column5]]))/K666,0),"")</f>
        <v/>
      </c>
      <c r="K666" s="72" t="str">
        <f>IF(ISNUMBER(deployment_raw[[#This Row],[Column8]]), (deployment_raw[[#This Row],[Column8]]  * IF($E$2="Deployment",deployment_raw[[#This Row],[Column5]],1)),"")</f>
        <v/>
      </c>
      <c r="L66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6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66" s="81" t="str">
        <f>IF(ISNUMBER(deployment_raw[[#This Row],[Column20]]), IF(O666&lt;&gt;0,deployment_raw[[#This Row],[Column20]]/IF(OR($E$2="Deployment",deployment_raw[[#This Row],[Column5]]=0),1,deployment_raw[[#This Row],[Column5]])/1048576/O666,0),"")</f>
        <v/>
      </c>
      <c r="O666" s="74" t="str">
        <f>IF(ISNUMBER(deployment_raw[[#This Row],[Column7]]), (deployment_raw[[#This Row],[Column7]] * IF($E$2="Deployment",deployment_raw[[#This Row],[Column5]],1))/1048576,"")</f>
        <v/>
      </c>
      <c r="P666" s="81" t="str">
        <f>IF(ISNUMBER(deployment_raw[[#This Row],[Column20]]), IF(Q666&lt;&gt;0,deployment_raw[[#This Row],[Column20]]/IF(OR($E$2="Deployment",deployment_raw[[#This Row],[Column5]]=0),1,deployment_raw[[#This Row],[Column5]])/1048576/Q666,0),"")</f>
        <v/>
      </c>
      <c r="Q666" s="76" t="str">
        <f>IF(ISNUMBER(deployment_raw[[#This Row],[Column9]]), (deployment_raw[[#This Row],[Column9]] * IF($E$2="Deployment",deployment_raw[[#This Row],[Column5]],1))/1048576,"")</f>
        <v/>
      </c>
      <c r="R666" s="57" t="str">
        <f>IF(ISNUMBER(deployment_raw[[#This Row],[Column10]]), (deployment_raw[[#This Row],[Column10]] * IF($E$2="Deployment",deployment_raw[[#This Row],[Column5]],1)),"")</f>
        <v/>
      </c>
      <c r="S666" s="48" t="str">
        <f>IF(ISNUMBER(deployment_raw[[#This Row],[Column11]]), (deployment_raw[[#This Row],[Column11]] * IF($E$2="Deployment",deployment_raw[[#This Row],[Column5]],1))/1048576,"")</f>
        <v/>
      </c>
      <c r="T666" s="59" t="str">
        <f>IF(ISNUMBER(deployment_raw[[#This Row],[Column8]]),IF(OR(deployment_raw[[#This Row],[Column5]] &lt;&gt; 0,$E$2 &lt;&gt; "Deployment"), MAX(V666, ($T$2 * IF($E$2="Deployment",deployment_raw[[#This Row],[Column5]],1))), 0),"")</f>
        <v/>
      </c>
      <c r="U666" s="50" t="str">
        <f>IF(ISNUMBER(deployment_raw[[#This Row],[Column9]]),IF(OR(deployment_raw[[#This Row],[Column5]] &lt;&gt; 0,$E$2&lt;&gt;"Deployment"), MAX(W666, ($U$2 * IF($E$2="Deployment",deployment_raw[[#This Row],[Column5]],1))), 0),"")</f>
        <v/>
      </c>
      <c r="V666" s="15" t="str">
        <f>IF(ISNUMBER(deployment_raw[[#This Row],[Column12]]), (deployment_raw[[#This Row],[Column12]] * IF($E$2="Deployment",deployment_raw[[#This Row],[Column5]],1)*(1+$V$2)),"")</f>
        <v/>
      </c>
      <c r="W666" s="14" t="str">
        <f>IF(ISNUMBER(deployment_raw[[#This Row],[Column13]]), (deployment_raw[[#This Row],[Column13]] * IF($E$2="Deployment",deployment_raw[[#This Row],[Column5]],1)*(1+$W$2))/1048576,"")</f>
        <v/>
      </c>
    </row>
    <row r="667" spans="1:23" ht="15.75" customHeight="1" x14ac:dyDescent="0.25">
      <c r="A667" s="5" t="str">
        <f>IF(ISNONTEXT(deployment_raw[[#This Row],[Column1]]), "", deployment_raw[[#This Row],[Column1]])</f>
        <v/>
      </c>
      <c r="B667" s="6" t="str">
        <f>IF(ISNONTEXT(deployment_raw[[#This Row],[Column2]]), "", deployment_raw[[#This Row],[Column2]])</f>
        <v/>
      </c>
      <c r="C667" s="6" t="str">
        <f>IF(ISNONTEXT(deployment_raw[[#This Row],[Column3]]), "", deployment_raw[[#This Row],[Column3]])</f>
        <v/>
      </c>
      <c r="D667" s="6" t="str">
        <f>IF(ISNONTEXT(deployment_raw[[#This Row],[Column4]]), "", deployment_raw[[#This Row],[Column4]])</f>
        <v/>
      </c>
      <c r="E667" s="7" t="str">
        <f>IF(ISNUMBER(deployment_raw[[#This Row],[Column5]]), deployment_raw[[#This Row],[Column5]],"")</f>
        <v/>
      </c>
      <c r="F667" s="32" t="str">
        <f>IF(ISNUMBER(deployment_raw[[#This Row],[Column17]]), deployment_raw[[#This Row],[Column17]]/IF(OR($E$2="Deployment",deployment_raw[[#This Row],[Column5]]=0),1,deployment_raw[[#This Row],[Column5]]),"")</f>
        <v/>
      </c>
      <c r="G667" s="42" t="str">
        <f>IF(ISNUMBER(deployment_raw[[#This Row],[Column14]]), deployment_raw[[#This Row],[Column14]]/IF(OR($E$2="Deployment",deployment_raw[[#This Row],[Column5]]=0),1,deployment_raw[[#This Row],[Column5]]),"")</f>
        <v/>
      </c>
      <c r="H667" s="79" t="str">
        <f>IF(ISNUMBER(deployment_raw[[#This Row],[Column19]]), IF(I667&lt;&gt;0,(deployment_raw[[#This Row],[Column19]]/IF(OR($E$2="Deployment",deployment_raw[[#This Row],[Column5]]=0),1,deployment_raw[[#This Row],[Column5]]))/I667,0),"")</f>
        <v/>
      </c>
      <c r="I667" s="69" t="str">
        <f>IF(ISNUMBER(deployment_raw[[#This Row],[Column6]]), (deployment_raw[[#This Row],[Column6]] * IF($E$2="Deployment",deployment_raw[[#This Row],[Column5]],1)),"")</f>
        <v/>
      </c>
      <c r="J667" s="79" t="str">
        <f>IF(ISNUMBER(deployment_raw[[#This Row],[Column19]]), IF(K667&lt;&gt;0,(deployment_raw[[#This Row],[Column19]]/IF(OR($E$2="Deployment",deployment_raw[[#This Row],[Column5]]=0),1,deployment_raw[[#This Row],[Column5]]))/K667,0),"")</f>
        <v/>
      </c>
      <c r="K667" s="72" t="str">
        <f>IF(ISNUMBER(deployment_raw[[#This Row],[Column8]]), (deployment_raw[[#This Row],[Column8]]  * IF($E$2="Deployment",deployment_raw[[#This Row],[Column5]],1)),"")</f>
        <v/>
      </c>
      <c r="L66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6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67" s="81" t="str">
        <f>IF(ISNUMBER(deployment_raw[[#This Row],[Column20]]), IF(O667&lt;&gt;0,deployment_raw[[#This Row],[Column20]]/IF(OR($E$2="Deployment",deployment_raw[[#This Row],[Column5]]=0),1,deployment_raw[[#This Row],[Column5]])/1048576/O667,0),"")</f>
        <v/>
      </c>
      <c r="O667" s="74" t="str">
        <f>IF(ISNUMBER(deployment_raw[[#This Row],[Column7]]), (deployment_raw[[#This Row],[Column7]] * IF($E$2="Deployment",deployment_raw[[#This Row],[Column5]],1))/1048576,"")</f>
        <v/>
      </c>
      <c r="P667" s="81" t="str">
        <f>IF(ISNUMBER(deployment_raw[[#This Row],[Column20]]), IF(Q667&lt;&gt;0,deployment_raw[[#This Row],[Column20]]/IF(OR($E$2="Deployment",deployment_raw[[#This Row],[Column5]]=0),1,deployment_raw[[#This Row],[Column5]])/1048576/Q667,0),"")</f>
        <v/>
      </c>
      <c r="Q667" s="76" t="str">
        <f>IF(ISNUMBER(deployment_raw[[#This Row],[Column9]]), (deployment_raw[[#This Row],[Column9]] * IF($E$2="Deployment",deployment_raw[[#This Row],[Column5]],1))/1048576,"")</f>
        <v/>
      </c>
      <c r="R667" s="57" t="str">
        <f>IF(ISNUMBER(deployment_raw[[#This Row],[Column10]]), (deployment_raw[[#This Row],[Column10]] * IF($E$2="Deployment",deployment_raw[[#This Row],[Column5]],1)),"")</f>
        <v/>
      </c>
      <c r="S667" s="48" t="str">
        <f>IF(ISNUMBER(deployment_raw[[#This Row],[Column11]]), (deployment_raw[[#This Row],[Column11]] * IF($E$2="Deployment",deployment_raw[[#This Row],[Column5]],1))/1048576,"")</f>
        <v/>
      </c>
      <c r="T667" s="59" t="str">
        <f>IF(ISNUMBER(deployment_raw[[#This Row],[Column8]]),IF(OR(deployment_raw[[#This Row],[Column5]] &lt;&gt; 0,$E$2 &lt;&gt; "Deployment"), MAX(V667, ($T$2 * IF($E$2="Deployment",deployment_raw[[#This Row],[Column5]],1))), 0),"")</f>
        <v/>
      </c>
      <c r="U667" s="50" t="str">
        <f>IF(ISNUMBER(deployment_raw[[#This Row],[Column9]]),IF(OR(deployment_raw[[#This Row],[Column5]] &lt;&gt; 0,$E$2&lt;&gt;"Deployment"), MAX(W667, ($U$2 * IF($E$2="Deployment",deployment_raw[[#This Row],[Column5]],1))), 0),"")</f>
        <v/>
      </c>
      <c r="V667" s="15" t="str">
        <f>IF(ISNUMBER(deployment_raw[[#This Row],[Column12]]), (deployment_raw[[#This Row],[Column12]] * IF($E$2="Deployment",deployment_raw[[#This Row],[Column5]],1)*(1+$V$2)),"")</f>
        <v/>
      </c>
      <c r="W667" s="14" t="str">
        <f>IF(ISNUMBER(deployment_raw[[#This Row],[Column13]]), (deployment_raw[[#This Row],[Column13]] * IF($E$2="Deployment",deployment_raw[[#This Row],[Column5]],1)*(1+$W$2))/1048576,"")</f>
        <v/>
      </c>
    </row>
    <row r="668" spans="1:23" ht="15.75" customHeight="1" x14ac:dyDescent="0.25">
      <c r="A668" s="5" t="str">
        <f>IF(ISNONTEXT(deployment_raw[[#This Row],[Column1]]), "", deployment_raw[[#This Row],[Column1]])</f>
        <v/>
      </c>
      <c r="B668" s="6" t="str">
        <f>IF(ISNONTEXT(deployment_raw[[#This Row],[Column2]]), "", deployment_raw[[#This Row],[Column2]])</f>
        <v/>
      </c>
      <c r="C668" s="6" t="str">
        <f>IF(ISNONTEXT(deployment_raw[[#This Row],[Column3]]), "", deployment_raw[[#This Row],[Column3]])</f>
        <v/>
      </c>
      <c r="D668" s="6" t="str">
        <f>IF(ISNONTEXT(deployment_raw[[#This Row],[Column4]]), "", deployment_raw[[#This Row],[Column4]])</f>
        <v/>
      </c>
      <c r="E668" s="7" t="str">
        <f>IF(ISNUMBER(deployment_raw[[#This Row],[Column5]]), deployment_raw[[#This Row],[Column5]],"")</f>
        <v/>
      </c>
      <c r="F668" s="32" t="str">
        <f>IF(ISNUMBER(deployment_raw[[#This Row],[Column17]]), deployment_raw[[#This Row],[Column17]]/IF(OR($E$2="Deployment",deployment_raw[[#This Row],[Column5]]=0),1,deployment_raw[[#This Row],[Column5]]),"")</f>
        <v/>
      </c>
      <c r="G668" s="42" t="str">
        <f>IF(ISNUMBER(deployment_raw[[#This Row],[Column14]]), deployment_raw[[#This Row],[Column14]]/IF(OR($E$2="Deployment",deployment_raw[[#This Row],[Column5]]=0),1,deployment_raw[[#This Row],[Column5]]),"")</f>
        <v/>
      </c>
      <c r="H668" s="79" t="str">
        <f>IF(ISNUMBER(deployment_raw[[#This Row],[Column19]]), IF(I668&lt;&gt;0,(deployment_raw[[#This Row],[Column19]]/IF(OR($E$2="Deployment",deployment_raw[[#This Row],[Column5]]=0),1,deployment_raw[[#This Row],[Column5]]))/I668,0),"")</f>
        <v/>
      </c>
      <c r="I668" s="69" t="str">
        <f>IF(ISNUMBER(deployment_raw[[#This Row],[Column6]]), (deployment_raw[[#This Row],[Column6]] * IF($E$2="Deployment",deployment_raw[[#This Row],[Column5]],1)),"")</f>
        <v/>
      </c>
      <c r="J668" s="79" t="str">
        <f>IF(ISNUMBER(deployment_raw[[#This Row],[Column19]]), IF(K668&lt;&gt;0,(deployment_raw[[#This Row],[Column19]]/IF(OR($E$2="Deployment",deployment_raw[[#This Row],[Column5]]=0),1,deployment_raw[[#This Row],[Column5]]))/K668,0),"")</f>
        <v/>
      </c>
      <c r="K668" s="72" t="str">
        <f>IF(ISNUMBER(deployment_raw[[#This Row],[Column8]]), (deployment_raw[[#This Row],[Column8]]  * IF($E$2="Deployment",deployment_raw[[#This Row],[Column5]],1)),"")</f>
        <v/>
      </c>
      <c r="L66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6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68" s="81" t="str">
        <f>IF(ISNUMBER(deployment_raw[[#This Row],[Column20]]), IF(O668&lt;&gt;0,deployment_raw[[#This Row],[Column20]]/IF(OR($E$2="Deployment",deployment_raw[[#This Row],[Column5]]=0),1,deployment_raw[[#This Row],[Column5]])/1048576/O668,0),"")</f>
        <v/>
      </c>
      <c r="O668" s="74" t="str">
        <f>IF(ISNUMBER(deployment_raw[[#This Row],[Column7]]), (deployment_raw[[#This Row],[Column7]] * IF($E$2="Deployment",deployment_raw[[#This Row],[Column5]],1))/1048576,"")</f>
        <v/>
      </c>
      <c r="P668" s="81" t="str">
        <f>IF(ISNUMBER(deployment_raw[[#This Row],[Column20]]), IF(Q668&lt;&gt;0,deployment_raw[[#This Row],[Column20]]/IF(OR($E$2="Deployment",deployment_raw[[#This Row],[Column5]]=0),1,deployment_raw[[#This Row],[Column5]])/1048576/Q668,0),"")</f>
        <v/>
      </c>
      <c r="Q668" s="76" t="str">
        <f>IF(ISNUMBER(deployment_raw[[#This Row],[Column9]]), (deployment_raw[[#This Row],[Column9]] * IF($E$2="Deployment",deployment_raw[[#This Row],[Column5]],1))/1048576,"")</f>
        <v/>
      </c>
      <c r="R668" s="57" t="str">
        <f>IF(ISNUMBER(deployment_raw[[#This Row],[Column10]]), (deployment_raw[[#This Row],[Column10]] * IF($E$2="Deployment",deployment_raw[[#This Row],[Column5]],1)),"")</f>
        <v/>
      </c>
      <c r="S668" s="48" t="str">
        <f>IF(ISNUMBER(deployment_raw[[#This Row],[Column11]]), (deployment_raw[[#This Row],[Column11]] * IF($E$2="Deployment",deployment_raw[[#This Row],[Column5]],1))/1048576,"")</f>
        <v/>
      </c>
      <c r="T668" s="59" t="str">
        <f>IF(ISNUMBER(deployment_raw[[#This Row],[Column8]]),IF(OR(deployment_raw[[#This Row],[Column5]] &lt;&gt; 0,$E$2 &lt;&gt; "Deployment"), MAX(V668, ($T$2 * IF($E$2="Deployment",deployment_raw[[#This Row],[Column5]],1))), 0),"")</f>
        <v/>
      </c>
      <c r="U668" s="50" t="str">
        <f>IF(ISNUMBER(deployment_raw[[#This Row],[Column9]]),IF(OR(deployment_raw[[#This Row],[Column5]] &lt;&gt; 0,$E$2&lt;&gt;"Deployment"), MAX(W668, ($U$2 * IF($E$2="Deployment",deployment_raw[[#This Row],[Column5]],1))), 0),"")</f>
        <v/>
      </c>
      <c r="V668" s="15" t="str">
        <f>IF(ISNUMBER(deployment_raw[[#This Row],[Column12]]), (deployment_raw[[#This Row],[Column12]] * IF($E$2="Deployment",deployment_raw[[#This Row],[Column5]],1)*(1+$V$2)),"")</f>
        <v/>
      </c>
      <c r="W668" s="14" t="str">
        <f>IF(ISNUMBER(deployment_raw[[#This Row],[Column13]]), (deployment_raw[[#This Row],[Column13]] * IF($E$2="Deployment",deployment_raw[[#This Row],[Column5]],1)*(1+$W$2))/1048576,"")</f>
        <v/>
      </c>
    </row>
    <row r="669" spans="1:23" ht="15.75" customHeight="1" x14ac:dyDescent="0.25">
      <c r="A669" s="5" t="str">
        <f>IF(ISNONTEXT(deployment_raw[[#This Row],[Column1]]), "", deployment_raw[[#This Row],[Column1]])</f>
        <v/>
      </c>
      <c r="B669" s="6" t="str">
        <f>IF(ISNONTEXT(deployment_raw[[#This Row],[Column2]]), "", deployment_raw[[#This Row],[Column2]])</f>
        <v/>
      </c>
      <c r="C669" s="6" t="str">
        <f>IF(ISNONTEXT(deployment_raw[[#This Row],[Column3]]), "", deployment_raw[[#This Row],[Column3]])</f>
        <v/>
      </c>
      <c r="D669" s="6" t="str">
        <f>IF(ISNONTEXT(deployment_raw[[#This Row],[Column4]]), "", deployment_raw[[#This Row],[Column4]])</f>
        <v/>
      </c>
      <c r="E669" s="7" t="str">
        <f>IF(ISNUMBER(deployment_raw[[#This Row],[Column5]]), deployment_raw[[#This Row],[Column5]],"")</f>
        <v/>
      </c>
      <c r="F669" s="32" t="str">
        <f>IF(ISNUMBER(deployment_raw[[#This Row],[Column17]]), deployment_raw[[#This Row],[Column17]]/IF(OR($E$2="Deployment",deployment_raw[[#This Row],[Column5]]=0),1,deployment_raw[[#This Row],[Column5]]),"")</f>
        <v/>
      </c>
      <c r="G669" s="42" t="str">
        <f>IF(ISNUMBER(deployment_raw[[#This Row],[Column14]]), deployment_raw[[#This Row],[Column14]]/IF(OR($E$2="Deployment",deployment_raw[[#This Row],[Column5]]=0),1,deployment_raw[[#This Row],[Column5]]),"")</f>
        <v/>
      </c>
      <c r="H669" s="79" t="str">
        <f>IF(ISNUMBER(deployment_raw[[#This Row],[Column19]]), IF(I669&lt;&gt;0,(deployment_raw[[#This Row],[Column19]]/IF(OR($E$2="Deployment",deployment_raw[[#This Row],[Column5]]=0),1,deployment_raw[[#This Row],[Column5]]))/I669,0),"")</f>
        <v/>
      </c>
      <c r="I669" s="69" t="str">
        <f>IF(ISNUMBER(deployment_raw[[#This Row],[Column6]]), (deployment_raw[[#This Row],[Column6]] * IF($E$2="Deployment",deployment_raw[[#This Row],[Column5]],1)),"")</f>
        <v/>
      </c>
      <c r="J669" s="79" t="str">
        <f>IF(ISNUMBER(deployment_raw[[#This Row],[Column19]]), IF(K669&lt;&gt;0,(deployment_raw[[#This Row],[Column19]]/IF(OR($E$2="Deployment",deployment_raw[[#This Row],[Column5]]=0),1,deployment_raw[[#This Row],[Column5]]))/K669,0),"")</f>
        <v/>
      </c>
      <c r="K669" s="72" t="str">
        <f>IF(ISNUMBER(deployment_raw[[#This Row],[Column8]]), (deployment_raw[[#This Row],[Column8]]  * IF($E$2="Deployment",deployment_raw[[#This Row],[Column5]],1)),"")</f>
        <v/>
      </c>
      <c r="L66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6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69" s="81" t="str">
        <f>IF(ISNUMBER(deployment_raw[[#This Row],[Column20]]), IF(O669&lt;&gt;0,deployment_raw[[#This Row],[Column20]]/IF(OR($E$2="Deployment",deployment_raw[[#This Row],[Column5]]=0),1,deployment_raw[[#This Row],[Column5]])/1048576/O669,0),"")</f>
        <v/>
      </c>
      <c r="O669" s="74" t="str">
        <f>IF(ISNUMBER(deployment_raw[[#This Row],[Column7]]), (deployment_raw[[#This Row],[Column7]] * IF($E$2="Deployment",deployment_raw[[#This Row],[Column5]],1))/1048576,"")</f>
        <v/>
      </c>
      <c r="P669" s="81" t="str">
        <f>IF(ISNUMBER(deployment_raw[[#This Row],[Column20]]), IF(Q669&lt;&gt;0,deployment_raw[[#This Row],[Column20]]/IF(OR($E$2="Deployment",deployment_raw[[#This Row],[Column5]]=0),1,deployment_raw[[#This Row],[Column5]])/1048576/Q669,0),"")</f>
        <v/>
      </c>
      <c r="Q669" s="76" t="str">
        <f>IF(ISNUMBER(deployment_raw[[#This Row],[Column9]]), (deployment_raw[[#This Row],[Column9]] * IF($E$2="Deployment",deployment_raw[[#This Row],[Column5]],1))/1048576,"")</f>
        <v/>
      </c>
      <c r="R669" s="57" t="str">
        <f>IF(ISNUMBER(deployment_raw[[#This Row],[Column10]]), (deployment_raw[[#This Row],[Column10]] * IF($E$2="Deployment",deployment_raw[[#This Row],[Column5]],1)),"")</f>
        <v/>
      </c>
      <c r="S669" s="48" t="str">
        <f>IF(ISNUMBER(deployment_raw[[#This Row],[Column11]]), (deployment_raw[[#This Row],[Column11]] * IF($E$2="Deployment",deployment_raw[[#This Row],[Column5]],1))/1048576,"")</f>
        <v/>
      </c>
      <c r="T669" s="59" t="str">
        <f>IF(ISNUMBER(deployment_raw[[#This Row],[Column8]]),IF(OR(deployment_raw[[#This Row],[Column5]] &lt;&gt; 0,$E$2 &lt;&gt; "Deployment"), MAX(V669, ($T$2 * IF($E$2="Deployment",deployment_raw[[#This Row],[Column5]],1))), 0),"")</f>
        <v/>
      </c>
      <c r="U669" s="50" t="str">
        <f>IF(ISNUMBER(deployment_raw[[#This Row],[Column9]]),IF(OR(deployment_raw[[#This Row],[Column5]] &lt;&gt; 0,$E$2&lt;&gt;"Deployment"), MAX(W669, ($U$2 * IF($E$2="Deployment",deployment_raw[[#This Row],[Column5]],1))), 0),"")</f>
        <v/>
      </c>
      <c r="V669" s="15" t="str">
        <f>IF(ISNUMBER(deployment_raw[[#This Row],[Column12]]), (deployment_raw[[#This Row],[Column12]] * IF($E$2="Deployment",deployment_raw[[#This Row],[Column5]],1)*(1+$V$2)),"")</f>
        <v/>
      </c>
      <c r="W669" s="14" t="str">
        <f>IF(ISNUMBER(deployment_raw[[#This Row],[Column13]]), (deployment_raw[[#This Row],[Column13]] * IF($E$2="Deployment",deployment_raw[[#This Row],[Column5]],1)*(1+$W$2))/1048576,"")</f>
        <v/>
      </c>
    </row>
    <row r="670" spans="1:23" ht="15.75" customHeight="1" x14ac:dyDescent="0.25">
      <c r="A670" s="5" t="str">
        <f>IF(ISNONTEXT(deployment_raw[[#This Row],[Column1]]), "", deployment_raw[[#This Row],[Column1]])</f>
        <v/>
      </c>
      <c r="B670" s="6" t="str">
        <f>IF(ISNONTEXT(deployment_raw[[#This Row],[Column2]]), "", deployment_raw[[#This Row],[Column2]])</f>
        <v/>
      </c>
      <c r="C670" s="6" t="str">
        <f>IF(ISNONTEXT(deployment_raw[[#This Row],[Column3]]), "", deployment_raw[[#This Row],[Column3]])</f>
        <v/>
      </c>
      <c r="D670" s="6" t="str">
        <f>IF(ISNONTEXT(deployment_raw[[#This Row],[Column4]]), "", deployment_raw[[#This Row],[Column4]])</f>
        <v/>
      </c>
      <c r="E670" s="7" t="str">
        <f>IF(ISNUMBER(deployment_raw[[#This Row],[Column5]]), deployment_raw[[#This Row],[Column5]],"")</f>
        <v/>
      </c>
      <c r="F670" s="32" t="str">
        <f>IF(ISNUMBER(deployment_raw[[#This Row],[Column17]]), deployment_raw[[#This Row],[Column17]]/IF(OR($E$2="Deployment",deployment_raw[[#This Row],[Column5]]=0),1,deployment_raw[[#This Row],[Column5]]),"")</f>
        <v/>
      </c>
      <c r="G670" s="42" t="str">
        <f>IF(ISNUMBER(deployment_raw[[#This Row],[Column14]]), deployment_raw[[#This Row],[Column14]]/IF(OR($E$2="Deployment",deployment_raw[[#This Row],[Column5]]=0),1,deployment_raw[[#This Row],[Column5]]),"")</f>
        <v/>
      </c>
      <c r="H670" s="79" t="str">
        <f>IF(ISNUMBER(deployment_raw[[#This Row],[Column19]]), IF(I670&lt;&gt;0,(deployment_raw[[#This Row],[Column19]]/IF(OR($E$2="Deployment",deployment_raw[[#This Row],[Column5]]=0),1,deployment_raw[[#This Row],[Column5]]))/I670,0),"")</f>
        <v/>
      </c>
      <c r="I670" s="69" t="str">
        <f>IF(ISNUMBER(deployment_raw[[#This Row],[Column6]]), (deployment_raw[[#This Row],[Column6]] * IF($E$2="Deployment",deployment_raw[[#This Row],[Column5]],1)),"")</f>
        <v/>
      </c>
      <c r="J670" s="79" t="str">
        <f>IF(ISNUMBER(deployment_raw[[#This Row],[Column19]]), IF(K670&lt;&gt;0,(deployment_raw[[#This Row],[Column19]]/IF(OR($E$2="Deployment",deployment_raw[[#This Row],[Column5]]=0),1,deployment_raw[[#This Row],[Column5]]))/K670,0),"")</f>
        <v/>
      </c>
      <c r="K670" s="72" t="str">
        <f>IF(ISNUMBER(deployment_raw[[#This Row],[Column8]]), (deployment_raw[[#This Row],[Column8]]  * IF($E$2="Deployment",deployment_raw[[#This Row],[Column5]],1)),"")</f>
        <v/>
      </c>
      <c r="L67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7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70" s="81" t="str">
        <f>IF(ISNUMBER(deployment_raw[[#This Row],[Column20]]), IF(O670&lt;&gt;0,deployment_raw[[#This Row],[Column20]]/IF(OR($E$2="Deployment",deployment_raw[[#This Row],[Column5]]=0),1,deployment_raw[[#This Row],[Column5]])/1048576/O670,0),"")</f>
        <v/>
      </c>
      <c r="O670" s="74" t="str">
        <f>IF(ISNUMBER(deployment_raw[[#This Row],[Column7]]), (deployment_raw[[#This Row],[Column7]] * IF($E$2="Deployment",deployment_raw[[#This Row],[Column5]],1))/1048576,"")</f>
        <v/>
      </c>
      <c r="P670" s="81" t="str">
        <f>IF(ISNUMBER(deployment_raw[[#This Row],[Column20]]), IF(Q670&lt;&gt;0,deployment_raw[[#This Row],[Column20]]/IF(OR($E$2="Deployment",deployment_raw[[#This Row],[Column5]]=0),1,deployment_raw[[#This Row],[Column5]])/1048576/Q670,0),"")</f>
        <v/>
      </c>
      <c r="Q670" s="76" t="str">
        <f>IF(ISNUMBER(deployment_raw[[#This Row],[Column9]]), (deployment_raw[[#This Row],[Column9]] * IF($E$2="Deployment",deployment_raw[[#This Row],[Column5]],1))/1048576,"")</f>
        <v/>
      </c>
      <c r="R670" s="57" t="str">
        <f>IF(ISNUMBER(deployment_raw[[#This Row],[Column10]]), (deployment_raw[[#This Row],[Column10]] * IF($E$2="Deployment",deployment_raw[[#This Row],[Column5]],1)),"")</f>
        <v/>
      </c>
      <c r="S670" s="48" t="str">
        <f>IF(ISNUMBER(deployment_raw[[#This Row],[Column11]]), (deployment_raw[[#This Row],[Column11]] * IF($E$2="Deployment",deployment_raw[[#This Row],[Column5]],1))/1048576,"")</f>
        <v/>
      </c>
      <c r="T670" s="59" t="str">
        <f>IF(ISNUMBER(deployment_raw[[#This Row],[Column8]]),IF(OR(deployment_raw[[#This Row],[Column5]] &lt;&gt; 0,$E$2 &lt;&gt; "Deployment"), MAX(V670, ($T$2 * IF($E$2="Deployment",deployment_raw[[#This Row],[Column5]],1))), 0),"")</f>
        <v/>
      </c>
      <c r="U670" s="50" t="str">
        <f>IF(ISNUMBER(deployment_raw[[#This Row],[Column9]]),IF(OR(deployment_raw[[#This Row],[Column5]] &lt;&gt; 0,$E$2&lt;&gt;"Deployment"), MAX(W670, ($U$2 * IF($E$2="Deployment",deployment_raw[[#This Row],[Column5]],1))), 0),"")</f>
        <v/>
      </c>
      <c r="V670" s="15" t="str">
        <f>IF(ISNUMBER(deployment_raw[[#This Row],[Column12]]), (deployment_raw[[#This Row],[Column12]] * IF($E$2="Deployment",deployment_raw[[#This Row],[Column5]],1)*(1+$V$2)),"")</f>
        <v/>
      </c>
      <c r="W670" s="14" t="str">
        <f>IF(ISNUMBER(deployment_raw[[#This Row],[Column13]]), (deployment_raw[[#This Row],[Column13]] * IF($E$2="Deployment",deployment_raw[[#This Row],[Column5]],1)*(1+$W$2))/1048576,"")</f>
        <v/>
      </c>
    </row>
    <row r="671" spans="1:23" ht="15.75" customHeight="1" x14ac:dyDescent="0.25">
      <c r="A671" s="5" t="str">
        <f>IF(ISNONTEXT(deployment_raw[[#This Row],[Column1]]), "", deployment_raw[[#This Row],[Column1]])</f>
        <v/>
      </c>
      <c r="B671" s="6" t="str">
        <f>IF(ISNONTEXT(deployment_raw[[#This Row],[Column2]]), "", deployment_raw[[#This Row],[Column2]])</f>
        <v/>
      </c>
      <c r="C671" s="6" t="str">
        <f>IF(ISNONTEXT(deployment_raw[[#This Row],[Column3]]), "", deployment_raw[[#This Row],[Column3]])</f>
        <v/>
      </c>
      <c r="D671" s="6" t="str">
        <f>IF(ISNONTEXT(deployment_raw[[#This Row],[Column4]]), "", deployment_raw[[#This Row],[Column4]])</f>
        <v/>
      </c>
      <c r="E671" s="7" t="str">
        <f>IF(ISNUMBER(deployment_raw[[#This Row],[Column5]]), deployment_raw[[#This Row],[Column5]],"")</f>
        <v/>
      </c>
      <c r="F671" s="32" t="str">
        <f>IF(ISNUMBER(deployment_raw[[#This Row],[Column17]]), deployment_raw[[#This Row],[Column17]]/IF(OR($E$2="Deployment",deployment_raw[[#This Row],[Column5]]=0),1,deployment_raw[[#This Row],[Column5]]),"")</f>
        <v/>
      </c>
      <c r="G671" s="42" t="str">
        <f>IF(ISNUMBER(deployment_raw[[#This Row],[Column14]]), deployment_raw[[#This Row],[Column14]]/IF(OR($E$2="Deployment",deployment_raw[[#This Row],[Column5]]=0),1,deployment_raw[[#This Row],[Column5]]),"")</f>
        <v/>
      </c>
      <c r="H671" s="79" t="str">
        <f>IF(ISNUMBER(deployment_raw[[#This Row],[Column19]]), IF(I671&lt;&gt;0,(deployment_raw[[#This Row],[Column19]]/IF(OR($E$2="Deployment",deployment_raw[[#This Row],[Column5]]=0),1,deployment_raw[[#This Row],[Column5]]))/I671,0),"")</f>
        <v/>
      </c>
      <c r="I671" s="69" t="str">
        <f>IF(ISNUMBER(deployment_raw[[#This Row],[Column6]]), (deployment_raw[[#This Row],[Column6]] * IF($E$2="Deployment",deployment_raw[[#This Row],[Column5]],1)),"")</f>
        <v/>
      </c>
      <c r="J671" s="79" t="str">
        <f>IF(ISNUMBER(deployment_raw[[#This Row],[Column19]]), IF(K671&lt;&gt;0,(deployment_raw[[#This Row],[Column19]]/IF(OR($E$2="Deployment",deployment_raw[[#This Row],[Column5]]=0),1,deployment_raw[[#This Row],[Column5]]))/K671,0),"")</f>
        <v/>
      </c>
      <c r="K671" s="72" t="str">
        <f>IF(ISNUMBER(deployment_raw[[#This Row],[Column8]]), (deployment_raw[[#This Row],[Column8]]  * IF($E$2="Deployment",deployment_raw[[#This Row],[Column5]],1)),"")</f>
        <v/>
      </c>
      <c r="L67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7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71" s="81" t="str">
        <f>IF(ISNUMBER(deployment_raw[[#This Row],[Column20]]), IF(O671&lt;&gt;0,deployment_raw[[#This Row],[Column20]]/IF(OR($E$2="Deployment",deployment_raw[[#This Row],[Column5]]=0),1,deployment_raw[[#This Row],[Column5]])/1048576/O671,0),"")</f>
        <v/>
      </c>
      <c r="O671" s="74" t="str">
        <f>IF(ISNUMBER(deployment_raw[[#This Row],[Column7]]), (deployment_raw[[#This Row],[Column7]] * IF($E$2="Deployment",deployment_raw[[#This Row],[Column5]],1))/1048576,"")</f>
        <v/>
      </c>
      <c r="P671" s="81" t="str">
        <f>IF(ISNUMBER(deployment_raw[[#This Row],[Column20]]), IF(Q671&lt;&gt;0,deployment_raw[[#This Row],[Column20]]/IF(OR($E$2="Deployment",deployment_raw[[#This Row],[Column5]]=0),1,deployment_raw[[#This Row],[Column5]])/1048576/Q671,0),"")</f>
        <v/>
      </c>
      <c r="Q671" s="76" t="str">
        <f>IF(ISNUMBER(deployment_raw[[#This Row],[Column9]]), (deployment_raw[[#This Row],[Column9]] * IF($E$2="Deployment",deployment_raw[[#This Row],[Column5]],1))/1048576,"")</f>
        <v/>
      </c>
      <c r="R671" s="57" t="str">
        <f>IF(ISNUMBER(deployment_raw[[#This Row],[Column10]]), (deployment_raw[[#This Row],[Column10]] * IF($E$2="Deployment",deployment_raw[[#This Row],[Column5]],1)),"")</f>
        <v/>
      </c>
      <c r="S671" s="48" t="str">
        <f>IF(ISNUMBER(deployment_raw[[#This Row],[Column11]]), (deployment_raw[[#This Row],[Column11]] * IF($E$2="Deployment",deployment_raw[[#This Row],[Column5]],1))/1048576,"")</f>
        <v/>
      </c>
      <c r="T671" s="59" t="str">
        <f>IF(ISNUMBER(deployment_raw[[#This Row],[Column8]]),IF(OR(deployment_raw[[#This Row],[Column5]] &lt;&gt; 0,$E$2 &lt;&gt; "Deployment"), MAX(V671, ($T$2 * IF($E$2="Deployment",deployment_raw[[#This Row],[Column5]],1))), 0),"")</f>
        <v/>
      </c>
      <c r="U671" s="50" t="str">
        <f>IF(ISNUMBER(deployment_raw[[#This Row],[Column9]]),IF(OR(deployment_raw[[#This Row],[Column5]] &lt;&gt; 0,$E$2&lt;&gt;"Deployment"), MAX(W671, ($U$2 * IF($E$2="Deployment",deployment_raw[[#This Row],[Column5]],1))), 0),"")</f>
        <v/>
      </c>
      <c r="V671" s="15" t="str">
        <f>IF(ISNUMBER(deployment_raw[[#This Row],[Column12]]), (deployment_raw[[#This Row],[Column12]] * IF($E$2="Deployment",deployment_raw[[#This Row],[Column5]],1)*(1+$V$2)),"")</f>
        <v/>
      </c>
      <c r="W671" s="14" t="str">
        <f>IF(ISNUMBER(deployment_raw[[#This Row],[Column13]]), (deployment_raw[[#This Row],[Column13]] * IF($E$2="Deployment",deployment_raw[[#This Row],[Column5]],1)*(1+$W$2))/1048576,"")</f>
        <v/>
      </c>
    </row>
    <row r="672" spans="1:23" ht="15.75" customHeight="1" x14ac:dyDescent="0.25">
      <c r="A672" s="5" t="str">
        <f>IF(ISNONTEXT(deployment_raw[[#This Row],[Column1]]), "", deployment_raw[[#This Row],[Column1]])</f>
        <v/>
      </c>
      <c r="B672" s="6" t="str">
        <f>IF(ISNONTEXT(deployment_raw[[#This Row],[Column2]]), "", deployment_raw[[#This Row],[Column2]])</f>
        <v/>
      </c>
      <c r="C672" s="6" t="str">
        <f>IF(ISNONTEXT(deployment_raw[[#This Row],[Column3]]), "", deployment_raw[[#This Row],[Column3]])</f>
        <v/>
      </c>
      <c r="D672" s="6" t="str">
        <f>IF(ISNONTEXT(deployment_raw[[#This Row],[Column4]]), "", deployment_raw[[#This Row],[Column4]])</f>
        <v/>
      </c>
      <c r="E672" s="7" t="str">
        <f>IF(ISNUMBER(deployment_raw[[#This Row],[Column5]]), deployment_raw[[#This Row],[Column5]],"")</f>
        <v/>
      </c>
      <c r="F672" s="32" t="str">
        <f>IF(ISNUMBER(deployment_raw[[#This Row],[Column17]]), deployment_raw[[#This Row],[Column17]]/IF(OR($E$2="Deployment",deployment_raw[[#This Row],[Column5]]=0),1,deployment_raw[[#This Row],[Column5]]),"")</f>
        <v/>
      </c>
      <c r="G672" s="42" t="str">
        <f>IF(ISNUMBER(deployment_raw[[#This Row],[Column14]]), deployment_raw[[#This Row],[Column14]]/IF(OR($E$2="Deployment",deployment_raw[[#This Row],[Column5]]=0),1,deployment_raw[[#This Row],[Column5]]),"")</f>
        <v/>
      </c>
      <c r="H672" s="79" t="str">
        <f>IF(ISNUMBER(deployment_raw[[#This Row],[Column19]]), IF(I672&lt;&gt;0,(deployment_raw[[#This Row],[Column19]]/IF(OR($E$2="Deployment",deployment_raw[[#This Row],[Column5]]=0),1,deployment_raw[[#This Row],[Column5]]))/I672,0),"")</f>
        <v/>
      </c>
      <c r="I672" s="69" t="str">
        <f>IF(ISNUMBER(deployment_raw[[#This Row],[Column6]]), (deployment_raw[[#This Row],[Column6]] * IF($E$2="Deployment",deployment_raw[[#This Row],[Column5]],1)),"")</f>
        <v/>
      </c>
      <c r="J672" s="79" t="str">
        <f>IF(ISNUMBER(deployment_raw[[#This Row],[Column19]]), IF(K672&lt;&gt;0,(deployment_raw[[#This Row],[Column19]]/IF(OR($E$2="Deployment",deployment_raw[[#This Row],[Column5]]=0),1,deployment_raw[[#This Row],[Column5]]))/K672,0),"")</f>
        <v/>
      </c>
      <c r="K672" s="72" t="str">
        <f>IF(ISNUMBER(deployment_raw[[#This Row],[Column8]]), (deployment_raw[[#This Row],[Column8]]  * IF($E$2="Deployment",deployment_raw[[#This Row],[Column5]],1)),"")</f>
        <v/>
      </c>
      <c r="L67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7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72" s="81" t="str">
        <f>IF(ISNUMBER(deployment_raw[[#This Row],[Column20]]), IF(O672&lt;&gt;0,deployment_raw[[#This Row],[Column20]]/IF(OR($E$2="Deployment",deployment_raw[[#This Row],[Column5]]=0),1,deployment_raw[[#This Row],[Column5]])/1048576/O672,0),"")</f>
        <v/>
      </c>
      <c r="O672" s="74" t="str">
        <f>IF(ISNUMBER(deployment_raw[[#This Row],[Column7]]), (deployment_raw[[#This Row],[Column7]] * IF($E$2="Deployment",deployment_raw[[#This Row],[Column5]],1))/1048576,"")</f>
        <v/>
      </c>
      <c r="P672" s="81" t="str">
        <f>IF(ISNUMBER(deployment_raw[[#This Row],[Column20]]), IF(Q672&lt;&gt;0,deployment_raw[[#This Row],[Column20]]/IF(OR($E$2="Deployment",deployment_raw[[#This Row],[Column5]]=0),1,deployment_raw[[#This Row],[Column5]])/1048576/Q672,0),"")</f>
        <v/>
      </c>
      <c r="Q672" s="76" t="str">
        <f>IF(ISNUMBER(deployment_raw[[#This Row],[Column9]]), (deployment_raw[[#This Row],[Column9]] * IF($E$2="Deployment",deployment_raw[[#This Row],[Column5]],1))/1048576,"")</f>
        <v/>
      </c>
      <c r="R672" s="57" t="str">
        <f>IF(ISNUMBER(deployment_raw[[#This Row],[Column10]]), (deployment_raw[[#This Row],[Column10]] * IF($E$2="Deployment",deployment_raw[[#This Row],[Column5]],1)),"")</f>
        <v/>
      </c>
      <c r="S672" s="48" t="str">
        <f>IF(ISNUMBER(deployment_raw[[#This Row],[Column11]]), (deployment_raw[[#This Row],[Column11]] * IF($E$2="Deployment",deployment_raw[[#This Row],[Column5]],1))/1048576,"")</f>
        <v/>
      </c>
      <c r="T672" s="59" t="str">
        <f>IF(ISNUMBER(deployment_raw[[#This Row],[Column8]]),IF(OR(deployment_raw[[#This Row],[Column5]] &lt;&gt; 0,$E$2 &lt;&gt; "Deployment"), MAX(V672, ($T$2 * IF($E$2="Deployment",deployment_raw[[#This Row],[Column5]],1))), 0),"")</f>
        <v/>
      </c>
      <c r="U672" s="50" t="str">
        <f>IF(ISNUMBER(deployment_raw[[#This Row],[Column9]]),IF(OR(deployment_raw[[#This Row],[Column5]] &lt;&gt; 0,$E$2&lt;&gt;"Deployment"), MAX(W672, ($U$2 * IF($E$2="Deployment",deployment_raw[[#This Row],[Column5]],1))), 0),"")</f>
        <v/>
      </c>
      <c r="V672" s="15" t="str">
        <f>IF(ISNUMBER(deployment_raw[[#This Row],[Column12]]), (deployment_raw[[#This Row],[Column12]] * IF($E$2="Deployment",deployment_raw[[#This Row],[Column5]],1)*(1+$V$2)),"")</f>
        <v/>
      </c>
      <c r="W672" s="14" t="str">
        <f>IF(ISNUMBER(deployment_raw[[#This Row],[Column13]]), (deployment_raw[[#This Row],[Column13]] * IF($E$2="Deployment",deployment_raw[[#This Row],[Column5]],1)*(1+$W$2))/1048576,"")</f>
        <v/>
      </c>
    </row>
    <row r="673" spans="1:23" ht="15.75" customHeight="1" x14ac:dyDescent="0.25">
      <c r="A673" s="5" t="str">
        <f>IF(ISNONTEXT(deployment_raw[[#This Row],[Column1]]), "", deployment_raw[[#This Row],[Column1]])</f>
        <v/>
      </c>
      <c r="B673" s="6" t="str">
        <f>IF(ISNONTEXT(deployment_raw[[#This Row],[Column2]]), "", deployment_raw[[#This Row],[Column2]])</f>
        <v/>
      </c>
      <c r="C673" s="6" t="str">
        <f>IF(ISNONTEXT(deployment_raw[[#This Row],[Column3]]), "", deployment_raw[[#This Row],[Column3]])</f>
        <v/>
      </c>
      <c r="D673" s="6" t="str">
        <f>IF(ISNONTEXT(deployment_raw[[#This Row],[Column4]]), "", deployment_raw[[#This Row],[Column4]])</f>
        <v/>
      </c>
      <c r="E673" s="7" t="str">
        <f>IF(ISNUMBER(deployment_raw[[#This Row],[Column5]]), deployment_raw[[#This Row],[Column5]],"")</f>
        <v/>
      </c>
      <c r="F673" s="32" t="str">
        <f>IF(ISNUMBER(deployment_raw[[#This Row],[Column17]]), deployment_raw[[#This Row],[Column17]]/IF(OR($E$2="Deployment",deployment_raw[[#This Row],[Column5]]=0),1,deployment_raw[[#This Row],[Column5]]),"")</f>
        <v/>
      </c>
      <c r="G673" s="42" t="str">
        <f>IF(ISNUMBER(deployment_raw[[#This Row],[Column14]]), deployment_raw[[#This Row],[Column14]]/IF(OR($E$2="Deployment",deployment_raw[[#This Row],[Column5]]=0),1,deployment_raw[[#This Row],[Column5]]),"")</f>
        <v/>
      </c>
      <c r="H673" s="79" t="str">
        <f>IF(ISNUMBER(deployment_raw[[#This Row],[Column19]]), IF(I673&lt;&gt;0,(deployment_raw[[#This Row],[Column19]]/IF(OR($E$2="Deployment",deployment_raw[[#This Row],[Column5]]=0),1,deployment_raw[[#This Row],[Column5]]))/I673,0),"")</f>
        <v/>
      </c>
      <c r="I673" s="69" t="str">
        <f>IF(ISNUMBER(deployment_raw[[#This Row],[Column6]]), (deployment_raw[[#This Row],[Column6]] * IF($E$2="Deployment",deployment_raw[[#This Row],[Column5]],1)),"")</f>
        <v/>
      </c>
      <c r="J673" s="79" t="str">
        <f>IF(ISNUMBER(deployment_raw[[#This Row],[Column19]]), IF(K673&lt;&gt;0,(deployment_raw[[#This Row],[Column19]]/IF(OR($E$2="Deployment",deployment_raw[[#This Row],[Column5]]=0),1,deployment_raw[[#This Row],[Column5]]))/K673,0),"")</f>
        <v/>
      </c>
      <c r="K673" s="72" t="str">
        <f>IF(ISNUMBER(deployment_raw[[#This Row],[Column8]]), (deployment_raw[[#This Row],[Column8]]  * IF($E$2="Deployment",deployment_raw[[#This Row],[Column5]],1)),"")</f>
        <v/>
      </c>
      <c r="L67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7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73" s="81" t="str">
        <f>IF(ISNUMBER(deployment_raw[[#This Row],[Column20]]), IF(O673&lt;&gt;0,deployment_raw[[#This Row],[Column20]]/IF(OR($E$2="Deployment",deployment_raw[[#This Row],[Column5]]=0),1,deployment_raw[[#This Row],[Column5]])/1048576/O673,0),"")</f>
        <v/>
      </c>
      <c r="O673" s="74" t="str">
        <f>IF(ISNUMBER(deployment_raw[[#This Row],[Column7]]), (deployment_raw[[#This Row],[Column7]] * IF($E$2="Deployment",deployment_raw[[#This Row],[Column5]],1))/1048576,"")</f>
        <v/>
      </c>
      <c r="P673" s="81" t="str">
        <f>IF(ISNUMBER(deployment_raw[[#This Row],[Column20]]), IF(Q673&lt;&gt;0,deployment_raw[[#This Row],[Column20]]/IF(OR($E$2="Deployment",deployment_raw[[#This Row],[Column5]]=0),1,deployment_raw[[#This Row],[Column5]])/1048576/Q673,0),"")</f>
        <v/>
      </c>
      <c r="Q673" s="76" t="str">
        <f>IF(ISNUMBER(deployment_raw[[#This Row],[Column9]]), (deployment_raw[[#This Row],[Column9]] * IF($E$2="Deployment",deployment_raw[[#This Row],[Column5]],1))/1048576,"")</f>
        <v/>
      </c>
      <c r="R673" s="57" t="str">
        <f>IF(ISNUMBER(deployment_raw[[#This Row],[Column10]]), (deployment_raw[[#This Row],[Column10]] * IF($E$2="Deployment",deployment_raw[[#This Row],[Column5]],1)),"")</f>
        <v/>
      </c>
      <c r="S673" s="48" t="str">
        <f>IF(ISNUMBER(deployment_raw[[#This Row],[Column11]]), (deployment_raw[[#This Row],[Column11]] * IF($E$2="Deployment",deployment_raw[[#This Row],[Column5]],1))/1048576,"")</f>
        <v/>
      </c>
      <c r="T673" s="59" t="str">
        <f>IF(ISNUMBER(deployment_raw[[#This Row],[Column8]]),IF(OR(deployment_raw[[#This Row],[Column5]] &lt;&gt; 0,$E$2 &lt;&gt; "Deployment"), MAX(V673, ($T$2 * IF($E$2="Deployment",deployment_raw[[#This Row],[Column5]],1))), 0),"")</f>
        <v/>
      </c>
      <c r="U673" s="50" t="str">
        <f>IF(ISNUMBER(deployment_raw[[#This Row],[Column9]]),IF(OR(deployment_raw[[#This Row],[Column5]] &lt;&gt; 0,$E$2&lt;&gt;"Deployment"), MAX(W673, ($U$2 * IF($E$2="Deployment",deployment_raw[[#This Row],[Column5]],1))), 0),"")</f>
        <v/>
      </c>
      <c r="V673" s="15" t="str">
        <f>IF(ISNUMBER(deployment_raw[[#This Row],[Column12]]), (deployment_raw[[#This Row],[Column12]] * IF($E$2="Deployment",deployment_raw[[#This Row],[Column5]],1)*(1+$V$2)),"")</f>
        <v/>
      </c>
      <c r="W673" s="14" t="str">
        <f>IF(ISNUMBER(deployment_raw[[#This Row],[Column13]]), (deployment_raw[[#This Row],[Column13]] * IF($E$2="Deployment",deployment_raw[[#This Row],[Column5]],1)*(1+$W$2))/1048576,"")</f>
        <v/>
      </c>
    </row>
    <row r="674" spans="1:23" ht="15.75" customHeight="1" x14ac:dyDescent="0.25">
      <c r="A674" s="5" t="str">
        <f>IF(ISNONTEXT(deployment_raw[[#This Row],[Column1]]), "", deployment_raw[[#This Row],[Column1]])</f>
        <v/>
      </c>
      <c r="B674" s="6" t="str">
        <f>IF(ISNONTEXT(deployment_raw[[#This Row],[Column2]]), "", deployment_raw[[#This Row],[Column2]])</f>
        <v/>
      </c>
      <c r="C674" s="6" t="str">
        <f>IF(ISNONTEXT(deployment_raw[[#This Row],[Column3]]), "", deployment_raw[[#This Row],[Column3]])</f>
        <v/>
      </c>
      <c r="D674" s="6" t="str">
        <f>IF(ISNONTEXT(deployment_raw[[#This Row],[Column4]]), "", deployment_raw[[#This Row],[Column4]])</f>
        <v/>
      </c>
      <c r="E674" s="7" t="str">
        <f>IF(ISNUMBER(deployment_raw[[#This Row],[Column5]]), deployment_raw[[#This Row],[Column5]],"")</f>
        <v/>
      </c>
      <c r="F674" s="32" t="str">
        <f>IF(ISNUMBER(deployment_raw[[#This Row],[Column17]]), deployment_raw[[#This Row],[Column17]]/IF(OR($E$2="Deployment",deployment_raw[[#This Row],[Column5]]=0),1,deployment_raw[[#This Row],[Column5]]),"")</f>
        <v/>
      </c>
      <c r="G674" s="42" t="str">
        <f>IF(ISNUMBER(deployment_raw[[#This Row],[Column14]]), deployment_raw[[#This Row],[Column14]]/IF(OR($E$2="Deployment",deployment_raw[[#This Row],[Column5]]=0),1,deployment_raw[[#This Row],[Column5]]),"")</f>
        <v/>
      </c>
      <c r="H674" s="79" t="str">
        <f>IF(ISNUMBER(deployment_raw[[#This Row],[Column19]]), IF(I674&lt;&gt;0,(deployment_raw[[#This Row],[Column19]]/IF(OR($E$2="Deployment",deployment_raw[[#This Row],[Column5]]=0),1,deployment_raw[[#This Row],[Column5]]))/I674,0),"")</f>
        <v/>
      </c>
      <c r="I674" s="69" t="str">
        <f>IF(ISNUMBER(deployment_raw[[#This Row],[Column6]]), (deployment_raw[[#This Row],[Column6]] * IF($E$2="Deployment",deployment_raw[[#This Row],[Column5]],1)),"")</f>
        <v/>
      </c>
      <c r="J674" s="79" t="str">
        <f>IF(ISNUMBER(deployment_raw[[#This Row],[Column19]]), IF(K674&lt;&gt;0,(deployment_raw[[#This Row],[Column19]]/IF(OR($E$2="Deployment",deployment_raw[[#This Row],[Column5]]=0),1,deployment_raw[[#This Row],[Column5]]))/K674,0),"")</f>
        <v/>
      </c>
      <c r="K674" s="72" t="str">
        <f>IF(ISNUMBER(deployment_raw[[#This Row],[Column8]]), (deployment_raw[[#This Row],[Column8]]  * IF($E$2="Deployment",deployment_raw[[#This Row],[Column5]],1)),"")</f>
        <v/>
      </c>
      <c r="L67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7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74" s="81" t="str">
        <f>IF(ISNUMBER(deployment_raw[[#This Row],[Column20]]), IF(O674&lt;&gt;0,deployment_raw[[#This Row],[Column20]]/IF(OR($E$2="Deployment",deployment_raw[[#This Row],[Column5]]=0),1,deployment_raw[[#This Row],[Column5]])/1048576/O674,0),"")</f>
        <v/>
      </c>
      <c r="O674" s="74" t="str">
        <f>IF(ISNUMBER(deployment_raw[[#This Row],[Column7]]), (deployment_raw[[#This Row],[Column7]] * IF($E$2="Deployment",deployment_raw[[#This Row],[Column5]],1))/1048576,"")</f>
        <v/>
      </c>
      <c r="P674" s="81" t="str">
        <f>IF(ISNUMBER(deployment_raw[[#This Row],[Column20]]), IF(Q674&lt;&gt;0,deployment_raw[[#This Row],[Column20]]/IF(OR($E$2="Deployment",deployment_raw[[#This Row],[Column5]]=0),1,deployment_raw[[#This Row],[Column5]])/1048576/Q674,0),"")</f>
        <v/>
      </c>
      <c r="Q674" s="76" t="str">
        <f>IF(ISNUMBER(deployment_raw[[#This Row],[Column9]]), (deployment_raw[[#This Row],[Column9]] * IF($E$2="Deployment",deployment_raw[[#This Row],[Column5]],1))/1048576,"")</f>
        <v/>
      </c>
      <c r="R674" s="57" t="str">
        <f>IF(ISNUMBER(deployment_raw[[#This Row],[Column10]]), (deployment_raw[[#This Row],[Column10]] * IF($E$2="Deployment",deployment_raw[[#This Row],[Column5]],1)),"")</f>
        <v/>
      </c>
      <c r="S674" s="48" t="str">
        <f>IF(ISNUMBER(deployment_raw[[#This Row],[Column11]]), (deployment_raw[[#This Row],[Column11]] * IF($E$2="Deployment",deployment_raw[[#This Row],[Column5]],1))/1048576,"")</f>
        <v/>
      </c>
      <c r="T674" s="59" t="str">
        <f>IF(ISNUMBER(deployment_raw[[#This Row],[Column8]]),IF(OR(deployment_raw[[#This Row],[Column5]] &lt;&gt; 0,$E$2 &lt;&gt; "Deployment"), MAX(V674, ($T$2 * IF($E$2="Deployment",deployment_raw[[#This Row],[Column5]],1))), 0),"")</f>
        <v/>
      </c>
      <c r="U674" s="50" t="str">
        <f>IF(ISNUMBER(deployment_raw[[#This Row],[Column9]]),IF(OR(deployment_raw[[#This Row],[Column5]] &lt;&gt; 0,$E$2&lt;&gt;"Deployment"), MAX(W674, ($U$2 * IF($E$2="Deployment",deployment_raw[[#This Row],[Column5]],1))), 0),"")</f>
        <v/>
      </c>
      <c r="V674" s="15" t="str">
        <f>IF(ISNUMBER(deployment_raw[[#This Row],[Column12]]), (deployment_raw[[#This Row],[Column12]] * IF($E$2="Deployment",deployment_raw[[#This Row],[Column5]],1)*(1+$V$2)),"")</f>
        <v/>
      </c>
      <c r="W674" s="14" t="str">
        <f>IF(ISNUMBER(deployment_raw[[#This Row],[Column13]]), (deployment_raw[[#This Row],[Column13]] * IF($E$2="Deployment",deployment_raw[[#This Row],[Column5]],1)*(1+$W$2))/1048576,"")</f>
        <v/>
      </c>
    </row>
    <row r="675" spans="1:23" ht="15.75" customHeight="1" x14ac:dyDescent="0.25">
      <c r="A675" s="5" t="str">
        <f>IF(ISNONTEXT(deployment_raw[[#This Row],[Column1]]), "", deployment_raw[[#This Row],[Column1]])</f>
        <v/>
      </c>
      <c r="B675" s="6" t="str">
        <f>IF(ISNONTEXT(deployment_raw[[#This Row],[Column2]]), "", deployment_raw[[#This Row],[Column2]])</f>
        <v/>
      </c>
      <c r="C675" s="6" t="str">
        <f>IF(ISNONTEXT(deployment_raw[[#This Row],[Column3]]), "", deployment_raw[[#This Row],[Column3]])</f>
        <v/>
      </c>
      <c r="D675" s="6" t="str">
        <f>IF(ISNONTEXT(deployment_raw[[#This Row],[Column4]]), "", deployment_raw[[#This Row],[Column4]])</f>
        <v/>
      </c>
      <c r="E675" s="7" t="str">
        <f>IF(ISNUMBER(deployment_raw[[#This Row],[Column5]]), deployment_raw[[#This Row],[Column5]],"")</f>
        <v/>
      </c>
      <c r="F675" s="32" t="str">
        <f>IF(ISNUMBER(deployment_raw[[#This Row],[Column17]]), deployment_raw[[#This Row],[Column17]]/IF(OR($E$2="Deployment",deployment_raw[[#This Row],[Column5]]=0),1,deployment_raw[[#This Row],[Column5]]),"")</f>
        <v/>
      </c>
      <c r="G675" s="42" t="str">
        <f>IF(ISNUMBER(deployment_raw[[#This Row],[Column14]]), deployment_raw[[#This Row],[Column14]]/IF(OR($E$2="Deployment",deployment_raw[[#This Row],[Column5]]=0),1,deployment_raw[[#This Row],[Column5]]),"")</f>
        <v/>
      </c>
      <c r="H675" s="79" t="str">
        <f>IF(ISNUMBER(deployment_raw[[#This Row],[Column19]]), IF(I675&lt;&gt;0,(deployment_raw[[#This Row],[Column19]]/IF(OR($E$2="Deployment",deployment_raw[[#This Row],[Column5]]=0),1,deployment_raw[[#This Row],[Column5]]))/I675,0),"")</f>
        <v/>
      </c>
      <c r="I675" s="69" t="str">
        <f>IF(ISNUMBER(deployment_raw[[#This Row],[Column6]]), (deployment_raw[[#This Row],[Column6]] * IF($E$2="Deployment",deployment_raw[[#This Row],[Column5]],1)),"")</f>
        <v/>
      </c>
      <c r="J675" s="79" t="str">
        <f>IF(ISNUMBER(deployment_raw[[#This Row],[Column19]]), IF(K675&lt;&gt;0,(deployment_raw[[#This Row],[Column19]]/IF(OR($E$2="Deployment",deployment_raw[[#This Row],[Column5]]=0),1,deployment_raw[[#This Row],[Column5]]))/K675,0),"")</f>
        <v/>
      </c>
      <c r="K675" s="72" t="str">
        <f>IF(ISNUMBER(deployment_raw[[#This Row],[Column8]]), (deployment_raw[[#This Row],[Column8]]  * IF($E$2="Deployment",deployment_raw[[#This Row],[Column5]],1)),"")</f>
        <v/>
      </c>
      <c r="L67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7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75" s="81" t="str">
        <f>IF(ISNUMBER(deployment_raw[[#This Row],[Column20]]), IF(O675&lt;&gt;0,deployment_raw[[#This Row],[Column20]]/IF(OR($E$2="Deployment",deployment_raw[[#This Row],[Column5]]=0),1,deployment_raw[[#This Row],[Column5]])/1048576/O675,0),"")</f>
        <v/>
      </c>
      <c r="O675" s="74" t="str">
        <f>IF(ISNUMBER(deployment_raw[[#This Row],[Column7]]), (deployment_raw[[#This Row],[Column7]] * IF($E$2="Deployment",deployment_raw[[#This Row],[Column5]],1))/1048576,"")</f>
        <v/>
      </c>
      <c r="P675" s="81" t="str">
        <f>IF(ISNUMBER(deployment_raw[[#This Row],[Column20]]), IF(Q675&lt;&gt;0,deployment_raw[[#This Row],[Column20]]/IF(OR($E$2="Deployment",deployment_raw[[#This Row],[Column5]]=0),1,deployment_raw[[#This Row],[Column5]])/1048576/Q675,0),"")</f>
        <v/>
      </c>
      <c r="Q675" s="76" t="str">
        <f>IF(ISNUMBER(deployment_raw[[#This Row],[Column9]]), (deployment_raw[[#This Row],[Column9]] * IF($E$2="Deployment",deployment_raw[[#This Row],[Column5]],1))/1048576,"")</f>
        <v/>
      </c>
      <c r="R675" s="57" t="str">
        <f>IF(ISNUMBER(deployment_raw[[#This Row],[Column10]]), (deployment_raw[[#This Row],[Column10]] * IF($E$2="Deployment",deployment_raw[[#This Row],[Column5]],1)),"")</f>
        <v/>
      </c>
      <c r="S675" s="48" t="str">
        <f>IF(ISNUMBER(deployment_raw[[#This Row],[Column11]]), (deployment_raw[[#This Row],[Column11]] * IF($E$2="Deployment",deployment_raw[[#This Row],[Column5]],1))/1048576,"")</f>
        <v/>
      </c>
      <c r="T675" s="59" t="str">
        <f>IF(ISNUMBER(deployment_raw[[#This Row],[Column8]]),IF(OR(deployment_raw[[#This Row],[Column5]] &lt;&gt; 0,$E$2 &lt;&gt; "Deployment"), MAX(V675, ($T$2 * IF($E$2="Deployment",deployment_raw[[#This Row],[Column5]],1))), 0),"")</f>
        <v/>
      </c>
      <c r="U675" s="50" t="str">
        <f>IF(ISNUMBER(deployment_raw[[#This Row],[Column9]]),IF(OR(deployment_raw[[#This Row],[Column5]] &lt;&gt; 0,$E$2&lt;&gt;"Deployment"), MAX(W675, ($U$2 * IF($E$2="Deployment",deployment_raw[[#This Row],[Column5]],1))), 0),"")</f>
        <v/>
      </c>
      <c r="V675" s="15" t="str">
        <f>IF(ISNUMBER(deployment_raw[[#This Row],[Column12]]), (deployment_raw[[#This Row],[Column12]] * IF($E$2="Deployment",deployment_raw[[#This Row],[Column5]],1)*(1+$V$2)),"")</f>
        <v/>
      </c>
      <c r="W675" s="14" t="str">
        <f>IF(ISNUMBER(deployment_raw[[#This Row],[Column13]]), (deployment_raw[[#This Row],[Column13]] * IF($E$2="Deployment",deployment_raw[[#This Row],[Column5]],1)*(1+$W$2))/1048576,"")</f>
        <v/>
      </c>
    </row>
    <row r="676" spans="1:23" ht="15.75" customHeight="1" x14ac:dyDescent="0.25">
      <c r="A676" s="5" t="str">
        <f>IF(ISNONTEXT(deployment_raw[[#This Row],[Column1]]), "", deployment_raw[[#This Row],[Column1]])</f>
        <v/>
      </c>
      <c r="B676" s="6" t="str">
        <f>IF(ISNONTEXT(deployment_raw[[#This Row],[Column2]]), "", deployment_raw[[#This Row],[Column2]])</f>
        <v/>
      </c>
      <c r="C676" s="6" t="str">
        <f>IF(ISNONTEXT(deployment_raw[[#This Row],[Column3]]), "", deployment_raw[[#This Row],[Column3]])</f>
        <v/>
      </c>
      <c r="D676" s="6" t="str">
        <f>IF(ISNONTEXT(deployment_raw[[#This Row],[Column4]]), "", deployment_raw[[#This Row],[Column4]])</f>
        <v/>
      </c>
      <c r="E676" s="7" t="str">
        <f>IF(ISNUMBER(deployment_raw[[#This Row],[Column5]]), deployment_raw[[#This Row],[Column5]],"")</f>
        <v/>
      </c>
      <c r="F676" s="32" t="str">
        <f>IF(ISNUMBER(deployment_raw[[#This Row],[Column17]]), deployment_raw[[#This Row],[Column17]]/IF(OR($E$2="Deployment",deployment_raw[[#This Row],[Column5]]=0),1,deployment_raw[[#This Row],[Column5]]),"")</f>
        <v/>
      </c>
      <c r="G676" s="42" t="str">
        <f>IF(ISNUMBER(deployment_raw[[#This Row],[Column14]]), deployment_raw[[#This Row],[Column14]]/IF(OR($E$2="Deployment",deployment_raw[[#This Row],[Column5]]=0),1,deployment_raw[[#This Row],[Column5]]),"")</f>
        <v/>
      </c>
      <c r="H676" s="79" t="str">
        <f>IF(ISNUMBER(deployment_raw[[#This Row],[Column19]]), IF(I676&lt;&gt;0,(deployment_raw[[#This Row],[Column19]]/IF(OR($E$2="Deployment",deployment_raw[[#This Row],[Column5]]=0),1,deployment_raw[[#This Row],[Column5]]))/I676,0),"")</f>
        <v/>
      </c>
      <c r="I676" s="69" t="str">
        <f>IF(ISNUMBER(deployment_raw[[#This Row],[Column6]]), (deployment_raw[[#This Row],[Column6]] * IF($E$2="Deployment",deployment_raw[[#This Row],[Column5]],1)),"")</f>
        <v/>
      </c>
      <c r="J676" s="79" t="str">
        <f>IF(ISNUMBER(deployment_raw[[#This Row],[Column19]]), IF(K676&lt;&gt;0,(deployment_raw[[#This Row],[Column19]]/IF(OR($E$2="Deployment",deployment_raw[[#This Row],[Column5]]=0),1,deployment_raw[[#This Row],[Column5]]))/K676,0),"")</f>
        <v/>
      </c>
      <c r="K676" s="72" t="str">
        <f>IF(ISNUMBER(deployment_raw[[#This Row],[Column8]]), (deployment_raw[[#This Row],[Column8]]  * IF($E$2="Deployment",deployment_raw[[#This Row],[Column5]],1)),"")</f>
        <v/>
      </c>
      <c r="L67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7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76" s="81" t="str">
        <f>IF(ISNUMBER(deployment_raw[[#This Row],[Column20]]), IF(O676&lt;&gt;0,deployment_raw[[#This Row],[Column20]]/IF(OR($E$2="Deployment",deployment_raw[[#This Row],[Column5]]=0),1,deployment_raw[[#This Row],[Column5]])/1048576/O676,0),"")</f>
        <v/>
      </c>
      <c r="O676" s="74" t="str">
        <f>IF(ISNUMBER(deployment_raw[[#This Row],[Column7]]), (deployment_raw[[#This Row],[Column7]] * IF($E$2="Deployment",deployment_raw[[#This Row],[Column5]],1))/1048576,"")</f>
        <v/>
      </c>
      <c r="P676" s="81" t="str">
        <f>IF(ISNUMBER(deployment_raw[[#This Row],[Column20]]), IF(Q676&lt;&gt;0,deployment_raw[[#This Row],[Column20]]/IF(OR($E$2="Deployment",deployment_raw[[#This Row],[Column5]]=0),1,deployment_raw[[#This Row],[Column5]])/1048576/Q676,0),"")</f>
        <v/>
      </c>
      <c r="Q676" s="76" t="str">
        <f>IF(ISNUMBER(deployment_raw[[#This Row],[Column9]]), (deployment_raw[[#This Row],[Column9]] * IF($E$2="Deployment",deployment_raw[[#This Row],[Column5]],1))/1048576,"")</f>
        <v/>
      </c>
      <c r="R676" s="57" t="str">
        <f>IF(ISNUMBER(deployment_raw[[#This Row],[Column10]]), (deployment_raw[[#This Row],[Column10]] * IF($E$2="Deployment",deployment_raw[[#This Row],[Column5]],1)),"")</f>
        <v/>
      </c>
      <c r="S676" s="48" t="str">
        <f>IF(ISNUMBER(deployment_raw[[#This Row],[Column11]]), (deployment_raw[[#This Row],[Column11]] * IF($E$2="Deployment",deployment_raw[[#This Row],[Column5]],1))/1048576,"")</f>
        <v/>
      </c>
      <c r="T676" s="59" t="str">
        <f>IF(ISNUMBER(deployment_raw[[#This Row],[Column8]]),IF(OR(deployment_raw[[#This Row],[Column5]] &lt;&gt; 0,$E$2 &lt;&gt; "Deployment"), MAX(V676, ($T$2 * IF($E$2="Deployment",deployment_raw[[#This Row],[Column5]],1))), 0),"")</f>
        <v/>
      </c>
      <c r="U676" s="50" t="str">
        <f>IF(ISNUMBER(deployment_raw[[#This Row],[Column9]]),IF(OR(deployment_raw[[#This Row],[Column5]] &lt;&gt; 0,$E$2&lt;&gt;"Deployment"), MAX(W676, ($U$2 * IF($E$2="Deployment",deployment_raw[[#This Row],[Column5]],1))), 0),"")</f>
        <v/>
      </c>
      <c r="V676" s="15" t="str">
        <f>IF(ISNUMBER(deployment_raw[[#This Row],[Column12]]), (deployment_raw[[#This Row],[Column12]] * IF($E$2="Deployment",deployment_raw[[#This Row],[Column5]],1)*(1+$V$2)),"")</f>
        <v/>
      </c>
      <c r="W676" s="14" t="str">
        <f>IF(ISNUMBER(deployment_raw[[#This Row],[Column13]]), (deployment_raw[[#This Row],[Column13]] * IF($E$2="Deployment",deployment_raw[[#This Row],[Column5]],1)*(1+$W$2))/1048576,"")</f>
        <v/>
      </c>
    </row>
    <row r="677" spans="1:23" ht="15.75" customHeight="1" x14ac:dyDescent="0.25">
      <c r="A677" s="5" t="str">
        <f>IF(ISNONTEXT(deployment_raw[[#This Row],[Column1]]), "", deployment_raw[[#This Row],[Column1]])</f>
        <v/>
      </c>
      <c r="B677" s="6" t="str">
        <f>IF(ISNONTEXT(deployment_raw[[#This Row],[Column2]]), "", deployment_raw[[#This Row],[Column2]])</f>
        <v/>
      </c>
      <c r="C677" s="6" t="str">
        <f>IF(ISNONTEXT(deployment_raw[[#This Row],[Column3]]), "", deployment_raw[[#This Row],[Column3]])</f>
        <v/>
      </c>
      <c r="D677" s="6" t="str">
        <f>IF(ISNONTEXT(deployment_raw[[#This Row],[Column4]]), "", deployment_raw[[#This Row],[Column4]])</f>
        <v/>
      </c>
      <c r="E677" s="7" t="str">
        <f>IF(ISNUMBER(deployment_raw[[#This Row],[Column5]]), deployment_raw[[#This Row],[Column5]],"")</f>
        <v/>
      </c>
      <c r="F677" s="32" t="str">
        <f>IF(ISNUMBER(deployment_raw[[#This Row],[Column17]]), deployment_raw[[#This Row],[Column17]]/IF(OR($E$2="Deployment",deployment_raw[[#This Row],[Column5]]=0),1,deployment_raw[[#This Row],[Column5]]),"")</f>
        <v/>
      </c>
      <c r="G677" s="42" t="str">
        <f>IF(ISNUMBER(deployment_raw[[#This Row],[Column14]]), deployment_raw[[#This Row],[Column14]]/IF(OR($E$2="Deployment",deployment_raw[[#This Row],[Column5]]=0),1,deployment_raw[[#This Row],[Column5]]),"")</f>
        <v/>
      </c>
      <c r="H677" s="79" t="str">
        <f>IF(ISNUMBER(deployment_raw[[#This Row],[Column19]]), IF(I677&lt;&gt;0,(deployment_raw[[#This Row],[Column19]]/IF(OR($E$2="Deployment",deployment_raw[[#This Row],[Column5]]=0),1,deployment_raw[[#This Row],[Column5]]))/I677,0),"")</f>
        <v/>
      </c>
      <c r="I677" s="69" t="str">
        <f>IF(ISNUMBER(deployment_raw[[#This Row],[Column6]]), (deployment_raw[[#This Row],[Column6]] * IF($E$2="Deployment",deployment_raw[[#This Row],[Column5]],1)),"")</f>
        <v/>
      </c>
      <c r="J677" s="79" t="str">
        <f>IF(ISNUMBER(deployment_raw[[#This Row],[Column19]]), IF(K677&lt;&gt;0,(deployment_raw[[#This Row],[Column19]]/IF(OR($E$2="Deployment",deployment_raw[[#This Row],[Column5]]=0),1,deployment_raw[[#This Row],[Column5]]))/K677,0),"")</f>
        <v/>
      </c>
      <c r="K677" s="72" t="str">
        <f>IF(ISNUMBER(deployment_raw[[#This Row],[Column8]]), (deployment_raw[[#This Row],[Column8]]  * IF($E$2="Deployment",deployment_raw[[#This Row],[Column5]],1)),"")</f>
        <v/>
      </c>
      <c r="L67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7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77" s="81" t="str">
        <f>IF(ISNUMBER(deployment_raw[[#This Row],[Column20]]), IF(O677&lt;&gt;0,deployment_raw[[#This Row],[Column20]]/IF(OR($E$2="Deployment",deployment_raw[[#This Row],[Column5]]=0),1,deployment_raw[[#This Row],[Column5]])/1048576/O677,0),"")</f>
        <v/>
      </c>
      <c r="O677" s="74" t="str">
        <f>IF(ISNUMBER(deployment_raw[[#This Row],[Column7]]), (deployment_raw[[#This Row],[Column7]] * IF($E$2="Deployment",deployment_raw[[#This Row],[Column5]],1))/1048576,"")</f>
        <v/>
      </c>
      <c r="P677" s="81" t="str">
        <f>IF(ISNUMBER(deployment_raw[[#This Row],[Column20]]), IF(Q677&lt;&gt;0,deployment_raw[[#This Row],[Column20]]/IF(OR($E$2="Deployment",deployment_raw[[#This Row],[Column5]]=0),1,deployment_raw[[#This Row],[Column5]])/1048576/Q677,0),"")</f>
        <v/>
      </c>
      <c r="Q677" s="76" t="str">
        <f>IF(ISNUMBER(deployment_raw[[#This Row],[Column9]]), (deployment_raw[[#This Row],[Column9]] * IF($E$2="Deployment",deployment_raw[[#This Row],[Column5]],1))/1048576,"")</f>
        <v/>
      </c>
      <c r="R677" s="57" t="str">
        <f>IF(ISNUMBER(deployment_raw[[#This Row],[Column10]]), (deployment_raw[[#This Row],[Column10]] * IF($E$2="Deployment",deployment_raw[[#This Row],[Column5]],1)),"")</f>
        <v/>
      </c>
      <c r="S677" s="48" t="str">
        <f>IF(ISNUMBER(deployment_raw[[#This Row],[Column11]]), (deployment_raw[[#This Row],[Column11]] * IF($E$2="Deployment",deployment_raw[[#This Row],[Column5]],1))/1048576,"")</f>
        <v/>
      </c>
      <c r="T677" s="59" t="str">
        <f>IF(ISNUMBER(deployment_raw[[#This Row],[Column8]]),IF(OR(deployment_raw[[#This Row],[Column5]] &lt;&gt; 0,$E$2 &lt;&gt; "Deployment"), MAX(V677, ($T$2 * IF($E$2="Deployment",deployment_raw[[#This Row],[Column5]],1))), 0),"")</f>
        <v/>
      </c>
      <c r="U677" s="50" t="str">
        <f>IF(ISNUMBER(deployment_raw[[#This Row],[Column9]]),IF(OR(deployment_raw[[#This Row],[Column5]] &lt;&gt; 0,$E$2&lt;&gt;"Deployment"), MAX(W677, ($U$2 * IF($E$2="Deployment",deployment_raw[[#This Row],[Column5]],1))), 0),"")</f>
        <v/>
      </c>
      <c r="V677" s="15" t="str">
        <f>IF(ISNUMBER(deployment_raw[[#This Row],[Column12]]), (deployment_raw[[#This Row],[Column12]] * IF($E$2="Deployment",deployment_raw[[#This Row],[Column5]],1)*(1+$V$2)),"")</f>
        <v/>
      </c>
      <c r="W677" s="14" t="str">
        <f>IF(ISNUMBER(deployment_raw[[#This Row],[Column13]]), (deployment_raw[[#This Row],[Column13]] * IF($E$2="Deployment",deployment_raw[[#This Row],[Column5]],1)*(1+$W$2))/1048576,"")</f>
        <v/>
      </c>
    </row>
    <row r="678" spans="1:23" ht="15.75" customHeight="1" x14ac:dyDescent="0.25">
      <c r="A678" s="5" t="str">
        <f>IF(ISNONTEXT(deployment_raw[[#This Row],[Column1]]), "", deployment_raw[[#This Row],[Column1]])</f>
        <v/>
      </c>
      <c r="B678" s="6" t="str">
        <f>IF(ISNONTEXT(deployment_raw[[#This Row],[Column2]]), "", deployment_raw[[#This Row],[Column2]])</f>
        <v/>
      </c>
      <c r="C678" s="6" t="str">
        <f>IF(ISNONTEXT(deployment_raw[[#This Row],[Column3]]), "", deployment_raw[[#This Row],[Column3]])</f>
        <v/>
      </c>
      <c r="D678" s="6" t="str">
        <f>IF(ISNONTEXT(deployment_raw[[#This Row],[Column4]]), "", deployment_raw[[#This Row],[Column4]])</f>
        <v/>
      </c>
      <c r="E678" s="7" t="str">
        <f>IF(ISNUMBER(deployment_raw[[#This Row],[Column5]]), deployment_raw[[#This Row],[Column5]],"")</f>
        <v/>
      </c>
      <c r="F678" s="32" t="str">
        <f>IF(ISNUMBER(deployment_raw[[#This Row],[Column17]]), deployment_raw[[#This Row],[Column17]]/IF(OR($E$2="Deployment",deployment_raw[[#This Row],[Column5]]=0),1,deployment_raw[[#This Row],[Column5]]),"")</f>
        <v/>
      </c>
      <c r="G678" s="42" t="str">
        <f>IF(ISNUMBER(deployment_raw[[#This Row],[Column14]]), deployment_raw[[#This Row],[Column14]]/IF(OR($E$2="Deployment",deployment_raw[[#This Row],[Column5]]=0),1,deployment_raw[[#This Row],[Column5]]),"")</f>
        <v/>
      </c>
      <c r="H678" s="79" t="str">
        <f>IF(ISNUMBER(deployment_raw[[#This Row],[Column19]]), IF(I678&lt;&gt;0,(deployment_raw[[#This Row],[Column19]]/IF(OR($E$2="Deployment",deployment_raw[[#This Row],[Column5]]=0),1,deployment_raw[[#This Row],[Column5]]))/I678,0),"")</f>
        <v/>
      </c>
      <c r="I678" s="69" t="str">
        <f>IF(ISNUMBER(deployment_raw[[#This Row],[Column6]]), (deployment_raw[[#This Row],[Column6]] * IF($E$2="Deployment",deployment_raw[[#This Row],[Column5]],1)),"")</f>
        <v/>
      </c>
      <c r="J678" s="79" t="str">
        <f>IF(ISNUMBER(deployment_raw[[#This Row],[Column19]]), IF(K678&lt;&gt;0,(deployment_raw[[#This Row],[Column19]]/IF(OR($E$2="Deployment",deployment_raw[[#This Row],[Column5]]=0),1,deployment_raw[[#This Row],[Column5]]))/K678,0),"")</f>
        <v/>
      </c>
      <c r="K678" s="72" t="str">
        <f>IF(ISNUMBER(deployment_raw[[#This Row],[Column8]]), (deployment_raw[[#This Row],[Column8]]  * IF($E$2="Deployment",deployment_raw[[#This Row],[Column5]],1)),"")</f>
        <v/>
      </c>
      <c r="L67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7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78" s="81" t="str">
        <f>IF(ISNUMBER(deployment_raw[[#This Row],[Column20]]), IF(O678&lt;&gt;0,deployment_raw[[#This Row],[Column20]]/IF(OR($E$2="Deployment",deployment_raw[[#This Row],[Column5]]=0),1,deployment_raw[[#This Row],[Column5]])/1048576/O678,0),"")</f>
        <v/>
      </c>
      <c r="O678" s="74" t="str">
        <f>IF(ISNUMBER(deployment_raw[[#This Row],[Column7]]), (deployment_raw[[#This Row],[Column7]] * IF($E$2="Deployment",deployment_raw[[#This Row],[Column5]],1))/1048576,"")</f>
        <v/>
      </c>
      <c r="P678" s="81" t="str">
        <f>IF(ISNUMBER(deployment_raw[[#This Row],[Column20]]), IF(Q678&lt;&gt;0,deployment_raw[[#This Row],[Column20]]/IF(OR($E$2="Deployment",deployment_raw[[#This Row],[Column5]]=0),1,deployment_raw[[#This Row],[Column5]])/1048576/Q678,0),"")</f>
        <v/>
      </c>
      <c r="Q678" s="76" t="str">
        <f>IF(ISNUMBER(deployment_raw[[#This Row],[Column9]]), (deployment_raw[[#This Row],[Column9]] * IF($E$2="Deployment",deployment_raw[[#This Row],[Column5]],1))/1048576,"")</f>
        <v/>
      </c>
      <c r="R678" s="57" t="str">
        <f>IF(ISNUMBER(deployment_raw[[#This Row],[Column10]]), (deployment_raw[[#This Row],[Column10]] * IF($E$2="Deployment",deployment_raw[[#This Row],[Column5]],1)),"")</f>
        <v/>
      </c>
      <c r="S678" s="48" t="str">
        <f>IF(ISNUMBER(deployment_raw[[#This Row],[Column11]]), (deployment_raw[[#This Row],[Column11]] * IF($E$2="Deployment",deployment_raw[[#This Row],[Column5]],1))/1048576,"")</f>
        <v/>
      </c>
      <c r="T678" s="59" t="str">
        <f>IF(ISNUMBER(deployment_raw[[#This Row],[Column8]]),IF(OR(deployment_raw[[#This Row],[Column5]] &lt;&gt; 0,$E$2 &lt;&gt; "Deployment"), MAX(V678, ($T$2 * IF($E$2="Deployment",deployment_raw[[#This Row],[Column5]],1))), 0),"")</f>
        <v/>
      </c>
      <c r="U678" s="50" t="str">
        <f>IF(ISNUMBER(deployment_raw[[#This Row],[Column9]]),IF(OR(deployment_raw[[#This Row],[Column5]] &lt;&gt; 0,$E$2&lt;&gt;"Deployment"), MAX(W678, ($U$2 * IF($E$2="Deployment",deployment_raw[[#This Row],[Column5]],1))), 0),"")</f>
        <v/>
      </c>
      <c r="V678" s="15" t="str">
        <f>IF(ISNUMBER(deployment_raw[[#This Row],[Column12]]), (deployment_raw[[#This Row],[Column12]] * IF($E$2="Deployment",deployment_raw[[#This Row],[Column5]],1)*(1+$V$2)),"")</f>
        <v/>
      </c>
      <c r="W678" s="14" t="str">
        <f>IF(ISNUMBER(deployment_raw[[#This Row],[Column13]]), (deployment_raw[[#This Row],[Column13]] * IF($E$2="Deployment",deployment_raw[[#This Row],[Column5]],1)*(1+$W$2))/1048576,"")</f>
        <v/>
      </c>
    </row>
    <row r="679" spans="1:23" ht="15.75" customHeight="1" x14ac:dyDescent="0.25">
      <c r="A679" s="5" t="str">
        <f>IF(ISNONTEXT(deployment_raw[[#This Row],[Column1]]), "", deployment_raw[[#This Row],[Column1]])</f>
        <v/>
      </c>
      <c r="B679" s="6" t="str">
        <f>IF(ISNONTEXT(deployment_raw[[#This Row],[Column2]]), "", deployment_raw[[#This Row],[Column2]])</f>
        <v/>
      </c>
      <c r="C679" s="6" t="str">
        <f>IF(ISNONTEXT(deployment_raw[[#This Row],[Column3]]), "", deployment_raw[[#This Row],[Column3]])</f>
        <v/>
      </c>
      <c r="D679" s="6" t="str">
        <f>IF(ISNONTEXT(deployment_raw[[#This Row],[Column4]]), "", deployment_raw[[#This Row],[Column4]])</f>
        <v/>
      </c>
      <c r="E679" s="7" t="str">
        <f>IF(ISNUMBER(deployment_raw[[#This Row],[Column5]]), deployment_raw[[#This Row],[Column5]],"")</f>
        <v/>
      </c>
      <c r="F679" s="32" t="str">
        <f>IF(ISNUMBER(deployment_raw[[#This Row],[Column17]]), deployment_raw[[#This Row],[Column17]]/IF(OR($E$2="Deployment",deployment_raw[[#This Row],[Column5]]=0),1,deployment_raw[[#This Row],[Column5]]),"")</f>
        <v/>
      </c>
      <c r="G679" s="42" t="str">
        <f>IF(ISNUMBER(deployment_raw[[#This Row],[Column14]]), deployment_raw[[#This Row],[Column14]]/IF(OR($E$2="Deployment",deployment_raw[[#This Row],[Column5]]=0),1,deployment_raw[[#This Row],[Column5]]),"")</f>
        <v/>
      </c>
      <c r="H679" s="79" t="str">
        <f>IF(ISNUMBER(deployment_raw[[#This Row],[Column19]]), IF(I679&lt;&gt;0,(deployment_raw[[#This Row],[Column19]]/IF(OR($E$2="Deployment",deployment_raw[[#This Row],[Column5]]=0),1,deployment_raw[[#This Row],[Column5]]))/I679,0),"")</f>
        <v/>
      </c>
      <c r="I679" s="69" t="str">
        <f>IF(ISNUMBER(deployment_raw[[#This Row],[Column6]]), (deployment_raw[[#This Row],[Column6]] * IF($E$2="Deployment",deployment_raw[[#This Row],[Column5]],1)),"")</f>
        <v/>
      </c>
      <c r="J679" s="79" t="str">
        <f>IF(ISNUMBER(deployment_raw[[#This Row],[Column19]]), IF(K679&lt;&gt;0,(deployment_raw[[#This Row],[Column19]]/IF(OR($E$2="Deployment",deployment_raw[[#This Row],[Column5]]=0),1,deployment_raw[[#This Row],[Column5]]))/K679,0),"")</f>
        <v/>
      </c>
      <c r="K679" s="72" t="str">
        <f>IF(ISNUMBER(deployment_raw[[#This Row],[Column8]]), (deployment_raw[[#This Row],[Column8]]  * IF($E$2="Deployment",deployment_raw[[#This Row],[Column5]],1)),"")</f>
        <v/>
      </c>
      <c r="L67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7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79" s="81" t="str">
        <f>IF(ISNUMBER(deployment_raw[[#This Row],[Column20]]), IF(O679&lt;&gt;0,deployment_raw[[#This Row],[Column20]]/IF(OR($E$2="Deployment",deployment_raw[[#This Row],[Column5]]=0),1,deployment_raw[[#This Row],[Column5]])/1048576/O679,0),"")</f>
        <v/>
      </c>
      <c r="O679" s="74" t="str">
        <f>IF(ISNUMBER(deployment_raw[[#This Row],[Column7]]), (deployment_raw[[#This Row],[Column7]] * IF($E$2="Deployment",deployment_raw[[#This Row],[Column5]],1))/1048576,"")</f>
        <v/>
      </c>
      <c r="P679" s="81" t="str">
        <f>IF(ISNUMBER(deployment_raw[[#This Row],[Column20]]), IF(Q679&lt;&gt;0,deployment_raw[[#This Row],[Column20]]/IF(OR($E$2="Deployment",deployment_raw[[#This Row],[Column5]]=0),1,deployment_raw[[#This Row],[Column5]])/1048576/Q679,0),"")</f>
        <v/>
      </c>
      <c r="Q679" s="76" t="str">
        <f>IF(ISNUMBER(deployment_raw[[#This Row],[Column9]]), (deployment_raw[[#This Row],[Column9]] * IF($E$2="Deployment",deployment_raw[[#This Row],[Column5]],1))/1048576,"")</f>
        <v/>
      </c>
      <c r="R679" s="57" t="str">
        <f>IF(ISNUMBER(deployment_raw[[#This Row],[Column10]]), (deployment_raw[[#This Row],[Column10]] * IF($E$2="Deployment",deployment_raw[[#This Row],[Column5]],1)),"")</f>
        <v/>
      </c>
      <c r="S679" s="48" t="str">
        <f>IF(ISNUMBER(deployment_raw[[#This Row],[Column11]]), (deployment_raw[[#This Row],[Column11]] * IF($E$2="Deployment",deployment_raw[[#This Row],[Column5]],1))/1048576,"")</f>
        <v/>
      </c>
      <c r="T679" s="59" t="str">
        <f>IF(ISNUMBER(deployment_raw[[#This Row],[Column8]]),IF(OR(deployment_raw[[#This Row],[Column5]] &lt;&gt; 0,$E$2 &lt;&gt; "Deployment"), MAX(V679, ($T$2 * IF($E$2="Deployment",deployment_raw[[#This Row],[Column5]],1))), 0),"")</f>
        <v/>
      </c>
      <c r="U679" s="50" t="str">
        <f>IF(ISNUMBER(deployment_raw[[#This Row],[Column9]]),IF(OR(deployment_raw[[#This Row],[Column5]] &lt;&gt; 0,$E$2&lt;&gt;"Deployment"), MAX(W679, ($U$2 * IF($E$2="Deployment",deployment_raw[[#This Row],[Column5]],1))), 0),"")</f>
        <v/>
      </c>
      <c r="V679" s="15" t="str">
        <f>IF(ISNUMBER(deployment_raw[[#This Row],[Column12]]), (deployment_raw[[#This Row],[Column12]] * IF($E$2="Deployment",deployment_raw[[#This Row],[Column5]],1)*(1+$V$2)),"")</f>
        <v/>
      </c>
      <c r="W679" s="14" t="str">
        <f>IF(ISNUMBER(deployment_raw[[#This Row],[Column13]]), (deployment_raw[[#This Row],[Column13]] * IF($E$2="Deployment",deployment_raw[[#This Row],[Column5]],1)*(1+$W$2))/1048576,"")</f>
        <v/>
      </c>
    </row>
    <row r="680" spans="1:23" ht="15.75" customHeight="1" x14ac:dyDescent="0.25">
      <c r="A680" s="5" t="str">
        <f>IF(ISNONTEXT(deployment_raw[[#This Row],[Column1]]), "", deployment_raw[[#This Row],[Column1]])</f>
        <v/>
      </c>
      <c r="B680" s="6" t="str">
        <f>IF(ISNONTEXT(deployment_raw[[#This Row],[Column2]]), "", deployment_raw[[#This Row],[Column2]])</f>
        <v/>
      </c>
      <c r="C680" s="6" t="str">
        <f>IF(ISNONTEXT(deployment_raw[[#This Row],[Column3]]), "", deployment_raw[[#This Row],[Column3]])</f>
        <v/>
      </c>
      <c r="D680" s="6" t="str">
        <f>IF(ISNONTEXT(deployment_raw[[#This Row],[Column4]]), "", deployment_raw[[#This Row],[Column4]])</f>
        <v/>
      </c>
      <c r="E680" s="7" t="str">
        <f>IF(ISNUMBER(deployment_raw[[#This Row],[Column5]]), deployment_raw[[#This Row],[Column5]],"")</f>
        <v/>
      </c>
      <c r="F680" s="32" t="str">
        <f>IF(ISNUMBER(deployment_raw[[#This Row],[Column17]]), deployment_raw[[#This Row],[Column17]]/IF(OR($E$2="Deployment",deployment_raw[[#This Row],[Column5]]=0),1,deployment_raw[[#This Row],[Column5]]),"")</f>
        <v/>
      </c>
      <c r="G680" s="42" t="str">
        <f>IF(ISNUMBER(deployment_raw[[#This Row],[Column14]]), deployment_raw[[#This Row],[Column14]]/IF(OR($E$2="Deployment",deployment_raw[[#This Row],[Column5]]=0),1,deployment_raw[[#This Row],[Column5]]),"")</f>
        <v/>
      </c>
      <c r="H680" s="79" t="str">
        <f>IF(ISNUMBER(deployment_raw[[#This Row],[Column19]]), IF(I680&lt;&gt;0,(deployment_raw[[#This Row],[Column19]]/IF(OR($E$2="Deployment",deployment_raw[[#This Row],[Column5]]=0),1,deployment_raw[[#This Row],[Column5]]))/I680,0),"")</f>
        <v/>
      </c>
      <c r="I680" s="69" t="str">
        <f>IF(ISNUMBER(deployment_raw[[#This Row],[Column6]]), (deployment_raw[[#This Row],[Column6]] * IF($E$2="Deployment",deployment_raw[[#This Row],[Column5]],1)),"")</f>
        <v/>
      </c>
      <c r="J680" s="79" t="str">
        <f>IF(ISNUMBER(deployment_raw[[#This Row],[Column19]]), IF(K680&lt;&gt;0,(deployment_raw[[#This Row],[Column19]]/IF(OR($E$2="Deployment",deployment_raw[[#This Row],[Column5]]=0),1,deployment_raw[[#This Row],[Column5]]))/K680,0),"")</f>
        <v/>
      </c>
      <c r="K680" s="72" t="str">
        <f>IF(ISNUMBER(deployment_raw[[#This Row],[Column8]]), (deployment_raw[[#This Row],[Column8]]  * IF($E$2="Deployment",deployment_raw[[#This Row],[Column5]],1)),"")</f>
        <v/>
      </c>
      <c r="L68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8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80" s="81" t="str">
        <f>IF(ISNUMBER(deployment_raw[[#This Row],[Column20]]), IF(O680&lt;&gt;0,deployment_raw[[#This Row],[Column20]]/IF(OR($E$2="Deployment",deployment_raw[[#This Row],[Column5]]=0),1,deployment_raw[[#This Row],[Column5]])/1048576/O680,0),"")</f>
        <v/>
      </c>
      <c r="O680" s="74" t="str">
        <f>IF(ISNUMBER(deployment_raw[[#This Row],[Column7]]), (deployment_raw[[#This Row],[Column7]] * IF($E$2="Deployment",deployment_raw[[#This Row],[Column5]],1))/1048576,"")</f>
        <v/>
      </c>
      <c r="P680" s="81" t="str">
        <f>IF(ISNUMBER(deployment_raw[[#This Row],[Column20]]), IF(Q680&lt;&gt;0,deployment_raw[[#This Row],[Column20]]/IF(OR($E$2="Deployment",deployment_raw[[#This Row],[Column5]]=0),1,deployment_raw[[#This Row],[Column5]])/1048576/Q680,0),"")</f>
        <v/>
      </c>
      <c r="Q680" s="76" t="str">
        <f>IF(ISNUMBER(deployment_raw[[#This Row],[Column9]]), (deployment_raw[[#This Row],[Column9]] * IF($E$2="Deployment",deployment_raw[[#This Row],[Column5]],1))/1048576,"")</f>
        <v/>
      </c>
      <c r="R680" s="57" t="str">
        <f>IF(ISNUMBER(deployment_raw[[#This Row],[Column10]]), (deployment_raw[[#This Row],[Column10]] * IF($E$2="Deployment",deployment_raw[[#This Row],[Column5]],1)),"")</f>
        <v/>
      </c>
      <c r="S680" s="48" t="str">
        <f>IF(ISNUMBER(deployment_raw[[#This Row],[Column11]]), (deployment_raw[[#This Row],[Column11]] * IF($E$2="Deployment",deployment_raw[[#This Row],[Column5]],1))/1048576,"")</f>
        <v/>
      </c>
      <c r="T680" s="59" t="str">
        <f>IF(ISNUMBER(deployment_raw[[#This Row],[Column8]]),IF(OR(deployment_raw[[#This Row],[Column5]] &lt;&gt; 0,$E$2 &lt;&gt; "Deployment"), MAX(V680, ($T$2 * IF($E$2="Deployment",deployment_raw[[#This Row],[Column5]],1))), 0),"")</f>
        <v/>
      </c>
      <c r="U680" s="50" t="str">
        <f>IF(ISNUMBER(deployment_raw[[#This Row],[Column9]]),IF(OR(deployment_raw[[#This Row],[Column5]] &lt;&gt; 0,$E$2&lt;&gt;"Deployment"), MAX(W680, ($U$2 * IF($E$2="Deployment",deployment_raw[[#This Row],[Column5]],1))), 0),"")</f>
        <v/>
      </c>
      <c r="V680" s="15" t="str">
        <f>IF(ISNUMBER(deployment_raw[[#This Row],[Column12]]), (deployment_raw[[#This Row],[Column12]] * IF($E$2="Deployment",deployment_raw[[#This Row],[Column5]],1)*(1+$V$2)),"")</f>
        <v/>
      </c>
      <c r="W680" s="14" t="str">
        <f>IF(ISNUMBER(deployment_raw[[#This Row],[Column13]]), (deployment_raw[[#This Row],[Column13]] * IF($E$2="Deployment",deployment_raw[[#This Row],[Column5]],1)*(1+$W$2))/1048576,"")</f>
        <v/>
      </c>
    </row>
    <row r="681" spans="1:23" ht="15.75" customHeight="1" x14ac:dyDescent="0.25">
      <c r="A681" s="5" t="str">
        <f>IF(ISNONTEXT(deployment_raw[[#This Row],[Column1]]), "", deployment_raw[[#This Row],[Column1]])</f>
        <v/>
      </c>
      <c r="B681" s="6" t="str">
        <f>IF(ISNONTEXT(deployment_raw[[#This Row],[Column2]]), "", deployment_raw[[#This Row],[Column2]])</f>
        <v/>
      </c>
      <c r="C681" s="6" t="str">
        <f>IF(ISNONTEXT(deployment_raw[[#This Row],[Column3]]), "", deployment_raw[[#This Row],[Column3]])</f>
        <v/>
      </c>
      <c r="D681" s="6" t="str">
        <f>IF(ISNONTEXT(deployment_raw[[#This Row],[Column4]]), "", deployment_raw[[#This Row],[Column4]])</f>
        <v/>
      </c>
      <c r="E681" s="7" t="str">
        <f>IF(ISNUMBER(deployment_raw[[#This Row],[Column5]]), deployment_raw[[#This Row],[Column5]],"")</f>
        <v/>
      </c>
      <c r="F681" s="32" t="str">
        <f>IF(ISNUMBER(deployment_raw[[#This Row],[Column17]]), deployment_raw[[#This Row],[Column17]]/IF(OR($E$2="Deployment",deployment_raw[[#This Row],[Column5]]=0),1,deployment_raw[[#This Row],[Column5]]),"")</f>
        <v/>
      </c>
      <c r="G681" s="42" t="str">
        <f>IF(ISNUMBER(deployment_raw[[#This Row],[Column14]]), deployment_raw[[#This Row],[Column14]]/IF(OR($E$2="Deployment",deployment_raw[[#This Row],[Column5]]=0),1,deployment_raw[[#This Row],[Column5]]),"")</f>
        <v/>
      </c>
      <c r="H681" s="79" t="str">
        <f>IF(ISNUMBER(deployment_raw[[#This Row],[Column19]]), IF(I681&lt;&gt;0,(deployment_raw[[#This Row],[Column19]]/IF(OR($E$2="Deployment",deployment_raw[[#This Row],[Column5]]=0),1,deployment_raw[[#This Row],[Column5]]))/I681,0),"")</f>
        <v/>
      </c>
      <c r="I681" s="69" t="str">
        <f>IF(ISNUMBER(deployment_raw[[#This Row],[Column6]]), (deployment_raw[[#This Row],[Column6]] * IF($E$2="Deployment",deployment_raw[[#This Row],[Column5]],1)),"")</f>
        <v/>
      </c>
      <c r="J681" s="79" t="str">
        <f>IF(ISNUMBER(deployment_raw[[#This Row],[Column19]]), IF(K681&lt;&gt;0,(deployment_raw[[#This Row],[Column19]]/IF(OR($E$2="Deployment",deployment_raw[[#This Row],[Column5]]=0),1,deployment_raw[[#This Row],[Column5]]))/K681,0),"")</f>
        <v/>
      </c>
      <c r="K681" s="72" t="str">
        <f>IF(ISNUMBER(deployment_raw[[#This Row],[Column8]]), (deployment_raw[[#This Row],[Column8]]  * IF($E$2="Deployment",deployment_raw[[#This Row],[Column5]],1)),"")</f>
        <v/>
      </c>
      <c r="L68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8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81" s="81" t="str">
        <f>IF(ISNUMBER(deployment_raw[[#This Row],[Column20]]), IF(O681&lt;&gt;0,deployment_raw[[#This Row],[Column20]]/IF(OR($E$2="Deployment",deployment_raw[[#This Row],[Column5]]=0),1,deployment_raw[[#This Row],[Column5]])/1048576/O681,0),"")</f>
        <v/>
      </c>
      <c r="O681" s="74" t="str">
        <f>IF(ISNUMBER(deployment_raw[[#This Row],[Column7]]), (deployment_raw[[#This Row],[Column7]] * IF($E$2="Deployment",deployment_raw[[#This Row],[Column5]],1))/1048576,"")</f>
        <v/>
      </c>
      <c r="P681" s="81" t="str">
        <f>IF(ISNUMBER(deployment_raw[[#This Row],[Column20]]), IF(Q681&lt;&gt;0,deployment_raw[[#This Row],[Column20]]/IF(OR($E$2="Deployment",deployment_raw[[#This Row],[Column5]]=0),1,deployment_raw[[#This Row],[Column5]])/1048576/Q681,0),"")</f>
        <v/>
      </c>
      <c r="Q681" s="76" t="str">
        <f>IF(ISNUMBER(deployment_raw[[#This Row],[Column9]]), (deployment_raw[[#This Row],[Column9]] * IF($E$2="Deployment",deployment_raw[[#This Row],[Column5]],1))/1048576,"")</f>
        <v/>
      </c>
      <c r="R681" s="57" t="str">
        <f>IF(ISNUMBER(deployment_raw[[#This Row],[Column10]]), (deployment_raw[[#This Row],[Column10]] * IF($E$2="Deployment",deployment_raw[[#This Row],[Column5]],1)),"")</f>
        <v/>
      </c>
      <c r="S681" s="48" t="str">
        <f>IF(ISNUMBER(deployment_raw[[#This Row],[Column11]]), (deployment_raw[[#This Row],[Column11]] * IF($E$2="Deployment",deployment_raw[[#This Row],[Column5]],1))/1048576,"")</f>
        <v/>
      </c>
      <c r="T681" s="59" t="str">
        <f>IF(ISNUMBER(deployment_raw[[#This Row],[Column8]]),IF(OR(deployment_raw[[#This Row],[Column5]] &lt;&gt; 0,$E$2 &lt;&gt; "Deployment"), MAX(V681, ($T$2 * IF($E$2="Deployment",deployment_raw[[#This Row],[Column5]],1))), 0),"")</f>
        <v/>
      </c>
      <c r="U681" s="50" t="str">
        <f>IF(ISNUMBER(deployment_raw[[#This Row],[Column9]]),IF(OR(deployment_raw[[#This Row],[Column5]] &lt;&gt; 0,$E$2&lt;&gt;"Deployment"), MAX(W681, ($U$2 * IF($E$2="Deployment",deployment_raw[[#This Row],[Column5]],1))), 0),"")</f>
        <v/>
      </c>
      <c r="V681" s="15" t="str">
        <f>IF(ISNUMBER(deployment_raw[[#This Row],[Column12]]), (deployment_raw[[#This Row],[Column12]] * IF($E$2="Deployment",deployment_raw[[#This Row],[Column5]],1)*(1+$V$2)),"")</f>
        <v/>
      </c>
      <c r="W681" s="14" t="str">
        <f>IF(ISNUMBER(deployment_raw[[#This Row],[Column13]]), (deployment_raw[[#This Row],[Column13]] * IF($E$2="Deployment",deployment_raw[[#This Row],[Column5]],1)*(1+$W$2))/1048576,"")</f>
        <v/>
      </c>
    </row>
    <row r="682" spans="1:23" ht="15.75" customHeight="1" x14ac:dyDescent="0.25">
      <c r="A682" s="5" t="str">
        <f>IF(ISNONTEXT(deployment_raw[[#This Row],[Column1]]), "", deployment_raw[[#This Row],[Column1]])</f>
        <v/>
      </c>
      <c r="B682" s="6" t="str">
        <f>IF(ISNONTEXT(deployment_raw[[#This Row],[Column2]]), "", deployment_raw[[#This Row],[Column2]])</f>
        <v/>
      </c>
      <c r="C682" s="6" t="str">
        <f>IF(ISNONTEXT(deployment_raw[[#This Row],[Column3]]), "", deployment_raw[[#This Row],[Column3]])</f>
        <v/>
      </c>
      <c r="D682" s="6" t="str">
        <f>IF(ISNONTEXT(deployment_raw[[#This Row],[Column4]]), "", deployment_raw[[#This Row],[Column4]])</f>
        <v/>
      </c>
      <c r="E682" s="7" t="str">
        <f>IF(ISNUMBER(deployment_raw[[#This Row],[Column5]]), deployment_raw[[#This Row],[Column5]],"")</f>
        <v/>
      </c>
      <c r="F682" s="32" t="str">
        <f>IF(ISNUMBER(deployment_raw[[#This Row],[Column17]]), deployment_raw[[#This Row],[Column17]]/IF(OR($E$2="Deployment",deployment_raw[[#This Row],[Column5]]=0),1,deployment_raw[[#This Row],[Column5]]),"")</f>
        <v/>
      </c>
      <c r="G682" s="42" t="str">
        <f>IF(ISNUMBER(deployment_raw[[#This Row],[Column14]]), deployment_raw[[#This Row],[Column14]]/IF(OR($E$2="Deployment",deployment_raw[[#This Row],[Column5]]=0),1,deployment_raw[[#This Row],[Column5]]),"")</f>
        <v/>
      </c>
      <c r="H682" s="79" t="str">
        <f>IF(ISNUMBER(deployment_raw[[#This Row],[Column19]]), IF(I682&lt;&gt;0,(deployment_raw[[#This Row],[Column19]]/IF(OR($E$2="Deployment",deployment_raw[[#This Row],[Column5]]=0),1,deployment_raw[[#This Row],[Column5]]))/I682,0),"")</f>
        <v/>
      </c>
      <c r="I682" s="69" t="str">
        <f>IF(ISNUMBER(deployment_raw[[#This Row],[Column6]]), (deployment_raw[[#This Row],[Column6]] * IF($E$2="Deployment",deployment_raw[[#This Row],[Column5]],1)),"")</f>
        <v/>
      </c>
      <c r="J682" s="79" t="str">
        <f>IF(ISNUMBER(deployment_raw[[#This Row],[Column19]]), IF(K682&lt;&gt;0,(deployment_raw[[#This Row],[Column19]]/IF(OR($E$2="Deployment",deployment_raw[[#This Row],[Column5]]=0),1,deployment_raw[[#This Row],[Column5]]))/K682,0),"")</f>
        <v/>
      </c>
      <c r="K682" s="72" t="str">
        <f>IF(ISNUMBER(deployment_raw[[#This Row],[Column8]]), (deployment_raw[[#This Row],[Column8]]  * IF($E$2="Deployment",deployment_raw[[#This Row],[Column5]],1)),"")</f>
        <v/>
      </c>
      <c r="L68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8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82" s="81" t="str">
        <f>IF(ISNUMBER(deployment_raw[[#This Row],[Column20]]), IF(O682&lt;&gt;0,deployment_raw[[#This Row],[Column20]]/IF(OR($E$2="Deployment",deployment_raw[[#This Row],[Column5]]=0),1,deployment_raw[[#This Row],[Column5]])/1048576/O682,0),"")</f>
        <v/>
      </c>
      <c r="O682" s="74" t="str">
        <f>IF(ISNUMBER(deployment_raw[[#This Row],[Column7]]), (deployment_raw[[#This Row],[Column7]] * IF($E$2="Deployment",deployment_raw[[#This Row],[Column5]],1))/1048576,"")</f>
        <v/>
      </c>
      <c r="P682" s="81" t="str">
        <f>IF(ISNUMBER(deployment_raw[[#This Row],[Column20]]), IF(Q682&lt;&gt;0,deployment_raw[[#This Row],[Column20]]/IF(OR($E$2="Deployment",deployment_raw[[#This Row],[Column5]]=0),1,deployment_raw[[#This Row],[Column5]])/1048576/Q682,0),"")</f>
        <v/>
      </c>
      <c r="Q682" s="76" t="str">
        <f>IF(ISNUMBER(deployment_raw[[#This Row],[Column9]]), (deployment_raw[[#This Row],[Column9]] * IF($E$2="Deployment",deployment_raw[[#This Row],[Column5]],1))/1048576,"")</f>
        <v/>
      </c>
      <c r="R682" s="57" t="str">
        <f>IF(ISNUMBER(deployment_raw[[#This Row],[Column10]]), (deployment_raw[[#This Row],[Column10]] * IF($E$2="Deployment",deployment_raw[[#This Row],[Column5]],1)),"")</f>
        <v/>
      </c>
      <c r="S682" s="48" t="str">
        <f>IF(ISNUMBER(deployment_raw[[#This Row],[Column11]]), (deployment_raw[[#This Row],[Column11]] * IF($E$2="Deployment",deployment_raw[[#This Row],[Column5]],1))/1048576,"")</f>
        <v/>
      </c>
      <c r="T682" s="59" t="str">
        <f>IF(ISNUMBER(deployment_raw[[#This Row],[Column8]]),IF(OR(deployment_raw[[#This Row],[Column5]] &lt;&gt; 0,$E$2 &lt;&gt; "Deployment"), MAX(V682, ($T$2 * IF($E$2="Deployment",deployment_raw[[#This Row],[Column5]],1))), 0),"")</f>
        <v/>
      </c>
      <c r="U682" s="50" t="str">
        <f>IF(ISNUMBER(deployment_raw[[#This Row],[Column9]]),IF(OR(deployment_raw[[#This Row],[Column5]] &lt;&gt; 0,$E$2&lt;&gt;"Deployment"), MAX(W682, ($U$2 * IF($E$2="Deployment",deployment_raw[[#This Row],[Column5]],1))), 0),"")</f>
        <v/>
      </c>
      <c r="V682" s="15" t="str">
        <f>IF(ISNUMBER(deployment_raw[[#This Row],[Column12]]), (deployment_raw[[#This Row],[Column12]] * IF($E$2="Deployment",deployment_raw[[#This Row],[Column5]],1)*(1+$V$2)),"")</f>
        <v/>
      </c>
      <c r="W682" s="14" t="str">
        <f>IF(ISNUMBER(deployment_raw[[#This Row],[Column13]]), (deployment_raw[[#This Row],[Column13]] * IF($E$2="Deployment",deployment_raw[[#This Row],[Column5]],1)*(1+$W$2))/1048576,"")</f>
        <v/>
      </c>
    </row>
    <row r="683" spans="1:23" ht="15.75" customHeight="1" x14ac:dyDescent="0.25">
      <c r="A683" s="5" t="str">
        <f>IF(ISNONTEXT(deployment_raw[[#This Row],[Column1]]), "", deployment_raw[[#This Row],[Column1]])</f>
        <v/>
      </c>
      <c r="B683" s="6" t="str">
        <f>IF(ISNONTEXT(deployment_raw[[#This Row],[Column2]]), "", deployment_raw[[#This Row],[Column2]])</f>
        <v/>
      </c>
      <c r="C683" s="6" t="str">
        <f>IF(ISNONTEXT(deployment_raw[[#This Row],[Column3]]), "", deployment_raw[[#This Row],[Column3]])</f>
        <v/>
      </c>
      <c r="D683" s="6" t="str">
        <f>IF(ISNONTEXT(deployment_raw[[#This Row],[Column4]]), "", deployment_raw[[#This Row],[Column4]])</f>
        <v/>
      </c>
      <c r="E683" s="7" t="str">
        <f>IF(ISNUMBER(deployment_raw[[#This Row],[Column5]]), deployment_raw[[#This Row],[Column5]],"")</f>
        <v/>
      </c>
      <c r="F683" s="32" t="str">
        <f>IF(ISNUMBER(deployment_raw[[#This Row],[Column17]]), deployment_raw[[#This Row],[Column17]]/IF(OR($E$2="Deployment",deployment_raw[[#This Row],[Column5]]=0),1,deployment_raw[[#This Row],[Column5]]),"")</f>
        <v/>
      </c>
      <c r="G683" s="42" t="str">
        <f>IF(ISNUMBER(deployment_raw[[#This Row],[Column14]]), deployment_raw[[#This Row],[Column14]]/IF(OR($E$2="Deployment",deployment_raw[[#This Row],[Column5]]=0),1,deployment_raw[[#This Row],[Column5]]),"")</f>
        <v/>
      </c>
      <c r="H683" s="79" t="str">
        <f>IF(ISNUMBER(deployment_raw[[#This Row],[Column19]]), IF(I683&lt;&gt;0,(deployment_raw[[#This Row],[Column19]]/IF(OR($E$2="Deployment",deployment_raw[[#This Row],[Column5]]=0),1,deployment_raw[[#This Row],[Column5]]))/I683,0),"")</f>
        <v/>
      </c>
      <c r="I683" s="69" t="str">
        <f>IF(ISNUMBER(deployment_raw[[#This Row],[Column6]]), (deployment_raw[[#This Row],[Column6]] * IF($E$2="Deployment",deployment_raw[[#This Row],[Column5]],1)),"")</f>
        <v/>
      </c>
      <c r="J683" s="79" t="str">
        <f>IF(ISNUMBER(deployment_raw[[#This Row],[Column19]]), IF(K683&lt;&gt;0,(deployment_raw[[#This Row],[Column19]]/IF(OR($E$2="Deployment",deployment_raw[[#This Row],[Column5]]=0),1,deployment_raw[[#This Row],[Column5]]))/K683,0),"")</f>
        <v/>
      </c>
      <c r="K683" s="72" t="str">
        <f>IF(ISNUMBER(deployment_raw[[#This Row],[Column8]]), (deployment_raw[[#This Row],[Column8]]  * IF($E$2="Deployment",deployment_raw[[#This Row],[Column5]],1)),"")</f>
        <v/>
      </c>
      <c r="L68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8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83" s="81" t="str">
        <f>IF(ISNUMBER(deployment_raw[[#This Row],[Column20]]), IF(O683&lt;&gt;0,deployment_raw[[#This Row],[Column20]]/IF(OR($E$2="Deployment",deployment_raw[[#This Row],[Column5]]=0),1,deployment_raw[[#This Row],[Column5]])/1048576/O683,0),"")</f>
        <v/>
      </c>
      <c r="O683" s="74" t="str">
        <f>IF(ISNUMBER(deployment_raw[[#This Row],[Column7]]), (deployment_raw[[#This Row],[Column7]] * IF($E$2="Deployment",deployment_raw[[#This Row],[Column5]],1))/1048576,"")</f>
        <v/>
      </c>
      <c r="P683" s="81" t="str">
        <f>IF(ISNUMBER(deployment_raw[[#This Row],[Column20]]), IF(Q683&lt;&gt;0,deployment_raw[[#This Row],[Column20]]/IF(OR($E$2="Deployment",deployment_raw[[#This Row],[Column5]]=0),1,deployment_raw[[#This Row],[Column5]])/1048576/Q683,0),"")</f>
        <v/>
      </c>
      <c r="Q683" s="76" t="str">
        <f>IF(ISNUMBER(deployment_raw[[#This Row],[Column9]]), (deployment_raw[[#This Row],[Column9]] * IF($E$2="Deployment",deployment_raw[[#This Row],[Column5]],1))/1048576,"")</f>
        <v/>
      </c>
      <c r="R683" s="57" t="str">
        <f>IF(ISNUMBER(deployment_raw[[#This Row],[Column10]]), (deployment_raw[[#This Row],[Column10]] * IF($E$2="Deployment",deployment_raw[[#This Row],[Column5]],1)),"")</f>
        <v/>
      </c>
      <c r="S683" s="48" t="str">
        <f>IF(ISNUMBER(deployment_raw[[#This Row],[Column11]]), (deployment_raw[[#This Row],[Column11]] * IF($E$2="Deployment",deployment_raw[[#This Row],[Column5]],1))/1048576,"")</f>
        <v/>
      </c>
      <c r="T683" s="59" t="str">
        <f>IF(ISNUMBER(deployment_raw[[#This Row],[Column8]]),IF(OR(deployment_raw[[#This Row],[Column5]] &lt;&gt; 0,$E$2 &lt;&gt; "Deployment"), MAX(V683, ($T$2 * IF($E$2="Deployment",deployment_raw[[#This Row],[Column5]],1))), 0),"")</f>
        <v/>
      </c>
      <c r="U683" s="50" t="str">
        <f>IF(ISNUMBER(deployment_raw[[#This Row],[Column9]]),IF(OR(deployment_raw[[#This Row],[Column5]] &lt;&gt; 0,$E$2&lt;&gt;"Deployment"), MAX(W683, ($U$2 * IF($E$2="Deployment",deployment_raw[[#This Row],[Column5]],1))), 0),"")</f>
        <v/>
      </c>
      <c r="V683" s="15" t="str">
        <f>IF(ISNUMBER(deployment_raw[[#This Row],[Column12]]), (deployment_raw[[#This Row],[Column12]] * IF($E$2="Deployment",deployment_raw[[#This Row],[Column5]],1)*(1+$V$2)),"")</f>
        <v/>
      </c>
      <c r="W683" s="14" t="str">
        <f>IF(ISNUMBER(deployment_raw[[#This Row],[Column13]]), (deployment_raw[[#This Row],[Column13]] * IF($E$2="Deployment",deployment_raw[[#This Row],[Column5]],1)*(1+$W$2))/1048576,"")</f>
        <v/>
      </c>
    </row>
    <row r="684" spans="1:23" ht="15.75" customHeight="1" x14ac:dyDescent="0.25">
      <c r="A684" s="5" t="str">
        <f>IF(ISNONTEXT(deployment_raw[[#This Row],[Column1]]), "", deployment_raw[[#This Row],[Column1]])</f>
        <v/>
      </c>
      <c r="B684" s="6" t="str">
        <f>IF(ISNONTEXT(deployment_raw[[#This Row],[Column2]]), "", deployment_raw[[#This Row],[Column2]])</f>
        <v/>
      </c>
      <c r="C684" s="6" t="str">
        <f>IF(ISNONTEXT(deployment_raw[[#This Row],[Column3]]), "", deployment_raw[[#This Row],[Column3]])</f>
        <v/>
      </c>
      <c r="D684" s="6" t="str">
        <f>IF(ISNONTEXT(deployment_raw[[#This Row],[Column4]]), "", deployment_raw[[#This Row],[Column4]])</f>
        <v/>
      </c>
      <c r="E684" s="7" t="str">
        <f>IF(ISNUMBER(deployment_raw[[#This Row],[Column5]]), deployment_raw[[#This Row],[Column5]],"")</f>
        <v/>
      </c>
      <c r="F684" s="32" t="str">
        <f>IF(ISNUMBER(deployment_raw[[#This Row],[Column17]]), deployment_raw[[#This Row],[Column17]]/IF(OR($E$2="Deployment",deployment_raw[[#This Row],[Column5]]=0),1,deployment_raw[[#This Row],[Column5]]),"")</f>
        <v/>
      </c>
      <c r="G684" s="42" t="str">
        <f>IF(ISNUMBER(deployment_raw[[#This Row],[Column14]]), deployment_raw[[#This Row],[Column14]]/IF(OR($E$2="Deployment",deployment_raw[[#This Row],[Column5]]=0),1,deployment_raw[[#This Row],[Column5]]),"")</f>
        <v/>
      </c>
      <c r="H684" s="79" t="str">
        <f>IF(ISNUMBER(deployment_raw[[#This Row],[Column19]]), IF(I684&lt;&gt;0,(deployment_raw[[#This Row],[Column19]]/IF(OR($E$2="Deployment",deployment_raw[[#This Row],[Column5]]=0),1,deployment_raw[[#This Row],[Column5]]))/I684,0),"")</f>
        <v/>
      </c>
      <c r="I684" s="69" t="str">
        <f>IF(ISNUMBER(deployment_raw[[#This Row],[Column6]]), (deployment_raw[[#This Row],[Column6]] * IF($E$2="Deployment",deployment_raw[[#This Row],[Column5]],1)),"")</f>
        <v/>
      </c>
      <c r="J684" s="79" t="str">
        <f>IF(ISNUMBER(deployment_raw[[#This Row],[Column19]]), IF(K684&lt;&gt;0,(deployment_raw[[#This Row],[Column19]]/IF(OR($E$2="Deployment",deployment_raw[[#This Row],[Column5]]=0),1,deployment_raw[[#This Row],[Column5]]))/K684,0),"")</f>
        <v/>
      </c>
      <c r="K684" s="72" t="str">
        <f>IF(ISNUMBER(deployment_raw[[#This Row],[Column8]]), (deployment_raw[[#This Row],[Column8]]  * IF($E$2="Deployment",deployment_raw[[#This Row],[Column5]],1)),"")</f>
        <v/>
      </c>
      <c r="L68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8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84" s="81" t="str">
        <f>IF(ISNUMBER(deployment_raw[[#This Row],[Column20]]), IF(O684&lt;&gt;0,deployment_raw[[#This Row],[Column20]]/IF(OR($E$2="Deployment",deployment_raw[[#This Row],[Column5]]=0),1,deployment_raw[[#This Row],[Column5]])/1048576/O684,0),"")</f>
        <v/>
      </c>
      <c r="O684" s="74" t="str">
        <f>IF(ISNUMBER(deployment_raw[[#This Row],[Column7]]), (deployment_raw[[#This Row],[Column7]] * IF($E$2="Deployment",deployment_raw[[#This Row],[Column5]],1))/1048576,"")</f>
        <v/>
      </c>
      <c r="P684" s="81" t="str">
        <f>IF(ISNUMBER(deployment_raw[[#This Row],[Column20]]), IF(Q684&lt;&gt;0,deployment_raw[[#This Row],[Column20]]/IF(OR($E$2="Deployment",deployment_raw[[#This Row],[Column5]]=0),1,deployment_raw[[#This Row],[Column5]])/1048576/Q684,0),"")</f>
        <v/>
      </c>
      <c r="Q684" s="76" t="str">
        <f>IF(ISNUMBER(deployment_raw[[#This Row],[Column9]]), (deployment_raw[[#This Row],[Column9]] * IF($E$2="Deployment",deployment_raw[[#This Row],[Column5]],1))/1048576,"")</f>
        <v/>
      </c>
      <c r="R684" s="57" t="str">
        <f>IF(ISNUMBER(deployment_raw[[#This Row],[Column10]]), (deployment_raw[[#This Row],[Column10]] * IF($E$2="Deployment",deployment_raw[[#This Row],[Column5]],1)),"")</f>
        <v/>
      </c>
      <c r="S684" s="48" t="str">
        <f>IF(ISNUMBER(deployment_raw[[#This Row],[Column11]]), (deployment_raw[[#This Row],[Column11]] * IF($E$2="Deployment",deployment_raw[[#This Row],[Column5]],1))/1048576,"")</f>
        <v/>
      </c>
      <c r="T684" s="59" t="str">
        <f>IF(ISNUMBER(deployment_raw[[#This Row],[Column8]]),IF(OR(deployment_raw[[#This Row],[Column5]] &lt;&gt; 0,$E$2 &lt;&gt; "Deployment"), MAX(V684, ($T$2 * IF($E$2="Deployment",deployment_raw[[#This Row],[Column5]],1))), 0),"")</f>
        <v/>
      </c>
      <c r="U684" s="50" t="str">
        <f>IF(ISNUMBER(deployment_raw[[#This Row],[Column9]]),IF(OR(deployment_raw[[#This Row],[Column5]] &lt;&gt; 0,$E$2&lt;&gt;"Deployment"), MAX(W684, ($U$2 * IF($E$2="Deployment",deployment_raw[[#This Row],[Column5]],1))), 0),"")</f>
        <v/>
      </c>
      <c r="V684" s="15" t="str">
        <f>IF(ISNUMBER(deployment_raw[[#This Row],[Column12]]), (deployment_raw[[#This Row],[Column12]] * IF($E$2="Deployment",deployment_raw[[#This Row],[Column5]],1)*(1+$V$2)),"")</f>
        <v/>
      </c>
      <c r="W684" s="14" t="str">
        <f>IF(ISNUMBER(deployment_raw[[#This Row],[Column13]]), (deployment_raw[[#This Row],[Column13]] * IF($E$2="Deployment",deployment_raw[[#This Row],[Column5]],1)*(1+$W$2))/1048576,"")</f>
        <v/>
      </c>
    </row>
    <row r="685" spans="1:23" ht="15.75" customHeight="1" x14ac:dyDescent="0.25">
      <c r="A685" s="5" t="str">
        <f>IF(ISNONTEXT(deployment_raw[[#This Row],[Column1]]), "", deployment_raw[[#This Row],[Column1]])</f>
        <v/>
      </c>
      <c r="B685" s="6" t="str">
        <f>IF(ISNONTEXT(deployment_raw[[#This Row],[Column2]]), "", deployment_raw[[#This Row],[Column2]])</f>
        <v/>
      </c>
      <c r="C685" s="6" t="str">
        <f>IF(ISNONTEXT(deployment_raw[[#This Row],[Column3]]), "", deployment_raw[[#This Row],[Column3]])</f>
        <v/>
      </c>
      <c r="D685" s="6" t="str">
        <f>IF(ISNONTEXT(deployment_raw[[#This Row],[Column4]]), "", deployment_raw[[#This Row],[Column4]])</f>
        <v/>
      </c>
      <c r="E685" s="7" t="str">
        <f>IF(ISNUMBER(deployment_raw[[#This Row],[Column5]]), deployment_raw[[#This Row],[Column5]],"")</f>
        <v/>
      </c>
      <c r="F685" s="32" t="str">
        <f>IF(ISNUMBER(deployment_raw[[#This Row],[Column17]]), deployment_raw[[#This Row],[Column17]]/IF(OR($E$2="Deployment",deployment_raw[[#This Row],[Column5]]=0),1,deployment_raw[[#This Row],[Column5]]),"")</f>
        <v/>
      </c>
      <c r="G685" s="42" t="str">
        <f>IF(ISNUMBER(deployment_raw[[#This Row],[Column14]]), deployment_raw[[#This Row],[Column14]]/IF(OR($E$2="Deployment",deployment_raw[[#This Row],[Column5]]=0),1,deployment_raw[[#This Row],[Column5]]),"")</f>
        <v/>
      </c>
      <c r="H685" s="79" t="str">
        <f>IF(ISNUMBER(deployment_raw[[#This Row],[Column19]]), IF(I685&lt;&gt;0,(deployment_raw[[#This Row],[Column19]]/IF(OR($E$2="Deployment",deployment_raw[[#This Row],[Column5]]=0),1,deployment_raw[[#This Row],[Column5]]))/I685,0),"")</f>
        <v/>
      </c>
      <c r="I685" s="69" t="str">
        <f>IF(ISNUMBER(deployment_raw[[#This Row],[Column6]]), (deployment_raw[[#This Row],[Column6]] * IF($E$2="Deployment",deployment_raw[[#This Row],[Column5]],1)),"")</f>
        <v/>
      </c>
      <c r="J685" s="79" t="str">
        <f>IF(ISNUMBER(deployment_raw[[#This Row],[Column19]]), IF(K685&lt;&gt;0,(deployment_raw[[#This Row],[Column19]]/IF(OR($E$2="Deployment",deployment_raw[[#This Row],[Column5]]=0),1,deployment_raw[[#This Row],[Column5]]))/K685,0),"")</f>
        <v/>
      </c>
      <c r="K685" s="72" t="str">
        <f>IF(ISNUMBER(deployment_raw[[#This Row],[Column8]]), (deployment_raw[[#This Row],[Column8]]  * IF($E$2="Deployment",deployment_raw[[#This Row],[Column5]],1)),"")</f>
        <v/>
      </c>
      <c r="L68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8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85" s="81" t="str">
        <f>IF(ISNUMBER(deployment_raw[[#This Row],[Column20]]), IF(O685&lt;&gt;0,deployment_raw[[#This Row],[Column20]]/IF(OR($E$2="Deployment",deployment_raw[[#This Row],[Column5]]=0),1,deployment_raw[[#This Row],[Column5]])/1048576/O685,0),"")</f>
        <v/>
      </c>
      <c r="O685" s="74" t="str">
        <f>IF(ISNUMBER(deployment_raw[[#This Row],[Column7]]), (deployment_raw[[#This Row],[Column7]] * IF($E$2="Deployment",deployment_raw[[#This Row],[Column5]],1))/1048576,"")</f>
        <v/>
      </c>
      <c r="P685" s="81" t="str">
        <f>IF(ISNUMBER(deployment_raw[[#This Row],[Column20]]), IF(Q685&lt;&gt;0,deployment_raw[[#This Row],[Column20]]/IF(OR($E$2="Deployment",deployment_raw[[#This Row],[Column5]]=0),1,deployment_raw[[#This Row],[Column5]])/1048576/Q685,0),"")</f>
        <v/>
      </c>
      <c r="Q685" s="76" t="str">
        <f>IF(ISNUMBER(deployment_raw[[#This Row],[Column9]]), (deployment_raw[[#This Row],[Column9]] * IF($E$2="Deployment",deployment_raw[[#This Row],[Column5]],1))/1048576,"")</f>
        <v/>
      </c>
      <c r="R685" s="57" t="str">
        <f>IF(ISNUMBER(deployment_raw[[#This Row],[Column10]]), (deployment_raw[[#This Row],[Column10]] * IF($E$2="Deployment",deployment_raw[[#This Row],[Column5]],1)),"")</f>
        <v/>
      </c>
      <c r="S685" s="48" t="str">
        <f>IF(ISNUMBER(deployment_raw[[#This Row],[Column11]]), (deployment_raw[[#This Row],[Column11]] * IF($E$2="Deployment",deployment_raw[[#This Row],[Column5]],1))/1048576,"")</f>
        <v/>
      </c>
      <c r="T685" s="59" t="str">
        <f>IF(ISNUMBER(deployment_raw[[#This Row],[Column8]]),IF(OR(deployment_raw[[#This Row],[Column5]] &lt;&gt; 0,$E$2 &lt;&gt; "Deployment"), MAX(V685, ($T$2 * IF($E$2="Deployment",deployment_raw[[#This Row],[Column5]],1))), 0),"")</f>
        <v/>
      </c>
      <c r="U685" s="50" t="str">
        <f>IF(ISNUMBER(deployment_raw[[#This Row],[Column9]]),IF(OR(deployment_raw[[#This Row],[Column5]] &lt;&gt; 0,$E$2&lt;&gt;"Deployment"), MAX(W685, ($U$2 * IF($E$2="Deployment",deployment_raw[[#This Row],[Column5]],1))), 0),"")</f>
        <v/>
      </c>
      <c r="V685" s="15" t="str">
        <f>IF(ISNUMBER(deployment_raw[[#This Row],[Column12]]), (deployment_raw[[#This Row],[Column12]] * IF($E$2="Deployment",deployment_raw[[#This Row],[Column5]],1)*(1+$V$2)),"")</f>
        <v/>
      </c>
      <c r="W685" s="14" t="str">
        <f>IF(ISNUMBER(deployment_raw[[#This Row],[Column13]]), (deployment_raw[[#This Row],[Column13]] * IF($E$2="Deployment",deployment_raw[[#This Row],[Column5]],1)*(1+$W$2))/1048576,"")</f>
        <v/>
      </c>
    </row>
    <row r="686" spans="1:23" ht="15.75" customHeight="1" x14ac:dyDescent="0.25">
      <c r="A686" s="5" t="str">
        <f>IF(ISNONTEXT(deployment_raw[[#This Row],[Column1]]), "", deployment_raw[[#This Row],[Column1]])</f>
        <v/>
      </c>
      <c r="B686" s="6" t="str">
        <f>IF(ISNONTEXT(deployment_raw[[#This Row],[Column2]]), "", deployment_raw[[#This Row],[Column2]])</f>
        <v/>
      </c>
      <c r="C686" s="6" t="str">
        <f>IF(ISNONTEXT(deployment_raw[[#This Row],[Column3]]), "", deployment_raw[[#This Row],[Column3]])</f>
        <v/>
      </c>
      <c r="D686" s="6" t="str">
        <f>IF(ISNONTEXT(deployment_raw[[#This Row],[Column4]]), "", deployment_raw[[#This Row],[Column4]])</f>
        <v/>
      </c>
      <c r="E686" s="7" t="str">
        <f>IF(ISNUMBER(deployment_raw[[#This Row],[Column5]]), deployment_raw[[#This Row],[Column5]],"")</f>
        <v/>
      </c>
      <c r="F686" s="32" t="str">
        <f>IF(ISNUMBER(deployment_raw[[#This Row],[Column17]]), deployment_raw[[#This Row],[Column17]]/IF(OR($E$2="Deployment",deployment_raw[[#This Row],[Column5]]=0),1,deployment_raw[[#This Row],[Column5]]),"")</f>
        <v/>
      </c>
      <c r="G686" s="42" t="str">
        <f>IF(ISNUMBER(deployment_raw[[#This Row],[Column14]]), deployment_raw[[#This Row],[Column14]]/IF(OR($E$2="Deployment",deployment_raw[[#This Row],[Column5]]=0),1,deployment_raw[[#This Row],[Column5]]),"")</f>
        <v/>
      </c>
      <c r="H686" s="79" t="str">
        <f>IF(ISNUMBER(deployment_raw[[#This Row],[Column19]]), IF(I686&lt;&gt;0,(deployment_raw[[#This Row],[Column19]]/IF(OR($E$2="Deployment",deployment_raw[[#This Row],[Column5]]=0),1,deployment_raw[[#This Row],[Column5]]))/I686,0),"")</f>
        <v/>
      </c>
      <c r="I686" s="69" t="str">
        <f>IF(ISNUMBER(deployment_raw[[#This Row],[Column6]]), (deployment_raw[[#This Row],[Column6]] * IF($E$2="Deployment",deployment_raw[[#This Row],[Column5]],1)),"")</f>
        <v/>
      </c>
      <c r="J686" s="79" t="str">
        <f>IF(ISNUMBER(deployment_raw[[#This Row],[Column19]]), IF(K686&lt;&gt;0,(deployment_raw[[#This Row],[Column19]]/IF(OR($E$2="Deployment",deployment_raw[[#This Row],[Column5]]=0),1,deployment_raw[[#This Row],[Column5]]))/K686,0),"")</f>
        <v/>
      </c>
      <c r="K686" s="72" t="str">
        <f>IF(ISNUMBER(deployment_raw[[#This Row],[Column8]]), (deployment_raw[[#This Row],[Column8]]  * IF($E$2="Deployment",deployment_raw[[#This Row],[Column5]],1)),"")</f>
        <v/>
      </c>
      <c r="L68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8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86" s="81" t="str">
        <f>IF(ISNUMBER(deployment_raw[[#This Row],[Column20]]), IF(O686&lt;&gt;0,deployment_raw[[#This Row],[Column20]]/IF(OR($E$2="Deployment",deployment_raw[[#This Row],[Column5]]=0),1,deployment_raw[[#This Row],[Column5]])/1048576/O686,0),"")</f>
        <v/>
      </c>
      <c r="O686" s="74" t="str">
        <f>IF(ISNUMBER(deployment_raw[[#This Row],[Column7]]), (deployment_raw[[#This Row],[Column7]] * IF($E$2="Deployment",deployment_raw[[#This Row],[Column5]],1))/1048576,"")</f>
        <v/>
      </c>
      <c r="P686" s="81" t="str">
        <f>IF(ISNUMBER(deployment_raw[[#This Row],[Column20]]), IF(Q686&lt;&gt;0,deployment_raw[[#This Row],[Column20]]/IF(OR($E$2="Deployment",deployment_raw[[#This Row],[Column5]]=0),1,deployment_raw[[#This Row],[Column5]])/1048576/Q686,0),"")</f>
        <v/>
      </c>
      <c r="Q686" s="76" t="str">
        <f>IF(ISNUMBER(deployment_raw[[#This Row],[Column9]]), (deployment_raw[[#This Row],[Column9]] * IF($E$2="Deployment",deployment_raw[[#This Row],[Column5]],1))/1048576,"")</f>
        <v/>
      </c>
      <c r="R686" s="57" t="str">
        <f>IF(ISNUMBER(deployment_raw[[#This Row],[Column10]]), (deployment_raw[[#This Row],[Column10]] * IF($E$2="Deployment",deployment_raw[[#This Row],[Column5]],1)),"")</f>
        <v/>
      </c>
      <c r="S686" s="48" t="str">
        <f>IF(ISNUMBER(deployment_raw[[#This Row],[Column11]]), (deployment_raw[[#This Row],[Column11]] * IF($E$2="Deployment",deployment_raw[[#This Row],[Column5]],1))/1048576,"")</f>
        <v/>
      </c>
      <c r="T686" s="59" t="str">
        <f>IF(ISNUMBER(deployment_raw[[#This Row],[Column8]]),IF(OR(deployment_raw[[#This Row],[Column5]] &lt;&gt; 0,$E$2 &lt;&gt; "Deployment"), MAX(V686, ($T$2 * IF($E$2="Deployment",deployment_raw[[#This Row],[Column5]],1))), 0),"")</f>
        <v/>
      </c>
      <c r="U686" s="50" t="str">
        <f>IF(ISNUMBER(deployment_raw[[#This Row],[Column9]]),IF(OR(deployment_raw[[#This Row],[Column5]] &lt;&gt; 0,$E$2&lt;&gt;"Deployment"), MAX(W686, ($U$2 * IF($E$2="Deployment",deployment_raw[[#This Row],[Column5]],1))), 0),"")</f>
        <v/>
      </c>
      <c r="V686" s="15" t="str">
        <f>IF(ISNUMBER(deployment_raw[[#This Row],[Column12]]), (deployment_raw[[#This Row],[Column12]] * IF($E$2="Deployment",deployment_raw[[#This Row],[Column5]],1)*(1+$V$2)),"")</f>
        <v/>
      </c>
      <c r="W686" s="14" t="str">
        <f>IF(ISNUMBER(deployment_raw[[#This Row],[Column13]]), (deployment_raw[[#This Row],[Column13]] * IF($E$2="Deployment",deployment_raw[[#This Row],[Column5]],1)*(1+$W$2))/1048576,"")</f>
        <v/>
      </c>
    </row>
    <row r="687" spans="1:23" ht="15.75" customHeight="1" x14ac:dyDescent="0.25">
      <c r="A687" s="5" t="str">
        <f>IF(ISNONTEXT(deployment_raw[[#This Row],[Column1]]), "", deployment_raw[[#This Row],[Column1]])</f>
        <v/>
      </c>
      <c r="B687" s="6" t="str">
        <f>IF(ISNONTEXT(deployment_raw[[#This Row],[Column2]]), "", deployment_raw[[#This Row],[Column2]])</f>
        <v/>
      </c>
      <c r="C687" s="6" t="str">
        <f>IF(ISNONTEXT(deployment_raw[[#This Row],[Column3]]), "", deployment_raw[[#This Row],[Column3]])</f>
        <v/>
      </c>
      <c r="D687" s="6" t="str">
        <f>IF(ISNONTEXT(deployment_raw[[#This Row],[Column4]]), "", deployment_raw[[#This Row],[Column4]])</f>
        <v/>
      </c>
      <c r="E687" s="7" t="str">
        <f>IF(ISNUMBER(deployment_raw[[#This Row],[Column5]]), deployment_raw[[#This Row],[Column5]],"")</f>
        <v/>
      </c>
      <c r="F687" s="32" t="str">
        <f>IF(ISNUMBER(deployment_raw[[#This Row],[Column17]]), deployment_raw[[#This Row],[Column17]]/IF(OR($E$2="Deployment",deployment_raw[[#This Row],[Column5]]=0),1,deployment_raw[[#This Row],[Column5]]),"")</f>
        <v/>
      </c>
      <c r="G687" s="42" t="str">
        <f>IF(ISNUMBER(deployment_raw[[#This Row],[Column14]]), deployment_raw[[#This Row],[Column14]]/IF(OR($E$2="Deployment",deployment_raw[[#This Row],[Column5]]=0),1,deployment_raw[[#This Row],[Column5]]),"")</f>
        <v/>
      </c>
      <c r="H687" s="79" t="str">
        <f>IF(ISNUMBER(deployment_raw[[#This Row],[Column19]]), IF(I687&lt;&gt;0,(deployment_raw[[#This Row],[Column19]]/IF(OR($E$2="Deployment",deployment_raw[[#This Row],[Column5]]=0),1,deployment_raw[[#This Row],[Column5]]))/I687,0),"")</f>
        <v/>
      </c>
      <c r="I687" s="69" t="str">
        <f>IF(ISNUMBER(deployment_raw[[#This Row],[Column6]]), (deployment_raw[[#This Row],[Column6]] * IF($E$2="Deployment",deployment_raw[[#This Row],[Column5]],1)),"")</f>
        <v/>
      </c>
      <c r="J687" s="79" t="str">
        <f>IF(ISNUMBER(deployment_raw[[#This Row],[Column19]]), IF(K687&lt;&gt;0,(deployment_raw[[#This Row],[Column19]]/IF(OR($E$2="Deployment",deployment_raw[[#This Row],[Column5]]=0),1,deployment_raw[[#This Row],[Column5]]))/K687,0),"")</f>
        <v/>
      </c>
      <c r="K687" s="72" t="str">
        <f>IF(ISNUMBER(deployment_raw[[#This Row],[Column8]]), (deployment_raw[[#This Row],[Column8]]  * IF($E$2="Deployment",deployment_raw[[#This Row],[Column5]],1)),"")</f>
        <v/>
      </c>
      <c r="L68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8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87" s="81" t="str">
        <f>IF(ISNUMBER(deployment_raw[[#This Row],[Column20]]), IF(O687&lt;&gt;0,deployment_raw[[#This Row],[Column20]]/IF(OR($E$2="Deployment",deployment_raw[[#This Row],[Column5]]=0),1,deployment_raw[[#This Row],[Column5]])/1048576/O687,0),"")</f>
        <v/>
      </c>
      <c r="O687" s="74" t="str">
        <f>IF(ISNUMBER(deployment_raw[[#This Row],[Column7]]), (deployment_raw[[#This Row],[Column7]] * IF($E$2="Deployment",deployment_raw[[#This Row],[Column5]],1))/1048576,"")</f>
        <v/>
      </c>
      <c r="P687" s="81" t="str">
        <f>IF(ISNUMBER(deployment_raw[[#This Row],[Column20]]), IF(Q687&lt;&gt;0,deployment_raw[[#This Row],[Column20]]/IF(OR($E$2="Deployment",deployment_raw[[#This Row],[Column5]]=0),1,deployment_raw[[#This Row],[Column5]])/1048576/Q687,0),"")</f>
        <v/>
      </c>
      <c r="Q687" s="76" t="str">
        <f>IF(ISNUMBER(deployment_raw[[#This Row],[Column9]]), (deployment_raw[[#This Row],[Column9]] * IF($E$2="Deployment",deployment_raw[[#This Row],[Column5]],1))/1048576,"")</f>
        <v/>
      </c>
      <c r="R687" s="57" t="str">
        <f>IF(ISNUMBER(deployment_raw[[#This Row],[Column10]]), (deployment_raw[[#This Row],[Column10]] * IF($E$2="Deployment",deployment_raw[[#This Row],[Column5]],1)),"")</f>
        <v/>
      </c>
      <c r="S687" s="48" t="str">
        <f>IF(ISNUMBER(deployment_raw[[#This Row],[Column11]]), (deployment_raw[[#This Row],[Column11]] * IF($E$2="Deployment",deployment_raw[[#This Row],[Column5]],1))/1048576,"")</f>
        <v/>
      </c>
      <c r="T687" s="59" t="str">
        <f>IF(ISNUMBER(deployment_raw[[#This Row],[Column8]]),IF(OR(deployment_raw[[#This Row],[Column5]] &lt;&gt; 0,$E$2 &lt;&gt; "Deployment"), MAX(V687, ($T$2 * IF($E$2="Deployment",deployment_raw[[#This Row],[Column5]],1))), 0),"")</f>
        <v/>
      </c>
      <c r="U687" s="50" t="str">
        <f>IF(ISNUMBER(deployment_raw[[#This Row],[Column9]]),IF(OR(deployment_raw[[#This Row],[Column5]] &lt;&gt; 0,$E$2&lt;&gt;"Deployment"), MAX(W687, ($U$2 * IF($E$2="Deployment",deployment_raw[[#This Row],[Column5]],1))), 0),"")</f>
        <v/>
      </c>
      <c r="V687" s="15" t="str">
        <f>IF(ISNUMBER(deployment_raw[[#This Row],[Column12]]), (deployment_raw[[#This Row],[Column12]] * IF($E$2="Deployment",deployment_raw[[#This Row],[Column5]],1)*(1+$V$2)),"")</f>
        <v/>
      </c>
      <c r="W687" s="14" t="str">
        <f>IF(ISNUMBER(deployment_raw[[#This Row],[Column13]]), (deployment_raw[[#This Row],[Column13]] * IF($E$2="Deployment",deployment_raw[[#This Row],[Column5]],1)*(1+$W$2))/1048576,"")</f>
        <v/>
      </c>
    </row>
    <row r="688" spans="1:23" ht="15.75" customHeight="1" x14ac:dyDescent="0.25">
      <c r="A688" s="5" t="str">
        <f>IF(ISNONTEXT(deployment_raw[[#This Row],[Column1]]), "", deployment_raw[[#This Row],[Column1]])</f>
        <v/>
      </c>
      <c r="B688" s="6" t="str">
        <f>IF(ISNONTEXT(deployment_raw[[#This Row],[Column2]]), "", deployment_raw[[#This Row],[Column2]])</f>
        <v/>
      </c>
      <c r="C688" s="6" t="str">
        <f>IF(ISNONTEXT(deployment_raw[[#This Row],[Column3]]), "", deployment_raw[[#This Row],[Column3]])</f>
        <v/>
      </c>
      <c r="D688" s="6" t="str">
        <f>IF(ISNONTEXT(deployment_raw[[#This Row],[Column4]]), "", deployment_raw[[#This Row],[Column4]])</f>
        <v/>
      </c>
      <c r="E688" s="7" t="str">
        <f>IF(ISNUMBER(deployment_raw[[#This Row],[Column5]]), deployment_raw[[#This Row],[Column5]],"")</f>
        <v/>
      </c>
      <c r="F688" s="32" t="str">
        <f>IF(ISNUMBER(deployment_raw[[#This Row],[Column17]]), deployment_raw[[#This Row],[Column17]]/IF(OR($E$2="Deployment",deployment_raw[[#This Row],[Column5]]=0),1,deployment_raw[[#This Row],[Column5]]),"")</f>
        <v/>
      </c>
      <c r="G688" s="42" t="str">
        <f>IF(ISNUMBER(deployment_raw[[#This Row],[Column14]]), deployment_raw[[#This Row],[Column14]]/IF(OR($E$2="Deployment",deployment_raw[[#This Row],[Column5]]=0),1,deployment_raw[[#This Row],[Column5]]),"")</f>
        <v/>
      </c>
      <c r="H688" s="79" t="str">
        <f>IF(ISNUMBER(deployment_raw[[#This Row],[Column19]]), IF(I688&lt;&gt;0,(deployment_raw[[#This Row],[Column19]]/IF(OR($E$2="Deployment",deployment_raw[[#This Row],[Column5]]=0),1,deployment_raw[[#This Row],[Column5]]))/I688,0),"")</f>
        <v/>
      </c>
      <c r="I688" s="69" t="str">
        <f>IF(ISNUMBER(deployment_raw[[#This Row],[Column6]]), (deployment_raw[[#This Row],[Column6]] * IF($E$2="Deployment",deployment_raw[[#This Row],[Column5]],1)),"")</f>
        <v/>
      </c>
      <c r="J688" s="79" t="str">
        <f>IF(ISNUMBER(deployment_raw[[#This Row],[Column19]]), IF(K688&lt;&gt;0,(deployment_raw[[#This Row],[Column19]]/IF(OR($E$2="Deployment",deployment_raw[[#This Row],[Column5]]=0),1,deployment_raw[[#This Row],[Column5]]))/K688,0),"")</f>
        <v/>
      </c>
      <c r="K688" s="72" t="str">
        <f>IF(ISNUMBER(deployment_raw[[#This Row],[Column8]]), (deployment_raw[[#This Row],[Column8]]  * IF($E$2="Deployment",deployment_raw[[#This Row],[Column5]],1)),"")</f>
        <v/>
      </c>
      <c r="L68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8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88" s="81" t="str">
        <f>IF(ISNUMBER(deployment_raw[[#This Row],[Column20]]), IF(O688&lt;&gt;0,deployment_raw[[#This Row],[Column20]]/IF(OR($E$2="Deployment",deployment_raw[[#This Row],[Column5]]=0),1,deployment_raw[[#This Row],[Column5]])/1048576/O688,0),"")</f>
        <v/>
      </c>
      <c r="O688" s="74" t="str">
        <f>IF(ISNUMBER(deployment_raw[[#This Row],[Column7]]), (deployment_raw[[#This Row],[Column7]] * IF($E$2="Deployment",deployment_raw[[#This Row],[Column5]],1))/1048576,"")</f>
        <v/>
      </c>
      <c r="P688" s="81" t="str">
        <f>IF(ISNUMBER(deployment_raw[[#This Row],[Column20]]), IF(Q688&lt;&gt;0,deployment_raw[[#This Row],[Column20]]/IF(OR($E$2="Deployment",deployment_raw[[#This Row],[Column5]]=0),1,deployment_raw[[#This Row],[Column5]])/1048576/Q688,0),"")</f>
        <v/>
      </c>
      <c r="Q688" s="76" t="str">
        <f>IF(ISNUMBER(deployment_raw[[#This Row],[Column9]]), (deployment_raw[[#This Row],[Column9]] * IF($E$2="Deployment",deployment_raw[[#This Row],[Column5]],1))/1048576,"")</f>
        <v/>
      </c>
      <c r="R688" s="57" t="str">
        <f>IF(ISNUMBER(deployment_raw[[#This Row],[Column10]]), (deployment_raw[[#This Row],[Column10]] * IF($E$2="Deployment",deployment_raw[[#This Row],[Column5]],1)),"")</f>
        <v/>
      </c>
      <c r="S688" s="48" t="str">
        <f>IF(ISNUMBER(deployment_raw[[#This Row],[Column11]]), (deployment_raw[[#This Row],[Column11]] * IF($E$2="Deployment",deployment_raw[[#This Row],[Column5]],1))/1048576,"")</f>
        <v/>
      </c>
      <c r="T688" s="59" t="str">
        <f>IF(ISNUMBER(deployment_raw[[#This Row],[Column8]]),IF(OR(deployment_raw[[#This Row],[Column5]] &lt;&gt; 0,$E$2 &lt;&gt; "Deployment"), MAX(V688, ($T$2 * IF($E$2="Deployment",deployment_raw[[#This Row],[Column5]],1))), 0),"")</f>
        <v/>
      </c>
      <c r="U688" s="50" t="str">
        <f>IF(ISNUMBER(deployment_raw[[#This Row],[Column9]]),IF(OR(deployment_raw[[#This Row],[Column5]] &lt;&gt; 0,$E$2&lt;&gt;"Deployment"), MAX(W688, ($U$2 * IF($E$2="Deployment",deployment_raw[[#This Row],[Column5]],1))), 0),"")</f>
        <v/>
      </c>
      <c r="V688" s="15" t="str">
        <f>IF(ISNUMBER(deployment_raw[[#This Row],[Column12]]), (deployment_raw[[#This Row],[Column12]] * IF($E$2="Deployment",deployment_raw[[#This Row],[Column5]],1)*(1+$V$2)),"")</f>
        <v/>
      </c>
      <c r="W688" s="14" t="str">
        <f>IF(ISNUMBER(deployment_raw[[#This Row],[Column13]]), (deployment_raw[[#This Row],[Column13]] * IF($E$2="Deployment",deployment_raw[[#This Row],[Column5]],1)*(1+$W$2))/1048576,"")</f>
        <v/>
      </c>
    </row>
    <row r="689" spans="1:23" ht="15.75" customHeight="1" x14ac:dyDescent="0.25">
      <c r="A689" s="5" t="str">
        <f>IF(ISNONTEXT(deployment_raw[[#This Row],[Column1]]), "", deployment_raw[[#This Row],[Column1]])</f>
        <v/>
      </c>
      <c r="B689" s="6" t="str">
        <f>IF(ISNONTEXT(deployment_raw[[#This Row],[Column2]]), "", deployment_raw[[#This Row],[Column2]])</f>
        <v/>
      </c>
      <c r="C689" s="6" t="str">
        <f>IF(ISNONTEXT(deployment_raw[[#This Row],[Column3]]), "", deployment_raw[[#This Row],[Column3]])</f>
        <v/>
      </c>
      <c r="D689" s="6" t="str">
        <f>IF(ISNONTEXT(deployment_raw[[#This Row],[Column4]]), "", deployment_raw[[#This Row],[Column4]])</f>
        <v/>
      </c>
      <c r="E689" s="7" t="str">
        <f>IF(ISNUMBER(deployment_raw[[#This Row],[Column5]]), deployment_raw[[#This Row],[Column5]],"")</f>
        <v/>
      </c>
      <c r="F689" s="32" t="str">
        <f>IF(ISNUMBER(deployment_raw[[#This Row],[Column17]]), deployment_raw[[#This Row],[Column17]]/IF(OR($E$2="Deployment",deployment_raw[[#This Row],[Column5]]=0),1,deployment_raw[[#This Row],[Column5]]),"")</f>
        <v/>
      </c>
      <c r="G689" s="42" t="str">
        <f>IF(ISNUMBER(deployment_raw[[#This Row],[Column14]]), deployment_raw[[#This Row],[Column14]]/IF(OR($E$2="Deployment",deployment_raw[[#This Row],[Column5]]=0),1,deployment_raw[[#This Row],[Column5]]),"")</f>
        <v/>
      </c>
      <c r="H689" s="79" t="str">
        <f>IF(ISNUMBER(deployment_raw[[#This Row],[Column19]]), IF(I689&lt;&gt;0,(deployment_raw[[#This Row],[Column19]]/IF(OR($E$2="Deployment",deployment_raw[[#This Row],[Column5]]=0),1,deployment_raw[[#This Row],[Column5]]))/I689,0),"")</f>
        <v/>
      </c>
      <c r="I689" s="69" t="str">
        <f>IF(ISNUMBER(deployment_raw[[#This Row],[Column6]]), (deployment_raw[[#This Row],[Column6]] * IF($E$2="Deployment",deployment_raw[[#This Row],[Column5]],1)),"")</f>
        <v/>
      </c>
      <c r="J689" s="79" t="str">
        <f>IF(ISNUMBER(deployment_raw[[#This Row],[Column19]]), IF(K689&lt;&gt;0,(deployment_raw[[#This Row],[Column19]]/IF(OR($E$2="Deployment",deployment_raw[[#This Row],[Column5]]=0),1,deployment_raw[[#This Row],[Column5]]))/K689,0),"")</f>
        <v/>
      </c>
      <c r="K689" s="72" t="str">
        <f>IF(ISNUMBER(deployment_raw[[#This Row],[Column8]]), (deployment_raw[[#This Row],[Column8]]  * IF($E$2="Deployment",deployment_raw[[#This Row],[Column5]],1)),"")</f>
        <v/>
      </c>
      <c r="L68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8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89" s="81" t="str">
        <f>IF(ISNUMBER(deployment_raw[[#This Row],[Column20]]), IF(O689&lt;&gt;0,deployment_raw[[#This Row],[Column20]]/IF(OR($E$2="Deployment",deployment_raw[[#This Row],[Column5]]=0),1,deployment_raw[[#This Row],[Column5]])/1048576/O689,0),"")</f>
        <v/>
      </c>
      <c r="O689" s="74" t="str">
        <f>IF(ISNUMBER(deployment_raw[[#This Row],[Column7]]), (deployment_raw[[#This Row],[Column7]] * IF($E$2="Deployment",deployment_raw[[#This Row],[Column5]],1))/1048576,"")</f>
        <v/>
      </c>
      <c r="P689" s="81" t="str">
        <f>IF(ISNUMBER(deployment_raw[[#This Row],[Column20]]), IF(Q689&lt;&gt;0,deployment_raw[[#This Row],[Column20]]/IF(OR($E$2="Deployment",deployment_raw[[#This Row],[Column5]]=0),1,deployment_raw[[#This Row],[Column5]])/1048576/Q689,0),"")</f>
        <v/>
      </c>
      <c r="Q689" s="76" t="str">
        <f>IF(ISNUMBER(deployment_raw[[#This Row],[Column9]]), (deployment_raw[[#This Row],[Column9]] * IF($E$2="Deployment",deployment_raw[[#This Row],[Column5]],1))/1048576,"")</f>
        <v/>
      </c>
      <c r="R689" s="57" t="str">
        <f>IF(ISNUMBER(deployment_raw[[#This Row],[Column10]]), (deployment_raw[[#This Row],[Column10]] * IF($E$2="Deployment",deployment_raw[[#This Row],[Column5]],1)),"")</f>
        <v/>
      </c>
      <c r="S689" s="48" t="str">
        <f>IF(ISNUMBER(deployment_raw[[#This Row],[Column11]]), (deployment_raw[[#This Row],[Column11]] * IF($E$2="Deployment",deployment_raw[[#This Row],[Column5]],1))/1048576,"")</f>
        <v/>
      </c>
      <c r="T689" s="59" t="str">
        <f>IF(ISNUMBER(deployment_raw[[#This Row],[Column8]]),IF(OR(deployment_raw[[#This Row],[Column5]] &lt;&gt; 0,$E$2 &lt;&gt; "Deployment"), MAX(V689, ($T$2 * IF($E$2="Deployment",deployment_raw[[#This Row],[Column5]],1))), 0),"")</f>
        <v/>
      </c>
      <c r="U689" s="50" t="str">
        <f>IF(ISNUMBER(deployment_raw[[#This Row],[Column9]]),IF(OR(deployment_raw[[#This Row],[Column5]] &lt;&gt; 0,$E$2&lt;&gt;"Deployment"), MAX(W689, ($U$2 * IF($E$2="Deployment",deployment_raw[[#This Row],[Column5]],1))), 0),"")</f>
        <v/>
      </c>
      <c r="V689" s="15" t="str">
        <f>IF(ISNUMBER(deployment_raw[[#This Row],[Column12]]), (deployment_raw[[#This Row],[Column12]] * IF($E$2="Deployment",deployment_raw[[#This Row],[Column5]],1)*(1+$V$2)),"")</f>
        <v/>
      </c>
      <c r="W689" s="14" t="str">
        <f>IF(ISNUMBER(deployment_raw[[#This Row],[Column13]]), (deployment_raw[[#This Row],[Column13]] * IF($E$2="Deployment",deployment_raw[[#This Row],[Column5]],1)*(1+$W$2))/1048576,"")</f>
        <v/>
      </c>
    </row>
    <row r="690" spans="1:23" ht="15.75" customHeight="1" x14ac:dyDescent="0.25">
      <c r="A690" s="5" t="str">
        <f>IF(ISNONTEXT(deployment_raw[[#This Row],[Column1]]), "", deployment_raw[[#This Row],[Column1]])</f>
        <v/>
      </c>
      <c r="B690" s="6" t="str">
        <f>IF(ISNONTEXT(deployment_raw[[#This Row],[Column2]]), "", deployment_raw[[#This Row],[Column2]])</f>
        <v/>
      </c>
      <c r="C690" s="6" t="str">
        <f>IF(ISNONTEXT(deployment_raw[[#This Row],[Column3]]), "", deployment_raw[[#This Row],[Column3]])</f>
        <v/>
      </c>
      <c r="D690" s="6" t="str">
        <f>IF(ISNONTEXT(deployment_raw[[#This Row],[Column4]]), "", deployment_raw[[#This Row],[Column4]])</f>
        <v/>
      </c>
      <c r="E690" s="7" t="str">
        <f>IF(ISNUMBER(deployment_raw[[#This Row],[Column5]]), deployment_raw[[#This Row],[Column5]],"")</f>
        <v/>
      </c>
      <c r="F690" s="32" t="str">
        <f>IF(ISNUMBER(deployment_raw[[#This Row],[Column17]]), deployment_raw[[#This Row],[Column17]]/IF(OR($E$2="Deployment",deployment_raw[[#This Row],[Column5]]=0),1,deployment_raw[[#This Row],[Column5]]),"")</f>
        <v/>
      </c>
      <c r="G690" s="42" t="str">
        <f>IF(ISNUMBER(deployment_raw[[#This Row],[Column14]]), deployment_raw[[#This Row],[Column14]]/IF(OR($E$2="Deployment",deployment_raw[[#This Row],[Column5]]=0),1,deployment_raw[[#This Row],[Column5]]),"")</f>
        <v/>
      </c>
      <c r="H690" s="79" t="str">
        <f>IF(ISNUMBER(deployment_raw[[#This Row],[Column19]]), IF(I690&lt;&gt;0,(deployment_raw[[#This Row],[Column19]]/IF(OR($E$2="Deployment",deployment_raw[[#This Row],[Column5]]=0),1,deployment_raw[[#This Row],[Column5]]))/I690,0),"")</f>
        <v/>
      </c>
      <c r="I690" s="69" t="str">
        <f>IF(ISNUMBER(deployment_raw[[#This Row],[Column6]]), (deployment_raw[[#This Row],[Column6]] * IF($E$2="Deployment",deployment_raw[[#This Row],[Column5]],1)),"")</f>
        <v/>
      </c>
      <c r="J690" s="79" t="str">
        <f>IF(ISNUMBER(deployment_raw[[#This Row],[Column19]]), IF(K690&lt;&gt;0,(deployment_raw[[#This Row],[Column19]]/IF(OR($E$2="Deployment",deployment_raw[[#This Row],[Column5]]=0),1,deployment_raw[[#This Row],[Column5]]))/K690,0),"")</f>
        <v/>
      </c>
      <c r="K690" s="72" t="str">
        <f>IF(ISNUMBER(deployment_raw[[#This Row],[Column8]]), (deployment_raw[[#This Row],[Column8]]  * IF($E$2="Deployment",deployment_raw[[#This Row],[Column5]],1)),"")</f>
        <v/>
      </c>
      <c r="L69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9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90" s="81" t="str">
        <f>IF(ISNUMBER(deployment_raw[[#This Row],[Column20]]), IF(O690&lt;&gt;0,deployment_raw[[#This Row],[Column20]]/IF(OR($E$2="Deployment",deployment_raw[[#This Row],[Column5]]=0),1,deployment_raw[[#This Row],[Column5]])/1048576/O690,0),"")</f>
        <v/>
      </c>
      <c r="O690" s="74" t="str">
        <f>IF(ISNUMBER(deployment_raw[[#This Row],[Column7]]), (deployment_raw[[#This Row],[Column7]] * IF($E$2="Deployment",deployment_raw[[#This Row],[Column5]],1))/1048576,"")</f>
        <v/>
      </c>
      <c r="P690" s="81" t="str">
        <f>IF(ISNUMBER(deployment_raw[[#This Row],[Column20]]), IF(Q690&lt;&gt;0,deployment_raw[[#This Row],[Column20]]/IF(OR($E$2="Deployment",deployment_raw[[#This Row],[Column5]]=0),1,deployment_raw[[#This Row],[Column5]])/1048576/Q690,0),"")</f>
        <v/>
      </c>
      <c r="Q690" s="76" t="str">
        <f>IF(ISNUMBER(deployment_raw[[#This Row],[Column9]]), (deployment_raw[[#This Row],[Column9]] * IF($E$2="Deployment",deployment_raw[[#This Row],[Column5]],1))/1048576,"")</f>
        <v/>
      </c>
      <c r="R690" s="57" t="str">
        <f>IF(ISNUMBER(deployment_raw[[#This Row],[Column10]]), (deployment_raw[[#This Row],[Column10]] * IF($E$2="Deployment",deployment_raw[[#This Row],[Column5]],1)),"")</f>
        <v/>
      </c>
      <c r="S690" s="48" t="str">
        <f>IF(ISNUMBER(deployment_raw[[#This Row],[Column11]]), (deployment_raw[[#This Row],[Column11]] * IF($E$2="Deployment",deployment_raw[[#This Row],[Column5]],1))/1048576,"")</f>
        <v/>
      </c>
      <c r="T690" s="59" t="str">
        <f>IF(ISNUMBER(deployment_raw[[#This Row],[Column8]]),IF(OR(deployment_raw[[#This Row],[Column5]] &lt;&gt; 0,$E$2 &lt;&gt; "Deployment"), MAX(V690, ($T$2 * IF($E$2="Deployment",deployment_raw[[#This Row],[Column5]],1))), 0),"")</f>
        <v/>
      </c>
      <c r="U690" s="50" t="str">
        <f>IF(ISNUMBER(deployment_raw[[#This Row],[Column9]]),IF(OR(deployment_raw[[#This Row],[Column5]] &lt;&gt; 0,$E$2&lt;&gt;"Deployment"), MAX(W690, ($U$2 * IF($E$2="Deployment",deployment_raw[[#This Row],[Column5]],1))), 0),"")</f>
        <v/>
      </c>
      <c r="V690" s="15" t="str">
        <f>IF(ISNUMBER(deployment_raw[[#This Row],[Column12]]), (deployment_raw[[#This Row],[Column12]] * IF($E$2="Deployment",deployment_raw[[#This Row],[Column5]],1)*(1+$V$2)),"")</f>
        <v/>
      </c>
      <c r="W690" s="14" t="str">
        <f>IF(ISNUMBER(deployment_raw[[#This Row],[Column13]]), (deployment_raw[[#This Row],[Column13]] * IF($E$2="Deployment",deployment_raw[[#This Row],[Column5]],1)*(1+$W$2))/1048576,"")</f>
        <v/>
      </c>
    </row>
    <row r="691" spans="1:23" ht="15.75" customHeight="1" x14ac:dyDescent="0.25">
      <c r="A691" s="5" t="str">
        <f>IF(ISNONTEXT(deployment_raw[[#This Row],[Column1]]), "", deployment_raw[[#This Row],[Column1]])</f>
        <v/>
      </c>
      <c r="B691" s="6" t="str">
        <f>IF(ISNONTEXT(deployment_raw[[#This Row],[Column2]]), "", deployment_raw[[#This Row],[Column2]])</f>
        <v/>
      </c>
      <c r="C691" s="6" t="str">
        <f>IF(ISNONTEXT(deployment_raw[[#This Row],[Column3]]), "", deployment_raw[[#This Row],[Column3]])</f>
        <v/>
      </c>
      <c r="D691" s="6" t="str">
        <f>IF(ISNONTEXT(deployment_raw[[#This Row],[Column4]]), "", deployment_raw[[#This Row],[Column4]])</f>
        <v/>
      </c>
      <c r="E691" s="7" t="str">
        <f>IF(ISNUMBER(deployment_raw[[#This Row],[Column5]]), deployment_raw[[#This Row],[Column5]],"")</f>
        <v/>
      </c>
      <c r="F691" s="32" t="str">
        <f>IF(ISNUMBER(deployment_raw[[#This Row],[Column17]]), deployment_raw[[#This Row],[Column17]]/IF(OR($E$2="Deployment",deployment_raw[[#This Row],[Column5]]=0),1,deployment_raw[[#This Row],[Column5]]),"")</f>
        <v/>
      </c>
      <c r="G691" s="42" t="str">
        <f>IF(ISNUMBER(deployment_raw[[#This Row],[Column14]]), deployment_raw[[#This Row],[Column14]]/IF(OR($E$2="Deployment",deployment_raw[[#This Row],[Column5]]=0),1,deployment_raw[[#This Row],[Column5]]),"")</f>
        <v/>
      </c>
      <c r="H691" s="79" t="str">
        <f>IF(ISNUMBER(deployment_raw[[#This Row],[Column19]]), IF(I691&lt;&gt;0,(deployment_raw[[#This Row],[Column19]]/IF(OR($E$2="Deployment",deployment_raw[[#This Row],[Column5]]=0),1,deployment_raw[[#This Row],[Column5]]))/I691,0),"")</f>
        <v/>
      </c>
      <c r="I691" s="69" t="str">
        <f>IF(ISNUMBER(deployment_raw[[#This Row],[Column6]]), (deployment_raw[[#This Row],[Column6]] * IF($E$2="Deployment",deployment_raw[[#This Row],[Column5]],1)),"")</f>
        <v/>
      </c>
      <c r="J691" s="79" t="str">
        <f>IF(ISNUMBER(deployment_raw[[#This Row],[Column19]]), IF(K691&lt;&gt;0,(deployment_raw[[#This Row],[Column19]]/IF(OR($E$2="Deployment",deployment_raw[[#This Row],[Column5]]=0),1,deployment_raw[[#This Row],[Column5]]))/K691,0),"")</f>
        <v/>
      </c>
      <c r="K691" s="72" t="str">
        <f>IF(ISNUMBER(deployment_raw[[#This Row],[Column8]]), (deployment_raw[[#This Row],[Column8]]  * IF($E$2="Deployment",deployment_raw[[#This Row],[Column5]],1)),"")</f>
        <v/>
      </c>
      <c r="L69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9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91" s="81" t="str">
        <f>IF(ISNUMBER(deployment_raw[[#This Row],[Column20]]), IF(O691&lt;&gt;0,deployment_raw[[#This Row],[Column20]]/IF(OR($E$2="Deployment",deployment_raw[[#This Row],[Column5]]=0),1,deployment_raw[[#This Row],[Column5]])/1048576/O691,0),"")</f>
        <v/>
      </c>
      <c r="O691" s="74" t="str">
        <f>IF(ISNUMBER(deployment_raw[[#This Row],[Column7]]), (deployment_raw[[#This Row],[Column7]] * IF($E$2="Deployment",deployment_raw[[#This Row],[Column5]],1))/1048576,"")</f>
        <v/>
      </c>
      <c r="P691" s="81" t="str">
        <f>IF(ISNUMBER(deployment_raw[[#This Row],[Column20]]), IF(Q691&lt;&gt;0,deployment_raw[[#This Row],[Column20]]/IF(OR($E$2="Deployment",deployment_raw[[#This Row],[Column5]]=0),1,deployment_raw[[#This Row],[Column5]])/1048576/Q691,0),"")</f>
        <v/>
      </c>
      <c r="Q691" s="76" t="str">
        <f>IF(ISNUMBER(deployment_raw[[#This Row],[Column9]]), (deployment_raw[[#This Row],[Column9]] * IF($E$2="Deployment",deployment_raw[[#This Row],[Column5]],1))/1048576,"")</f>
        <v/>
      </c>
      <c r="R691" s="57" t="str">
        <f>IF(ISNUMBER(deployment_raw[[#This Row],[Column10]]), (deployment_raw[[#This Row],[Column10]] * IF($E$2="Deployment",deployment_raw[[#This Row],[Column5]],1)),"")</f>
        <v/>
      </c>
      <c r="S691" s="48" t="str">
        <f>IF(ISNUMBER(deployment_raw[[#This Row],[Column11]]), (deployment_raw[[#This Row],[Column11]] * IF($E$2="Deployment",deployment_raw[[#This Row],[Column5]],1))/1048576,"")</f>
        <v/>
      </c>
      <c r="T691" s="59" t="str">
        <f>IF(ISNUMBER(deployment_raw[[#This Row],[Column8]]),IF(OR(deployment_raw[[#This Row],[Column5]] &lt;&gt; 0,$E$2 &lt;&gt; "Deployment"), MAX(V691, ($T$2 * IF($E$2="Deployment",deployment_raw[[#This Row],[Column5]],1))), 0),"")</f>
        <v/>
      </c>
      <c r="U691" s="50" t="str">
        <f>IF(ISNUMBER(deployment_raw[[#This Row],[Column9]]),IF(OR(deployment_raw[[#This Row],[Column5]] &lt;&gt; 0,$E$2&lt;&gt;"Deployment"), MAX(W691, ($U$2 * IF($E$2="Deployment",deployment_raw[[#This Row],[Column5]],1))), 0),"")</f>
        <v/>
      </c>
      <c r="V691" s="15" t="str">
        <f>IF(ISNUMBER(deployment_raw[[#This Row],[Column12]]), (deployment_raw[[#This Row],[Column12]] * IF($E$2="Deployment",deployment_raw[[#This Row],[Column5]],1)*(1+$V$2)),"")</f>
        <v/>
      </c>
      <c r="W691" s="14" t="str">
        <f>IF(ISNUMBER(deployment_raw[[#This Row],[Column13]]), (deployment_raw[[#This Row],[Column13]] * IF($E$2="Deployment",deployment_raw[[#This Row],[Column5]],1)*(1+$W$2))/1048576,"")</f>
        <v/>
      </c>
    </row>
    <row r="692" spans="1:23" ht="15.75" customHeight="1" x14ac:dyDescent="0.25">
      <c r="A692" s="5" t="str">
        <f>IF(ISNONTEXT(deployment_raw[[#This Row],[Column1]]), "", deployment_raw[[#This Row],[Column1]])</f>
        <v/>
      </c>
      <c r="B692" s="6" t="str">
        <f>IF(ISNONTEXT(deployment_raw[[#This Row],[Column2]]), "", deployment_raw[[#This Row],[Column2]])</f>
        <v/>
      </c>
      <c r="C692" s="6" t="str">
        <f>IF(ISNONTEXT(deployment_raw[[#This Row],[Column3]]), "", deployment_raw[[#This Row],[Column3]])</f>
        <v/>
      </c>
      <c r="D692" s="6" t="str">
        <f>IF(ISNONTEXT(deployment_raw[[#This Row],[Column4]]), "", deployment_raw[[#This Row],[Column4]])</f>
        <v/>
      </c>
      <c r="E692" s="7" t="str">
        <f>IF(ISNUMBER(deployment_raw[[#This Row],[Column5]]), deployment_raw[[#This Row],[Column5]],"")</f>
        <v/>
      </c>
      <c r="F692" s="32" t="str">
        <f>IF(ISNUMBER(deployment_raw[[#This Row],[Column17]]), deployment_raw[[#This Row],[Column17]]/IF(OR($E$2="Deployment",deployment_raw[[#This Row],[Column5]]=0),1,deployment_raw[[#This Row],[Column5]]),"")</f>
        <v/>
      </c>
      <c r="G692" s="42" t="str">
        <f>IF(ISNUMBER(deployment_raw[[#This Row],[Column14]]), deployment_raw[[#This Row],[Column14]]/IF(OR($E$2="Deployment",deployment_raw[[#This Row],[Column5]]=0),1,deployment_raw[[#This Row],[Column5]]),"")</f>
        <v/>
      </c>
      <c r="H692" s="79" t="str">
        <f>IF(ISNUMBER(deployment_raw[[#This Row],[Column19]]), IF(I692&lt;&gt;0,(deployment_raw[[#This Row],[Column19]]/IF(OR($E$2="Deployment",deployment_raw[[#This Row],[Column5]]=0),1,deployment_raw[[#This Row],[Column5]]))/I692,0),"")</f>
        <v/>
      </c>
      <c r="I692" s="69" t="str">
        <f>IF(ISNUMBER(deployment_raw[[#This Row],[Column6]]), (deployment_raw[[#This Row],[Column6]] * IF($E$2="Deployment",deployment_raw[[#This Row],[Column5]],1)),"")</f>
        <v/>
      </c>
      <c r="J692" s="79" t="str">
        <f>IF(ISNUMBER(deployment_raw[[#This Row],[Column19]]), IF(K692&lt;&gt;0,(deployment_raw[[#This Row],[Column19]]/IF(OR($E$2="Deployment",deployment_raw[[#This Row],[Column5]]=0),1,deployment_raw[[#This Row],[Column5]]))/K692,0),"")</f>
        <v/>
      </c>
      <c r="K692" s="72" t="str">
        <f>IF(ISNUMBER(deployment_raw[[#This Row],[Column8]]), (deployment_raw[[#This Row],[Column8]]  * IF($E$2="Deployment",deployment_raw[[#This Row],[Column5]],1)),"")</f>
        <v/>
      </c>
      <c r="L69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9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92" s="81" t="str">
        <f>IF(ISNUMBER(deployment_raw[[#This Row],[Column20]]), IF(O692&lt;&gt;0,deployment_raw[[#This Row],[Column20]]/IF(OR($E$2="Deployment",deployment_raw[[#This Row],[Column5]]=0),1,deployment_raw[[#This Row],[Column5]])/1048576/O692,0),"")</f>
        <v/>
      </c>
      <c r="O692" s="74" t="str">
        <f>IF(ISNUMBER(deployment_raw[[#This Row],[Column7]]), (deployment_raw[[#This Row],[Column7]] * IF($E$2="Deployment",deployment_raw[[#This Row],[Column5]],1))/1048576,"")</f>
        <v/>
      </c>
      <c r="P692" s="81" t="str">
        <f>IF(ISNUMBER(deployment_raw[[#This Row],[Column20]]), IF(Q692&lt;&gt;0,deployment_raw[[#This Row],[Column20]]/IF(OR($E$2="Deployment",deployment_raw[[#This Row],[Column5]]=0),1,deployment_raw[[#This Row],[Column5]])/1048576/Q692,0),"")</f>
        <v/>
      </c>
      <c r="Q692" s="76" t="str">
        <f>IF(ISNUMBER(deployment_raw[[#This Row],[Column9]]), (deployment_raw[[#This Row],[Column9]] * IF($E$2="Deployment",deployment_raw[[#This Row],[Column5]],1))/1048576,"")</f>
        <v/>
      </c>
      <c r="R692" s="57" t="str">
        <f>IF(ISNUMBER(deployment_raw[[#This Row],[Column10]]), (deployment_raw[[#This Row],[Column10]] * IF($E$2="Deployment",deployment_raw[[#This Row],[Column5]],1)),"")</f>
        <v/>
      </c>
      <c r="S692" s="48" t="str">
        <f>IF(ISNUMBER(deployment_raw[[#This Row],[Column11]]), (deployment_raw[[#This Row],[Column11]] * IF($E$2="Deployment",deployment_raw[[#This Row],[Column5]],1))/1048576,"")</f>
        <v/>
      </c>
      <c r="T692" s="59" t="str">
        <f>IF(ISNUMBER(deployment_raw[[#This Row],[Column8]]),IF(OR(deployment_raw[[#This Row],[Column5]] &lt;&gt; 0,$E$2 &lt;&gt; "Deployment"), MAX(V692, ($T$2 * IF($E$2="Deployment",deployment_raw[[#This Row],[Column5]],1))), 0),"")</f>
        <v/>
      </c>
      <c r="U692" s="50" t="str">
        <f>IF(ISNUMBER(deployment_raw[[#This Row],[Column9]]),IF(OR(deployment_raw[[#This Row],[Column5]] &lt;&gt; 0,$E$2&lt;&gt;"Deployment"), MAX(W692, ($U$2 * IF($E$2="Deployment",deployment_raw[[#This Row],[Column5]],1))), 0),"")</f>
        <v/>
      </c>
      <c r="V692" s="15" t="str">
        <f>IF(ISNUMBER(deployment_raw[[#This Row],[Column12]]), (deployment_raw[[#This Row],[Column12]] * IF($E$2="Deployment",deployment_raw[[#This Row],[Column5]],1)*(1+$V$2)),"")</f>
        <v/>
      </c>
      <c r="W692" s="14" t="str">
        <f>IF(ISNUMBER(deployment_raw[[#This Row],[Column13]]), (deployment_raw[[#This Row],[Column13]] * IF($E$2="Deployment",deployment_raw[[#This Row],[Column5]],1)*(1+$W$2))/1048576,"")</f>
        <v/>
      </c>
    </row>
    <row r="693" spans="1:23" ht="15.75" customHeight="1" x14ac:dyDescent="0.25">
      <c r="A693" s="5" t="str">
        <f>IF(ISNONTEXT(deployment_raw[[#This Row],[Column1]]), "", deployment_raw[[#This Row],[Column1]])</f>
        <v/>
      </c>
      <c r="B693" s="6" t="str">
        <f>IF(ISNONTEXT(deployment_raw[[#This Row],[Column2]]), "", deployment_raw[[#This Row],[Column2]])</f>
        <v/>
      </c>
      <c r="C693" s="6" t="str">
        <f>IF(ISNONTEXT(deployment_raw[[#This Row],[Column3]]), "", deployment_raw[[#This Row],[Column3]])</f>
        <v/>
      </c>
      <c r="D693" s="6" t="str">
        <f>IF(ISNONTEXT(deployment_raw[[#This Row],[Column4]]), "", deployment_raw[[#This Row],[Column4]])</f>
        <v/>
      </c>
      <c r="E693" s="7" t="str">
        <f>IF(ISNUMBER(deployment_raw[[#This Row],[Column5]]), deployment_raw[[#This Row],[Column5]],"")</f>
        <v/>
      </c>
      <c r="F693" s="32" t="str">
        <f>IF(ISNUMBER(deployment_raw[[#This Row],[Column17]]), deployment_raw[[#This Row],[Column17]]/IF(OR($E$2="Deployment",deployment_raw[[#This Row],[Column5]]=0),1,deployment_raw[[#This Row],[Column5]]),"")</f>
        <v/>
      </c>
      <c r="G693" s="42" t="str">
        <f>IF(ISNUMBER(deployment_raw[[#This Row],[Column14]]), deployment_raw[[#This Row],[Column14]]/IF(OR($E$2="Deployment",deployment_raw[[#This Row],[Column5]]=0),1,deployment_raw[[#This Row],[Column5]]),"")</f>
        <v/>
      </c>
      <c r="H693" s="79" t="str">
        <f>IF(ISNUMBER(deployment_raw[[#This Row],[Column19]]), IF(I693&lt;&gt;0,(deployment_raw[[#This Row],[Column19]]/IF(OR($E$2="Deployment",deployment_raw[[#This Row],[Column5]]=0),1,deployment_raw[[#This Row],[Column5]]))/I693,0),"")</f>
        <v/>
      </c>
      <c r="I693" s="69" t="str">
        <f>IF(ISNUMBER(deployment_raw[[#This Row],[Column6]]), (deployment_raw[[#This Row],[Column6]] * IF($E$2="Deployment",deployment_raw[[#This Row],[Column5]],1)),"")</f>
        <v/>
      </c>
      <c r="J693" s="79" t="str">
        <f>IF(ISNUMBER(deployment_raw[[#This Row],[Column19]]), IF(K693&lt;&gt;0,(deployment_raw[[#This Row],[Column19]]/IF(OR($E$2="Deployment",deployment_raw[[#This Row],[Column5]]=0),1,deployment_raw[[#This Row],[Column5]]))/K693,0),"")</f>
        <v/>
      </c>
      <c r="K693" s="72" t="str">
        <f>IF(ISNUMBER(deployment_raw[[#This Row],[Column8]]), (deployment_raw[[#This Row],[Column8]]  * IF($E$2="Deployment",deployment_raw[[#This Row],[Column5]],1)),"")</f>
        <v/>
      </c>
      <c r="L69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9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93" s="81" t="str">
        <f>IF(ISNUMBER(deployment_raw[[#This Row],[Column20]]), IF(O693&lt;&gt;0,deployment_raw[[#This Row],[Column20]]/IF(OR($E$2="Deployment",deployment_raw[[#This Row],[Column5]]=0),1,deployment_raw[[#This Row],[Column5]])/1048576/O693,0),"")</f>
        <v/>
      </c>
      <c r="O693" s="74" t="str">
        <f>IF(ISNUMBER(deployment_raw[[#This Row],[Column7]]), (deployment_raw[[#This Row],[Column7]] * IF($E$2="Deployment",deployment_raw[[#This Row],[Column5]],1))/1048576,"")</f>
        <v/>
      </c>
      <c r="P693" s="81" t="str">
        <f>IF(ISNUMBER(deployment_raw[[#This Row],[Column20]]), IF(Q693&lt;&gt;0,deployment_raw[[#This Row],[Column20]]/IF(OR($E$2="Deployment",deployment_raw[[#This Row],[Column5]]=0),1,deployment_raw[[#This Row],[Column5]])/1048576/Q693,0),"")</f>
        <v/>
      </c>
      <c r="Q693" s="76" t="str">
        <f>IF(ISNUMBER(deployment_raw[[#This Row],[Column9]]), (deployment_raw[[#This Row],[Column9]] * IF($E$2="Deployment",deployment_raw[[#This Row],[Column5]],1))/1048576,"")</f>
        <v/>
      </c>
      <c r="R693" s="57" t="str">
        <f>IF(ISNUMBER(deployment_raw[[#This Row],[Column10]]), (deployment_raw[[#This Row],[Column10]] * IF($E$2="Deployment",deployment_raw[[#This Row],[Column5]],1)),"")</f>
        <v/>
      </c>
      <c r="S693" s="48" t="str">
        <f>IF(ISNUMBER(deployment_raw[[#This Row],[Column11]]), (deployment_raw[[#This Row],[Column11]] * IF($E$2="Deployment",deployment_raw[[#This Row],[Column5]],1))/1048576,"")</f>
        <v/>
      </c>
      <c r="T693" s="59" t="str">
        <f>IF(ISNUMBER(deployment_raw[[#This Row],[Column8]]),IF(OR(deployment_raw[[#This Row],[Column5]] &lt;&gt; 0,$E$2 &lt;&gt; "Deployment"), MAX(V693, ($T$2 * IF($E$2="Deployment",deployment_raw[[#This Row],[Column5]],1))), 0),"")</f>
        <v/>
      </c>
      <c r="U693" s="50" t="str">
        <f>IF(ISNUMBER(deployment_raw[[#This Row],[Column9]]),IF(OR(deployment_raw[[#This Row],[Column5]] &lt;&gt; 0,$E$2&lt;&gt;"Deployment"), MAX(W693, ($U$2 * IF($E$2="Deployment",deployment_raw[[#This Row],[Column5]],1))), 0),"")</f>
        <v/>
      </c>
      <c r="V693" s="15" t="str">
        <f>IF(ISNUMBER(deployment_raw[[#This Row],[Column12]]), (deployment_raw[[#This Row],[Column12]] * IF($E$2="Deployment",deployment_raw[[#This Row],[Column5]],1)*(1+$V$2)),"")</f>
        <v/>
      </c>
      <c r="W693" s="14" t="str">
        <f>IF(ISNUMBER(deployment_raw[[#This Row],[Column13]]), (deployment_raw[[#This Row],[Column13]] * IF($E$2="Deployment",deployment_raw[[#This Row],[Column5]],1)*(1+$W$2))/1048576,"")</f>
        <v/>
      </c>
    </row>
    <row r="694" spans="1:23" ht="15.75" customHeight="1" x14ac:dyDescent="0.25">
      <c r="A694" s="5" t="str">
        <f>IF(ISNONTEXT(deployment_raw[[#This Row],[Column1]]), "", deployment_raw[[#This Row],[Column1]])</f>
        <v/>
      </c>
      <c r="B694" s="6" t="str">
        <f>IF(ISNONTEXT(deployment_raw[[#This Row],[Column2]]), "", deployment_raw[[#This Row],[Column2]])</f>
        <v/>
      </c>
      <c r="C694" s="6" t="str">
        <f>IF(ISNONTEXT(deployment_raw[[#This Row],[Column3]]), "", deployment_raw[[#This Row],[Column3]])</f>
        <v/>
      </c>
      <c r="D694" s="6" t="str">
        <f>IF(ISNONTEXT(deployment_raw[[#This Row],[Column4]]), "", deployment_raw[[#This Row],[Column4]])</f>
        <v/>
      </c>
      <c r="E694" s="7" t="str">
        <f>IF(ISNUMBER(deployment_raw[[#This Row],[Column5]]), deployment_raw[[#This Row],[Column5]],"")</f>
        <v/>
      </c>
      <c r="F694" s="32" t="str">
        <f>IF(ISNUMBER(deployment_raw[[#This Row],[Column17]]), deployment_raw[[#This Row],[Column17]]/IF(OR($E$2="Deployment",deployment_raw[[#This Row],[Column5]]=0),1,deployment_raw[[#This Row],[Column5]]),"")</f>
        <v/>
      </c>
      <c r="G694" s="42" t="str">
        <f>IF(ISNUMBER(deployment_raw[[#This Row],[Column14]]), deployment_raw[[#This Row],[Column14]]/IF(OR($E$2="Deployment",deployment_raw[[#This Row],[Column5]]=0),1,deployment_raw[[#This Row],[Column5]]),"")</f>
        <v/>
      </c>
      <c r="H694" s="79" t="str">
        <f>IF(ISNUMBER(deployment_raw[[#This Row],[Column19]]), IF(I694&lt;&gt;0,(deployment_raw[[#This Row],[Column19]]/IF(OR($E$2="Deployment",deployment_raw[[#This Row],[Column5]]=0),1,deployment_raw[[#This Row],[Column5]]))/I694,0),"")</f>
        <v/>
      </c>
      <c r="I694" s="69" t="str">
        <f>IF(ISNUMBER(deployment_raw[[#This Row],[Column6]]), (deployment_raw[[#This Row],[Column6]] * IF($E$2="Deployment",deployment_raw[[#This Row],[Column5]],1)),"")</f>
        <v/>
      </c>
      <c r="J694" s="79" t="str">
        <f>IF(ISNUMBER(deployment_raw[[#This Row],[Column19]]), IF(K694&lt;&gt;0,(deployment_raw[[#This Row],[Column19]]/IF(OR($E$2="Deployment",deployment_raw[[#This Row],[Column5]]=0),1,deployment_raw[[#This Row],[Column5]]))/K694,0),"")</f>
        <v/>
      </c>
      <c r="K694" s="72" t="str">
        <f>IF(ISNUMBER(deployment_raw[[#This Row],[Column8]]), (deployment_raw[[#This Row],[Column8]]  * IF($E$2="Deployment",deployment_raw[[#This Row],[Column5]],1)),"")</f>
        <v/>
      </c>
      <c r="L69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9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94" s="81" t="str">
        <f>IF(ISNUMBER(deployment_raw[[#This Row],[Column20]]), IF(O694&lt;&gt;0,deployment_raw[[#This Row],[Column20]]/IF(OR($E$2="Deployment",deployment_raw[[#This Row],[Column5]]=0),1,deployment_raw[[#This Row],[Column5]])/1048576/O694,0),"")</f>
        <v/>
      </c>
      <c r="O694" s="74" t="str">
        <f>IF(ISNUMBER(deployment_raw[[#This Row],[Column7]]), (deployment_raw[[#This Row],[Column7]] * IF($E$2="Deployment",deployment_raw[[#This Row],[Column5]],1))/1048576,"")</f>
        <v/>
      </c>
      <c r="P694" s="81" t="str">
        <f>IF(ISNUMBER(deployment_raw[[#This Row],[Column20]]), IF(Q694&lt;&gt;0,deployment_raw[[#This Row],[Column20]]/IF(OR($E$2="Deployment",deployment_raw[[#This Row],[Column5]]=0),1,deployment_raw[[#This Row],[Column5]])/1048576/Q694,0),"")</f>
        <v/>
      </c>
      <c r="Q694" s="76" t="str">
        <f>IF(ISNUMBER(deployment_raw[[#This Row],[Column9]]), (deployment_raw[[#This Row],[Column9]] * IF($E$2="Deployment",deployment_raw[[#This Row],[Column5]],1))/1048576,"")</f>
        <v/>
      </c>
      <c r="R694" s="57" t="str">
        <f>IF(ISNUMBER(deployment_raw[[#This Row],[Column10]]), (deployment_raw[[#This Row],[Column10]] * IF($E$2="Deployment",deployment_raw[[#This Row],[Column5]],1)),"")</f>
        <v/>
      </c>
      <c r="S694" s="48" t="str">
        <f>IF(ISNUMBER(deployment_raw[[#This Row],[Column11]]), (deployment_raw[[#This Row],[Column11]] * IF($E$2="Deployment",deployment_raw[[#This Row],[Column5]],1))/1048576,"")</f>
        <v/>
      </c>
      <c r="T694" s="59" t="str">
        <f>IF(ISNUMBER(deployment_raw[[#This Row],[Column8]]),IF(OR(deployment_raw[[#This Row],[Column5]] &lt;&gt; 0,$E$2 &lt;&gt; "Deployment"), MAX(V694, ($T$2 * IF($E$2="Deployment",deployment_raw[[#This Row],[Column5]],1))), 0),"")</f>
        <v/>
      </c>
      <c r="U694" s="50" t="str">
        <f>IF(ISNUMBER(deployment_raw[[#This Row],[Column9]]),IF(OR(deployment_raw[[#This Row],[Column5]] &lt;&gt; 0,$E$2&lt;&gt;"Deployment"), MAX(W694, ($U$2 * IF($E$2="Deployment",deployment_raw[[#This Row],[Column5]],1))), 0),"")</f>
        <v/>
      </c>
      <c r="V694" s="15" t="str">
        <f>IF(ISNUMBER(deployment_raw[[#This Row],[Column12]]), (deployment_raw[[#This Row],[Column12]] * IF($E$2="Deployment",deployment_raw[[#This Row],[Column5]],1)*(1+$V$2)),"")</f>
        <v/>
      </c>
      <c r="W694" s="14" t="str">
        <f>IF(ISNUMBER(deployment_raw[[#This Row],[Column13]]), (deployment_raw[[#This Row],[Column13]] * IF($E$2="Deployment",deployment_raw[[#This Row],[Column5]],1)*(1+$W$2))/1048576,"")</f>
        <v/>
      </c>
    </row>
    <row r="695" spans="1:23" ht="15.75" customHeight="1" x14ac:dyDescent="0.25">
      <c r="A695" s="5" t="str">
        <f>IF(ISNONTEXT(deployment_raw[[#This Row],[Column1]]), "", deployment_raw[[#This Row],[Column1]])</f>
        <v/>
      </c>
      <c r="B695" s="6" t="str">
        <f>IF(ISNONTEXT(deployment_raw[[#This Row],[Column2]]), "", deployment_raw[[#This Row],[Column2]])</f>
        <v/>
      </c>
      <c r="C695" s="6" t="str">
        <f>IF(ISNONTEXT(deployment_raw[[#This Row],[Column3]]), "", deployment_raw[[#This Row],[Column3]])</f>
        <v/>
      </c>
      <c r="D695" s="6" t="str">
        <f>IF(ISNONTEXT(deployment_raw[[#This Row],[Column4]]), "", deployment_raw[[#This Row],[Column4]])</f>
        <v/>
      </c>
      <c r="E695" s="7" t="str">
        <f>IF(ISNUMBER(deployment_raw[[#This Row],[Column5]]), deployment_raw[[#This Row],[Column5]],"")</f>
        <v/>
      </c>
      <c r="F695" s="32" t="str">
        <f>IF(ISNUMBER(deployment_raw[[#This Row],[Column17]]), deployment_raw[[#This Row],[Column17]]/IF(OR($E$2="Deployment",deployment_raw[[#This Row],[Column5]]=0),1,deployment_raw[[#This Row],[Column5]]),"")</f>
        <v/>
      </c>
      <c r="G695" s="42" t="str">
        <f>IF(ISNUMBER(deployment_raw[[#This Row],[Column14]]), deployment_raw[[#This Row],[Column14]]/IF(OR($E$2="Deployment",deployment_raw[[#This Row],[Column5]]=0),1,deployment_raw[[#This Row],[Column5]]),"")</f>
        <v/>
      </c>
      <c r="H695" s="79" t="str">
        <f>IF(ISNUMBER(deployment_raw[[#This Row],[Column19]]), IF(I695&lt;&gt;0,(deployment_raw[[#This Row],[Column19]]/IF(OR($E$2="Deployment",deployment_raw[[#This Row],[Column5]]=0),1,deployment_raw[[#This Row],[Column5]]))/I695,0),"")</f>
        <v/>
      </c>
      <c r="I695" s="69" t="str">
        <f>IF(ISNUMBER(deployment_raw[[#This Row],[Column6]]), (deployment_raw[[#This Row],[Column6]] * IF($E$2="Deployment",deployment_raw[[#This Row],[Column5]],1)),"")</f>
        <v/>
      </c>
      <c r="J695" s="79" t="str">
        <f>IF(ISNUMBER(deployment_raw[[#This Row],[Column19]]), IF(K695&lt;&gt;0,(deployment_raw[[#This Row],[Column19]]/IF(OR($E$2="Deployment",deployment_raw[[#This Row],[Column5]]=0),1,deployment_raw[[#This Row],[Column5]]))/K695,0),"")</f>
        <v/>
      </c>
      <c r="K695" s="72" t="str">
        <f>IF(ISNUMBER(deployment_raw[[#This Row],[Column8]]), (deployment_raw[[#This Row],[Column8]]  * IF($E$2="Deployment",deployment_raw[[#This Row],[Column5]],1)),"")</f>
        <v/>
      </c>
      <c r="L69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9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95" s="81" t="str">
        <f>IF(ISNUMBER(deployment_raw[[#This Row],[Column20]]), IF(O695&lt;&gt;0,deployment_raw[[#This Row],[Column20]]/IF(OR($E$2="Deployment",deployment_raw[[#This Row],[Column5]]=0),1,deployment_raw[[#This Row],[Column5]])/1048576/O695,0),"")</f>
        <v/>
      </c>
      <c r="O695" s="74" t="str">
        <f>IF(ISNUMBER(deployment_raw[[#This Row],[Column7]]), (deployment_raw[[#This Row],[Column7]] * IF($E$2="Deployment",deployment_raw[[#This Row],[Column5]],1))/1048576,"")</f>
        <v/>
      </c>
      <c r="P695" s="81" t="str">
        <f>IF(ISNUMBER(deployment_raw[[#This Row],[Column20]]), IF(Q695&lt;&gt;0,deployment_raw[[#This Row],[Column20]]/IF(OR($E$2="Deployment",deployment_raw[[#This Row],[Column5]]=0),1,deployment_raw[[#This Row],[Column5]])/1048576/Q695,0),"")</f>
        <v/>
      </c>
      <c r="Q695" s="76" t="str">
        <f>IF(ISNUMBER(deployment_raw[[#This Row],[Column9]]), (deployment_raw[[#This Row],[Column9]] * IF($E$2="Deployment",deployment_raw[[#This Row],[Column5]],1))/1048576,"")</f>
        <v/>
      </c>
      <c r="R695" s="57" t="str">
        <f>IF(ISNUMBER(deployment_raw[[#This Row],[Column10]]), (deployment_raw[[#This Row],[Column10]] * IF($E$2="Deployment",deployment_raw[[#This Row],[Column5]],1)),"")</f>
        <v/>
      </c>
      <c r="S695" s="48" t="str">
        <f>IF(ISNUMBER(deployment_raw[[#This Row],[Column11]]), (deployment_raw[[#This Row],[Column11]] * IF($E$2="Deployment",deployment_raw[[#This Row],[Column5]],1))/1048576,"")</f>
        <v/>
      </c>
      <c r="T695" s="59" t="str">
        <f>IF(ISNUMBER(deployment_raw[[#This Row],[Column8]]),IF(OR(deployment_raw[[#This Row],[Column5]] &lt;&gt; 0,$E$2 &lt;&gt; "Deployment"), MAX(V695, ($T$2 * IF($E$2="Deployment",deployment_raw[[#This Row],[Column5]],1))), 0),"")</f>
        <v/>
      </c>
      <c r="U695" s="50" t="str">
        <f>IF(ISNUMBER(deployment_raw[[#This Row],[Column9]]),IF(OR(deployment_raw[[#This Row],[Column5]] &lt;&gt; 0,$E$2&lt;&gt;"Deployment"), MAX(W695, ($U$2 * IF($E$2="Deployment",deployment_raw[[#This Row],[Column5]],1))), 0),"")</f>
        <v/>
      </c>
      <c r="V695" s="15" t="str">
        <f>IF(ISNUMBER(deployment_raw[[#This Row],[Column12]]), (deployment_raw[[#This Row],[Column12]] * IF($E$2="Deployment",deployment_raw[[#This Row],[Column5]],1)*(1+$V$2)),"")</f>
        <v/>
      </c>
      <c r="W695" s="14" t="str">
        <f>IF(ISNUMBER(deployment_raw[[#This Row],[Column13]]), (deployment_raw[[#This Row],[Column13]] * IF($E$2="Deployment",deployment_raw[[#This Row],[Column5]],1)*(1+$W$2))/1048576,"")</f>
        <v/>
      </c>
    </row>
    <row r="696" spans="1:23" ht="15.75" customHeight="1" x14ac:dyDescent="0.25">
      <c r="A696" s="5" t="str">
        <f>IF(ISNONTEXT(deployment_raw[[#This Row],[Column1]]), "", deployment_raw[[#This Row],[Column1]])</f>
        <v/>
      </c>
      <c r="B696" s="6" t="str">
        <f>IF(ISNONTEXT(deployment_raw[[#This Row],[Column2]]), "", deployment_raw[[#This Row],[Column2]])</f>
        <v/>
      </c>
      <c r="C696" s="6" t="str">
        <f>IF(ISNONTEXT(deployment_raw[[#This Row],[Column3]]), "", deployment_raw[[#This Row],[Column3]])</f>
        <v/>
      </c>
      <c r="D696" s="6" t="str">
        <f>IF(ISNONTEXT(deployment_raw[[#This Row],[Column4]]), "", deployment_raw[[#This Row],[Column4]])</f>
        <v/>
      </c>
      <c r="E696" s="7" t="str">
        <f>IF(ISNUMBER(deployment_raw[[#This Row],[Column5]]), deployment_raw[[#This Row],[Column5]],"")</f>
        <v/>
      </c>
      <c r="F696" s="32" t="str">
        <f>IF(ISNUMBER(deployment_raw[[#This Row],[Column17]]), deployment_raw[[#This Row],[Column17]]/IF(OR($E$2="Deployment",deployment_raw[[#This Row],[Column5]]=0),1,deployment_raw[[#This Row],[Column5]]),"")</f>
        <v/>
      </c>
      <c r="G696" s="42" t="str">
        <f>IF(ISNUMBER(deployment_raw[[#This Row],[Column14]]), deployment_raw[[#This Row],[Column14]]/IF(OR($E$2="Deployment",deployment_raw[[#This Row],[Column5]]=0),1,deployment_raw[[#This Row],[Column5]]),"")</f>
        <v/>
      </c>
      <c r="H696" s="79" t="str">
        <f>IF(ISNUMBER(deployment_raw[[#This Row],[Column19]]), IF(I696&lt;&gt;0,(deployment_raw[[#This Row],[Column19]]/IF(OR($E$2="Deployment",deployment_raw[[#This Row],[Column5]]=0),1,deployment_raw[[#This Row],[Column5]]))/I696,0),"")</f>
        <v/>
      </c>
      <c r="I696" s="69" t="str">
        <f>IF(ISNUMBER(deployment_raw[[#This Row],[Column6]]), (deployment_raw[[#This Row],[Column6]] * IF($E$2="Deployment",deployment_raw[[#This Row],[Column5]],1)),"")</f>
        <v/>
      </c>
      <c r="J696" s="79" t="str">
        <f>IF(ISNUMBER(deployment_raw[[#This Row],[Column19]]), IF(K696&lt;&gt;0,(deployment_raw[[#This Row],[Column19]]/IF(OR($E$2="Deployment",deployment_raw[[#This Row],[Column5]]=0),1,deployment_raw[[#This Row],[Column5]]))/K696,0),"")</f>
        <v/>
      </c>
      <c r="K696" s="72" t="str">
        <f>IF(ISNUMBER(deployment_raw[[#This Row],[Column8]]), (deployment_raw[[#This Row],[Column8]]  * IF($E$2="Deployment",deployment_raw[[#This Row],[Column5]],1)),"")</f>
        <v/>
      </c>
      <c r="L69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9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96" s="81" t="str">
        <f>IF(ISNUMBER(deployment_raw[[#This Row],[Column20]]), IF(O696&lt;&gt;0,deployment_raw[[#This Row],[Column20]]/IF(OR($E$2="Deployment",deployment_raw[[#This Row],[Column5]]=0),1,deployment_raw[[#This Row],[Column5]])/1048576/O696,0),"")</f>
        <v/>
      </c>
      <c r="O696" s="74" t="str">
        <f>IF(ISNUMBER(deployment_raw[[#This Row],[Column7]]), (deployment_raw[[#This Row],[Column7]] * IF($E$2="Deployment",deployment_raw[[#This Row],[Column5]],1))/1048576,"")</f>
        <v/>
      </c>
      <c r="P696" s="81" t="str">
        <f>IF(ISNUMBER(deployment_raw[[#This Row],[Column20]]), IF(Q696&lt;&gt;0,deployment_raw[[#This Row],[Column20]]/IF(OR($E$2="Deployment",deployment_raw[[#This Row],[Column5]]=0),1,deployment_raw[[#This Row],[Column5]])/1048576/Q696,0),"")</f>
        <v/>
      </c>
      <c r="Q696" s="76" t="str">
        <f>IF(ISNUMBER(deployment_raw[[#This Row],[Column9]]), (deployment_raw[[#This Row],[Column9]] * IF($E$2="Deployment",deployment_raw[[#This Row],[Column5]],1))/1048576,"")</f>
        <v/>
      </c>
      <c r="R696" s="57" t="str">
        <f>IF(ISNUMBER(deployment_raw[[#This Row],[Column10]]), (deployment_raw[[#This Row],[Column10]] * IF($E$2="Deployment",deployment_raw[[#This Row],[Column5]],1)),"")</f>
        <v/>
      </c>
      <c r="S696" s="48" t="str">
        <f>IF(ISNUMBER(deployment_raw[[#This Row],[Column11]]), (deployment_raw[[#This Row],[Column11]] * IF($E$2="Deployment",deployment_raw[[#This Row],[Column5]],1))/1048576,"")</f>
        <v/>
      </c>
      <c r="T696" s="59" t="str">
        <f>IF(ISNUMBER(deployment_raw[[#This Row],[Column8]]),IF(OR(deployment_raw[[#This Row],[Column5]] &lt;&gt; 0,$E$2 &lt;&gt; "Deployment"), MAX(V696, ($T$2 * IF($E$2="Deployment",deployment_raw[[#This Row],[Column5]],1))), 0),"")</f>
        <v/>
      </c>
      <c r="U696" s="50" t="str">
        <f>IF(ISNUMBER(deployment_raw[[#This Row],[Column9]]),IF(OR(deployment_raw[[#This Row],[Column5]] &lt;&gt; 0,$E$2&lt;&gt;"Deployment"), MAX(W696, ($U$2 * IF($E$2="Deployment",deployment_raw[[#This Row],[Column5]],1))), 0),"")</f>
        <v/>
      </c>
      <c r="V696" s="15" t="str">
        <f>IF(ISNUMBER(deployment_raw[[#This Row],[Column12]]), (deployment_raw[[#This Row],[Column12]] * IF($E$2="Deployment",deployment_raw[[#This Row],[Column5]],1)*(1+$V$2)),"")</f>
        <v/>
      </c>
      <c r="W696" s="14" t="str">
        <f>IF(ISNUMBER(deployment_raw[[#This Row],[Column13]]), (deployment_raw[[#This Row],[Column13]] * IF($E$2="Deployment",deployment_raw[[#This Row],[Column5]],1)*(1+$W$2))/1048576,"")</f>
        <v/>
      </c>
    </row>
    <row r="697" spans="1:23" ht="15.75" customHeight="1" x14ac:dyDescent="0.25">
      <c r="A697" s="5" t="str">
        <f>IF(ISNONTEXT(deployment_raw[[#This Row],[Column1]]), "", deployment_raw[[#This Row],[Column1]])</f>
        <v/>
      </c>
      <c r="B697" s="6" t="str">
        <f>IF(ISNONTEXT(deployment_raw[[#This Row],[Column2]]), "", deployment_raw[[#This Row],[Column2]])</f>
        <v/>
      </c>
      <c r="C697" s="6" t="str">
        <f>IF(ISNONTEXT(deployment_raw[[#This Row],[Column3]]), "", deployment_raw[[#This Row],[Column3]])</f>
        <v/>
      </c>
      <c r="D697" s="6" t="str">
        <f>IF(ISNONTEXT(deployment_raw[[#This Row],[Column4]]), "", deployment_raw[[#This Row],[Column4]])</f>
        <v/>
      </c>
      <c r="E697" s="7" t="str">
        <f>IF(ISNUMBER(deployment_raw[[#This Row],[Column5]]), deployment_raw[[#This Row],[Column5]],"")</f>
        <v/>
      </c>
      <c r="F697" s="32" t="str">
        <f>IF(ISNUMBER(deployment_raw[[#This Row],[Column17]]), deployment_raw[[#This Row],[Column17]]/IF(OR($E$2="Deployment",deployment_raw[[#This Row],[Column5]]=0),1,deployment_raw[[#This Row],[Column5]]),"")</f>
        <v/>
      </c>
      <c r="G697" s="42" t="str">
        <f>IF(ISNUMBER(deployment_raw[[#This Row],[Column14]]), deployment_raw[[#This Row],[Column14]]/IF(OR($E$2="Deployment",deployment_raw[[#This Row],[Column5]]=0),1,deployment_raw[[#This Row],[Column5]]),"")</f>
        <v/>
      </c>
      <c r="H697" s="79" t="str">
        <f>IF(ISNUMBER(deployment_raw[[#This Row],[Column19]]), IF(I697&lt;&gt;0,(deployment_raw[[#This Row],[Column19]]/IF(OR($E$2="Deployment",deployment_raw[[#This Row],[Column5]]=0),1,deployment_raw[[#This Row],[Column5]]))/I697,0),"")</f>
        <v/>
      </c>
      <c r="I697" s="69" t="str">
        <f>IF(ISNUMBER(deployment_raw[[#This Row],[Column6]]), (deployment_raw[[#This Row],[Column6]] * IF($E$2="Deployment",deployment_raw[[#This Row],[Column5]],1)),"")</f>
        <v/>
      </c>
      <c r="J697" s="79" t="str">
        <f>IF(ISNUMBER(deployment_raw[[#This Row],[Column19]]), IF(K697&lt;&gt;0,(deployment_raw[[#This Row],[Column19]]/IF(OR($E$2="Deployment",deployment_raw[[#This Row],[Column5]]=0),1,deployment_raw[[#This Row],[Column5]]))/K697,0),"")</f>
        <v/>
      </c>
      <c r="K697" s="72" t="str">
        <f>IF(ISNUMBER(deployment_raw[[#This Row],[Column8]]), (deployment_raw[[#This Row],[Column8]]  * IF($E$2="Deployment",deployment_raw[[#This Row],[Column5]],1)),"")</f>
        <v/>
      </c>
      <c r="L69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9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97" s="81" t="str">
        <f>IF(ISNUMBER(deployment_raw[[#This Row],[Column20]]), IF(O697&lt;&gt;0,deployment_raw[[#This Row],[Column20]]/IF(OR($E$2="Deployment",deployment_raw[[#This Row],[Column5]]=0),1,deployment_raw[[#This Row],[Column5]])/1048576/O697,0),"")</f>
        <v/>
      </c>
      <c r="O697" s="74" t="str">
        <f>IF(ISNUMBER(deployment_raw[[#This Row],[Column7]]), (deployment_raw[[#This Row],[Column7]] * IF($E$2="Deployment",deployment_raw[[#This Row],[Column5]],1))/1048576,"")</f>
        <v/>
      </c>
      <c r="P697" s="81" t="str">
        <f>IF(ISNUMBER(deployment_raw[[#This Row],[Column20]]), IF(Q697&lt;&gt;0,deployment_raw[[#This Row],[Column20]]/IF(OR($E$2="Deployment",deployment_raw[[#This Row],[Column5]]=0),1,deployment_raw[[#This Row],[Column5]])/1048576/Q697,0),"")</f>
        <v/>
      </c>
      <c r="Q697" s="76" t="str">
        <f>IF(ISNUMBER(deployment_raw[[#This Row],[Column9]]), (deployment_raw[[#This Row],[Column9]] * IF($E$2="Deployment",deployment_raw[[#This Row],[Column5]],1))/1048576,"")</f>
        <v/>
      </c>
      <c r="R697" s="57" t="str">
        <f>IF(ISNUMBER(deployment_raw[[#This Row],[Column10]]), (deployment_raw[[#This Row],[Column10]] * IF($E$2="Deployment",deployment_raw[[#This Row],[Column5]],1)),"")</f>
        <v/>
      </c>
      <c r="S697" s="48" t="str">
        <f>IF(ISNUMBER(deployment_raw[[#This Row],[Column11]]), (deployment_raw[[#This Row],[Column11]] * IF($E$2="Deployment",deployment_raw[[#This Row],[Column5]],1))/1048576,"")</f>
        <v/>
      </c>
      <c r="T697" s="59" t="str">
        <f>IF(ISNUMBER(deployment_raw[[#This Row],[Column8]]),IF(OR(deployment_raw[[#This Row],[Column5]] &lt;&gt; 0,$E$2 &lt;&gt; "Deployment"), MAX(V697, ($T$2 * IF($E$2="Deployment",deployment_raw[[#This Row],[Column5]],1))), 0),"")</f>
        <v/>
      </c>
      <c r="U697" s="50" t="str">
        <f>IF(ISNUMBER(deployment_raw[[#This Row],[Column9]]),IF(OR(deployment_raw[[#This Row],[Column5]] &lt;&gt; 0,$E$2&lt;&gt;"Deployment"), MAX(W697, ($U$2 * IF($E$2="Deployment",deployment_raw[[#This Row],[Column5]],1))), 0),"")</f>
        <v/>
      </c>
      <c r="V697" s="15" t="str">
        <f>IF(ISNUMBER(deployment_raw[[#This Row],[Column12]]), (deployment_raw[[#This Row],[Column12]] * IF($E$2="Deployment",deployment_raw[[#This Row],[Column5]],1)*(1+$V$2)),"")</f>
        <v/>
      </c>
      <c r="W697" s="14" t="str">
        <f>IF(ISNUMBER(deployment_raw[[#This Row],[Column13]]), (deployment_raw[[#This Row],[Column13]] * IF($E$2="Deployment",deployment_raw[[#This Row],[Column5]],1)*(1+$W$2))/1048576,"")</f>
        <v/>
      </c>
    </row>
    <row r="698" spans="1:23" ht="15.75" customHeight="1" x14ac:dyDescent="0.25">
      <c r="A698" s="5" t="str">
        <f>IF(ISNONTEXT(deployment_raw[[#This Row],[Column1]]), "", deployment_raw[[#This Row],[Column1]])</f>
        <v/>
      </c>
      <c r="B698" s="6" t="str">
        <f>IF(ISNONTEXT(deployment_raw[[#This Row],[Column2]]), "", deployment_raw[[#This Row],[Column2]])</f>
        <v/>
      </c>
      <c r="C698" s="6" t="str">
        <f>IF(ISNONTEXT(deployment_raw[[#This Row],[Column3]]), "", deployment_raw[[#This Row],[Column3]])</f>
        <v/>
      </c>
      <c r="D698" s="6" t="str">
        <f>IF(ISNONTEXT(deployment_raw[[#This Row],[Column4]]), "", deployment_raw[[#This Row],[Column4]])</f>
        <v/>
      </c>
      <c r="E698" s="7" t="str">
        <f>IF(ISNUMBER(deployment_raw[[#This Row],[Column5]]), deployment_raw[[#This Row],[Column5]],"")</f>
        <v/>
      </c>
      <c r="F698" s="32" t="str">
        <f>IF(ISNUMBER(deployment_raw[[#This Row],[Column17]]), deployment_raw[[#This Row],[Column17]]/IF(OR($E$2="Deployment",deployment_raw[[#This Row],[Column5]]=0),1,deployment_raw[[#This Row],[Column5]]),"")</f>
        <v/>
      </c>
      <c r="G698" s="42" t="str">
        <f>IF(ISNUMBER(deployment_raw[[#This Row],[Column14]]), deployment_raw[[#This Row],[Column14]]/IF(OR($E$2="Deployment",deployment_raw[[#This Row],[Column5]]=0),1,deployment_raw[[#This Row],[Column5]]),"")</f>
        <v/>
      </c>
      <c r="H698" s="79" t="str">
        <f>IF(ISNUMBER(deployment_raw[[#This Row],[Column19]]), IF(I698&lt;&gt;0,(deployment_raw[[#This Row],[Column19]]/IF(OR($E$2="Deployment",deployment_raw[[#This Row],[Column5]]=0),1,deployment_raw[[#This Row],[Column5]]))/I698,0),"")</f>
        <v/>
      </c>
      <c r="I698" s="69" t="str">
        <f>IF(ISNUMBER(deployment_raw[[#This Row],[Column6]]), (deployment_raw[[#This Row],[Column6]] * IF($E$2="Deployment",deployment_raw[[#This Row],[Column5]],1)),"")</f>
        <v/>
      </c>
      <c r="J698" s="79" t="str">
        <f>IF(ISNUMBER(deployment_raw[[#This Row],[Column19]]), IF(K698&lt;&gt;0,(deployment_raw[[#This Row],[Column19]]/IF(OR($E$2="Deployment",deployment_raw[[#This Row],[Column5]]=0),1,deployment_raw[[#This Row],[Column5]]))/K698,0),"")</f>
        <v/>
      </c>
      <c r="K698" s="72" t="str">
        <f>IF(ISNUMBER(deployment_raw[[#This Row],[Column8]]), (deployment_raw[[#This Row],[Column8]]  * IF($E$2="Deployment",deployment_raw[[#This Row],[Column5]],1)),"")</f>
        <v/>
      </c>
      <c r="L69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9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98" s="81" t="str">
        <f>IF(ISNUMBER(deployment_raw[[#This Row],[Column20]]), IF(O698&lt;&gt;0,deployment_raw[[#This Row],[Column20]]/IF(OR($E$2="Deployment",deployment_raw[[#This Row],[Column5]]=0),1,deployment_raw[[#This Row],[Column5]])/1048576/O698,0),"")</f>
        <v/>
      </c>
      <c r="O698" s="74" t="str">
        <f>IF(ISNUMBER(deployment_raw[[#This Row],[Column7]]), (deployment_raw[[#This Row],[Column7]] * IF($E$2="Deployment",deployment_raw[[#This Row],[Column5]],1))/1048576,"")</f>
        <v/>
      </c>
      <c r="P698" s="81" t="str">
        <f>IF(ISNUMBER(deployment_raw[[#This Row],[Column20]]), IF(Q698&lt;&gt;0,deployment_raw[[#This Row],[Column20]]/IF(OR($E$2="Deployment",deployment_raw[[#This Row],[Column5]]=0),1,deployment_raw[[#This Row],[Column5]])/1048576/Q698,0),"")</f>
        <v/>
      </c>
      <c r="Q698" s="76" t="str">
        <f>IF(ISNUMBER(deployment_raw[[#This Row],[Column9]]), (deployment_raw[[#This Row],[Column9]] * IF($E$2="Deployment",deployment_raw[[#This Row],[Column5]],1))/1048576,"")</f>
        <v/>
      </c>
      <c r="R698" s="57" t="str">
        <f>IF(ISNUMBER(deployment_raw[[#This Row],[Column10]]), (deployment_raw[[#This Row],[Column10]] * IF($E$2="Deployment",deployment_raw[[#This Row],[Column5]],1)),"")</f>
        <v/>
      </c>
      <c r="S698" s="48" t="str">
        <f>IF(ISNUMBER(deployment_raw[[#This Row],[Column11]]), (deployment_raw[[#This Row],[Column11]] * IF($E$2="Deployment",deployment_raw[[#This Row],[Column5]],1))/1048576,"")</f>
        <v/>
      </c>
      <c r="T698" s="59" t="str">
        <f>IF(ISNUMBER(deployment_raw[[#This Row],[Column8]]),IF(OR(deployment_raw[[#This Row],[Column5]] &lt;&gt; 0,$E$2 &lt;&gt; "Deployment"), MAX(V698, ($T$2 * IF($E$2="Deployment",deployment_raw[[#This Row],[Column5]],1))), 0),"")</f>
        <v/>
      </c>
      <c r="U698" s="50" t="str">
        <f>IF(ISNUMBER(deployment_raw[[#This Row],[Column9]]),IF(OR(deployment_raw[[#This Row],[Column5]] &lt;&gt; 0,$E$2&lt;&gt;"Deployment"), MAX(W698, ($U$2 * IF($E$2="Deployment",deployment_raw[[#This Row],[Column5]],1))), 0),"")</f>
        <v/>
      </c>
      <c r="V698" s="15" t="str">
        <f>IF(ISNUMBER(deployment_raw[[#This Row],[Column12]]), (deployment_raw[[#This Row],[Column12]] * IF($E$2="Deployment",deployment_raw[[#This Row],[Column5]],1)*(1+$V$2)),"")</f>
        <v/>
      </c>
      <c r="W698" s="14" t="str">
        <f>IF(ISNUMBER(deployment_raw[[#This Row],[Column13]]), (deployment_raw[[#This Row],[Column13]] * IF($E$2="Deployment",deployment_raw[[#This Row],[Column5]],1)*(1+$W$2))/1048576,"")</f>
        <v/>
      </c>
    </row>
    <row r="699" spans="1:23" ht="15.75" customHeight="1" x14ac:dyDescent="0.25">
      <c r="A699" s="5" t="str">
        <f>IF(ISNONTEXT(deployment_raw[[#This Row],[Column1]]), "", deployment_raw[[#This Row],[Column1]])</f>
        <v/>
      </c>
      <c r="B699" s="6" t="str">
        <f>IF(ISNONTEXT(deployment_raw[[#This Row],[Column2]]), "", deployment_raw[[#This Row],[Column2]])</f>
        <v/>
      </c>
      <c r="C699" s="6" t="str">
        <f>IF(ISNONTEXT(deployment_raw[[#This Row],[Column3]]), "", deployment_raw[[#This Row],[Column3]])</f>
        <v/>
      </c>
      <c r="D699" s="6" t="str">
        <f>IF(ISNONTEXT(deployment_raw[[#This Row],[Column4]]), "", deployment_raw[[#This Row],[Column4]])</f>
        <v/>
      </c>
      <c r="E699" s="7" t="str">
        <f>IF(ISNUMBER(deployment_raw[[#This Row],[Column5]]), deployment_raw[[#This Row],[Column5]],"")</f>
        <v/>
      </c>
      <c r="F699" s="32" t="str">
        <f>IF(ISNUMBER(deployment_raw[[#This Row],[Column17]]), deployment_raw[[#This Row],[Column17]]/IF(OR($E$2="Deployment",deployment_raw[[#This Row],[Column5]]=0),1,deployment_raw[[#This Row],[Column5]]),"")</f>
        <v/>
      </c>
      <c r="G699" s="42" t="str">
        <f>IF(ISNUMBER(deployment_raw[[#This Row],[Column14]]), deployment_raw[[#This Row],[Column14]]/IF(OR($E$2="Deployment",deployment_raw[[#This Row],[Column5]]=0),1,deployment_raw[[#This Row],[Column5]]),"")</f>
        <v/>
      </c>
      <c r="H699" s="79" t="str">
        <f>IF(ISNUMBER(deployment_raw[[#This Row],[Column19]]), IF(I699&lt;&gt;0,(deployment_raw[[#This Row],[Column19]]/IF(OR($E$2="Deployment",deployment_raw[[#This Row],[Column5]]=0),1,deployment_raw[[#This Row],[Column5]]))/I699,0),"")</f>
        <v/>
      </c>
      <c r="I699" s="69" t="str">
        <f>IF(ISNUMBER(deployment_raw[[#This Row],[Column6]]), (deployment_raw[[#This Row],[Column6]] * IF($E$2="Deployment",deployment_raw[[#This Row],[Column5]],1)),"")</f>
        <v/>
      </c>
      <c r="J699" s="79" t="str">
        <f>IF(ISNUMBER(deployment_raw[[#This Row],[Column19]]), IF(K699&lt;&gt;0,(deployment_raw[[#This Row],[Column19]]/IF(OR($E$2="Deployment",deployment_raw[[#This Row],[Column5]]=0),1,deployment_raw[[#This Row],[Column5]]))/K699,0),"")</f>
        <v/>
      </c>
      <c r="K699" s="72" t="str">
        <f>IF(ISNUMBER(deployment_raw[[#This Row],[Column8]]), (deployment_raw[[#This Row],[Column8]]  * IF($E$2="Deployment",deployment_raw[[#This Row],[Column5]],1)),"")</f>
        <v/>
      </c>
      <c r="L69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9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99" s="81" t="str">
        <f>IF(ISNUMBER(deployment_raw[[#This Row],[Column20]]), IF(O699&lt;&gt;0,deployment_raw[[#This Row],[Column20]]/IF(OR($E$2="Deployment",deployment_raw[[#This Row],[Column5]]=0),1,deployment_raw[[#This Row],[Column5]])/1048576/O699,0),"")</f>
        <v/>
      </c>
      <c r="O699" s="74" t="str">
        <f>IF(ISNUMBER(deployment_raw[[#This Row],[Column7]]), (deployment_raw[[#This Row],[Column7]] * IF($E$2="Deployment",deployment_raw[[#This Row],[Column5]],1))/1048576,"")</f>
        <v/>
      </c>
      <c r="P699" s="81" t="str">
        <f>IF(ISNUMBER(deployment_raw[[#This Row],[Column20]]), IF(Q699&lt;&gt;0,deployment_raw[[#This Row],[Column20]]/IF(OR($E$2="Deployment",deployment_raw[[#This Row],[Column5]]=0),1,deployment_raw[[#This Row],[Column5]])/1048576/Q699,0),"")</f>
        <v/>
      </c>
      <c r="Q699" s="76" t="str">
        <f>IF(ISNUMBER(deployment_raw[[#This Row],[Column9]]), (deployment_raw[[#This Row],[Column9]] * IF($E$2="Deployment",deployment_raw[[#This Row],[Column5]],1))/1048576,"")</f>
        <v/>
      </c>
      <c r="R699" s="57" t="str">
        <f>IF(ISNUMBER(deployment_raw[[#This Row],[Column10]]), (deployment_raw[[#This Row],[Column10]] * IF($E$2="Deployment",deployment_raw[[#This Row],[Column5]],1)),"")</f>
        <v/>
      </c>
      <c r="S699" s="48" t="str">
        <f>IF(ISNUMBER(deployment_raw[[#This Row],[Column11]]), (deployment_raw[[#This Row],[Column11]] * IF($E$2="Deployment",deployment_raw[[#This Row],[Column5]],1))/1048576,"")</f>
        <v/>
      </c>
      <c r="T699" s="59" t="str">
        <f>IF(ISNUMBER(deployment_raw[[#This Row],[Column8]]),IF(OR(deployment_raw[[#This Row],[Column5]] &lt;&gt; 0,$E$2 &lt;&gt; "Deployment"), MAX(V699, ($T$2 * IF($E$2="Deployment",deployment_raw[[#This Row],[Column5]],1))), 0),"")</f>
        <v/>
      </c>
      <c r="U699" s="50" t="str">
        <f>IF(ISNUMBER(deployment_raw[[#This Row],[Column9]]),IF(OR(deployment_raw[[#This Row],[Column5]] &lt;&gt; 0,$E$2&lt;&gt;"Deployment"), MAX(W699, ($U$2 * IF($E$2="Deployment",deployment_raw[[#This Row],[Column5]],1))), 0),"")</f>
        <v/>
      </c>
      <c r="V699" s="15" t="str">
        <f>IF(ISNUMBER(deployment_raw[[#This Row],[Column12]]), (deployment_raw[[#This Row],[Column12]] * IF($E$2="Deployment",deployment_raw[[#This Row],[Column5]],1)*(1+$V$2)),"")</f>
        <v/>
      </c>
      <c r="W699" s="14" t="str">
        <f>IF(ISNUMBER(deployment_raw[[#This Row],[Column13]]), (deployment_raw[[#This Row],[Column13]] * IF($E$2="Deployment",deployment_raw[[#This Row],[Column5]],1)*(1+$W$2))/1048576,"")</f>
        <v/>
      </c>
    </row>
    <row r="700" spans="1:23" ht="15.75" customHeight="1" x14ac:dyDescent="0.25">
      <c r="A700" s="5" t="str">
        <f>IF(ISNONTEXT(deployment_raw[[#This Row],[Column1]]), "", deployment_raw[[#This Row],[Column1]])</f>
        <v/>
      </c>
      <c r="B700" s="6" t="str">
        <f>IF(ISNONTEXT(deployment_raw[[#This Row],[Column2]]), "", deployment_raw[[#This Row],[Column2]])</f>
        <v/>
      </c>
      <c r="C700" s="6" t="str">
        <f>IF(ISNONTEXT(deployment_raw[[#This Row],[Column3]]), "", deployment_raw[[#This Row],[Column3]])</f>
        <v/>
      </c>
      <c r="D700" s="6" t="str">
        <f>IF(ISNONTEXT(deployment_raw[[#This Row],[Column4]]), "", deployment_raw[[#This Row],[Column4]])</f>
        <v/>
      </c>
      <c r="E700" s="7" t="str">
        <f>IF(ISNUMBER(deployment_raw[[#This Row],[Column5]]), deployment_raw[[#This Row],[Column5]],"")</f>
        <v/>
      </c>
      <c r="F700" s="32" t="str">
        <f>IF(ISNUMBER(deployment_raw[[#This Row],[Column17]]), deployment_raw[[#This Row],[Column17]]/IF(OR($E$2="Deployment",deployment_raw[[#This Row],[Column5]]=0),1,deployment_raw[[#This Row],[Column5]]),"")</f>
        <v/>
      </c>
      <c r="G700" s="42" t="str">
        <f>IF(ISNUMBER(deployment_raw[[#This Row],[Column14]]), deployment_raw[[#This Row],[Column14]]/IF(OR($E$2="Deployment",deployment_raw[[#This Row],[Column5]]=0),1,deployment_raw[[#This Row],[Column5]]),"")</f>
        <v/>
      </c>
      <c r="H700" s="79" t="str">
        <f>IF(ISNUMBER(deployment_raw[[#This Row],[Column19]]), IF(I700&lt;&gt;0,(deployment_raw[[#This Row],[Column19]]/IF(OR($E$2="Deployment",deployment_raw[[#This Row],[Column5]]=0),1,deployment_raw[[#This Row],[Column5]]))/I700,0),"")</f>
        <v/>
      </c>
      <c r="I700" s="69" t="str">
        <f>IF(ISNUMBER(deployment_raw[[#This Row],[Column6]]), (deployment_raw[[#This Row],[Column6]] * IF($E$2="Deployment",deployment_raw[[#This Row],[Column5]],1)),"")</f>
        <v/>
      </c>
      <c r="J700" s="79" t="str">
        <f>IF(ISNUMBER(deployment_raw[[#This Row],[Column19]]), IF(K700&lt;&gt;0,(deployment_raw[[#This Row],[Column19]]/IF(OR($E$2="Deployment",deployment_raw[[#This Row],[Column5]]=0),1,deployment_raw[[#This Row],[Column5]]))/K700,0),"")</f>
        <v/>
      </c>
      <c r="K700" s="72" t="str">
        <f>IF(ISNUMBER(deployment_raw[[#This Row],[Column8]]), (deployment_raw[[#This Row],[Column8]]  * IF($E$2="Deployment",deployment_raw[[#This Row],[Column5]],1)),"")</f>
        <v/>
      </c>
      <c r="L70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0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00" s="81" t="str">
        <f>IF(ISNUMBER(deployment_raw[[#This Row],[Column20]]), IF(O700&lt;&gt;0,deployment_raw[[#This Row],[Column20]]/IF(OR($E$2="Deployment",deployment_raw[[#This Row],[Column5]]=0),1,deployment_raw[[#This Row],[Column5]])/1048576/O700,0),"")</f>
        <v/>
      </c>
      <c r="O700" s="74" t="str">
        <f>IF(ISNUMBER(deployment_raw[[#This Row],[Column7]]), (deployment_raw[[#This Row],[Column7]] * IF($E$2="Deployment",deployment_raw[[#This Row],[Column5]],1))/1048576,"")</f>
        <v/>
      </c>
      <c r="P700" s="81" t="str">
        <f>IF(ISNUMBER(deployment_raw[[#This Row],[Column20]]), IF(Q700&lt;&gt;0,deployment_raw[[#This Row],[Column20]]/IF(OR($E$2="Deployment",deployment_raw[[#This Row],[Column5]]=0),1,deployment_raw[[#This Row],[Column5]])/1048576/Q700,0),"")</f>
        <v/>
      </c>
      <c r="Q700" s="76" t="str">
        <f>IF(ISNUMBER(deployment_raw[[#This Row],[Column9]]), (deployment_raw[[#This Row],[Column9]] * IF($E$2="Deployment",deployment_raw[[#This Row],[Column5]],1))/1048576,"")</f>
        <v/>
      </c>
      <c r="R700" s="57" t="str">
        <f>IF(ISNUMBER(deployment_raw[[#This Row],[Column10]]), (deployment_raw[[#This Row],[Column10]] * IF($E$2="Deployment",deployment_raw[[#This Row],[Column5]],1)),"")</f>
        <v/>
      </c>
      <c r="S700" s="48" t="str">
        <f>IF(ISNUMBER(deployment_raw[[#This Row],[Column11]]), (deployment_raw[[#This Row],[Column11]] * IF($E$2="Deployment",deployment_raw[[#This Row],[Column5]],1))/1048576,"")</f>
        <v/>
      </c>
      <c r="T700" s="59" t="str">
        <f>IF(ISNUMBER(deployment_raw[[#This Row],[Column8]]),IF(OR(deployment_raw[[#This Row],[Column5]] &lt;&gt; 0,$E$2 &lt;&gt; "Deployment"), MAX(V700, ($T$2 * IF($E$2="Deployment",deployment_raw[[#This Row],[Column5]],1))), 0),"")</f>
        <v/>
      </c>
      <c r="U700" s="50" t="str">
        <f>IF(ISNUMBER(deployment_raw[[#This Row],[Column9]]),IF(OR(deployment_raw[[#This Row],[Column5]] &lt;&gt; 0,$E$2&lt;&gt;"Deployment"), MAX(W700, ($U$2 * IF($E$2="Deployment",deployment_raw[[#This Row],[Column5]],1))), 0),"")</f>
        <v/>
      </c>
      <c r="V700" s="15" t="str">
        <f>IF(ISNUMBER(deployment_raw[[#This Row],[Column12]]), (deployment_raw[[#This Row],[Column12]] * IF($E$2="Deployment",deployment_raw[[#This Row],[Column5]],1)*(1+$V$2)),"")</f>
        <v/>
      </c>
      <c r="W700" s="14" t="str">
        <f>IF(ISNUMBER(deployment_raw[[#This Row],[Column13]]), (deployment_raw[[#This Row],[Column13]] * IF($E$2="Deployment",deployment_raw[[#This Row],[Column5]],1)*(1+$W$2))/1048576,"")</f>
        <v/>
      </c>
    </row>
    <row r="701" spans="1:23" ht="15.75" customHeight="1" x14ac:dyDescent="0.25">
      <c r="A701" s="5" t="str">
        <f>IF(ISNONTEXT(deployment_raw[[#This Row],[Column1]]), "", deployment_raw[[#This Row],[Column1]])</f>
        <v/>
      </c>
      <c r="B701" s="6" t="str">
        <f>IF(ISNONTEXT(deployment_raw[[#This Row],[Column2]]), "", deployment_raw[[#This Row],[Column2]])</f>
        <v/>
      </c>
      <c r="C701" s="6" t="str">
        <f>IF(ISNONTEXT(deployment_raw[[#This Row],[Column3]]), "", deployment_raw[[#This Row],[Column3]])</f>
        <v/>
      </c>
      <c r="D701" s="6" t="str">
        <f>IF(ISNONTEXT(deployment_raw[[#This Row],[Column4]]), "", deployment_raw[[#This Row],[Column4]])</f>
        <v/>
      </c>
      <c r="E701" s="7" t="str">
        <f>IF(ISNUMBER(deployment_raw[[#This Row],[Column5]]), deployment_raw[[#This Row],[Column5]],"")</f>
        <v/>
      </c>
      <c r="F701" s="32" t="str">
        <f>IF(ISNUMBER(deployment_raw[[#This Row],[Column17]]), deployment_raw[[#This Row],[Column17]]/IF(OR($E$2="Deployment",deployment_raw[[#This Row],[Column5]]=0),1,deployment_raw[[#This Row],[Column5]]),"")</f>
        <v/>
      </c>
      <c r="G701" s="42" t="str">
        <f>IF(ISNUMBER(deployment_raw[[#This Row],[Column14]]), deployment_raw[[#This Row],[Column14]]/IF(OR($E$2="Deployment",deployment_raw[[#This Row],[Column5]]=0),1,deployment_raw[[#This Row],[Column5]]),"")</f>
        <v/>
      </c>
      <c r="H701" s="79" t="str">
        <f>IF(ISNUMBER(deployment_raw[[#This Row],[Column19]]), IF(I701&lt;&gt;0,(deployment_raw[[#This Row],[Column19]]/IF(OR($E$2="Deployment",deployment_raw[[#This Row],[Column5]]=0),1,deployment_raw[[#This Row],[Column5]]))/I701,0),"")</f>
        <v/>
      </c>
      <c r="I701" s="69" t="str">
        <f>IF(ISNUMBER(deployment_raw[[#This Row],[Column6]]), (deployment_raw[[#This Row],[Column6]] * IF($E$2="Deployment",deployment_raw[[#This Row],[Column5]],1)),"")</f>
        <v/>
      </c>
      <c r="J701" s="79" t="str">
        <f>IF(ISNUMBER(deployment_raw[[#This Row],[Column19]]), IF(K701&lt;&gt;0,(deployment_raw[[#This Row],[Column19]]/IF(OR($E$2="Deployment",deployment_raw[[#This Row],[Column5]]=0),1,deployment_raw[[#This Row],[Column5]]))/K701,0),"")</f>
        <v/>
      </c>
      <c r="K701" s="72" t="str">
        <f>IF(ISNUMBER(deployment_raw[[#This Row],[Column8]]), (deployment_raw[[#This Row],[Column8]]  * IF($E$2="Deployment",deployment_raw[[#This Row],[Column5]],1)),"")</f>
        <v/>
      </c>
      <c r="L70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0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01" s="81" t="str">
        <f>IF(ISNUMBER(deployment_raw[[#This Row],[Column20]]), IF(O701&lt;&gt;0,deployment_raw[[#This Row],[Column20]]/IF(OR($E$2="Deployment",deployment_raw[[#This Row],[Column5]]=0),1,deployment_raw[[#This Row],[Column5]])/1048576/O701,0),"")</f>
        <v/>
      </c>
      <c r="O701" s="74" t="str">
        <f>IF(ISNUMBER(deployment_raw[[#This Row],[Column7]]), (deployment_raw[[#This Row],[Column7]] * IF($E$2="Deployment",deployment_raw[[#This Row],[Column5]],1))/1048576,"")</f>
        <v/>
      </c>
      <c r="P701" s="81" t="str">
        <f>IF(ISNUMBER(deployment_raw[[#This Row],[Column20]]), IF(Q701&lt;&gt;0,deployment_raw[[#This Row],[Column20]]/IF(OR($E$2="Deployment",deployment_raw[[#This Row],[Column5]]=0),1,deployment_raw[[#This Row],[Column5]])/1048576/Q701,0),"")</f>
        <v/>
      </c>
      <c r="Q701" s="76" t="str">
        <f>IF(ISNUMBER(deployment_raw[[#This Row],[Column9]]), (deployment_raw[[#This Row],[Column9]] * IF($E$2="Deployment",deployment_raw[[#This Row],[Column5]],1))/1048576,"")</f>
        <v/>
      </c>
      <c r="R701" s="57" t="str">
        <f>IF(ISNUMBER(deployment_raw[[#This Row],[Column10]]), (deployment_raw[[#This Row],[Column10]] * IF($E$2="Deployment",deployment_raw[[#This Row],[Column5]],1)),"")</f>
        <v/>
      </c>
      <c r="S701" s="48" t="str">
        <f>IF(ISNUMBER(deployment_raw[[#This Row],[Column11]]), (deployment_raw[[#This Row],[Column11]] * IF($E$2="Deployment",deployment_raw[[#This Row],[Column5]],1))/1048576,"")</f>
        <v/>
      </c>
      <c r="T701" s="59" t="str">
        <f>IF(ISNUMBER(deployment_raw[[#This Row],[Column8]]),IF(OR(deployment_raw[[#This Row],[Column5]] &lt;&gt; 0,$E$2 &lt;&gt; "Deployment"), MAX(V701, ($T$2 * IF($E$2="Deployment",deployment_raw[[#This Row],[Column5]],1))), 0),"")</f>
        <v/>
      </c>
      <c r="U701" s="50" t="str">
        <f>IF(ISNUMBER(deployment_raw[[#This Row],[Column9]]),IF(OR(deployment_raw[[#This Row],[Column5]] &lt;&gt; 0,$E$2&lt;&gt;"Deployment"), MAX(W701, ($U$2 * IF($E$2="Deployment",deployment_raw[[#This Row],[Column5]],1))), 0),"")</f>
        <v/>
      </c>
      <c r="V701" s="15" t="str">
        <f>IF(ISNUMBER(deployment_raw[[#This Row],[Column12]]), (deployment_raw[[#This Row],[Column12]] * IF($E$2="Deployment",deployment_raw[[#This Row],[Column5]],1)*(1+$V$2)),"")</f>
        <v/>
      </c>
      <c r="W701" s="14" t="str">
        <f>IF(ISNUMBER(deployment_raw[[#This Row],[Column13]]), (deployment_raw[[#This Row],[Column13]] * IF($E$2="Deployment",deployment_raw[[#This Row],[Column5]],1)*(1+$W$2))/1048576,"")</f>
        <v/>
      </c>
    </row>
    <row r="702" spans="1:23" ht="15.75" customHeight="1" x14ac:dyDescent="0.25">
      <c r="A702" s="5" t="str">
        <f>IF(ISNONTEXT(deployment_raw[[#This Row],[Column1]]), "", deployment_raw[[#This Row],[Column1]])</f>
        <v/>
      </c>
      <c r="B702" s="6" t="str">
        <f>IF(ISNONTEXT(deployment_raw[[#This Row],[Column2]]), "", deployment_raw[[#This Row],[Column2]])</f>
        <v/>
      </c>
      <c r="C702" s="6" t="str">
        <f>IF(ISNONTEXT(deployment_raw[[#This Row],[Column3]]), "", deployment_raw[[#This Row],[Column3]])</f>
        <v/>
      </c>
      <c r="D702" s="6" t="str">
        <f>IF(ISNONTEXT(deployment_raw[[#This Row],[Column4]]), "", deployment_raw[[#This Row],[Column4]])</f>
        <v/>
      </c>
      <c r="E702" s="7" t="str">
        <f>IF(ISNUMBER(deployment_raw[[#This Row],[Column5]]), deployment_raw[[#This Row],[Column5]],"")</f>
        <v/>
      </c>
      <c r="F702" s="32" t="str">
        <f>IF(ISNUMBER(deployment_raw[[#This Row],[Column17]]), deployment_raw[[#This Row],[Column17]]/IF(OR($E$2="Deployment",deployment_raw[[#This Row],[Column5]]=0),1,deployment_raw[[#This Row],[Column5]]),"")</f>
        <v/>
      </c>
      <c r="G702" s="42" t="str">
        <f>IF(ISNUMBER(deployment_raw[[#This Row],[Column14]]), deployment_raw[[#This Row],[Column14]]/IF(OR($E$2="Deployment",deployment_raw[[#This Row],[Column5]]=0),1,deployment_raw[[#This Row],[Column5]]),"")</f>
        <v/>
      </c>
      <c r="H702" s="79" t="str">
        <f>IF(ISNUMBER(deployment_raw[[#This Row],[Column19]]), IF(I702&lt;&gt;0,(deployment_raw[[#This Row],[Column19]]/IF(OR($E$2="Deployment",deployment_raw[[#This Row],[Column5]]=0),1,deployment_raw[[#This Row],[Column5]]))/I702,0),"")</f>
        <v/>
      </c>
      <c r="I702" s="69" t="str">
        <f>IF(ISNUMBER(deployment_raw[[#This Row],[Column6]]), (deployment_raw[[#This Row],[Column6]] * IF($E$2="Deployment",deployment_raw[[#This Row],[Column5]],1)),"")</f>
        <v/>
      </c>
      <c r="J702" s="79" t="str">
        <f>IF(ISNUMBER(deployment_raw[[#This Row],[Column19]]), IF(K702&lt;&gt;0,(deployment_raw[[#This Row],[Column19]]/IF(OR($E$2="Deployment",deployment_raw[[#This Row],[Column5]]=0),1,deployment_raw[[#This Row],[Column5]]))/K702,0),"")</f>
        <v/>
      </c>
      <c r="K702" s="72" t="str">
        <f>IF(ISNUMBER(deployment_raw[[#This Row],[Column8]]), (deployment_raw[[#This Row],[Column8]]  * IF($E$2="Deployment",deployment_raw[[#This Row],[Column5]],1)),"")</f>
        <v/>
      </c>
      <c r="L70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0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02" s="81" t="str">
        <f>IF(ISNUMBER(deployment_raw[[#This Row],[Column20]]), IF(O702&lt;&gt;0,deployment_raw[[#This Row],[Column20]]/IF(OR($E$2="Deployment",deployment_raw[[#This Row],[Column5]]=0),1,deployment_raw[[#This Row],[Column5]])/1048576/O702,0),"")</f>
        <v/>
      </c>
      <c r="O702" s="74" t="str">
        <f>IF(ISNUMBER(deployment_raw[[#This Row],[Column7]]), (deployment_raw[[#This Row],[Column7]] * IF($E$2="Deployment",deployment_raw[[#This Row],[Column5]],1))/1048576,"")</f>
        <v/>
      </c>
      <c r="P702" s="81" t="str">
        <f>IF(ISNUMBER(deployment_raw[[#This Row],[Column20]]), IF(Q702&lt;&gt;0,deployment_raw[[#This Row],[Column20]]/IF(OR($E$2="Deployment",deployment_raw[[#This Row],[Column5]]=0),1,deployment_raw[[#This Row],[Column5]])/1048576/Q702,0),"")</f>
        <v/>
      </c>
      <c r="Q702" s="76" t="str">
        <f>IF(ISNUMBER(deployment_raw[[#This Row],[Column9]]), (deployment_raw[[#This Row],[Column9]] * IF($E$2="Deployment",deployment_raw[[#This Row],[Column5]],1))/1048576,"")</f>
        <v/>
      </c>
      <c r="R702" s="57" t="str">
        <f>IF(ISNUMBER(deployment_raw[[#This Row],[Column10]]), (deployment_raw[[#This Row],[Column10]] * IF($E$2="Deployment",deployment_raw[[#This Row],[Column5]],1)),"")</f>
        <v/>
      </c>
      <c r="S702" s="48" t="str">
        <f>IF(ISNUMBER(deployment_raw[[#This Row],[Column11]]), (deployment_raw[[#This Row],[Column11]] * IF($E$2="Deployment",deployment_raw[[#This Row],[Column5]],1))/1048576,"")</f>
        <v/>
      </c>
      <c r="T702" s="59" t="str">
        <f>IF(ISNUMBER(deployment_raw[[#This Row],[Column8]]),IF(OR(deployment_raw[[#This Row],[Column5]] &lt;&gt; 0,$E$2 &lt;&gt; "Deployment"), MAX(V702, ($T$2 * IF($E$2="Deployment",deployment_raw[[#This Row],[Column5]],1))), 0),"")</f>
        <v/>
      </c>
      <c r="U702" s="50" t="str">
        <f>IF(ISNUMBER(deployment_raw[[#This Row],[Column9]]),IF(OR(deployment_raw[[#This Row],[Column5]] &lt;&gt; 0,$E$2&lt;&gt;"Deployment"), MAX(W702, ($U$2 * IF($E$2="Deployment",deployment_raw[[#This Row],[Column5]],1))), 0),"")</f>
        <v/>
      </c>
      <c r="V702" s="15" t="str">
        <f>IF(ISNUMBER(deployment_raw[[#This Row],[Column12]]), (deployment_raw[[#This Row],[Column12]] * IF($E$2="Deployment",deployment_raw[[#This Row],[Column5]],1)*(1+$V$2)),"")</f>
        <v/>
      </c>
      <c r="W702" s="14" t="str">
        <f>IF(ISNUMBER(deployment_raw[[#This Row],[Column13]]), (deployment_raw[[#This Row],[Column13]] * IF($E$2="Deployment",deployment_raw[[#This Row],[Column5]],1)*(1+$W$2))/1048576,"")</f>
        <v/>
      </c>
    </row>
    <row r="703" spans="1:23" ht="15.75" customHeight="1" x14ac:dyDescent="0.25">
      <c r="A703" s="5" t="str">
        <f>IF(ISNONTEXT(deployment_raw[[#This Row],[Column1]]), "", deployment_raw[[#This Row],[Column1]])</f>
        <v/>
      </c>
      <c r="B703" s="6" t="str">
        <f>IF(ISNONTEXT(deployment_raw[[#This Row],[Column2]]), "", deployment_raw[[#This Row],[Column2]])</f>
        <v/>
      </c>
      <c r="C703" s="6" t="str">
        <f>IF(ISNONTEXT(deployment_raw[[#This Row],[Column3]]), "", deployment_raw[[#This Row],[Column3]])</f>
        <v/>
      </c>
      <c r="D703" s="6" t="str">
        <f>IF(ISNONTEXT(deployment_raw[[#This Row],[Column4]]), "", deployment_raw[[#This Row],[Column4]])</f>
        <v/>
      </c>
      <c r="E703" s="7" t="str">
        <f>IF(ISNUMBER(deployment_raw[[#This Row],[Column5]]), deployment_raw[[#This Row],[Column5]],"")</f>
        <v/>
      </c>
      <c r="F703" s="32" t="str">
        <f>IF(ISNUMBER(deployment_raw[[#This Row],[Column17]]), deployment_raw[[#This Row],[Column17]]/IF(OR($E$2="Deployment",deployment_raw[[#This Row],[Column5]]=0),1,deployment_raw[[#This Row],[Column5]]),"")</f>
        <v/>
      </c>
      <c r="G703" s="42" t="str">
        <f>IF(ISNUMBER(deployment_raw[[#This Row],[Column14]]), deployment_raw[[#This Row],[Column14]]/IF(OR($E$2="Deployment",deployment_raw[[#This Row],[Column5]]=0),1,deployment_raw[[#This Row],[Column5]]),"")</f>
        <v/>
      </c>
      <c r="H703" s="79" t="str">
        <f>IF(ISNUMBER(deployment_raw[[#This Row],[Column19]]), IF(I703&lt;&gt;0,(deployment_raw[[#This Row],[Column19]]/IF(OR($E$2="Deployment",deployment_raw[[#This Row],[Column5]]=0),1,deployment_raw[[#This Row],[Column5]]))/I703,0),"")</f>
        <v/>
      </c>
      <c r="I703" s="69" t="str">
        <f>IF(ISNUMBER(deployment_raw[[#This Row],[Column6]]), (deployment_raw[[#This Row],[Column6]] * IF($E$2="Deployment",deployment_raw[[#This Row],[Column5]],1)),"")</f>
        <v/>
      </c>
      <c r="J703" s="79" t="str">
        <f>IF(ISNUMBER(deployment_raw[[#This Row],[Column19]]), IF(K703&lt;&gt;0,(deployment_raw[[#This Row],[Column19]]/IF(OR($E$2="Deployment",deployment_raw[[#This Row],[Column5]]=0),1,deployment_raw[[#This Row],[Column5]]))/K703,0),"")</f>
        <v/>
      </c>
      <c r="K703" s="72" t="str">
        <f>IF(ISNUMBER(deployment_raw[[#This Row],[Column8]]), (deployment_raw[[#This Row],[Column8]]  * IF($E$2="Deployment",deployment_raw[[#This Row],[Column5]],1)),"")</f>
        <v/>
      </c>
      <c r="L70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0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03" s="81" t="str">
        <f>IF(ISNUMBER(deployment_raw[[#This Row],[Column20]]), IF(O703&lt;&gt;0,deployment_raw[[#This Row],[Column20]]/IF(OR($E$2="Deployment",deployment_raw[[#This Row],[Column5]]=0),1,deployment_raw[[#This Row],[Column5]])/1048576/O703,0),"")</f>
        <v/>
      </c>
      <c r="O703" s="74" t="str">
        <f>IF(ISNUMBER(deployment_raw[[#This Row],[Column7]]), (deployment_raw[[#This Row],[Column7]] * IF($E$2="Deployment",deployment_raw[[#This Row],[Column5]],1))/1048576,"")</f>
        <v/>
      </c>
      <c r="P703" s="81" t="str">
        <f>IF(ISNUMBER(deployment_raw[[#This Row],[Column20]]), IF(Q703&lt;&gt;0,deployment_raw[[#This Row],[Column20]]/IF(OR($E$2="Deployment",deployment_raw[[#This Row],[Column5]]=0),1,deployment_raw[[#This Row],[Column5]])/1048576/Q703,0),"")</f>
        <v/>
      </c>
      <c r="Q703" s="76" t="str">
        <f>IF(ISNUMBER(deployment_raw[[#This Row],[Column9]]), (deployment_raw[[#This Row],[Column9]] * IF($E$2="Deployment",deployment_raw[[#This Row],[Column5]],1))/1048576,"")</f>
        <v/>
      </c>
      <c r="R703" s="57" t="str">
        <f>IF(ISNUMBER(deployment_raw[[#This Row],[Column10]]), (deployment_raw[[#This Row],[Column10]] * IF($E$2="Deployment",deployment_raw[[#This Row],[Column5]],1)),"")</f>
        <v/>
      </c>
      <c r="S703" s="48" t="str">
        <f>IF(ISNUMBER(deployment_raw[[#This Row],[Column11]]), (deployment_raw[[#This Row],[Column11]] * IF($E$2="Deployment",deployment_raw[[#This Row],[Column5]],1))/1048576,"")</f>
        <v/>
      </c>
      <c r="T703" s="59" t="str">
        <f>IF(ISNUMBER(deployment_raw[[#This Row],[Column8]]),IF(OR(deployment_raw[[#This Row],[Column5]] &lt;&gt; 0,$E$2 &lt;&gt; "Deployment"), MAX(V703, ($T$2 * IF($E$2="Deployment",deployment_raw[[#This Row],[Column5]],1))), 0),"")</f>
        <v/>
      </c>
      <c r="U703" s="50" t="str">
        <f>IF(ISNUMBER(deployment_raw[[#This Row],[Column9]]),IF(OR(deployment_raw[[#This Row],[Column5]] &lt;&gt; 0,$E$2&lt;&gt;"Deployment"), MAX(W703, ($U$2 * IF($E$2="Deployment",deployment_raw[[#This Row],[Column5]],1))), 0),"")</f>
        <v/>
      </c>
      <c r="V703" s="15" t="str">
        <f>IF(ISNUMBER(deployment_raw[[#This Row],[Column12]]), (deployment_raw[[#This Row],[Column12]] * IF($E$2="Deployment",deployment_raw[[#This Row],[Column5]],1)*(1+$V$2)),"")</f>
        <v/>
      </c>
      <c r="W703" s="14" t="str">
        <f>IF(ISNUMBER(deployment_raw[[#This Row],[Column13]]), (deployment_raw[[#This Row],[Column13]] * IF($E$2="Deployment",deployment_raw[[#This Row],[Column5]],1)*(1+$W$2))/1048576,"")</f>
        <v/>
      </c>
    </row>
    <row r="704" spans="1:23" ht="15.75" customHeight="1" x14ac:dyDescent="0.25">
      <c r="A704" s="5" t="str">
        <f>IF(ISNONTEXT(deployment_raw[[#This Row],[Column1]]), "", deployment_raw[[#This Row],[Column1]])</f>
        <v/>
      </c>
      <c r="B704" s="6" t="str">
        <f>IF(ISNONTEXT(deployment_raw[[#This Row],[Column2]]), "", deployment_raw[[#This Row],[Column2]])</f>
        <v/>
      </c>
      <c r="C704" s="6" t="str">
        <f>IF(ISNONTEXT(deployment_raw[[#This Row],[Column3]]), "", deployment_raw[[#This Row],[Column3]])</f>
        <v/>
      </c>
      <c r="D704" s="6" t="str">
        <f>IF(ISNONTEXT(deployment_raw[[#This Row],[Column4]]), "", deployment_raw[[#This Row],[Column4]])</f>
        <v/>
      </c>
      <c r="E704" s="7" t="str">
        <f>IF(ISNUMBER(deployment_raw[[#This Row],[Column5]]), deployment_raw[[#This Row],[Column5]],"")</f>
        <v/>
      </c>
      <c r="F704" s="32" t="str">
        <f>IF(ISNUMBER(deployment_raw[[#This Row],[Column17]]), deployment_raw[[#This Row],[Column17]]/IF(OR($E$2="Deployment",deployment_raw[[#This Row],[Column5]]=0),1,deployment_raw[[#This Row],[Column5]]),"")</f>
        <v/>
      </c>
      <c r="G704" s="42" t="str">
        <f>IF(ISNUMBER(deployment_raw[[#This Row],[Column14]]), deployment_raw[[#This Row],[Column14]]/IF(OR($E$2="Deployment",deployment_raw[[#This Row],[Column5]]=0),1,deployment_raw[[#This Row],[Column5]]),"")</f>
        <v/>
      </c>
      <c r="H704" s="79" t="str">
        <f>IF(ISNUMBER(deployment_raw[[#This Row],[Column19]]), IF(I704&lt;&gt;0,(deployment_raw[[#This Row],[Column19]]/IF(OR($E$2="Deployment",deployment_raw[[#This Row],[Column5]]=0),1,deployment_raw[[#This Row],[Column5]]))/I704,0),"")</f>
        <v/>
      </c>
      <c r="I704" s="69" t="str">
        <f>IF(ISNUMBER(deployment_raw[[#This Row],[Column6]]), (deployment_raw[[#This Row],[Column6]] * IF($E$2="Deployment",deployment_raw[[#This Row],[Column5]],1)),"")</f>
        <v/>
      </c>
      <c r="J704" s="79" t="str">
        <f>IF(ISNUMBER(deployment_raw[[#This Row],[Column19]]), IF(K704&lt;&gt;0,(deployment_raw[[#This Row],[Column19]]/IF(OR($E$2="Deployment",deployment_raw[[#This Row],[Column5]]=0),1,deployment_raw[[#This Row],[Column5]]))/K704,0),"")</f>
        <v/>
      </c>
      <c r="K704" s="72" t="str">
        <f>IF(ISNUMBER(deployment_raw[[#This Row],[Column8]]), (deployment_raw[[#This Row],[Column8]]  * IF($E$2="Deployment",deployment_raw[[#This Row],[Column5]],1)),"")</f>
        <v/>
      </c>
      <c r="L70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0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04" s="81" t="str">
        <f>IF(ISNUMBER(deployment_raw[[#This Row],[Column20]]), IF(O704&lt;&gt;0,deployment_raw[[#This Row],[Column20]]/IF(OR($E$2="Deployment",deployment_raw[[#This Row],[Column5]]=0),1,deployment_raw[[#This Row],[Column5]])/1048576/O704,0),"")</f>
        <v/>
      </c>
      <c r="O704" s="74" t="str">
        <f>IF(ISNUMBER(deployment_raw[[#This Row],[Column7]]), (deployment_raw[[#This Row],[Column7]] * IF($E$2="Deployment",deployment_raw[[#This Row],[Column5]],1))/1048576,"")</f>
        <v/>
      </c>
      <c r="P704" s="81" t="str">
        <f>IF(ISNUMBER(deployment_raw[[#This Row],[Column20]]), IF(Q704&lt;&gt;0,deployment_raw[[#This Row],[Column20]]/IF(OR($E$2="Deployment",deployment_raw[[#This Row],[Column5]]=0),1,deployment_raw[[#This Row],[Column5]])/1048576/Q704,0),"")</f>
        <v/>
      </c>
      <c r="Q704" s="76" t="str">
        <f>IF(ISNUMBER(deployment_raw[[#This Row],[Column9]]), (deployment_raw[[#This Row],[Column9]] * IF($E$2="Deployment",deployment_raw[[#This Row],[Column5]],1))/1048576,"")</f>
        <v/>
      </c>
      <c r="R704" s="57" t="str">
        <f>IF(ISNUMBER(deployment_raw[[#This Row],[Column10]]), (deployment_raw[[#This Row],[Column10]] * IF($E$2="Deployment",deployment_raw[[#This Row],[Column5]],1)),"")</f>
        <v/>
      </c>
      <c r="S704" s="48" t="str">
        <f>IF(ISNUMBER(deployment_raw[[#This Row],[Column11]]), (deployment_raw[[#This Row],[Column11]] * IF($E$2="Deployment",deployment_raw[[#This Row],[Column5]],1))/1048576,"")</f>
        <v/>
      </c>
      <c r="T704" s="59" t="str">
        <f>IF(ISNUMBER(deployment_raw[[#This Row],[Column8]]),IF(OR(deployment_raw[[#This Row],[Column5]] &lt;&gt; 0,$E$2 &lt;&gt; "Deployment"), MAX(V704, ($T$2 * IF($E$2="Deployment",deployment_raw[[#This Row],[Column5]],1))), 0),"")</f>
        <v/>
      </c>
      <c r="U704" s="50" t="str">
        <f>IF(ISNUMBER(deployment_raw[[#This Row],[Column9]]),IF(OR(deployment_raw[[#This Row],[Column5]] &lt;&gt; 0,$E$2&lt;&gt;"Deployment"), MAX(W704, ($U$2 * IF($E$2="Deployment",deployment_raw[[#This Row],[Column5]],1))), 0),"")</f>
        <v/>
      </c>
      <c r="V704" s="15" t="str">
        <f>IF(ISNUMBER(deployment_raw[[#This Row],[Column12]]), (deployment_raw[[#This Row],[Column12]] * IF($E$2="Deployment",deployment_raw[[#This Row],[Column5]],1)*(1+$V$2)),"")</f>
        <v/>
      </c>
      <c r="W704" s="14" t="str">
        <f>IF(ISNUMBER(deployment_raw[[#This Row],[Column13]]), (deployment_raw[[#This Row],[Column13]] * IF($E$2="Deployment",deployment_raw[[#This Row],[Column5]],1)*(1+$W$2))/1048576,"")</f>
        <v/>
      </c>
    </row>
    <row r="705" spans="1:23" ht="15.75" customHeight="1" x14ac:dyDescent="0.25">
      <c r="A705" s="5" t="str">
        <f>IF(ISNONTEXT(deployment_raw[[#This Row],[Column1]]), "", deployment_raw[[#This Row],[Column1]])</f>
        <v/>
      </c>
      <c r="B705" s="6" t="str">
        <f>IF(ISNONTEXT(deployment_raw[[#This Row],[Column2]]), "", deployment_raw[[#This Row],[Column2]])</f>
        <v/>
      </c>
      <c r="C705" s="6" t="str">
        <f>IF(ISNONTEXT(deployment_raw[[#This Row],[Column3]]), "", deployment_raw[[#This Row],[Column3]])</f>
        <v/>
      </c>
      <c r="D705" s="6" t="str">
        <f>IF(ISNONTEXT(deployment_raw[[#This Row],[Column4]]), "", deployment_raw[[#This Row],[Column4]])</f>
        <v/>
      </c>
      <c r="E705" s="7" t="str">
        <f>IF(ISNUMBER(deployment_raw[[#This Row],[Column5]]), deployment_raw[[#This Row],[Column5]],"")</f>
        <v/>
      </c>
      <c r="F705" s="32" t="str">
        <f>IF(ISNUMBER(deployment_raw[[#This Row],[Column17]]), deployment_raw[[#This Row],[Column17]]/IF(OR($E$2="Deployment",deployment_raw[[#This Row],[Column5]]=0),1,deployment_raw[[#This Row],[Column5]]),"")</f>
        <v/>
      </c>
      <c r="G705" s="42" t="str">
        <f>IF(ISNUMBER(deployment_raw[[#This Row],[Column14]]), deployment_raw[[#This Row],[Column14]]/IF(OR($E$2="Deployment",deployment_raw[[#This Row],[Column5]]=0),1,deployment_raw[[#This Row],[Column5]]),"")</f>
        <v/>
      </c>
      <c r="H705" s="79" t="str">
        <f>IF(ISNUMBER(deployment_raw[[#This Row],[Column19]]), IF(I705&lt;&gt;0,(deployment_raw[[#This Row],[Column19]]/IF(OR($E$2="Deployment",deployment_raw[[#This Row],[Column5]]=0),1,deployment_raw[[#This Row],[Column5]]))/I705,0),"")</f>
        <v/>
      </c>
      <c r="I705" s="69" t="str">
        <f>IF(ISNUMBER(deployment_raw[[#This Row],[Column6]]), (deployment_raw[[#This Row],[Column6]] * IF($E$2="Deployment",deployment_raw[[#This Row],[Column5]],1)),"")</f>
        <v/>
      </c>
      <c r="J705" s="79" t="str">
        <f>IF(ISNUMBER(deployment_raw[[#This Row],[Column19]]), IF(K705&lt;&gt;0,(deployment_raw[[#This Row],[Column19]]/IF(OR($E$2="Deployment",deployment_raw[[#This Row],[Column5]]=0),1,deployment_raw[[#This Row],[Column5]]))/K705,0),"")</f>
        <v/>
      </c>
      <c r="K705" s="72" t="str">
        <f>IF(ISNUMBER(deployment_raw[[#This Row],[Column8]]), (deployment_raw[[#This Row],[Column8]]  * IF($E$2="Deployment",deployment_raw[[#This Row],[Column5]],1)),"")</f>
        <v/>
      </c>
      <c r="L70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0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05" s="81" t="str">
        <f>IF(ISNUMBER(deployment_raw[[#This Row],[Column20]]), IF(O705&lt;&gt;0,deployment_raw[[#This Row],[Column20]]/IF(OR($E$2="Deployment",deployment_raw[[#This Row],[Column5]]=0),1,deployment_raw[[#This Row],[Column5]])/1048576/O705,0),"")</f>
        <v/>
      </c>
      <c r="O705" s="74" t="str">
        <f>IF(ISNUMBER(deployment_raw[[#This Row],[Column7]]), (deployment_raw[[#This Row],[Column7]] * IF($E$2="Deployment",deployment_raw[[#This Row],[Column5]],1))/1048576,"")</f>
        <v/>
      </c>
      <c r="P705" s="81" t="str">
        <f>IF(ISNUMBER(deployment_raw[[#This Row],[Column20]]), IF(Q705&lt;&gt;0,deployment_raw[[#This Row],[Column20]]/IF(OR($E$2="Deployment",deployment_raw[[#This Row],[Column5]]=0),1,deployment_raw[[#This Row],[Column5]])/1048576/Q705,0),"")</f>
        <v/>
      </c>
      <c r="Q705" s="76" t="str">
        <f>IF(ISNUMBER(deployment_raw[[#This Row],[Column9]]), (deployment_raw[[#This Row],[Column9]] * IF($E$2="Deployment",deployment_raw[[#This Row],[Column5]],1))/1048576,"")</f>
        <v/>
      </c>
      <c r="R705" s="57" t="str">
        <f>IF(ISNUMBER(deployment_raw[[#This Row],[Column10]]), (deployment_raw[[#This Row],[Column10]] * IF($E$2="Deployment",deployment_raw[[#This Row],[Column5]],1)),"")</f>
        <v/>
      </c>
      <c r="S705" s="48" t="str">
        <f>IF(ISNUMBER(deployment_raw[[#This Row],[Column11]]), (deployment_raw[[#This Row],[Column11]] * IF($E$2="Deployment",deployment_raw[[#This Row],[Column5]],1))/1048576,"")</f>
        <v/>
      </c>
      <c r="T705" s="59" t="str">
        <f>IF(ISNUMBER(deployment_raw[[#This Row],[Column8]]),IF(OR(deployment_raw[[#This Row],[Column5]] &lt;&gt; 0,$E$2 &lt;&gt; "Deployment"), MAX(V705, ($T$2 * IF($E$2="Deployment",deployment_raw[[#This Row],[Column5]],1))), 0),"")</f>
        <v/>
      </c>
      <c r="U705" s="50" t="str">
        <f>IF(ISNUMBER(deployment_raw[[#This Row],[Column9]]),IF(OR(deployment_raw[[#This Row],[Column5]] &lt;&gt; 0,$E$2&lt;&gt;"Deployment"), MAX(W705, ($U$2 * IF($E$2="Deployment",deployment_raw[[#This Row],[Column5]],1))), 0),"")</f>
        <v/>
      </c>
      <c r="V705" s="15" t="str">
        <f>IF(ISNUMBER(deployment_raw[[#This Row],[Column12]]), (deployment_raw[[#This Row],[Column12]] * IF($E$2="Deployment",deployment_raw[[#This Row],[Column5]],1)*(1+$V$2)),"")</f>
        <v/>
      </c>
      <c r="W705" s="14" t="str">
        <f>IF(ISNUMBER(deployment_raw[[#This Row],[Column13]]), (deployment_raw[[#This Row],[Column13]] * IF($E$2="Deployment",deployment_raw[[#This Row],[Column5]],1)*(1+$W$2))/1048576,"")</f>
        <v/>
      </c>
    </row>
    <row r="706" spans="1:23" ht="15.75" customHeight="1" x14ac:dyDescent="0.25">
      <c r="A706" s="5" t="str">
        <f>IF(ISNONTEXT(deployment_raw[[#This Row],[Column1]]), "", deployment_raw[[#This Row],[Column1]])</f>
        <v/>
      </c>
      <c r="B706" s="6" t="str">
        <f>IF(ISNONTEXT(deployment_raw[[#This Row],[Column2]]), "", deployment_raw[[#This Row],[Column2]])</f>
        <v/>
      </c>
      <c r="C706" s="6" t="str">
        <f>IF(ISNONTEXT(deployment_raw[[#This Row],[Column3]]), "", deployment_raw[[#This Row],[Column3]])</f>
        <v/>
      </c>
      <c r="D706" s="6" t="str">
        <f>IF(ISNONTEXT(deployment_raw[[#This Row],[Column4]]), "", deployment_raw[[#This Row],[Column4]])</f>
        <v/>
      </c>
      <c r="E706" s="7" t="str">
        <f>IF(ISNUMBER(deployment_raw[[#This Row],[Column5]]), deployment_raw[[#This Row],[Column5]],"")</f>
        <v/>
      </c>
      <c r="F706" s="32" t="str">
        <f>IF(ISNUMBER(deployment_raw[[#This Row],[Column17]]), deployment_raw[[#This Row],[Column17]]/IF(OR($E$2="Deployment",deployment_raw[[#This Row],[Column5]]=0),1,deployment_raw[[#This Row],[Column5]]),"")</f>
        <v/>
      </c>
      <c r="G706" s="42" t="str">
        <f>IF(ISNUMBER(deployment_raw[[#This Row],[Column14]]), deployment_raw[[#This Row],[Column14]]/IF(OR($E$2="Deployment",deployment_raw[[#This Row],[Column5]]=0),1,deployment_raw[[#This Row],[Column5]]),"")</f>
        <v/>
      </c>
      <c r="H706" s="79" t="str">
        <f>IF(ISNUMBER(deployment_raw[[#This Row],[Column19]]), IF(I706&lt;&gt;0,(deployment_raw[[#This Row],[Column19]]/IF(OR($E$2="Deployment",deployment_raw[[#This Row],[Column5]]=0),1,deployment_raw[[#This Row],[Column5]]))/I706,0),"")</f>
        <v/>
      </c>
      <c r="I706" s="69" t="str">
        <f>IF(ISNUMBER(deployment_raw[[#This Row],[Column6]]), (deployment_raw[[#This Row],[Column6]] * IF($E$2="Deployment",deployment_raw[[#This Row],[Column5]],1)),"")</f>
        <v/>
      </c>
      <c r="J706" s="79" t="str">
        <f>IF(ISNUMBER(deployment_raw[[#This Row],[Column19]]), IF(K706&lt;&gt;0,(deployment_raw[[#This Row],[Column19]]/IF(OR($E$2="Deployment",deployment_raw[[#This Row],[Column5]]=0),1,deployment_raw[[#This Row],[Column5]]))/K706,0),"")</f>
        <v/>
      </c>
      <c r="K706" s="72" t="str">
        <f>IF(ISNUMBER(deployment_raw[[#This Row],[Column8]]), (deployment_raw[[#This Row],[Column8]]  * IF($E$2="Deployment",deployment_raw[[#This Row],[Column5]],1)),"")</f>
        <v/>
      </c>
      <c r="L70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0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06" s="81" t="str">
        <f>IF(ISNUMBER(deployment_raw[[#This Row],[Column20]]), IF(O706&lt;&gt;0,deployment_raw[[#This Row],[Column20]]/IF(OR($E$2="Deployment",deployment_raw[[#This Row],[Column5]]=0),1,deployment_raw[[#This Row],[Column5]])/1048576/O706,0),"")</f>
        <v/>
      </c>
      <c r="O706" s="74" t="str">
        <f>IF(ISNUMBER(deployment_raw[[#This Row],[Column7]]), (deployment_raw[[#This Row],[Column7]] * IF($E$2="Deployment",deployment_raw[[#This Row],[Column5]],1))/1048576,"")</f>
        <v/>
      </c>
      <c r="P706" s="81" t="str">
        <f>IF(ISNUMBER(deployment_raw[[#This Row],[Column20]]), IF(Q706&lt;&gt;0,deployment_raw[[#This Row],[Column20]]/IF(OR($E$2="Deployment",deployment_raw[[#This Row],[Column5]]=0),1,deployment_raw[[#This Row],[Column5]])/1048576/Q706,0),"")</f>
        <v/>
      </c>
      <c r="Q706" s="76" t="str">
        <f>IF(ISNUMBER(deployment_raw[[#This Row],[Column9]]), (deployment_raw[[#This Row],[Column9]] * IF($E$2="Deployment",deployment_raw[[#This Row],[Column5]],1))/1048576,"")</f>
        <v/>
      </c>
      <c r="R706" s="57" t="str">
        <f>IF(ISNUMBER(deployment_raw[[#This Row],[Column10]]), (deployment_raw[[#This Row],[Column10]] * IF($E$2="Deployment",deployment_raw[[#This Row],[Column5]],1)),"")</f>
        <v/>
      </c>
      <c r="S706" s="48" t="str">
        <f>IF(ISNUMBER(deployment_raw[[#This Row],[Column11]]), (deployment_raw[[#This Row],[Column11]] * IF($E$2="Deployment",deployment_raw[[#This Row],[Column5]],1))/1048576,"")</f>
        <v/>
      </c>
      <c r="T706" s="59" t="str">
        <f>IF(ISNUMBER(deployment_raw[[#This Row],[Column8]]),IF(OR(deployment_raw[[#This Row],[Column5]] &lt;&gt; 0,$E$2 &lt;&gt; "Deployment"), MAX(V706, ($T$2 * IF($E$2="Deployment",deployment_raw[[#This Row],[Column5]],1))), 0),"")</f>
        <v/>
      </c>
      <c r="U706" s="50" t="str">
        <f>IF(ISNUMBER(deployment_raw[[#This Row],[Column9]]),IF(OR(deployment_raw[[#This Row],[Column5]] &lt;&gt; 0,$E$2&lt;&gt;"Deployment"), MAX(W706, ($U$2 * IF($E$2="Deployment",deployment_raw[[#This Row],[Column5]],1))), 0),"")</f>
        <v/>
      </c>
      <c r="V706" s="15" t="str">
        <f>IF(ISNUMBER(deployment_raw[[#This Row],[Column12]]), (deployment_raw[[#This Row],[Column12]] * IF($E$2="Deployment",deployment_raw[[#This Row],[Column5]],1)*(1+$V$2)),"")</f>
        <v/>
      </c>
      <c r="W706" s="14" t="str">
        <f>IF(ISNUMBER(deployment_raw[[#This Row],[Column13]]), (deployment_raw[[#This Row],[Column13]] * IF($E$2="Deployment",deployment_raw[[#This Row],[Column5]],1)*(1+$W$2))/1048576,"")</f>
        <v/>
      </c>
    </row>
    <row r="707" spans="1:23" ht="15.75" customHeight="1" x14ac:dyDescent="0.25">
      <c r="A707" s="5" t="str">
        <f>IF(ISNONTEXT(deployment_raw[[#This Row],[Column1]]), "", deployment_raw[[#This Row],[Column1]])</f>
        <v/>
      </c>
      <c r="B707" s="6" t="str">
        <f>IF(ISNONTEXT(deployment_raw[[#This Row],[Column2]]), "", deployment_raw[[#This Row],[Column2]])</f>
        <v/>
      </c>
      <c r="C707" s="6" t="str">
        <f>IF(ISNONTEXT(deployment_raw[[#This Row],[Column3]]), "", deployment_raw[[#This Row],[Column3]])</f>
        <v/>
      </c>
      <c r="D707" s="6" t="str">
        <f>IF(ISNONTEXT(deployment_raw[[#This Row],[Column4]]), "", deployment_raw[[#This Row],[Column4]])</f>
        <v/>
      </c>
      <c r="E707" s="7" t="str">
        <f>IF(ISNUMBER(deployment_raw[[#This Row],[Column5]]), deployment_raw[[#This Row],[Column5]],"")</f>
        <v/>
      </c>
      <c r="F707" s="32" t="str">
        <f>IF(ISNUMBER(deployment_raw[[#This Row],[Column17]]), deployment_raw[[#This Row],[Column17]]/IF(OR($E$2="Deployment",deployment_raw[[#This Row],[Column5]]=0),1,deployment_raw[[#This Row],[Column5]]),"")</f>
        <v/>
      </c>
      <c r="G707" s="42" t="str">
        <f>IF(ISNUMBER(deployment_raw[[#This Row],[Column14]]), deployment_raw[[#This Row],[Column14]]/IF(OR($E$2="Deployment",deployment_raw[[#This Row],[Column5]]=0),1,deployment_raw[[#This Row],[Column5]]),"")</f>
        <v/>
      </c>
      <c r="H707" s="79" t="str">
        <f>IF(ISNUMBER(deployment_raw[[#This Row],[Column19]]), IF(I707&lt;&gt;0,(deployment_raw[[#This Row],[Column19]]/IF(OR($E$2="Deployment",deployment_raw[[#This Row],[Column5]]=0),1,deployment_raw[[#This Row],[Column5]]))/I707,0),"")</f>
        <v/>
      </c>
      <c r="I707" s="69" t="str">
        <f>IF(ISNUMBER(deployment_raw[[#This Row],[Column6]]), (deployment_raw[[#This Row],[Column6]] * IF($E$2="Deployment",deployment_raw[[#This Row],[Column5]],1)),"")</f>
        <v/>
      </c>
      <c r="J707" s="79" t="str">
        <f>IF(ISNUMBER(deployment_raw[[#This Row],[Column19]]), IF(K707&lt;&gt;0,(deployment_raw[[#This Row],[Column19]]/IF(OR($E$2="Deployment",deployment_raw[[#This Row],[Column5]]=0),1,deployment_raw[[#This Row],[Column5]]))/K707,0),"")</f>
        <v/>
      </c>
      <c r="K707" s="72" t="str">
        <f>IF(ISNUMBER(deployment_raw[[#This Row],[Column8]]), (deployment_raw[[#This Row],[Column8]]  * IF($E$2="Deployment",deployment_raw[[#This Row],[Column5]],1)),"")</f>
        <v/>
      </c>
      <c r="L70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0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07" s="81" t="str">
        <f>IF(ISNUMBER(deployment_raw[[#This Row],[Column20]]), IF(O707&lt;&gt;0,deployment_raw[[#This Row],[Column20]]/IF(OR($E$2="Deployment",deployment_raw[[#This Row],[Column5]]=0),1,deployment_raw[[#This Row],[Column5]])/1048576/O707,0),"")</f>
        <v/>
      </c>
      <c r="O707" s="74" t="str">
        <f>IF(ISNUMBER(deployment_raw[[#This Row],[Column7]]), (deployment_raw[[#This Row],[Column7]] * IF($E$2="Deployment",deployment_raw[[#This Row],[Column5]],1))/1048576,"")</f>
        <v/>
      </c>
      <c r="P707" s="81" t="str">
        <f>IF(ISNUMBER(deployment_raw[[#This Row],[Column20]]), IF(Q707&lt;&gt;0,deployment_raw[[#This Row],[Column20]]/IF(OR($E$2="Deployment",deployment_raw[[#This Row],[Column5]]=0),1,deployment_raw[[#This Row],[Column5]])/1048576/Q707,0),"")</f>
        <v/>
      </c>
      <c r="Q707" s="76" t="str">
        <f>IF(ISNUMBER(deployment_raw[[#This Row],[Column9]]), (deployment_raw[[#This Row],[Column9]] * IF($E$2="Deployment",deployment_raw[[#This Row],[Column5]],1))/1048576,"")</f>
        <v/>
      </c>
      <c r="R707" s="57" t="str">
        <f>IF(ISNUMBER(deployment_raw[[#This Row],[Column10]]), (deployment_raw[[#This Row],[Column10]] * IF($E$2="Deployment",deployment_raw[[#This Row],[Column5]],1)),"")</f>
        <v/>
      </c>
      <c r="S707" s="48" t="str">
        <f>IF(ISNUMBER(deployment_raw[[#This Row],[Column11]]), (deployment_raw[[#This Row],[Column11]] * IF($E$2="Deployment",deployment_raw[[#This Row],[Column5]],1))/1048576,"")</f>
        <v/>
      </c>
      <c r="T707" s="59" t="str">
        <f>IF(ISNUMBER(deployment_raw[[#This Row],[Column8]]),IF(OR(deployment_raw[[#This Row],[Column5]] &lt;&gt; 0,$E$2 &lt;&gt; "Deployment"), MAX(V707, ($T$2 * IF($E$2="Deployment",deployment_raw[[#This Row],[Column5]],1))), 0),"")</f>
        <v/>
      </c>
      <c r="U707" s="50" t="str">
        <f>IF(ISNUMBER(deployment_raw[[#This Row],[Column9]]),IF(OR(deployment_raw[[#This Row],[Column5]] &lt;&gt; 0,$E$2&lt;&gt;"Deployment"), MAX(W707, ($U$2 * IF($E$2="Deployment",deployment_raw[[#This Row],[Column5]],1))), 0),"")</f>
        <v/>
      </c>
      <c r="V707" s="15" t="str">
        <f>IF(ISNUMBER(deployment_raw[[#This Row],[Column12]]), (deployment_raw[[#This Row],[Column12]] * IF($E$2="Deployment",deployment_raw[[#This Row],[Column5]],1)*(1+$V$2)),"")</f>
        <v/>
      </c>
      <c r="W707" s="14" t="str">
        <f>IF(ISNUMBER(deployment_raw[[#This Row],[Column13]]), (deployment_raw[[#This Row],[Column13]] * IF($E$2="Deployment",deployment_raw[[#This Row],[Column5]],1)*(1+$W$2))/1048576,"")</f>
        <v/>
      </c>
    </row>
    <row r="708" spans="1:23" ht="15.75" customHeight="1" x14ac:dyDescent="0.25">
      <c r="A708" s="5" t="str">
        <f>IF(ISNONTEXT(deployment_raw[[#This Row],[Column1]]), "", deployment_raw[[#This Row],[Column1]])</f>
        <v/>
      </c>
      <c r="B708" s="6" t="str">
        <f>IF(ISNONTEXT(deployment_raw[[#This Row],[Column2]]), "", deployment_raw[[#This Row],[Column2]])</f>
        <v/>
      </c>
      <c r="C708" s="6" t="str">
        <f>IF(ISNONTEXT(deployment_raw[[#This Row],[Column3]]), "", deployment_raw[[#This Row],[Column3]])</f>
        <v/>
      </c>
      <c r="D708" s="6" t="str">
        <f>IF(ISNONTEXT(deployment_raw[[#This Row],[Column4]]), "", deployment_raw[[#This Row],[Column4]])</f>
        <v/>
      </c>
      <c r="E708" s="7" t="str">
        <f>IF(ISNUMBER(deployment_raw[[#This Row],[Column5]]), deployment_raw[[#This Row],[Column5]],"")</f>
        <v/>
      </c>
      <c r="F708" s="32" t="str">
        <f>IF(ISNUMBER(deployment_raw[[#This Row],[Column17]]), deployment_raw[[#This Row],[Column17]]/IF(OR($E$2="Deployment",deployment_raw[[#This Row],[Column5]]=0),1,deployment_raw[[#This Row],[Column5]]),"")</f>
        <v/>
      </c>
      <c r="G708" s="42" t="str">
        <f>IF(ISNUMBER(deployment_raw[[#This Row],[Column14]]), deployment_raw[[#This Row],[Column14]]/IF(OR($E$2="Deployment",deployment_raw[[#This Row],[Column5]]=0),1,deployment_raw[[#This Row],[Column5]]),"")</f>
        <v/>
      </c>
      <c r="H708" s="79" t="str">
        <f>IF(ISNUMBER(deployment_raw[[#This Row],[Column19]]), IF(I708&lt;&gt;0,(deployment_raw[[#This Row],[Column19]]/IF(OR($E$2="Deployment",deployment_raw[[#This Row],[Column5]]=0),1,deployment_raw[[#This Row],[Column5]]))/I708,0),"")</f>
        <v/>
      </c>
      <c r="I708" s="69" t="str">
        <f>IF(ISNUMBER(deployment_raw[[#This Row],[Column6]]), (deployment_raw[[#This Row],[Column6]] * IF($E$2="Deployment",deployment_raw[[#This Row],[Column5]],1)),"")</f>
        <v/>
      </c>
      <c r="J708" s="79" t="str">
        <f>IF(ISNUMBER(deployment_raw[[#This Row],[Column19]]), IF(K708&lt;&gt;0,(deployment_raw[[#This Row],[Column19]]/IF(OR($E$2="Deployment",deployment_raw[[#This Row],[Column5]]=0),1,deployment_raw[[#This Row],[Column5]]))/K708,0),"")</f>
        <v/>
      </c>
      <c r="K708" s="72" t="str">
        <f>IF(ISNUMBER(deployment_raw[[#This Row],[Column8]]), (deployment_raw[[#This Row],[Column8]]  * IF($E$2="Deployment",deployment_raw[[#This Row],[Column5]],1)),"")</f>
        <v/>
      </c>
      <c r="L70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0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08" s="81" t="str">
        <f>IF(ISNUMBER(deployment_raw[[#This Row],[Column20]]), IF(O708&lt;&gt;0,deployment_raw[[#This Row],[Column20]]/IF(OR($E$2="Deployment",deployment_raw[[#This Row],[Column5]]=0),1,deployment_raw[[#This Row],[Column5]])/1048576/O708,0),"")</f>
        <v/>
      </c>
      <c r="O708" s="74" t="str">
        <f>IF(ISNUMBER(deployment_raw[[#This Row],[Column7]]), (deployment_raw[[#This Row],[Column7]] * IF($E$2="Deployment",deployment_raw[[#This Row],[Column5]],1))/1048576,"")</f>
        <v/>
      </c>
      <c r="P708" s="81" t="str">
        <f>IF(ISNUMBER(deployment_raw[[#This Row],[Column20]]), IF(Q708&lt;&gt;0,deployment_raw[[#This Row],[Column20]]/IF(OR($E$2="Deployment",deployment_raw[[#This Row],[Column5]]=0),1,deployment_raw[[#This Row],[Column5]])/1048576/Q708,0),"")</f>
        <v/>
      </c>
      <c r="Q708" s="76" t="str">
        <f>IF(ISNUMBER(deployment_raw[[#This Row],[Column9]]), (deployment_raw[[#This Row],[Column9]] * IF($E$2="Deployment",deployment_raw[[#This Row],[Column5]],1))/1048576,"")</f>
        <v/>
      </c>
      <c r="R708" s="57" t="str">
        <f>IF(ISNUMBER(deployment_raw[[#This Row],[Column10]]), (deployment_raw[[#This Row],[Column10]] * IF($E$2="Deployment",deployment_raw[[#This Row],[Column5]],1)),"")</f>
        <v/>
      </c>
      <c r="S708" s="48" t="str">
        <f>IF(ISNUMBER(deployment_raw[[#This Row],[Column11]]), (deployment_raw[[#This Row],[Column11]] * IF($E$2="Deployment",deployment_raw[[#This Row],[Column5]],1))/1048576,"")</f>
        <v/>
      </c>
      <c r="T708" s="59" t="str">
        <f>IF(ISNUMBER(deployment_raw[[#This Row],[Column8]]),IF(OR(deployment_raw[[#This Row],[Column5]] &lt;&gt; 0,$E$2 &lt;&gt; "Deployment"), MAX(V708, ($T$2 * IF($E$2="Deployment",deployment_raw[[#This Row],[Column5]],1))), 0),"")</f>
        <v/>
      </c>
      <c r="U708" s="50" t="str">
        <f>IF(ISNUMBER(deployment_raw[[#This Row],[Column9]]),IF(OR(deployment_raw[[#This Row],[Column5]] &lt;&gt; 0,$E$2&lt;&gt;"Deployment"), MAX(W708, ($U$2 * IF($E$2="Deployment",deployment_raw[[#This Row],[Column5]],1))), 0),"")</f>
        <v/>
      </c>
      <c r="V708" s="15" t="str">
        <f>IF(ISNUMBER(deployment_raw[[#This Row],[Column12]]), (deployment_raw[[#This Row],[Column12]] * IF($E$2="Deployment",deployment_raw[[#This Row],[Column5]],1)*(1+$V$2)),"")</f>
        <v/>
      </c>
      <c r="W708" s="14" t="str">
        <f>IF(ISNUMBER(deployment_raw[[#This Row],[Column13]]), (deployment_raw[[#This Row],[Column13]] * IF($E$2="Deployment",deployment_raw[[#This Row],[Column5]],1)*(1+$W$2))/1048576,"")</f>
        <v/>
      </c>
    </row>
    <row r="709" spans="1:23" ht="15.75" customHeight="1" x14ac:dyDescent="0.25">
      <c r="A709" s="5" t="str">
        <f>IF(ISNONTEXT(deployment_raw[[#This Row],[Column1]]), "", deployment_raw[[#This Row],[Column1]])</f>
        <v/>
      </c>
      <c r="B709" s="6" t="str">
        <f>IF(ISNONTEXT(deployment_raw[[#This Row],[Column2]]), "", deployment_raw[[#This Row],[Column2]])</f>
        <v/>
      </c>
      <c r="C709" s="6" t="str">
        <f>IF(ISNONTEXT(deployment_raw[[#This Row],[Column3]]), "", deployment_raw[[#This Row],[Column3]])</f>
        <v/>
      </c>
      <c r="D709" s="6" t="str">
        <f>IF(ISNONTEXT(deployment_raw[[#This Row],[Column4]]), "", deployment_raw[[#This Row],[Column4]])</f>
        <v/>
      </c>
      <c r="E709" s="7" t="str">
        <f>IF(ISNUMBER(deployment_raw[[#This Row],[Column5]]), deployment_raw[[#This Row],[Column5]],"")</f>
        <v/>
      </c>
      <c r="F709" s="32" t="str">
        <f>IF(ISNUMBER(deployment_raw[[#This Row],[Column17]]), deployment_raw[[#This Row],[Column17]]/IF(OR($E$2="Deployment",deployment_raw[[#This Row],[Column5]]=0),1,deployment_raw[[#This Row],[Column5]]),"")</f>
        <v/>
      </c>
      <c r="G709" s="42" t="str">
        <f>IF(ISNUMBER(deployment_raw[[#This Row],[Column14]]), deployment_raw[[#This Row],[Column14]]/IF(OR($E$2="Deployment",deployment_raw[[#This Row],[Column5]]=0),1,deployment_raw[[#This Row],[Column5]]),"")</f>
        <v/>
      </c>
      <c r="H709" s="79" t="str">
        <f>IF(ISNUMBER(deployment_raw[[#This Row],[Column19]]), IF(I709&lt;&gt;0,(deployment_raw[[#This Row],[Column19]]/IF(OR($E$2="Deployment",deployment_raw[[#This Row],[Column5]]=0),1,deployment_raw[[#This Row],[Column5]]))/I709,0),"")</f>
        <v/>
      </c>
      <c r="I709" s="69" t="str">
        <f>IF(ISNUMBER(deployment_raw[[#This Row],[Column6]]), (deployment_raw[[#This Row],[Column6]] * IF($E$2="Deployment",deployment_raw[[#This Row],[Column5]],1)),"")</f>
        <v/>
      </c>
      <c r="J709" s="79" t="str">
        <f>IF(ISNUMBER(deployment_raw[[#This Row],[Column19]]), IF(K709&lt;&gt;0,(deployment_raw[[#This Row],[Column19]]/IF(OR($E$2="Deployment",deployment_raw[[#This Row],[Column5]]=0),1,deployment_raw[[#This Row],[Column5]]))/K709,0),"")</f>
        <v/>
      </c>
      <c r="K709" s="72" t="str">
        <f>IF(ISNUMBER(deployment_raw[[#This Row],[Column8]]), (deployment_raw[[#This Row],[Column8]]  * IF($E$2="Deployment",deployment_raw[[#This Row],[Column5]],1)),"")</f>
        <v/>
      </c>
      <c r="L70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0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09" s="81" t="str">
        <f>IF(ISNUMBER(deployment_raw[[#This Row],[Column20]]), IF(O709&lt;&gt;0,deployment_raw[[#This Row],[Column20]]/IF(OR($E$2="Deployment",deployment_raw[[#This Row],[Column5]]=0),1,deployment_raw[[#This Row],[Column5]])/1048576/O709,0),"")</f>
        <v/>
      </c>
      <c r="O709" s="74" t="str">
        <f>IF(ISNUMBER(deployment_raw[[#This Row],[Column7]]), (deployment_raw[[#This Row],[Column7]] * IF($E$2="Deployment",deployment_raw[[#This Row],[Column5]],1))/1048576,"")</f>
        <v/>
      </c>
      <c r="P709" s="81" t="str">
        <f>IF(ISNUMBER(deployment_raw[[#This Row],[Column20]]), IF(Q709&lt;&gt;0,deployment_raw[[#This Row],[Column20]]/IF(OR($E$2="Deployment",deployment_raw[[#This Row],[Column5]]=0),1,deployment_raw[[#This Row],[Column5]])/1048576/Q709,0),"")</f>
        <v/>
      </c>
      <c r="Q709" s="76" t="str">
        <f>IF(ISNUMBER(deployment_raw[[#This Row],[Column9]]), (deployment_raw[[#This Row],[Column9]] * IF($E$2="Deployment",deployment_raw[[#This Row],[Column5]],1))/1048576,"")</f>
        <v/>
      </c>
      <c r="R709" s="57" t="str">
        <f>IF(ISNUMBER(deployment_raw[[#This Row],[Column10]]), (deployment_raw[[#This Row],[Column10]] * IF($E$2="Deployment",deployment_raw[[#This Row],[Column5]],1)),"")</f>
        <v/>
      </c>
      <c r="S709" s="48" t="str">
        <f>IF(ISNUMBER(deployment_raw[[#This Row],[Column11]]), (deployment_raw[[#This Row],[Column11]] * IF($E$2="Deployment",deployment_raw[[#This Row],[Column5]],1))/1048576,"")</f>
        <v/>
      </c>
      <c r="T709" s="59" t="str">
        <f>IF(ISNUMBER(deployment_raw[[#This Row],[Column8]]),IF(OR(deployment_raw[[#This Row],[Column5]] &lt;&gt; 0,$E$2 &lt;&gt; "Deployment"), MAX(V709, ($T$2 * IF($E$2="Deployment",deployment_raw[[#This Row],[Column5]],1))), 0),"")</f>
        <v/>
      </c>
      <c r="U709" s="50" t="str">
        <f>IF(ISNUMBER(deployment_raw[[#This Row],[Column9]]),IF(OR(deployment_raw[[#This Row],[Column5]] &lt;&gt; 0,$E$2&lt;&gt;"Deployment"), MAX(W709, ($U$2 * IF($E$2="Deployment",deployment_raw[[#This Row],[Column5]],1))), 0),"")</f>
        <v/>
      </c>
      <c r="V709" s="15" t="str">
        <f>IF(ISNUMBER(deployment_raw[[#This Row],[Column12]]), (deployment_raw[[#This Row],[Column12]] * IF($E$2="Deployment",deployment_raw[[#This Row],[Column5]],1)*(1+$V$2)),"")</f>
        <v/>
      </c>
      <c r="W709" s="14" t="str">
        <f>IF(ISNUMBER(deployment_raw[[#This Row],[Column13]]), (deployment_raw[[#This Row],[Column13]] * IF($E$2="Deployment",deployment_raw[[#This Row],[Column5]],1)*(1+$W$2))/1048576,"")</f>
        <v/>
      </c>
    </row>
    <row r="710" spans="1:23" ht="15.75" customHeight="1" x14ac:dyDescent="0.25">
      <c r="A710" s="5" t="str">
        <f>IF(ISNONTEXT(deployment_raw[[#This Row],[Column1]]), "", deployment_raw[[#This Row],[Column1]])</f>
        <v/>
      </c>
      <c r="B710" s="6" t="str">
        <f>IF(ISNONTEXT(deployment_raw[[#This Row],[Column2]]), "", deployment_raw[[#This Row],[Column2]])</f>
        <v/>
      </c>
      <c r="C710" s="6" t="str">
        <f>IF(ISNONTEXT(deployment_raw[[#This Row],[Column3]]), "", deployment_raw[[#This Row],[Column3]])</f>
        <v/>
      </c>
      <c r="D710" s="6" t="str">
        <f>IF(ISNONTEXT(deployment_raw[[#This Row],[Column4]]), "", deployment_raw[[#This Row],[Column4]])</f>
        <v/>
      </c>
      <c r="E710" s="7" t="str">
        <f>IF(ISNUMBER(deployment_raw[[#This Row],[Column5]]), deployment_raw[[#This Row],[Column5]],"")</f>
        <v/>
      </c>
      <c r="F710" s="32" t="str">
        <f>IF(ISNUMBER(deployment_raw[[#This Row],[Column17]]), deployment_raw[[#This Row],[Column17]]/IF(OR($E$2="Deployment",deployment_raw[[#This Row],[Column5]]=0),1,deployment_raw[[#This Row],[Column5]]),"")</f>
        <v/>
      </c>
      <c r="G710" s="42" t="str">
        <f>IF(ISNUMBER(deployment_raw[[#This Row],[Column14]]), deployment_raw[[#This Row],[Column14]]/IF(OR($E$2="Deployment",deployment_raw[[#This Row],[Column5]]=0),1,deployment_raw[[#This Row],[Column5]]),"")</f>
        <v/>
      </c>
      <c r="H710" s="79" t="str">
        <f>IF(ISNUMBER(deployment_raw[[#This Row],[Column19]]), IF(I710&lt;&gt;0,(deployment_raw[[#This Row],[Column19]]/IF(OR($E$2="Deployment",deployment_raw[[#This Row],[Column5]]=0),1,deployment_raw[[#This Row],[Column5]]))/I710,0),"")</f>
        <v/>
      </c>
      <c r="I710" s="69" t="str">
        <f>IF(ISNUMBER(deployment_raw[[#This Row],[Column6]]), (deployment_raw[[#This Row],[Column6]] * IF($E$2="Deployment",deployment_raw[[#This Row],[Column5]],1)),"")</f>
        <v/>
      </c>
      <c r="J710" s="79" t="str">
        <f>IF(ISNUMBER(deployment_raw[[#This Row],[Column19]]), IF(K710&lt;&gt;0,(deployment_raw[[#This Row],[Column19]]/IF(OR($E$2="Deployment",deployment_raw[[#This Row],[Column5]]=0),1,deployment_raw[[#This Row],[Column5]]))/K710,0),"")</f>
        <v/>
      </c>
      <c r="K710" s="72" t="str">
        <f>IF(ISNUMBER(deployment_raw[[#This Row],[Column8]]), (deployment_raw[[#This Row],[Column8]]  * IF($E$2="Deployment",deployment_raw[[#This Row],[Column5]],1)),"")</f>
        <v/>
      </c>
      <c r="L71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1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10" s="81" t="str">
        <f>IF(ISNUMBER(deployment_raw[[#This Row],[Column20]]), IF(O710&lt;&gt;0,deployment_raw[[#This Row],[Column20]]/IF(OR($E$2="Deployment",deployment_raw[[#This Row],[Column5]]=0),1,deployment_raw[[#This Row],[Column5]])/1048576/O710,0),"")</f>
        <v/>
      </c>
      <c r="O710" s="74" t="str">
        <f>IF(ISNUMBER(deployment_raw[[#This Row],[Column7]]), (deployment_raw[[#This Row],[Column7]] * IF($E$2="Deployment",deployment_raw[[#This Row],[Column5]],1))/1048576,"")</f>
        <v/>
      </c>
      <c r="P710" s="81" t="str">
        <f>IF(ISNUMBER(deployment_raw[[#This Row],[Column20]]), IF(Q710&lt;&gt;0,deployment_raw[[#This Row],[Column20]]/IF(OR($E$2="Deployment",deployment_raw[[#This Row],[Column5]]=0),1,deployment_raw[[#This Row],[Column5]])/1048576/Q710,0),"")</f>
        <v/>
      </c>
      <c r="Q710" s="76" t="str">
        <f>IF(ISNUMBER(deployment_raw[[#This Row],[Column9]]), (deployment_raw[[#This Row],[Column9]] * IF($E$2="Deployment",deployment_raw[[#This Row],[Column5]],1))/1048576,"")</f>
        <v/>
      </c>
      <c r="R710" s="57" t="str">
        <f>IF(ISNUMBER(deployment_raw[[#This Row],[Column10]]), (deployment_raw[[#This Row],[Column10]] * IF($E$2="Deployment",deployment_raw[[#This Row],[Column5]],1)),"")</f>
        <v/>
      </c>
      <c r="S710" s="48" t="str">
        <f>IF(ISNUMBER(deployment_raw[[#This Row],[Column11]]), (deployment_raw[[#This Row],[Column11]] * IF($E$2="Deployment",deployment_raw[[#This Row],[Column5]],1))/1048576,"")</f>
        <v/>
      </c>
      <c r="T710" s="59" t="str">
        <f>IF(ISNUMBER(deployment_raw[[#This Row],[Column8]]),IF(OR(deployment_raw[[#This Row],[Column5]] &lt;&gt; 0,$E$2 &lt;&gt; "Deployment"), MAX(V710, ($T$2 * IF($E$2="Deployment",deployment_raw[[#This Row],[Column5]],1))), 0),"")</f>
        <v/>
      </c>
      <c r="U710" s="50" t="str">
        <f>IF(ISNUMBER(deployment_raw[[#This Row],[Column9]]),IF(OR(deployment_raw[[#This Row],[Column5]] &lt;&gt; 0,$E$2&lt;&gt;"Deployment"), MAX(W710, ($U$2 * IF($E$2="Deployment",deployment_raw[[#This Row],[Column5]],1))), 0),"")</f>
        <v/>
      </c>
      <c r="V710" s="15" t="str">
        <f>IF(ISNUMBER(deployment_raw[[#This Row],[Column12]]), (deployment_raw[[#This Row],[Column12]] * IF($E$2="Deployment",deployment_raw[[#This Row],[Column5]],1)*(1+$V$2)),"")</f>
        <v/>
      </c>
      <c r="W710" s="14" t="str">
        <f>IF(ISNUMBER(deployment_raw[[#This Row],[Column13]]), (deployment_raw[[#This Row],[Column13]] * IF($E$2="Deployment",deployment_raw[[#This Row],[Column5]],1)*(1+$W$2))/1048576,"")</f>
        <v/>
      </c>
    </row>
    <row r="711" spans="1:23" ht="15.75" customHeight="1" x14ac:dyDescent="0.25">
      <c r="A711" s="5" t="str">
        <f>IF(ISNONTEXT(deployment_raw[[#This Row],[Column1]]), "", deployment_raw[[#This Row],[Column1]])</f>
        <v/>
      </c>
      <c r="B711" s="6" t="str">
        <f>IF(ISNONTEXT(deployment_raw[[#This Row],[Column2]]), "", deployment_raw[[#This Row],[Column2]])</f>
        <v/>
      </c>
      <c r="C711" s="6" t="str">
        <f>IF(ISNONTEXT(deployment_raw[[#This Row],[Column3]]), "", deployment_raw[[#This Row],[Column3]])</f>
        <v/>
      </c>
      <c r="D711" s="6" t="str">
        <f>IF(ISNONTEXT(deployment_raw[[#This Row],[Column4]]), "", deployment_raw[[#This Row],[Column4]])</f>
        <v/>
      </c>
      <c r="E711" s="7" t="str">
        <f>IF(ISNUMBER(deployment_raw[[#This Row],[Column5]]), deployment_raw[[#This Row],[Column5]],"")</f>
        <v/>
      </c>
      <c r="F711" s="32" t="str">
        <f>IF(ISNUMBER(deployment_raw[[#This Row],[Column17]]), deployment_raw[[#This Row],[Column17]]/IF(OR($E$2="Deployment",deployment_raw[[#This Row],[Column5]]=0),1,deployment_raw[[#This Row],[Column5]]),"")</f>
        <v/>
      </c>
      <c r="G711" s="42" t="str">
        <f>IF(ISNUMBER(deployment_raw[[#This Row],[Column14]]), deployment_raw[[#This Row],[Column14]]/IF(OR($E$2="Deployment",deployment_raw[[#This Row],[Column5]]=0),1,deployment_raw[[#This Row],[Column5]]),"")</f>
        <v/>
      </c>
      <c r="H711" s="79" t="str">
        <f>IF(ISNUMBER(deployment_raw[[#This Row],[Column19]]), IF(I711&lt;&gt;0,(deployment_raw[[#This Row],[Column19]]/IF(OR($E$2="Deployment",deployment_raw[[#This Row],[Column5]]=0),1,deployment_raw[[#This Row],[Column5]]))/I711,0),"")</f>
        <v/>
      </c>
      <c r="I711" s="69" t="str">
        <f>IF(ISNUMBER(deployment_raw[[#This Row],[Column6]]), (deployment_raw[[#This Row],[Column6]] * IF($E$2="Deployment",deployment_raw[[#This Row],[Column5]],1)),"")</f>
        <v/>
      </c>
      <c r="J711" s="79" t="str">
        <f>IF(ISNUMBER(deployment_raw[[#This Row],[Column19]]), IF(K711&lt;&gt;0,(deployment_raw[[#This Row],[Column19]]/IF(OR($E$2="Deployment",deployment_raw[[#This Row],[Column5]]=0),1,deployment_raw[[#This Row],[Column5]]))/K711,0),"")</f>
        <v/>
      </c>
      <c r="K711" s="72" t="str">
        <f>IF(ISNUMBER(deployment_raw[[#This Row],[Column8]]), (deployment_raw[[#This Row],[Column8]]  * IF($E$2="Deployment",deployment_raw[[#This Row],[Column5]],1)),"")</f>
        <v/>
      </c>
      <c r="L71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1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11" s="81" t="str">
        <f>IF(ISNUMBER(deployment_raw[[#This Row],[Column20]]), IF(O711&lt;&gt;0,deployment_raw[[#This Row],[Column20]]/IF(OR($E$2="Deployment",deployment_raw[[#This Row],[Column5]]=0),1,deployment_raw[[#This Row],[Column5]])/1048576/O711,0),"")</f>
        <v/>
      </c>
      <c r="O711" s="74" t="str">
        <f>IF(ISNUMBER(deployment_raw[[#This Row],[Column7]]), (deployment_raw[[#This Row],[Column7]] * IF($E$2="Deployment",deployment_raw[[#This Row],[Column5]],1))/1048576,"")</f>
        <v/>
      </c>
      <c r="P711" s="81" t="str">
        <f>IF(ISNUMBER(deployment_raw[[#This Row],[Column20]]), IF(Q711&lt;&gt;0,deployment_raw[[#This Row],[Column20]]/IF(OR($E$2="Deployment",deployment_raw[[#This Row],[Column5]]=0),1,deployment_raw[[#This Row],[Column5]])/1048576/Q711,0),"")</f>
        <v/>
      </c>
      <c r="Q711" s="76" t="str">
        <f>IF(ISNUMBER(deployment_raw[[#This Row],[Column9]]), (deployment_raw[[#This Row],[Column9]] * IF($E$2="Deployment",deployment_raw[[#This Row],[Column5]],1))/1048576,"")</f>
        <v/>
      </c>
      <c r="R711" s="57" t="str">
        <f>IF(ISNUMBER(deployment_raw[[#This Row],[Column10]]), (deployment_raw[[#This Row],[Column10]] * IF($E$2="Deployment",deployment_raw[[#This Row],[Column5]],1)),"")</f>
        <v/>
      </c>
      <c r="S711" s="48" t="str">
        <f>IF(ISNUMBER(deployment_raw[[#This Row],[Column11]]), (deployment_raw[[#This Row],[Column11]] * IF($E$2="Deployment",deployment_raw[[#This Row],[Column5]],1))/1048576,"")</f>
        <v/>
      </c>
      <c r="T711" s="59" t="str">
        <f>IF(ISNUMBER(deployment_raw[[#This Row],[Column8]]),IF(OR(deployment_raw[[#This Row],[Column5]] &lt;&gt; 0,$E$2 &lt;&gt; "Deployment"), MAX(V711, ($T$2 * IF($E$2="Deployment",deployment_raw[[#This Row],[Column5]],1))), 0),"")</f>
        <v/>
      </c>
      <c r="U711" s="50" t="str">
        <f>IF(ISNUMBER(deployment_raw[[#This Row],[Column9]]),IF(OR(deployment_raw[[#This Row],[Column5]] &lt;&gt; 0,$E$2&lt;&gt;"Deployment"), MAX(W711, ($U$2 * IF($E$2="Deployment",deployment_raw[[#This Row],[Column5]],1))), 0),"")</f>
        <v/>
      </c>
      <c r="V711" s="15" t="str">
        <f>IF(ISNUMBER(deployment_raw[[#This Row],[Column12]]), (deployment_raw[[#This Row],[Column12]] * IF($E$2="Deployment",deployment_raw[[#This Row],[Column5]],1)*(1+$V$2)),"")</f>
        <v/>
      </c>
      <c r="W711" s="14" t="str">
        <f>IF(ISNUMBER(deployment_raw[[#This Row],[Column13]]), (deployment_raw[[#This Row],[Column13]] * IF($E$2="Deployment",deployment_raw[[#This Row],[Column5]],1)*(1+$W$2))/1048576,"")</f>
        <v/>
      </c>
    </row>
    <row r="712" spans="1:23" ht="15.75" customHeight="1" x14ac:dyDescent="0.25">
      <c r="A712" s="5" t="str">
        <f>IF(ISNONTEXT(deployment_raw[[#This Row],[Column1]]), "", deployment_raw[[#This Row],[Column1]])</f>
        <v/>
      </c>
      <c r="B712" s="6" t="str">
        <f>IF(ISNONTEXT(deployment_raw[[#This Row],[Column2]]), "", deployment_raw[[#This Row],[Column2]])</f>
        <v/>
      </c>
      <c r="C712" s="6" t="str">
        <f>IF(ISNONTEXT(deployment_raw[[#This Row],[Column3]]), "", deployment_raw[[#This Row],[Column3]])</f>
        <v/>
      </c>
      <c r="D712" s="6" t="str">
        <f>IF(ISNONTEXT(deployment_raw[[#This Row],[Column4]]), "", deployment_raw[[#This Row],[Column4]])</f>
        <v/>
      </c>
      <c r="E712" s="7" t="str">
        <f>IF(ISNUMBER(deployment_raw[[#This Row],[Column5]]), deployment_raw[[#This Row],[Column5]],"")</f>
        <v/>
      </c>
      <c r="F712" s="32" t="str">
        <f>IF(ISNUMBER(deployment_raw[[#This Row],[Column17]]), deployment_raw[[#This Row],[Column17]]/IF(OR($E$2="Deployment",deployment_raw[[#This Row],[Column5]]=0),1,deployment_raw[[#This Row],[Column5]]),"")</f>
        <v/>
      </c>
      <c r="G712" s="42" t="str">
        <f>IF(ISNUMBER(deployment_raw[[#This Row],[Column14]]), deployment_raw[[#This Row],[Column14]]/IF(OR($E$2="Deployment",deployment_raw[[#This Row],[Column5]]=0),1,deployment_raw[[#This Row],[Column5]]),"")</f>
        <v/>
      </c>
      <c r="H712" s="79" t="str">
        <f>IF(ISNUMBER(deployment_raw[[#This Row],[Column19]]), IF(I712&lt;&gt;0,(deployment_raw[[#This Row],[Column19]]/IF(OR($E$2="Deployment",deployment_raw[[#This Row],[Column5]]=0),1,deployment_raw[[#This Row],[Column5]]))/I712,0),"")</f>
        <v/>
      </c>
      <c r="I712" s="69" t="str">
        <f>IF(ISNUMBER(deployment_raw[[#This Row],[Column6]]), (deployment_raw[[#This Row],[Column6]] * IF($E$2="Deployment",deployment_raw[[#This Row],[Column5]],1)),"")</f>
        <v/>
      </c>
      <c r="J712" s="79" t="str">
        <f>IF(ISNUMBER(deployment_raw[[#This Row],[Column19]]), IF(K712&lt;&gt;0,(deployment_raw[[#This Row],[Column19]]/IF(OR($E$2="Deployment",deployment_raw[[#This Row],[Column5]]=0),1,deployment_raw[[#This Row],[Column5]]))/K712,0),"")</f>
        <v/>
      </c>
      <c r="K712" s="72" t="str">
        <f>IF(ISNUMBER(deployment_raw[[#This Row],[Column8]]), (deployment_raw[[#This Row],[Column8]]  * IF($E$2="Deployment",deployment_raw[[#This Row],[Column5]],1)),"")</f>
        <v/>
      </c>
      <c r="L71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1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12" s="81" t="str">
        <f>IF(ISNUMBER(deployment_raw[[#This Row],[Column20]]), IF(O712&lt;&gt;0,deployment_raw[[#This Row],[Column20]]/IF(OR($E$2="Deployment",deployment_raw[[#This Row],[Column5]]=0),1,deployment_raw[[#This Row],[Column5]])/1048576/O712,0),"")</f>
        <v/>
      </c>
      <c r="O712" s="74" t="str">
        <f>IF(ISNUMBER(deployment_raw[[#This Row],[Column7]]), (deployment_raw[[#This Row],[Column7]] * IF($E$2="Deployment",deployment_raw[[#This Row],[Column5]],1))/1048576,"")</f>
        <v/>
      </c>
      <c r="P712" s="81" t="str">
        <f>IF(ISNUMBER(deployment_raw[[#This Row],[Column20]]), IF(Q712&lt;&gt;0,deployment_raw[[#This Row],[Column20]]/IF(OR($E$2="Deployment",deployment_raw[[#This Row],[Column5]]=0),1,deployment_raw[[#This Row],[Column5]])/1048576/Q712,0),"")</f>
        <v/>
      </c>
      <c r="Q712" s="76" t="str">
        <f>IF(ISNUMBER(deployment_raw[[#This Row],[Column9]]), (deployment_raw[[#This Row],[Column9]] * IF($E$2="Deployment",deployment_raw[[#This Row],[Column5]],1))/1048576,"")</f>
        <v/>
      </c>
      <c r="R712" s="57" t="str">
        <f>IF(ISNUMBER(deployment_raw[[#This Row],[Column10]]), (deployment_raw[[#This Row],[Column10]] * IF($E$2="Deployment",deployment_raw[[#This Row],[Column5]],1)),"")</f>
        <v/>
      </c>
      <c r="S712" s="48" t="str">
        <f>IF(ISNUMBER(deployment_raw[[#This Row],[Column11]]), (deployment_raw[[#This Row],[Column11]] * IF($E$2="Deployment",deployment_raw[[#This Row],[Column5]],1))/1048576,"")</f>
        <v/>
      </c>
      <c r="T712" s="59" t="str">
        <f>IF(ISNUMBER(deployment_raw[[#This Row],[Column8]]),IF(OR(deployment_raw[[#This Row],[Column5]] &lt;&gt; 0,$E$2 &lt;&gt; "Deployment"), MAX(V712, ($T$2 * IF($E$2="Deployment",deployment_raw[[#This Row],[Column5]],1))), 0),"")</f>
        <v/>
      </c>
      <c r="U712" s="50" t="str">
        <f>IF(ISNUMBER(deployment_raw[[#This Row],[Column9]]),IF(OR(deployment_raw[[#This Row],[Column5]] &lt;&gt; 0,$E$2&lt;&gt;"Deployment"), MAX(W712, ($U$2 * IF($E$2="Deployment",deployment_raw[[#This Row],[Column5]],1))), 0),"")</f>
        <v/>
      </c>
      <c r="V712" s="15" t="str">
        <f>IF(ISNUMBER(deployment_raw[[#This Row],[Column12]]), (deployment_raw[[#This Row],[Column12]] * IF($E$2="Deployment",deployment_raw[[#This Row],[Column5]],1)*(1+$V$2)),"")</f>
        <v/>
      </c>
      <c r="W712" s="14" t="str">
        <f>IF(ISNUMBER(deployment_raw[[#This Row],[Column13]]), (deployment_raw[[#This Row],[Column13]] * IF($E$2="Deployment",deployment_raw[[#This Row],[Column5]],1)*(1+$W$2))/1048576,"")</f>
        <v/>
      </c>
    </row>
    <row r="713" spans="1:23" ht="15.75" customHeight="1" x14ac:dyDescent="0.25">
      <c r="A713" s="5" t="str">
        <f>IF(ISNONTEXT(deployment_raw[[#This Row],[Column1]]), "", deployment_raw[[#This Row],[Column1]])</f>
        <v/>
      </c>
      <c r="B713" s="6" t="str">
        <f>IF(ISNONTEXT(deployment_raw[[#This Row],[Column2]]), "", deployment_raw[[#This Row],[Column2]])</f>
        <v/>
      </c>
      <c r="C713" s="6" t="str">
        <f>IF(ISNONTEXT(deployment_raw[[#This Row],[Column3]]), "", deployment_raw[[#This Row],[Column3]])</f>
        <v/>
      </c>
      <c r="D713" s="6" t="str">
        <f>IF(ISNONTEXT(deployment_raw[[#This Row],[Column4]]), "", deployment_raw[[#This Row],[Column4]])</f>
        <v/>
      </c>
      <c r="E713" s="7" t="str">
        <f>IF(ISNUMBER(deployment_raw[[#This Row],[Column5]]), deployment_raw[[#This Row],[Column5]],"")</f>
        <v/>
      </c>
      <c r="F713" s="32" t="str">
        <f>IF(ISNUMBER(deployment_raw[[#This Row],[Column17]]), deployment_raw[[#This Row],[Column17]]/IF(OR($E$2="Deployment",deployment_raw[[#This Row],[Column5]]=0),1,deployment_raw[[#This Row],[Column5]]),"")</f>
        <v/>
      </c>
      <c r="G713" s="42" t="str">
        <f>IF(ISNUMBER(deployment_raw[[#This Row],[Column14]]), deployment_raw[[#This Row],[Column14]]/IF(OR($E$2="Deployment",deployment_raw[[#This Row],[Column5]]=0),1,deployment_raw[[#This Row],[Column5]]),"")</f>
        <v/>
      </c>
      <c r="H713" s="79" t="str">
        <f>IF(ISNUMBER(deployment_raw[[#This Row],[Column19]]), IF(I713&lt;&gt;0,(deployment_raw[[#This Row],[Column19]]/IF(OR($E$2="Deployment",deployment_raw[[#This Row],[Column5]]=0),1,deployment_raw[[#This Row],[Column5]]))/I713,0),"")</f>
        <v/>
      </c>
      <c r="I713" s="69" t="str">
        <f>IF(ISNUMBER(deployment_raw[[#This Row],[Column6]]), (deployment_raw[[#This Row],[Column6]] * IF($E$2="Deployment",deployment_raw[[#This Row],[Column5]],1)),"")</f>
        <v/>
      </c>
      <c r="J713" s="79" t="str">
        <f>IF(ISNUMBER(deployment_raw[[#This Row],[Column19]]), IF(K713&lt;&gt;0,(deployment_raw[[#This Row],[Column19]]/IF(OR($E$2="Deployment",deployment_raw[[#This Row],[Column5]]=0),1,deployment_raw[[#This Row],[Column5]]))/K713,0),"")</f>
        <v/>
      </c>
      <c r="K713" s="72" t="str">
        <f>IF(ISNUMBER(deployment_raw[[#This Row],[Column8]]), (deployment_raw[[#This Row],[Column8]]  * IF($E$2="Deployment",deployment_raw[[#This Row],[Column5]],1)),"")</f>
        <v/>
      </c>
      <c r="L71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1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13" s="81" t="str">
        <f>IF(ISNUMBER(deployment_raw[[#This Row],[Column20]]), IF(O713&lt;&gt;0,deployment_raw[[#This Row],[Column20]]/IF(OR($E$2="Deployment",deployment_raw[[#This Row],[Column5]]=0),1,deployment_raw[[#This Row],[Column5]])/1048576/O713,0),"")</f>
        <v/>
      </c>
      <c r="O713" s="74" t="str">
        <f>IF(ISNUMBER(deployment_raw[[#This Row],[Column7]]), (deployment_raw[[#This Row],[Column7]] * IF($E$2="Deployment",deployment_raw[[#This Row],[Column5]],1))/1048576,"")</f>
        <v/>
      </c>
      <c r="P713" s="81" t="str">
        <f>IF(ISNUMBER(deployment_raw[[#This Row],[Column20]]), IF(Q713&lt;&gt;0,deployment_raw[[#This Row],[Column20]]/IF(OR($E$2="Deployment",deployment_raw[[#This Row],[Column5]]=0),1,deployment_raw[[#This Row],[Column5]])/1048576/Q713,0),"")</f>
        <v/>
      </c>
      <c r="Q713" s="76" t="str">
        <f>IF(ISNUMBER(deployment_raw[[#This Row],[Column9]]), (deployment_raw[[#This Row],[Column9]] * IF($E$2="Deployment",deployment_raw[[#This Row],[Column5]],1))/1048576,"")</f>
        <v/>
      </c>
      <c r="R713" s="57" t="str">
        <f>IF(ISNUMBER(deployment_raw[[#This Row],[Column10]]), (deployment_raw[[#This Row],[Column10]] * IF($E$2="Deployment",deployment_raw[[#This Row],[Column5]],1)),"")</f>
        <v/>
      </c>
      <c r="S713" s="48" t="str">
        <f>IF(ISNUMBER(deployment_raw[[#This Row],[Column11]]), (deployment_raw[[#This Row],[Column11]] * IF($E$2="Deployment",deployment_raw[[#This Row],[Column5]],1))/1048576,"")</f>
        <v/>
      </c>
      <c r="T713" s="59" t="str">
        <f>IF(ISNUMBER(deployment_raw[[#This Row],[Column8]]),IF(OR(deployment_raw[[#This Row],[Column5]] &lt;&gt; 0,$E$2 &lt;&gt; "Deployment"), MAX(V713, ($T$2 * IF($E$2="Deployment",deployment_raw[[#This Row],[Column5]],1))), 0),"")</f>
        <v/>
      </c>
      <c r="U713" s="50" t="str">
        <f>IF(ISNUMBER(deployment_raw[[#This Row],[Column9]]),IF(OR(deployment_raw[[#This Row],[Column5]] &lt;&gt; 0,$E$2&lt;&gt;"Deployment"), MAX(W713, ($U$2 * IF($E$2="Deployment",deployment_raw[[#This Row],[Column5]],1))), 0),"")</f>
        <v/>
      </c>
      <c r="V713" s="15" t="str">
        <f>IF(ISNUMBER(deployment_raw[[#This Row],[Column12]]), (deployment_raw[[#This Row],[Column12]] * IF($E$2="Deployment",deployment_raw[[#This Row],[Column5]],1)*(1+$V$2)),"")</f>
        <v/>
      </c>
      <c r="W713" s="14" t="str">
        <f>IF(ISNUMBER(deployment_raw[[#This Row],[Column13]]), (deployment_raw[[#This Row],[Column13]] * IF($E$2="Deployment",deployment_raw[[#This Row],[Column5]],1)*(1+$W$2))/1048576,"")</f>
        <v/>
      </c>
    </row>
    <row r="714" spans="1:23" ht="15.75" customHeight="1" x14ac:dyDescent="0.25">
      <c r="A714" s="5" t="str">
        <f>IF(ISNONTEXT(deployment_raw[[#This Row],[Column1]]), "", deployment_raw[[#This Row],[Column1]])</f>
        <v/>
      </c>
      <c r="B714" s="6" t="str">
        <f>IF(ISNONTEXT(deployment_raw[[#This Row],[Column2]]), "", deployment_raw[[#This Row],[Column2]])</f>
        <v/>
      </c>
      <c r="C714" s="6" t="str">
        <f>IF(ISNONTEXT(deployment_raw[[#This Row],[Column3]]), "", deployment_raw[[#This Row],[Column3]])</f>
        <v/>
      </c>
      <c r="D714" s="6" t="str">
        <f>IF(ISNONTEXT(deployment_raw[[#This Row],[Column4]]), "", deployment_raw[[#This Row],[Column4]])</f>
        <v/>
      </c>
      <c r="E714" s="7" t="str">
        <f>IF(ISNUMBER(deployment_raw[[#This Row],[Column5]]), deployment_raw[[#This Row],[Column5]],"")</f>
        <v/>
      </c>
      <c r="F714" s="32" t="str">
        <f>IF(ISNUMBER(deployment_raw[[#This Row],[Column17]]), deployment_raw[[#This Row],[Column17]]/IF(OR($E$2="Deployment",deployment_raw[[#This Row],[Column5]]=0),1,deployment_raw[[#This Row],[Column5]]),"")</f>
        <v/>
      </c>
      <c r="G714" s="42" t="str">
        <f>IF(ISNUMBER(deployment_raw[[#This Row],[Column14]]), deployment_raw[[#This Row],[Column14]]/IF(OR($E$2="Deployment",deployment_raw[[#This Row],[Column5]]=0),1,deployment_raw[[#This Row],[Column5]]),"")</f>
        <v/>
      </c>
      <c r="H714" s="79" t="str">
        <f>IF(ISNUMBER(deployment_raw[[#This Row],[Column19]]), IF(I714&lt;&gt;0,(deployment_raw[[#This Row],[Column19]]/IF(OR($E$2="Deployment",deployment_raw[[#This Row],[Column5]]=0),1,deployment_raw[[#This Row],[Column5]]))/I714,0),"")</f>
        <v/>
      </c>
      <c r="I714" s="69" t="str">
        <f>IF(ISNUMBER(deployment_raw[[#This Row],[Column6]]), (deployment_raw[[#This Row],[Column6]] * IF($E$2="Deployment",deployment_raw[[#This Row],[Column5]],1)),"")</f>
        <v/>
      </c>
      <c r="J714" s="79" t="str">
        <f>IF(ISNUMBER(deployment_raw[[#This Row],[Column19]]), IF(K714&lt;&gt;0,(deployment_raw[[#This Row],[Column19]]/IF(OR($E$2="Deployment",deployment_raw[[#This Row],[Column5]]=0),1,deployment_raw[[#This Row],[Column5]]))/K714,0),"")</f>
        <v/>
      </c>
      <c r="K714" s="72" t="str">
        <f>IF(ISNUMBER(deployment_raw[[#This Row],[Column8]]), (deployment_raw[[#This Row],[Column8]]  * IF($E$2="Deployment",deployment_raw[[#This Row],[Column5]],1)),"")</f>
        <v/>
      </c>
      <c r="L71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1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14" s="81" t="str">
        <f>IF(ISNUMBER(deployment_raw[[#This Row],[Column20]]), IF(O714&lt;&gt;0,deployment_raw[[#This Row],[Column20]]/IF(OR($E$2="Deployment",deployment_raw[[#This Row],[Column5]]=0),1,deployment_raw[[#This Row],[Column5]])/1048576/O714,0),"")</f>
        <v/>
      </c>
      <c r="O714" s="74" t="str">
        <f>IF(ISNUMBER(deployment_raw[[#This Row],[Column7]]), (deployment_raw[[#This Row],[Column7]] * IF($E$2="Deployment",deployment_raw[[#This Row],[Column5]],1))/1048576,"")</f>
        <v/>
      </c>
      <c r="P714" s="81" t="str">
        <f>IF(ISNUMBER(deployment_raw[[#This Row],[Column20]]), IF(Q714&lt;&gt;0,deployment_raw[[#This Row],[Column20]]/IF(OR($E$2="Deployment",deployment_raw[[#This Row],[Column5]]=0),1,deployment_raw[[#This Row],[Column5]])/1048576/Q714,0),"")</f>
        <v/>
      </c>
      <c r="Q714" s="76" t="str">
        <f>IF(ISNUMBER(deployment_raw[[#This Row],[Column9]]), (deployment_raw[[#This Row],[Column9]] * IF($E$2="Deployment",deployment_raw[[#This Row],[Column5]],1))/1048576,"")</f>
        <v/>
      </c>
      <c r="R714" s="57" t="str">
        <f>IF(ISNUMBER(deployment_raw[[#This Row],[Column10]]), (deployment_raw[[#This Row],[Column10]] * IF($E$2="Deployment",deployment_raw[[#This Row],[Column5]],1)),"")</f>
        <v/>
      </c>
      <c r="S714" s="48" t="str">
        <f>IF(ISNUMBER(deployment_raw[[#This Row],[Column11]]), (deployment_raw[[#This Row],[Column11]] * IF($E$2="Deployment",deployment_raw[[#This Row],[Column5]],1))/1048576,"")</f>
        <v/>
      </c>
      <c r="T714" s="59" t="str">
        <f>IF(ISNUMBER(deployment_raw[[#This Row],[Column8]]),IF(OR(deployment_raw[[#This Row],[Column5]] &lt;&gt; 0,$E$2 &lt;&gt; "Deployment"), MAX(V714, ($T$2 * IF($E$2="Deployment",deployment_raw[[#This Row],[Column5]],1))), 0),"")</f>
        <v/>
      </c>
      <c r="U714" s="50" t="str">
        <f>IF(ISNUMBER(deployment_raw[[#This Row],[Column9]]),IF(OR(deployment_raw[[#This Row],[Column5]] &lt;&gt; 0,$E$2&lt;&gt;"Deployment"), MAX(W714, ($U$2 * IF($E$2="Deployment",deployment_raw[[#This Row],[Column5]],1))), 0),"")</f>
        <v/>
      </c>
      <c r="V714" s="15" t="str">
        <f>IF(ISNUMBER(deployment_raw[[#This Row],[Column12]]), (deployment_raw[[#This Row],[Column12]] * IF($E$2="Deployment",deployment_raw[[#This Row],[Column5]],1)*(1+$V$2)),"")</f>
        <v/>
      </c>
      <c r="W714" s="14" t="str">
        <f>IF(ISNUMBER(deployment_raw[[#This Row],[Column13]]), (deployment_raw[[#This Row],[Column13]] * IF($E$2="Deployment",deployment_raw[[#This Row],[Column5]],1)*(1+$W$2))/1048576,"")</f>
        <v/>
      </c>
    </row>
    <row r="715" spans="1:23" ht="15.75" customHeight="1" x14ac:dyDescent="0.25">
      <c r="A715" s="5" t="str">
        <f>IF(ISNONTEXT(deployment_raw[[#This Row],[Column1]]), "", deployment_raw[[#This Row],[Column1]])</f>
        <v/>
      </c>
      <c r="B715" s="6" t="str">
        <f>IF(ISNONTEXT(deployment_raw[[#This Row],[Column2]]), "", deployment_raw[[#This Row],[Column2]])</f>
        <v/>
      </c>
      <c r="C715" s="6" t="str">
        <f>IF(ISNONTEXT(deployment_raw[[#This Row],[Column3]]), "", deployment_raw[[#This Row],[Column3]])</f>
        <v/>
      </c>
      <c r="D715" s="6" t="str">
        <f>IF(ISNONTEXT(deployment_raw[[#This Row],[Column4]]), "", deployment_raw[[#This Row],[Column4]])</f>
        <v/>
      </c>
      <c r="E715" s="7" t="str">
        <f>IF(ISNUMBER(deployment_raw[[#This Row],[Column5]]), deployment_raw[[#This Row],[Column5]],"")</f>
        <v/>
      </c>
      <c r="F715" s="32" t="str">
        <f>IF(ISNUMBER(deployment_raw[[#This Row],[Column17]]), deployment_raw[[#This Row],[Column17]]/IF(OR($E$2="Deployment",deployment_raw[[#This Row],[Column5]]=0),1,deployment_raw[[#This Row],[Column5]]),"")</f>
        <v/>
      </c>
      <c r="G715" s="42" t="str">
        <f>IF(ISNUMBER(deployment_raw[[#This Row],[Column14]]), deployment_raw[[#This Row],[Column14]]/IF(OR($E$2="Deployment",deployment_raw[[#This Row],[Column5]]=0),1,deployment_raw[[#This Row],[Column5]]),"")</f>
        <v/>
      </c>
      <c r="H715" s="79" t="str">
        <f>IF(ISNUMBER(deployment_raw[[#This Row],[Column19]]), IF(I715&lt;&gt;0,(deployment_raw[[#This Row],[Column19]]/IF(OR($E$2="Deployment",deployment_raw[[#This Row],[Column5]]=0),1,deployment_raw[[#This Row],[Column5]]))/I715,0),"")</f>
        <v/>
      </c>
      <c r="I715" s="69" t="str">
        <f>IF(ISNUMBER(deployment_raw[[#This Row],[Column6]]), (deployment_raw[[#This Row],[Column6]] * IF($E$2="Deployment",deployment_raw[[#This Row],[Column5]],1)),"")</f>
        <v/>
      </c>
      <c r="J715" s="79" t="str">
        <f>IF(ISNUMBER(deployment_raw[[#This Row],[Column19]]), IF(K715&lt;&gt;0,(deployment_raw[[#This Row],[Column19]]/IF(OR($E$2="Deployment",deployment_raw[[#This Row],[Column5]]=0),1,deployment_raw[[#This Row],[Column5]]))/K715,0),"")</f>
        <v/>
      </c>
      <c r="K715" s="72" t="str">
        <f>IF(ISNUMBER(deployment_raw[[#This Row],[Column8]]), (deployment_raw[[#This Row],[Column8]]  * IF($E$2="Deployment",deployment_raw[[#This Row],[Column5]],1)),"")</f>
        <v/>
      </c>
      <c r="L71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1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15" s="81" t="str">
        <f>IF(ISNUMBER(deployment_raw[[#This Row],[Column20]]), IF(O715&lt;&gt;0,deployment_raw[[#This Row],[Column20]]/IF(OR($E$2="Deployment",deployment_raw[[#This Row],[Column5]]=0),1,deployment_raw[[#This Row],[Column5]])/1048576/O715,0),"")</f>
        <v/>
      </c>
      <c r="O715" s="74" t="str">
        <f>IF(ISNUMBER(deployment_raw[[#This Row],[Column7]]), (deployment_raw[[#This Row],[Column7]] * IF($E$2="Deployment",deployment_raw[[#This Row],[Column5]],1))/1048576,"")</f>
        <v/>
      </c>
      <c r="P715" s="81" t="str">
        <f>IF(ISNUMBER(deployment_raw[[#This Row],[Column20]]), IF(Q715&lt;&gt;0,deployment_raw[[#This Row],[Column20]]/IF(OR($E$2="Deployment",deployment_raw[[#This Row],[Column5]]=0),1,deployment_raw[[#This Row],[Column5]])/1048576/Q715,0),"")</f>
        <v/>
      </c>
      <c r="Q715" s="76" t="str">
        <f>IF(ISNUMBER(deployment_raw[[#This Row],[Column9]]), (deployment_raw[[#This Row],[Column9]] * IF($E$2="Deployment",deployment_raw[[#This Row],[Column5]],1))/1048576,"")</f>
        <v/>
      </c>
      <c r="R715" s="57" t="str">
        <f>IF(ISNUMBER(deployment_raw[[#This Row],[Column10]]), (deployment_raw[[#This Row],[Column10]] * IF($E$2="Deployment",deployment_raw[[#This Row],[Column5]],1)),"")</f>
        <v/>
      </c>
      <c r="S715" s="48" t="str">
        <f>IF(ISNUMBER(deployment_raw[[#This Row],[Column11]]), (deployment_raw[[#This Row],[Column11]] * IF($E$2="Deployment",deployment_raw[[#This Row],[Column5]],1))/1048576,"")</f>
        <v/>
      </c>
      <c r="T715" s="59" t="str">
        <f>IF(ISNUMBER(deployment_raw[[#This Row],[Column8]]),IF(OR(deployment_raw[[#This Row],[Column5]] &lt;&gt; 0,$E$2 &lt;&gt; "Deployment"), MAX(V715, ($T$2 * IF($E$2="Deployment",deployment_raw[[#This Row],[Column5]],1))), 0),"")</f>
        <v/>
      </c>
      <c r="U715" s="50" t="str">
        <f>IF(ISNUMBER(deployment_raw[[#This Row],[Column9]]),IF(OR(deployment_raw[[#This Row],[Column5]] &lt;&gt; 0,$E$2&lt;&gt;"Deployment"), MAX(W715, ($U$2 * IF($E$2="Deployment",deployment_raw[[#This Row],[Column5]],1))), 0),"")</f>
        <v/>
      </c>
      <c r="V715" s="15" t="str">
        <f>IF(ISNUMBER(deployment_raw[[#This Row],[Column12]]), (deployment_raw[[#This Row],[Column12]] * IF($E$2="Deployment",deployment_raw[[#This Row],[Column5]],1)*(1+$V$2)),"")</f>
        <v/>
      </c>
      <c r="W715" s="14" t="str">
        <f>IF(ISNUMBER(deployment_raw[[#This Row],[Column13]]), (deployment_raw[[#This Row],[Column13]] * IF($E$2="Deployment",deployment_raw[[#This Row],[Column5]],1)*(1+$W$2))/1048576,"")</f>
        <v/>
      </c>
    </row>
    <row r="716" spans="1:23" ht="15.75" customHeight="1" x14ac:dyDescent="0.25">
      <c r="A716" s="5" t="str">
        <f>IF(ISNONTEXT(deployment_raw[[#This Row],[Column1]]), "", deployment_raw[[#This Row],[Column1]])</f>
        <v/>
      </c>
      <c r="B716" s="6" t="str">
        <f>IF(ISNONTEXT(deployment_raw[[#This Row],[Column2]]), "", deployment_raw[[#This Row],[Column2]])</f>
        <v/>
      </c>
      <c r="C716" s="6" t="str">
        <f>IF(ISNONTEXT(deployment_raw[[#This Row],[Column3]]), "", deployment_raw[[#This Row],[Column3]])</f>
        <v/>
      </c>
      <c r="D716" s="6" t="str">
        <f>IF(ISNONTEXT(deployment_raw[[#This Row],[Column4]]), "", deployment_raw[[#This Row],[Column4]])</f>
        <v/>
      </c>
      <c r="E716" s="7" t="str">
        <f>IF(ISNUMBER(deployment_raw[[#This Row],[Column5]]), deployment_raw[[#This Row],[Column5]],"")</f>
        <v/>
      </c>
      <c r="F716" s="32" t="str">
        <f>IF(ISNUMBER(deployment_raw[[#This Row],[Column17]]), deployment_raw[[#This Row],[Column17]]/IF(OR($E$2="Deployment",deployment_raw[[#This Row],[Column5]]=0),1,deployment_raw[[#This Row],[Column5]]),"")</f>
        <v/>
      </c>
      <c r="G716" s="42" t="str">
        <f>IF(ISNUMBER(deployment_raw[[#This Row],[Column14]]), deployment_raw[[#This Row],[Column14]]/IF(OR($E$2="Deployment",deployment_raw[[#This Row],[Column5]]=0),1,deployment_raw[[#This Row],[Column5]]),"")</f>
        <v/>
      </c>
      <c r="H716" s="79" t="str">
        <f>IF(ISNUMBER(deployment_raw[[#This Row],[Column19]]), IF(I716&lt;&gt;0,(deployment_raw[[#This Row],[Column19]]/IF(OR($E$2="Deployment",deployment_raw[[#This Row],[Column5]]=0),1,deployment_raw[[#This Row],[Column5]]))/I716,0),"")</f>
        <v/>
      </c>
      <c r="I716" s="69" t="str">
        <f>IF(ISNUMBER(deployment_raw[[#This Row],[Column6]]), (deployment_raw[[#This Row],[Column6]] * IF($E$2="Deployment",deployment_raw[[#This Row],[Column5]],1)),"")</f>
        <v/>
      </c>
      <c r="J716" s="79" t="str">
        <f>IF(ISNUMBER(deployment_raw[[#This Row],[Column19]]), IF(K716&lt;&gt;0,(deployment_raw[[#This Row],[Column19]]/IF(OR($E$2="Deployment",deployment_raw[[#This Row],[Column5]]=0),1,deployment_raw[[#This Row],[Column5]]))/K716,0),"")</f>
        <v/>
      </c>
      <c r="K716" s="72" t="str">
        <f>IF(ISNUMBER(deployment_raw[[#This Row],[Column8]]), (deployment_raw[[#This Row],[Column8]]  * IF($E$2="Deployment",deployment_raw[[#This Row],[Column5]],1)),"")</f>
        <v/>
      </c>
      <c r="L71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1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16" s="81" t="str">
        <f>IF(ISNUMBER(deployment_raw[[#This Row],[Column20]]), IF(O716&lt;&gt;0,deployment_raw[[#This Row],[Column20]]/IF(OR($E$2="Deployment",deployment_raw[[#This Row],[Column5]]=0),1,deployment_raw[[#This Row],[Column5]])/1048576/O716,0),"")</f>
        <v/>
      </c>
      <c r="O716" s="74" t="str">
        <f>IF(ISNUMBER(deployment_raw[[#This Row],[Column7]]), (deployment_raw[[#This Row],[Column7]] * IF($E$2="Deployment",deployment_raw[[#This Row],[Column5]],1))/1048576,"")</f>
        <v/>
      </c>
      <c r="P716" s="81" t="str">
        <f>IF(ISNUMBER(deployment_raw[[#This Row],[Column20]]), IF(Q716&lt;&gt;0,deployment_raw[[#This Row],[Column20]]/IF(OR($E$2="Deployment",deployment_raw[[#This Row],[Column5]]=0),1,deployment_raw[[#This Row],[Column5]])/1048576/Q716,0),"")</f>
        <v/>
      </c>
      <c r="Q716" s="76" t="str">
        <f>IF(ISNUMBER(deployment_raw[[#This Row],[Column9]]), (deployment_raw[[#This Row],[Column9]] * IF($E$2="Deployment",deployment_raw[[#This Row],[Column5]],1))/1048576,"")</f>
        <v/>
      </c>
      <c r="R716" s="57" t="str">
        <f>IF(ISNUMBER(deployment_raw[[#This Row],[Column10]]), (deployment_raw[[#This Row],[Column10]] * IF($E$2="Deployment",deployment_raw[[#This Row],[Column5]],1)),"")</f>
        <v/>
      </c>
      <c r="S716" s="48" t="str">
        <f>IF(ISNUMBER(deployment_raw[[#This Row],[Column11]]), (deployment_raw[[#This Row],[Column11]] * IF($E$2="Deployment",deployment_raw[[#This Row],[Column5]],1))/1048576,"")</f>
        <v/>
      </c>
      <c r="T716" s="59" t="str">
        <f>IF(ISNUMBER(deployment_raw[[#This Row],[Column8]]),IF(OR(deployment_raw[[#This Row],[Column5]] &lt;&gt; 0,$E$2 &lt;&gt; "Deployment"), MAX(V716, ($T$2 * IF($E$2="Deployment",deployment_raw[[#This Row],[Column5]],1))), 0),"")</f>
        <v/>
      </c>
      <c r="U716" s="50" t="str">
        <f>IF(ISNUMBER(deployment_raw[[#This Row],[Column9]]),IF(OR(deployment_raw[[#This Row],[Column5]] &lt;&gt; 0,$E$2&lt;&gt;"Deployment"), MAX(W716, ($U$2 * IF($E$2="Deployment",deployment_raw[[#This Row],[Column5]],1))), 0),"")</f>
        <v/>
      </c>
      <c r="V716" s="15" t="str">
        <f>IF(ISNUMBER(deployment_raw[[#This Row],[Column12]]), (deployment_raw[[#This Row],[Column12]] * IF($E$2="Deployment",deployment_raw[[#This Row],[Column5]],1)*(1+$V$2)),"")</f>
        <v/>
      </c>
      <c r="W716" s="14" t="str">
        <f>IF(ISNUMBER(deployment_raw[[#This Row],[Column13]]), (deployment_raw[[#This Row],[Column13]] * IF($E$2="Deployment",deployment_raw[[#This Row],[Column5]],1)*(1+$W$2))/1048576,"")</f>
        <v/>
      </c>
    </row>
    <row r="717" spans="1:23" ht="15.75" customHeight="1" x14ac:dyDescent="0.25">
      <c r="A717" s="5" t="str">
        <f>IF(ISNONTEXT(deployment_raw[[#This Row],[Column1]]), "", deployment_raw[[#This Row],[Column1]])</f>
        <v/>
      </c>
      <c r="B717" s="6" t="str">
        <f>IF(ISNONTEXT(deployment_raw[[#This Row],[Column2]]), "", deployment_raw[[#This Row],[Column2]])</f>
        <v/>
      </c>
      <c r="C717" s="6" t="str">
        <f>IF(ISNONTEXT(deployment_raw[[#This Row],[Column3]]), "", deployment_raw[[#This Row],[Column3]])</f>
        <v/>
      </c>
      <c r="D717" s="6" t="str">
        <f>IF(ISNONTEXT(deployment_raw[[#This Row],[Column4]]), "", deployment_raw[[#This Row],[Column4]])</f>
        <v/>
      </c>
      <c r="E717" s="7" t="str">
        <f>IF(ISNUMBER(deployment_raw[[#This Row],[Column5]]), deployment_raw[[#This Row],[Column5]],"")</f>
        <v/>
      </c>
      <c r="F717" s="32" t="str">
        <f>IF(ISNUMBER(deployment_raw[[#This Row],[Column17]]), deployment_raw[[#This Row],[Column17]]/IF(OR($E$2="Deployment",deployment_raw[[#This Row],[Column5]]=0),1,deployment_raw[[#This Row],[Column5]]),"")</f>
        <v/>
      </c>
      <c r="G717" s="42" t="str">
        <f>IF(ISNUMBER(deployment_raw[[#This Row],[Column14]]), deployment_raw[[#This Row],[Column14]]/IF(OR($E$2="Deployment",deployment_raw[[#This Row],[Column5]]=0),1,deployment_raw[[#This Row],[Column5]]),"")</f>
        <v/>
      </c>
      <c r="H717" s="79" t="str">
        <f>IF(ISNUMBER(deployment_raw[[#This Row],[Column19]]), IF(I717&lt;&gt;0,(deployment_raw[[#This Row],[Column19]]/IF(OR($E$2="Deployment",deployment_raw[[#This Row],[Column5]]=0),1,deployment_raw[[#This Row],[Column5]]))/I717,0),"")</f>
        <v/>
      </c>
      <c r="I717" s="69" t="str">
        <f>IF(ISNUMBER(deployment_raw[[#This Row],[Column6]]), (deployment_raw[[#This Row],[Column6]] * IF($E$2="Deployment",deployment_raw[[#This Row],[Column5]],1)),"")</f>
        <v/>
      </c>
      <c r="J717" s="79" t="str">
        <f>IF(ISNUMBER(deployment_raw[[#This Row],[Column19]]), IF(K717&lt;&gt;0,(deployment_raw[[#This Row],[Column19]]/IF(OR($E$2="Deployment",deployment_raw[[#This Row],[Column5]]=0),1,deployment_raw[[#This Row],[Column5]]))/K717,0),"")</f>
        <v/>
      </c>
      <c r="K717" s="72" t="str">
        <f>IF(ISNUMBER(deployment_raw[[#This Row],[Column8]]), (deployment_raw[[#This Row],[Column8]]  * IF($E$2="Deployment",deployment_raw[[#This Row],[Column5]],1)),"")</f>
        <v/>
      </c>
      <c r="L71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1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17" s="81" t="str">
        <f>IF(ISNUMBER(deployment_raw[[#This Row],[Column20]]), IF(O717&lt;&gt;0,deployment_raw[[#This Row],[Column20]]/IF(OR($E$2="Deployment",deployment_raw[[#This Row],[Column5]]=0),1,deployment_raw[[#This Row],[Column5]])/1048576/O717,0),"")</f>
        <v/>
      </c>
      <c r="O717" s="74" t="str">
        <f>IF(ISNUMBER(deployment_raw[[#This Row],[Column7]]), (deployment_raw[[#This Row],[Column7]] * IF($E$2="Deployment",deployment_raw[[#This Row],[Column5]],1))/1048576,"")</f>
        <v/>
      </c>
      <c r="P717" s="81" t="str">
        <f>IF(ISNUMBER(deployment_raw[[#This Row],[Column20]]), IF(Q717&lt;&gt;0,deployment_raw[[#This Row],[Column20]]/IF(OR($E$2="Deployment",deployment_raw[[#This Row],[Column5]]=0),1,deployment_raw[[#This Row],[Column5]])/1048576/Q717,0),"")</f>
        <v/>
      </c>
      <c r="Q717" s="76" t="str">
        <f>IF(ISNUMBER(deployment_raw[[#This Row],[Column9]]), (deployment_raw[[#This Row],[Column9]] * IF($E$2="Deployment",deployment_raw[[#This Row],[Column5]],1))/1048576,"")</f>
        <v/>
      </c>
      <c r="R717" s="57" t="str">
        <f>IF(ISNUMBER(deployment_raw[[#This Row],[Column10]]), (deployment_raw[[#This Row],[Column10]] * IF($E$2="Deployment",deployment_raw[[#This Row],[Column5]],1)),"")</f>
        <v/>
      </c>
      <c r="S717" s="48" t="str">
        <f>IF(ISNUMBER(deployment_raw[[#This Row],[Column11]]), (deployment_raw[[#This Row],[Column11]] * IF($E$2="Deployment",deployment_raw[[#This Row],[Column5]],1))/1048576,"")</f>
        <v/>
      </c>
      <c r="T717" s="59" t="str">
        <f>IF(ISNUMBER(deployment_raw[[#This Row],[Column8]]),IF(OR(deployment_raw[[#This Row],[Column5]] &lt;&gt; 0,$E$2 &lt;&gt; "Deployment"), MAX(V717, ($T$2 * IF($E$2="Deployment",deployment_raw[[#This Row],[Column5]],1))), 0),"")</f>
        <v/>
      </c>
      <c r="U717" s="50" t="str">
        <f>IF(ISNUMBER(deployment_raw[[#This Row],[Column9]]),IF(OR(deployment_raw[[#This Row],[Column5]] &lt;&gt; 0,$E$2&lt;&gt;"Deployment"), MAX(W717, ($U$2 * IF($E$2="Deployment",deployment_raw[[#This Row],[Column5]],1))), 0),"")</f>
        <v/>
      </c>
      <c r="V717" s="15" t="str">
        <f>IF(ISNUMBER(deployment_raw[[#This Row],[Column12]]), (deployment_raw[[#This Row],[Column12]] * IF($E$2="Deployment",deployment_raw[[#This Row],[Column5]],1)*(1+$V$2)),"")</f>
        <v/>
      </c>
      <c r="W717" s="14" t="str">
        <f>IF(ISNUMBER(deployment_raw[[#This Row],[Column13]]), (deployment_raw[[#This Row],[Column13]] * IF($E$2="Deployment",deployment_raw[[#This Row],[Column5]],1)*(1+$W$2))/1048576,"")</f>
        <v/>
      </c>
    </row>
    <row r="718" spans="1:23" ht="15.75" customHeight="1" x14ac:dyDescent="0.25">
      <c r="A718" s="5" t="str">
        <f>IF(ISNONTEXT(deployment_raw[[#This Row],[Column1]]), "", deployment_raw[[#This Row],[Column1]])</f>
        <v/>
      </c>
      <c r="B718" s="6" t="str">
        <f>IF(ISNONTEXT(deployment_raw[[#This Row],[Column2]]), "", deployment_raw[[#This Row],[Column2]])</f>
        <v/>
      </c>
      <c r="C718" s="6" t="str">
        <f>IF(ISNONTEXT(deployment_raw[[#This Row],[Column3]]), "", deployment_raw[[#This Row],[Column3]])</f>
        <v/>
      </c>
      <c r="D718" s="6" t="str">
        <f>IF(ISNONTEXT(deployment_raw[[#This Row],[Column4]]), "", deployment_raw[[#This Row],[Column4]])</f>
        <v/>
      </c>
      <c r="E718" s="7" t="str">
        <f>IF(ISNUMBER(deployment_raw[[#This Row],[Column5]]), deployment_raw[[#This Row],[Column5]],"")</f>
        <v/>
      </c>
      <c r="F718" s="32" t="str">
        <f>IF(ISNUMBER(deployment_raw[[#This Row],[Column17]]), deployment_raw[[#This Row],[Column17]]/IF(OR($E$2="Deployment",deployment_raw[[#This Row],[Column5]]=0),1,deployment_raw[[#This Row],[Column5]]),"")</f>
        <v/>
      </c>
      <c r="G718" s="42" t="str">
        <f>IF(ISNUMBER(deployment_raw[[#This Row],[Column14]]), deployment_raw[[#This Row],[Column14]]/IF(OR($E$2="Deployment",deployment_raw[[#This Row],[Column5]]=0),1,deployment_raw[[#This Row],[Column5]]),"")</f>
        <v/>
      </c>
      <c r="H718" s="79" t="str">
        <f>IF(ISNUMBER(deployment_raw[[#This Row],[Column19]]), IF(I718&lt;&gt;0,(deployment_raw[[#This Row],[Column19]]/IF(OR($E$2="Deployment",deployment_raw[[#This Row],[Column5]]=0),1,deployment_raw[[#This Row],[Column5]]))/I718,0),"")</f>
        <v/>
      </c>
      <c r="I718" s="69" t="str">
        <f>IF(ISNUMBER(deployment_raw[[#This Row],[Column6]]), (deployment_raw[[#This Row],[Column6]] * IF($E$2="Deployment",deployment_raw[[#This Row],[Column5]],1)),"")</f>
        <v/>
      </c>
      <c r="J718" s="79" t="str">
        <f>IF(ISNUMBER(deployment_raw[[#This Row],[Column19]]), IF(K718&lt;&gt;0,(deployment_raw[[#This Row],[Column19]]/IF(OR($E$2="Deployment",deployment_raw[[#This Row],[Column5]]=0),1,deployment_raw[[#This Row],[Column5]]))/K718,0),"")</f>
        <v/>
      </c>
      <c r="K718" s="72" t="str">
        <f>IF(ISNUMBER(deployment_raw[[#This Row],[Column8]]), (deployment_raw[[#This Row],[Column8]]  * IF($E$2="Deployment",deployment_raw[[#This Row],[Column5]],1)),"")</f>
        <v/>
      </c>
      <c r="L71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1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18" s="81" t="str">
        <f>IF(ISNUMBER(deployment_raw[[#This Row],[Column20]]), IF(O718&lt;&gt;0,deployment_raw[[#This Row],[Column20]]/IF(OR($E$2="Deployment",deployment_raw[[#This Row],[Column5]]=0),1,deployment_raw[[#This Row],[Column5]])/1048576/O718,0),"")</f>
        <v/>
      </c>
      <c r="O718" s="74" t="str">
        <f>IF(ISNUMBER(deployment_raw[[#This Row],[Column7]]), (deployment_raw[[#This Row],[Column7]] * IF($E$2="Deployment",deployment_raw[[#This Row],[Column5]],1))/1048576,"")</f>
        <v/>
      </c>
      <c r="P718" s="81" t="str">
        <f>IF(ISNUMBER(deployment_raw[[#This Row],[Column20]]), IF(Q718&lt;&gt;0,deployment_raw[[#This Row],[Column20]]/IF(OR($E$2="Deployment",deployment_raw[[#This Row],[Column5]]=0),1,deployment_raw[[#This Row],[Column5]])/1048576/Q718,0),"")</f>
        <v/>
      </c>
      <c r="Q718" s="76" t="str">
        <f>IF(ISNUMBER(deployment_raw[[#This Row],[Column9]]), (deployment_raw[[#This Row],[Column9]] * IF($E$2="Deployment",deployment_raw[[#This Row],[Column5]],1))/1048576,"")</f>
        <v/>
      </c>
      <c r="R718" s="57" t="str">
        <f>IF(ISNUMBER(deployment_raw[[#This Row],[Column10]]), (deployment_raw[[#This Row],[Column10]] * IF($E$2="Deployment",deployment_raw[[#This Row],[Column5]],1)),"")</f>
        <v/>
      </c>
      <c r="S718" s="48" t="str">
        <f>IF(ISNUMBER(deployment_raw[[#This Row],[Column11]]), (deployment_raw[[#This Row],[Column11]] * IF($E$2="Deployment",deployment_raw[[#This Row],[Column5]],1))/1048576,"")</f>
        <v/>
      </c>
      <c r="T718" s="59" t="str">
        <f>IF(ISNUMBER(deployment_raw[[#This Row],[Column8]]),IF(OR(deployment_raw[[#This Row],[Column5]] &lt;&gt; 0,$E$2 &lt;&gt; "Deployment"), MAX(V718, ($T$2 * IF($E$2="Deployment",deployment_raw[[#This Row],[Column5]],1))), 0),"")</f>
        <v/>
      </c>
      <c r="U718" s="50" t="str">
        <f>IF(ISNUMBER(deployment_raw[[#This Row],[Column9]]),IF(OR(deployment_raw[[#This Row],[Column5]] &lt;&gt; 0,$E$2&lt;&gt;"Deployment"), MAX(W718, ($U$2 * IF($E$2="Deployment",deployment_raw[[#This Row],[Column5]],1))), 0),"")</f>
        <v/>
      </c>
      <c r="V718" s="15" t="str">
        <f>IF(ISNUMBER(deployment_raw[[#This Row],[Column12]]), (deployment_raw[[#This Row],[Column12]] * IF($E$2="Deployment",deployment_raw[[#This Row],[Column5]],1)*(1+$V$2)),"")</f>
        <v/>
      </c>
      <c r="W718" s="14" t="str">
        <f>IF(ISNUMBER(deployment_raw[[#This Row],[Column13]]), (deployment_raw[[#This Row],[Column13]] * IF($E$2="Deployment",deployment_raw[[#This Row],[Column5]],1)*(1+$W$2))/1048576,"")</f>
        <v/>
      </c>
    </row>
    <row r="719" spans="1:23" ht="15.75" customHeight="1" x14ac:dyDescent="0.25">
      <c r="A719" s="5" t="str">
        <f>IF(ISNONTEXT(deployment_raw[[#This Row],[Column1]]), "", deployment_raw[[#This Row],[Column1]])</f>
        <v/>
      </c>
      <c r="B719" s="6" t="str">
        <f>IF(ISNONTEXT(deployment_raw[[#This Row],[Column2]]), "", deployment_raw[[#This Row],[Column2]])</f>
        <v/>
      </c>
      <c r="C719" s="6" t="str">
        <f>IF(ISNONTEXT(deployment_raw[[#This Row],[Column3]]), "", deployment_raw[[#This Row],[Column3]])</f>
        <v/>
      </c>
      <c r="D719" s="6" t="str">
        <f>IF(ISNONTEXT(deployment_raw[[#This Row],[Column4]]), "", deployment_raw[[#This Row],[Column4]])</f>
        <v/>
      </c>
      <c r="E719" s="7" t="str">
        <f>IF(ISNUMBER(deployment_raw[[#This Row],[Column5]]), deployment_raw[[#This Row],[Column5]],"")</f>
        <v/>
      </c>
      <c r="F719" s="32" t="str">
        <f>IF(ISNUMBER(deployment_raw[[#This Row],[Column17]]), deployment_raw[[#This Row],[Column17]]/IF(OR($E$2="Deployment",deployment_raw[[#This Row],[Column5]]=0),1,deployment_raw[[#This Row],[Column5]]),"")</f>
        <v/>
      </c>
      <c r="G719" s="42" t="str">
        <f>IF(ISNUMBER(deployment_raw[[#This Row],[Column14]]), deployment_raw[[#This Row],[Column14]]/IF(OR($E$2="Deployment",deployment_raw[[#This Row],[Column5]]=0),1,deployment_raw[[#This Row],[Column5]]),"")</f>
        <v/>
      </c>
      <c r="H719" s="79" t="str">
        <f>IF(ISNUMBER(deployment_raw[[#This Row],[Column19]]), IF(I719&lt;&gt;0,(deployment_raw[[#This Row],[Column19]]/IF(OR($E$2="Deployment",deployment_raw[[#This Row],[Column5]]=0),1,deployment_raw[[#This Row],[Column5]]))/I719,0),"")</f>
        <v/>
      </c>
      <c r="I719" s="69" t="str">
        <f>IF(ISNUMBER(deployment_raw[[#This Row],[Column6]]), (deployment_raw[[#This Row],[Column6]] * IF($E$2="Deployment",deployment_raw[[#This Row],[Column5]],1)),"")</f>
        <v/>
      </c>
      <c r="J719" s="79" t="str">
        <f>IF(ISNUMBER(deployment_raw[[#This Row],[Column19]]), IF(K719&lt;&gt;0,(deployment_raw[[#This Row],[Column19]]/IF(OR($E$2="Deployment",deployment_raw[[#This Row],[Column5]]=0),1,deployment_raw[[#This Row],[Column5]]))/K719,0),"")</f>
        <v/>
      </c>
      <c r="K719" s="72" t="str">
        <f>IF(ISNUMBER(deployment_raw[[#This Row],[Column8]]), (deployment_raw[[#This Row],[Column8]]  * IF($E$2="Deployment",deployment_raw[[#This Row],[Column5]],1)),"")</f>
        <v/>
      </c>
      <c r="L71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1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19" s="81" t="str">
        <f>IF(ISNUMBER(deployment_raw[[#This Row],[Column20]]), IF(O719&lt;&gt;0,deployment_raw[[#This Row],[Column20]]/IF(OR($E$2="Deployment",deployment_raw[[#This Row],[Column5]]=0),1,deployment_raw[[#This Row],[Column5]])/1048576/O719,0),"")</f>
        <v/>
      </c>
      <c r="O719" s="74" t="str">
        <f>IF(ISNUMBER(deployment_raw[[#This Row],[Column7]]), (deployment_raw[[#This Row],[Column7]] * IF($E$2="Deployment",deployment_raw[[#This Row],[Column5]],1))/1048576,"")</f>
        <v/>
      </c>
      <c r="P719" s="81" t="str">
        <f>IF(ISNUMBER(deployment_raw[[#This Row],[Column20]]), IF(Q719&lt;&gt;0,deployment_raw[[#This Row],[Column20]]/IF(OR($E$2="Deployment",deployment_raw[[#This Row],[Column5]]=0),1,deployment_raw[[#This Row],[Column5]])/1048576/Q719,0),"")</f>
        <v/>
      </c>
      <c r="Q719" s="76" t="str">
        <f>IF(ISNUMBER(deployment_raw[[#This Row],[Column9]]), (deployment_raw[[#This Row],[Column9]] * IF($E$2="Deployment",deployment_raw[[#This Row],[Column5]],1))/1048576,"")</f>
        <v/>
      </c>
      <c r="R719" s="57" t="str">
        <f>IF(ISNUMBER(deployment_raw[[#This Row],[Column10]]), (deployment_raw[[#This Row],[Column10]] * IF($E$2="Deployment",deployment_raw[[#This Row],[Column5]],1)),"")</f>
        <v/>
      </c>
      <c r="S719" s="48" t="str">
        <f>IF(ISNUMBER(deployment_raw[[#This Row],[Column11]]), (deployment_raw[[#This Row],[Column11]] * IF($E$2="Deployment",deployment_raw[[#This Row],[Column5]],1))/1048576,"")</f>
        <v/>
      </c>
      <c r="T719" s="59" t="str">
        <f>IF(ISNUMBER(deployment_raw[[#This Row],[Column8]]),IF(OR(deployment_raw[[#This Row],[Column5]] &lt;&gt; 0,$E$2 &lt;&gt; "Deployment"), MAX(V719, ($T$2 * IF($E$2="Deployment",deployment_raw[[#This Row],[Column5]],1))), 0),"")</f>
        <v/>
      </c>
      <c r="U719" s="50" t="str">
        <f>IF(ISNUMBER(deployment_raw[[#This Row],[Column9]]),IF(OR(deployment_raw[[#This Row],[Column5]] &lt;&gt; 0,$E$2&lt;&gt;"Deployment"), MAX(W719, ($U$2 * IF($E$2="Deployment",deployment_raw[[#This Row],[Column5]],1))), 0),"")</f>
        <v/>
      </c>
      <c r="V719" s="15" t="str">
        <f>IF(ISNUMBER(deployment_raw[[#This Row],[Column12]]), (deployment_raw[[#This Row],[Column12]] * IF($E$2="Deployment",deployment_raw[[#This Row],[Column5]],1)*(1+$V$2)),"")</f>
        <v/>
      </c>
      <c r="W719" s="14" t="str">
        <f>IF(ISNUMBER(deployment_raw[[#This Row],[Column13]]), (deployment_raw[[#This Row],[Column13]] * IF($E$2="Deployment",deployment_raw[[#This Row],[Column5]],1)*(1+$W$2))/1048576,"")</f>
        <v/>
      </c>
    </row>
    <row r="720" spans="1:23" ht="15.75" customHeight="1" x14ac:dyDescent="0.25">
      <c r="A720" s="5" t="str">
        <f>IF(ISNONTEXT(deployment_raw[[#This Row],[Column1]]), "", deployment_raw[[#This Row],[Column1]])</f>
        <v/>
      </c>
      <c r="B720" s="6" t="str">
        <f>IF(ISNONTEXT(deployment_raw[[#This Row],[Column2]]), "", deployment_raw[[#This Row],[Column2]])</f>
        <v/>
      </c>
      <c r="C720" s="6" t="str">
        <f>IF(ISNONTEXT(deployment_raw[[#This Row],[Column3]]), "", deployment_raw[[#This Row],[Column3]])</f>
        <v/>
      </c>
      <c r="D720" s="6" t="str">
        <f>IF(ISNONTEXT(deployment_raw[[#This Row],[Column4]]), "", deployment_raw[[#This Row],[Column4]])</f>
        <v/>
      </c>
      <c r="E720" s="7" t="str">
        <f>IF(ISNUMBER(deployment_raw[[#This Row],[Column5]]), deployment_raw[[#This Row],[Column5]],"")</f>
        <v/>
      </c>
      <c r="F720" s="32" t="str">
        <f>IF(ISNUMBER(deployment_raw[[#This Row],[Column17]]), deployment_raw[[#This Row],[Column17]]/IF(OR($E$2="Deployment",deployment_raw[[#This Row],[Column5]]=0),1,deployment_raw[[#This Row],[Column5]]),"")</f>
        <v/>
      </c>
      <c r="G720" s="42" t="str">
        <f>IF(ISNUMBER(deployment_raw[[#This Row],[Column14]]), deployment_raw[[#This Row],[Column14]]/IF(OR($E$2="Deployment",deployment_raw[[#This Row],[Column5]]=0),1,deployment_raw[[#This Row],[Column5]]),"")</f>
        <v/>
      </c>
      <c r="H720" s="79" t="str">
        <f>IF(ISNUMBER(deployment_raw[[#This Row],[Column19]]), IF(I720&lt;&gt;0,(deployment_raw[[#This Row],[Column19]]/IF(OR($E$2="Deployment",deployment_raw[[#This Row],[Column5]]=0),1,deployment_raw[[#This Row],[Column5]]))/I720,0),"")</f>
        <v/>
      </c>
      <c r="I720" s="69" t="str">
        <f>IF(ISNUMBER(deployment_raw[[#This Row],[Column6]]), (deployment_raw[[#This Row],[Column6]] * IF($E$2="Deployment",deployment_raw[[#This Row],[Column5]],1)),"")</f>
        <v/>
      </c>
      <c r="J720" s="79" t="str">
        <f>IF(ISNUMBER(deployment_raw[[#This Row],[Column19]]), IF(K720&lt;&gt;0,(deployment_raw[[#This Row],[Column19]]/IF(OR($E$2="Deployment",deployment_raw[[#This Row],[Column5]]=0),1,deployment_raw[[#This Row],[Column5]]))/K720,0),"")</f>
        <v/>
      </c>
      <c r="K720" s="72" t="str">
        <f>IF(ISNUMBER(deployment_raw[[#This Row],[Column8]]), (deployment_raw[[#This Row],[Column8]]  * IF($E$2="Deployment",deployment_raw[[#This Row],[Column5]],1)),"")</f>
        <v/>
      </c>
      <c r="L72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2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20" s="81" t="str">
        <f>IF(ISNUMBER(deployment_raw[[#This Row],[Column20]]), IF(O720&lt;&gt;0,deployment_raw[[#This Row],[Column20]]/IF(OR($E$2="Deployment",deployment_raw[[#This Row],[Column5]]=0),1,deployment_raw[[#This Row],[Column5]])/1048576/O720,0),"")</f>
        <v/>
      </c>
      <c r="O720" s="74" t="str">
        <f>IF(ISNUMBER(deployment_raw[[#This Row],[Column7]]), (deployment_raw[[#This Row],[Column7]] * IF($E$2="Deployment",deployment_raw[[#This Row],[Column5]],1))/1048576,"")</f>
        <v/>
      </c>
      <c r="P720" s="81" t="str">
        <f>IF(ISNUMBER(deployment_raw[[#This Row],[Column20]]), IF(Q720&lt;&gt;0,deployment_raw[[#This Row],[Column20]]/IF(OR($E$2="Deployment",deployment_raw[[#This Row],[Column5]]=0),1,deployment_raw[[#This Row],[Column5]])/1048576/Q720,0),"")</f>
        <v/>
      </c>
      <c r="Q720" s="76" t="str">
        <f>IF(ISNUMBER(deployment_raw[[#This Row],[Column9]]), (deployment_raw[[#This Row],[Column9]] * IF($E$2="Deployment",deployment_raw[[#This Row],[Column5]],1))/1048576,"")</f>
        <v/>
      </c>
      <c r="R720" s="57" t="str">
        <f>IF(ISNUMBER(deployment_raw[[#This Row],[Column10]]), (deployment_raw[[#This Row],[Column10]] * IF($E$2="Deployment",deployment_raw[[#This Row],[Column5]],1)),"")</f>
        <v/>
      </c>
      <c r="S720" s="48" t="str">
        <f>IF(ISNUMBER(deployment_raw[[#This Row],[Column11]]), (deployment_raw[[#This Row],[Column11]] * IF($E$2="Deployment",deployment_raw[[#This Row],[Column5]],1))/1048576,"")</f>
        <v/>
      </c>
      <c r="T720" s="59" t="str">
        <f>IF(ISNUMBER(deployment_raw[[#This Row],[Column8]]),IF(OR(deployment_raw[[#This Row],[Column5]] &lt;&gt; 0,$E$2 &lt;&gt; "Deployment"), MAX(V720, ($T$2 * IF($E$2="Deployment",deployment_raw[[#This Row],[Column5]],1))), 0),"")</f>
        <v/>
      </c>
      <c r="U720" s="50" t="str">
        <f>IF(ISNUMBER(deployment_raw[[#This Row],[Column9]]),IF(OR(deployment_raw[[#This Row],[Column5]] &lt;&gt; 0,$E$2&lt;&gt;"Deployment"), MAX(W720, ($U$2 * IF($E$2="Deployment",deployment_raw[[#This Row],[Column5]],1))), 0),"")</f>
        <v/>
      </c>
      <c r="V720" s="15" t="str">
        <f>IF(ISNUMBER(deployment_raw[[#This Row],[Column12]]), (deployment_raw[[#This Row],[Column12]] * IF($E$2="Deployment",deployment_raw[[#This Row],[Column5]],1)*(1+$V$2)),"")</f>
        <v/>
      </c>
      <c r="W720" s="14" t="str">
        <f>IF(ISNUMBER(deployment_raw[[#This Row],[Column13]]), (deployment_raw[[#This Row],[Column13]] * IF($E$2="Deployment",deployment_raw[[#This Row],[Column5]],1)*(1+$W$2))/1048576,"")</f>
        <v/>
      </c>
    </row>
    <row r="721" spans="1:23" ht="15.75" customHeight="1" x14ac:dyDescent="0.25">
      <c r="A721" s="5" t="str">
        <f>IF(ISNONTEXT(deployment_raw[[#This Row],[Column1]]), "", deployment_raw[[#This Row],[Column1]])</f>
        <v/>
      </c>
      <c r="B721" s="6" t="str">
        <f>IF(ISNONTEXT(deployment_raw[[#This Row],[Column2]]), "", deployment_raw[[#This Row],[Column2]])</f>
        <v/>
      </c>
      <c r="C721" s="6" t="str">
        <f>IF(ISNONTEXT(deployment_raw[[#This Row],[Column3]]), "", deployment_raw[[#This Row],[Column3]])</f>
        <v/>
      </c>
      <c r="D721" s="6" t="str">
        <f>IF(ISNONTEXT(deployment_raw[[#This Row],[Column4]]), "", deployment_raw[[#This Row],[Column4]])</f>
        <v/>
      </c>
      <c r="E721" s="7" t="str">
        <f>IF(ISNUMBER(deployment_raw[[#This Row],[Column5]]), deployment_raw[[#This Row],[Column5]],"")</f>
        <v/>
      </c>
      <c r="F721" s="32" t="str">
        <f>IF(ISNUMBER(deployment_raw[[#This Row],[Column17]]), deployment_raw[[#This Row],[Column17]]/IF(OR($E$2="Deployment",deployment_raw[[#This Row],[Column5]]=0),1,deployment_raw[[#This Row],[Column5]]),"")</f>
        <v/>
      </c>
      <c r="G721" s="42" t="str">
        <f>IF(ISNUMBER(deployment_raw[[#This Row],[Column14]]), deployment_raw[[#This Row],[Column14]]/IF(OR($E$2="Deployment",deployment_raw[[#This Row],[Column5]]=0),1,deployment_raw[[#This Row],[Column5]]),"")</f>
        <v/>
      </c>
      <c r="H721" s="79" t="str">
        <f>IF(ISNUMBER(deployment_raw[[#This Row],[Column19]]), IF(I721&lt;&gt;0,(deployment_raw[[#This Row],[Column19]]/IF(OR($E$2="Deployment",deployment_raw[[#This Row],[Column5]]=0),1,deployment_raw[[#This Row],[Column5]]))/I721,0),"")</f>
        <v/>
      </c>
      <c r="I721" s="69" t="str">
        <f>IF(ISNUMBER(deployment_raw[[#This Row],[Column6]]), (deployment_raw[[#This Row],[Column6]] * IF($E$2="Deployment",deployment_raw[[#This Row],[Column5]],1)),"")</f>
        <v/>
      </c>
      <c r="J721" s="79" t="str">
        <f>IF(ISNUMBER(deployment_raw[[#This Row],[Column19]]), IF(K721&lt;&gt;0,(deployment_raw[[#This Row],[Column19]]/IF(OR($E$2="Deployment",deployment_raw[[#This Row],[Column5]]=0),1,deployment_raw[[#This Row],[Column5]]))/K721,0),"")</f>
        <v/>
      </c>
      <c r="K721" s="72" t="str">
        <f>IF(ISNUMBER(deployment_raw[[#This Row],[Column8]]), (deployment_raw[[#This Row],[Column8]]  * IF($E$2="Deployment",deployment_raw[[#This Row],[Column5]],1)),"")</f>
        <v/>
      </c>
      <c r="L72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2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21" s="81" t="str">
        <f>IF(ISNUMBER(deployment_raw[[#This Row],[Column20]]), IF(O721&lt;&gt;0,deployment_raw[[#This Row],[Column20]]/IF(OR($E$2="Deployment",deployment_raw[[#This Row],[Column5]]=0),1,deployment_raw[[#This Row],[Column5]])/1048576/O721,0),"")</f>
        <v/>
      </c>
      <c r="O721" s="74" t="str">
        <f>IF(ISNUMBER(deployment_raw[[#This Row],[Column7]]), (deployment_raw[[#This Row],[Column7]] * IF($E$2="Deployment",deployment_raw[[#This Row],[Column5]],1))/1048576,"")</f>
        <v/>
      </c>
      <c r="P721" s="81" t="str">
        <f>IF(ISNUMBER(deployment_raw[[#This Row],[Column20]]), IF(Q721&lt;&gt;0,deployment_raw[[#This Row],[Column20]]/IF(OR($E$2="Deployment",deployment_raw[[#This Row],[Column5]]=0),1,deployment_raw[[#This Row],[Column5]])/1048576/Q721,0),"")</f>
        <v/>
      </c>
      <c r="Q721" s="76" t="str">
        <f>IF(ISNUMBER(deployment_raw[[#This Row],[Column9]]), (deployment_raw[[#This Row],[Column9]] * IF($E$2="Deployment",deployment_raw[[#This Row],[Column5]],1))/1048576,"")</f>
        <v/>
      </c>
      <c r="R721" s="57" t="str">
        <f>IF(ISNUMBER(deployment_raw[[#This Row],[Column10]]), (deployment_raw[[#This Row],[Column10]] * IF($E$2="Deployment",deployment_raw[[#This Row],[Column5]],1)),"")</f>
        <v/>
      </c>
      <c r="S721" s="48" t="str">
        <f>IF(ISNUMBER(deployment_raw[[#This Row],[Column11]]), (deployment_raw[[#This Row],[Column11]] * IF($E$2="Deployment",deployment_raw[[#This Row],[Column5]],1))/1048576,"")</f>
        <v/>
      </c>
      <c r="T721" s="59" t="str">
        <f>IF(ISNUMBER(deployment_raw[[#This Row],[Column8]]),IF(OR(deployment_raw[[#This Row],[Column5]] &lt;&gt; 0,$E$2 &lt;&gt; "Deployment"), MAX(V721, ($T$2 * IF($E$2="Deployment",deployment_raw[[#This Row],[Column5]],1))), 0),"")</f>
        <v/>
      </c>
      <c r="U721" s="50" t="str">
        <f>IF(ISNUMBER(deployment_raw[[#This Row],[Column9]]),IF(OR(deployment_raw[[#This Row],[Column5]] &lt;&gt; 0,$E$2&lt;&gt;"Deployment"), MAX(W721, ($U$2 * IF($E$2="Deployment",deployment_raw[[#This Row],[Column5]],1))), 0),"")</f>
        <v/>
      </c>
      <c r="V721" s="15" t="str">
        <f>IF(ISNUMBER(deployment_raw[[#This Row],[Column12]]), (deployment_raw[[#This Row],[Column12]] * IF($E$2="Deployment",deployment_raw[[#This Row],[Column5]],1)*(1+$V$2)),"")</f>
        <v/>
      </c>
      <c r="W721" s="14" t="str">
        <f>IF(ISNUMBER(deployment_raw[[#This Row],[Column13]]), (deployment_raw[[#This Row],[Column13]] * IF($E$2="Deployment",deployment_raw[[#This Row],[Column5]],1)*(1+$W$2))/1048576,"")</f>
        <v/>
      </c>
    </row>
    <row r="722" spans="1:23" ht="15.75" customHeight="1" x14ac:dyDescent="0.25">
      <c r="A722" s="5" t="str">
        <f>IF(ISNONTEXT(deployment_raw[[#This Row],[Column1]]), "", deployment_raw[[#This Row],[Column1]])</f>
        <v/>
      </c>
      <c r="B722" s="6" t="str">
        <f>IF(ISNONTEXT(deployment_raw[[#This Row],[Column2]]), "", deployment_raw[[#This Row],[Column2]])</f>
        <v/>
      </c>
      <c r="C722" s="6" t="str">
        <f>IF(ISNONTEXT(deployment_raw[[#This Row],[Column3]]), "", deployment_raw[[#This Row],[Column3]])</f>
        <v/>
      </c>
      <c r="D722" s="6" t="str">
        <f>IF(ISNONTEXT(deployment_raw[[#This Row],[Column4]]), "", deployment_raw[[#This Row],[Column4]])</f>
        <v/>
      </c>
      <c r="E722" s="7" t="str">
        <f>IF(ISNUMBER(deployment_raw[[#This Row],[Column5]]), deployment_raw[[#This Row],[Column5]],"")</f>
        <v/>
      </c>
      <c r="F722" s="32" t="str">
        <f>IF(ISNUMBER(deployment_raw[[#This Row],[Column17]]), deployment_raw[[#This Row],[Column17]]/IF(OR($E$2="Deployment",deployment_raw[[#This Row],[Column5]]=0),1,deployment_raw[[#This Row],[Column5]]),"")</f>
        <v/>
      </c>
      <c r="G722" s="42" t="str">
        <f>IF(ISNUMBER(deployment_raw[[#This Row],[Column14]]), deployment_raw[[#This Row],[Column14]]/IF(OR($E$2="Deployment",deployment_raw[[#This Row],[Column5]]=0),1,deployment_raw[[#This Row],[Column5]]),"")</f>
        <v/>
      </c>
      <c r="H722" s="79" t="str">
        <f>IF(ISNUMBER(deployment_raw[[#This Row],[Column19]]), IF(I722&lt;&gt;0,(deployment_raw[[#This Row],[Column19]]/IF(OR($E$2="Deployment",deployment_raw[[#This Row],[Column5]]=0),1,deployment_raw[[#This Row],[Column5]]))/I722,0),"")</f>
        <v/>
      </c>
      <c r="I722" s="69" t="str">
        <f>IF(ISNUMBER(deployment_raw[[#This Row],[Column6]]), (deployment_raw[[#This Row],[Column6]] * IF($E$2="Deployment",deployment_raw[[#This Row],[Column5]],1)),"")</f>
        <v/>
      </c>
      <c r="J722" s="79" t="str">
        <f>IF(ISNUMBER(deployment_raw[[#This Row],[Column19]]), IF(K722&lt;&gt;0,(deployment_raw[[#This Row],[Column19]]/IF(OR($E$2="Deployment",deployment_raw[[#This Row],[Column5]]=0),1,deployment_raw[[#This Row],[Column5]]))/K722,0),"")</f>
        <v/>
      </c>
      <c r="K722" s="72" t="str">
        <f>IF(ISNUMBER(deployment_raw[[#This Row],[Column8]]), (deployment_raw[[#This Row],[Column8]]  * IF($E$2="Deployment",deployment_raw[[#This Row],[Column5]],1)),"")</f>
        <v/>
      </c>
      <c r="L72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2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22" s="81" t="str">
        <f>IF(ISNUMBER(deployment_raw[[#This Row],[Column20]]), IF(O722&lt;&gt;0,deployment_raw[[#This Row],[Column20]]/IF(OR($E$2="Deployment",deployment_raw[[#This Row],[Column5]]=0),1,deployment_raw[[#This Row],[Column5]])/1048576/O722,0),"")</f>
        <v/>
      </c>
      <c r="O722" s="74" t="str">
        <f>IF(ISNUMBER(deployment_raw[[#This Row],[Column7]]), (deployment_raw[[#This Row],[Column7]] * IF($E$2="Deployment",deployment_raw[[#This Row],[Column5]],1))/1048576,"")</f>
        <v/>
      </c>
      <c r="P722" s="81" t="str">
        <f>IF(ISNUMBER(deployment_raw[[#This Row],[Column20]]), IF(Q722&lt;&gt;0,deployment_raw[[#This Row],[Column20]]/IF(OR($E$2="Deployment",deployment_raw[[#This Row],[Column5]]=0),1,deployment_raw[[#This Row],[Column5]])/1048576/Q722,0),"")</f>
        <v/>
      </c>
      <c r="Q722" s="76" t="str">
        <f>IF(ISNUMBER(deployment_raw[[#This Row],[Column9]]), (deployment_raw[[#This Row],[Column9]] * IF($E$2="Deployment",deployment_raw[[#This Row],[Column5]],1))/1048576,"")</f>
        <v/>
      </c>
      <c r="R722" s="57" t="str">
        <f>IF(ISNUMBER(deployment_raw[[#This Row],[Column10]]), (deployment_raw[[#This Row],[Column10]] * IF($E$2="Deployment",deployment_raw[[#This Row],[Column5]],1)),"")</f>
        <v/>
      </c>
      <c r="S722" s="48" t="str">
        <f>IF(ISNUMBER(deployment_raw[[#This Row],[Column11]]), (deployment_raw[[#This Row],[Column11]] * IF($E$2="Deployment",deployment_raw[[#This Row],[Column5]],1))/1048576,"")</f>
        <v/>
      </c>
      <c r="T722" s="59" t="str">
        <f>IF(ISNUMBER(deployment_raw[[#This Row],[Column8]]),IF(OR(deployment_raw[[#This Row],[Column5]] &lt;&gt; 0,$E$2 &lt;&gt; "Deployment"), MAX(V722, ($T$2 * IF($E$2="Deployment",deployment_raw[[#This Row],[Column5]],1))), 0),"")</f>
        <v/>
      </c>
      <c r="U722" s="50" t="str">
        <f>IF(ISNUMBER(deployment_raw[[#This Row],[Column9]]),IF(OR(deployment_raw[[#This Row],[Column5]] &lt;&gt; 0,$E$2&lt;&gt;"Deployment"), MAX(W722, ($U$2 * IF($E$2="Deployment",deployment_raw[[#This Row],[Column5]],1))), 0),"")</f>
        <v/>
      </c>
      <c r="V722" s="15" t="str">
        <f>IF(ISNUMBER(deployment_raw[[#This Row],[Column12]]), (deployment_raw[[#This Row],[Column12]] * IF($E$2="Deployment",deployment_raw[[#This Row],[Column5]],1)*(1+$V$2)),"")</f>
        <v/>
      </c>
      <c r="W722" s="14" t="str">
        <f>IF(ISNUMBER(deployment_raw[[#This Row],[Column13]]), (deployment_raw[[#This Row],[Column13]] * IF($E$2="Deployment",deployment_raw[[#This Row],[Column5]],1)*(1+$W$2))/1048576,"")</f>
        <v/>
      </c>
    </row>
    <row r="723" spans="1:23" ht="15.75" customHeight="1" x14ac:dyDescent="0.25">
      <c r="A723" s="5" t="str">
        <f>IF(ISNONTEXT(deployment_raw[[#This Row],[Column1]]), "", deployment_raw[[#This Row],[Column1]])</f>
        <v/>
      </c>
      <c r="B723" s="6" t="str">
        <f>IF(ISNONTEXT(deployment_raw[[#This Row],[Column2]]), "", deployment_raw[[#This Row],[Column2]])</f>
        <v/>
      </c>
      <c r="C723" s="6" t="str">
        <f>IF(ISNONTEXT(deployment_raw[[#This Row],[Column3]]), "", deployment_raw[[#This Row],[Column3]])</f>
        <v/>
      </c>
      <c r="D723" s="6" t="str">
        <f>IF(ISNONTEXT(deployment_raw[[#This Row],[Column4]]), "", deployment_raw[[#This Row],[Column4]])</f>
        <v/>
      </c>
      <c r="E723" s="7" t="str">
        <f>IF(ISNUMBER(deployment_raw[[#This Row],[Column5]]), deployment_raw[[#This Row],[Column5]],"")</f>
        <v/>
      </c>
      <c r="F723" s="32" t="str">
        <f>IF(ISNUMBER(deployment_raw[[#This Row],[Column17]]), deployment_raw[[#This Row],[Column17]]/IF(OR($E$2="Deployment",deployment_raw[[#This Row],[Column5]]=0),1,deployment_raw[[#This Row],[Column5]]),"")</f>
        <v/>
      </c>
      <c r="G723" s="42" t="str">
        <f>IF(ISNUMBER(deployment_raw[[#This Row],[Column14]]), deployment_raw[[#This Row],[Column14]]/IF(OR($E$2="Deployment",deployment_raw[[#This Row],[Column5]]=0),1,deployment_raw[[#This Row],[Column5]]),"")</f>
        <v/>
      </c>
      <c r="H723" s="79" t="str">
        <f>IF(ISNUMBER(deployment_raw[[#This Row],[Column19]]), IF(I723&lt;&gt;0,(deployment_raw[[#This Row],[Column19]]/IF(OR($E$2="Deployment",deployment_raw[[#This Row],[Column5]]=0),1,deployment_raw[[#This Row],[Column5]]))/I723,0),"")</f>
        <v/>
      </c>
      <c r="I723" s="69" t="str">
        <f>IF(ISNUMBER(deployment_raw[[#This Row],[Column6]]), (deployment_raw[[#This Row],[Column6]] * IF($E$2="Deployment",deployment_raw[[#This Row],[Column5]],1)),"")</f>
        <v/>
      </c>
      <c r="J723" s="79" t="str">
        <f>IF(ISNUMBER(deployment_raw[[#This Row],[Column19]]), IF(K723&lt;&gt;0,(deployment_raw[[#This Row],[Column19]]/IF(OR($E$2="Deployment",deployment_raw[[#This Row],[Column5]]=0),1,deployment_raw[[#This Row],[Column5]]))/K723,0),"")</f>
        <v/>
      </c>
      <c r="K723" s="72" t="str">
        <f>IF(ISNUMBER(deployment_raw[[#This Row],[Column8]]), (deployment_raw[[#This Row],[Column8]]  * IF($E$2="Deployment",deployment_raw[[#This Row],[Column5]],1)),"")</f>
        <v/>
      </c>
      <c r="L72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2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23" s="81" t="str">
        <f>IF(ISNUMBER(deployment_raw[[#This Row],[Column20]]), IF(O723&lt;&gt;0,deployment_raw[[#This Row],[Column20]]/IF(OR($E$2="Deployment",deployment_raw[[#This Row],[Column5]]=0),1,deployment_raw[[#This Row],[Column5]])/1048576/O723,0),"")</f>
        <v/>
      </c>
      <c r="O723" s="74" t="str">
        <f>IF(ISNUMBER(deployment_raw[[#This Row],[Column7]]), (deployment_raw[[#This Row],[Column7]] * IF($E$2="Deployment",deployment_raw[[#This Row],[Column5]],1))/1048576,"")</f>
        <v/>
      </c>
      <c r="P723" s="81" t="str">
        <f>IF(ISNUMBER(deployment_raw[[#This Row],[Column20]]), IF(Q723&lt;&gt;0,deployment_raw[[#This Row],[Column20]]/IF(OR($E$2="Deployment",deployment_raw[[#This Row],[Column5]]=0),1,deployment_raw[[#This Row],[Column5]])/1048576/Q723,0),"")</f>
        <v/>
      </c>
      <c r="Q723" s="76" t="str">
        <f>IF(ISNUMBER(deployment_raw[[#This Row],[Column9]]), (deployment_raw[[#This Row],[Column9]] * IF($E$2="Deployment",deployment_raw[[#This Row],[Column5]],1))/1048576,"")</f>
        <v/>
      </c>
      <c r="R723" s="57" t="str">
        <f>IF(ISNUMBER(deployment_raw[[#This Row],[Column10]]), (deployment_raw[[#This Row],[Column10]] * IF($E$2="Deployment",deployment_raw[[#This Row],[Column5]],1)),"")</f>
        <v/>
      </c>
      <c r="S723" s="48" t="str">
        <f>IF(ISNUMBER(deployment_raw[[#This Row],[Column11]]), (deployment_raw[[#This Row],[Column11]] * IF($E$2="Deployment",deployment_raw[[#This Row],[Column5]],1))/1048576,"")</f>
        <v/>
      </c>
      <c r="T723" s="59" t="str">
        <f>IF(ISNUMBER(deployment_raw[[#This Row],[Column8]]),IF(OR(deployment_raw[[#This Row],[Column5]] &lt;&gt; 0,$E$2 &lt;&gt; "Deployment"), MAX(V723, ($T$2 * IF($E$2="Deployment",deployment_raw[[#This Row],[Column5]],1))), 0),"")</f>
        <v/>
      </c>
      <c r="U723" s="50" t="str">
        <f>IF(ISNUMBER(deployment_raw[[#This Row],[Column9]]),IF(OR(deployment_raw[[#This Row],[Column5]] &lt;&gt; 0,$E$2&lt;&gt;"Deployment"), MAX(W723, ($U$2 * IF($E$2="Deployment",deployment_raw[[#This Row],[Column5]],1))), 0),"")</f>
        <v/>
      </c>
      <c r="V723" s="15" t="str">
        <f>IF(ISNUMBER(deployment_raw[[#This Row],[Column12]]), (deployment_raw[[#This Row],[Column12]] * IF($E$2="Deployment",deployment_raw[[#This Row],[Column5]],1)*(1+$V$2)),"")</f>
        <v/>
      </c>
      <c r="W723" s="14" t="str">
        <f>IF(ISNUMBER(deployment_raw[[#This Row],[Column13]]), (deployment_raw[[#This Row],[Column13]] * IF($E$2="Deployment",deployment_raw[[#This Row],[Column5]],1)*(1+$W$2))/1048576,"")</f>
        <v/>
      </c>
    </row>
    <row r="724" spans="1:23" ht="15.75" customHeight="1" x14ac:dyDescent="0.25">
      <c r="A724" s="5" t="str">
        <f>IF(ISNONTEXT(deployment_raw[[#This Row],[Column1]]), "", deployment_raw[[#This Row],[Column1]])</f>
        <v/>
      </c>
      <c r="B724" s="6" t="str">
        <f>IF(ISNONTEXT(deployment_raw[[#This Row],[Column2]]), "", deployment_raw[[#This Row],[Column2]])</f>
        <v/>
      </c>
      <c r="C724" s="6" t="str">
        <f>IF(ISNONTEXT(deployment_raw[[#This Row],[Column3]]), "", deployment_raw[[#This Row],[Column3]])</f>
        <v/>
      </c>
      <c r="D724" s="6" t="str">
        <f>IF(ISNONTEXT(deployment_raw[[#This Row],[Column4]]), "", deployment_raw[[#This Row],[Column4]])</f>
        <v/>
      </c>
      <c r="E724" s="7" t="str">
        <f>IF(ISNUMBER(deployment_raw[[#This Row],[Column5]]), deployment_raw[[#This Row],[Column5]],"")</f>
        <v/>
      </c>
      <c r="F724" s="32" t="str">
        <f>IF(ISNUMBER(deployment_raw[[#This Row],[Column17]]), deployment_raw[[#This Row],[Column17]]/IF(OR($E$2="Deployment",deployment_raw[[#This Row],[Column5]]=0),1,deployment_raw[[#This Row],[Column5]]),"")</f>
        <v/>
      </c>
      <c r="G724" s="42" t="str">
        <f>IF(ISNUMBER(deployment_raw[[#This Row],[Column14]]), deployment_raw[[#This Row],[Column14]]/IF(OR($E$2="Deployment",deployment_raw[[#This Row],[Column5]]=0),1,deployment_raw[[#This Row],[Column5]]),"")</f>
        <v/>
      </c>
      <c r="H724" s="79" t="str">
        <f>IF(ISNUMBER(deployment_raw[[#This Row],[Column19]]), IF(I724&lt;&gt;0,(deployment_raw[[#This Row],[Column19]]/IF(OR($E$2="Deployment",deployment_raw[[#This Row],[Column5]]=0),1,deployment_raw[[#This Row],[Column5]]))/I724,0),"")</f>
        <v/>
      </c>
      <c r="I724" s="69" t="str">
        <f>IF(ISNUMBER(deployment_raw[[#This Row],[Column6]]), (deployment_raw[[#This Row],[Column6]] * IF($E$2="Deployment",deployment_raw[[#This Row],[Column5]],1)),"")</f>
        <v/>
      </c>
      <c r="J724" s="79" t="str">
        <f>IF(ISNUMBER(deployment_raw[[#This Row],[Column19]]), IF(K724&lt;&gt;0,(deployment_raw[[#This Row],[Column19]]/IF(OR($E$2="Deployment",deployment_raw[[#This Row],[Column5]]=0),1,deployment_raw[[#This Row],[Column5]]))/K724,0),"")</f>
        <v/>
      </c>
      <c r="K724" s="72" t="str">
        <f>IF(ISNUMBER(deployment_raw[[#This Row],[Column8]]), (deployment_raw[[#This Row],[Column8]]  * IF($E$2="Deployment",deployment_raw[[#This Row],[Column5]],1)),"")</f>
        <v/>
      </c>
      <c r="L72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2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24" s="81" t="str">
        <f>IF(ISNUMBER(deployment_raw[[#This Row],[Column20]]), IF(O724&lt;&gt;0,deployment_raw[[#This Row],[Column20]]/IF(OR($E$2="Deployment",deployment_raw[[#This Row],[Column5]]=0),1,deployment_raw[[#This Row],[Column5]])/1048576/O724,0),"")</f>
        <v/>
      </c>
      <c r="O724" s="74" t="str">
        <f>IF(ISNUMBER(deployment_raw[[#This Row],[Column7]]), (deployment_raw[[#This Row],[Column7]] * IF($E$2="Deployment",deployment_raw[[#This Row],[Column5]],1))/1048576,"")</f>
        <v/>
      </c>
      <c r="P724" s="81" t="str">
        <f>IF(ISNUMBER(deployment_raw[[#This Row],[Column20]]), IF(Q724&lt;&gt;0,deployment_raw[[#This Row],[Column20]]/IF(OR($E$2="Deployment",deployment_raw[[#This Row],[Column5]]=0),1,deployment_raw[[#This Row],[Column5]])/1048576/Q724,0),"")</f>
        <v/>
      </c>
      <c r="Q724" s="76" t="str">
        <f>IF(ISNUMBER(deployment_raw[[#This Row],[Column9]]), (deployment_raw[[#This Row],[Column9]] * IF($E$2="Deployment",deployment_raw[[#This Row],[Column5]],1))/1048576,"")</f>
        <v/>
      </c>
      <c r="R724" s="57" t="str">
        <f>IF(ISNUMBER(deployment_raw[[#This Row],[Column10]]), (deployment_raw[[#This Row],[Column10]] * IF($E$2="Deployment",deployment_raw[[#This Row],[Column5]],1)),"")</f>
        <v/>
      </c>
      <c r="S724" s="48" t="str">
        <f>IF(ISNUMBER(deployment_raw[[#This Row],[Column11]]), (deployment_raw[[#This Row],[Column11]] * IF($E$2="Deployment",deployment_raw[[#This Row],[Column5]],1))/1048576,"")</f>
        <v/>
      </c>
      <c r="T724" s="59" t="str">
        <f>IF(ISNUMBER(deployment_raw[[#This Row],[Column8]]),IF(OR(deployment_raw[[#This Row],[Column5]] &lt;&gt; 0,$E$2 &lt;&gt; "Deployment"), MAX(V724, ($T$2 * IF($E$2="Deployment",deployment_raw[[#This Row],[Column5]],1))), 0),"")</f>
        <v/>
      </c>
      <c r="U724" s="50" t="str">
        <f>IF(ISNUMBER(deployment_raw[[#This Row],[Column9]]),IF(OR(deployment_raw[[#This Row],[Column5]] &lt;&gt; 0,$E$2&lt;&gt;"Deployment"), MAX(W724, ($U$2 * IF($E$2="Deployment",deployment_raw[[#This Row],[Column5]],1))), 0),"")</f>
        <v/>
      </c>
      <c r="V724" s="15" t="str">
        <f>IF(ISNUMBER(deployment_raw[[#This Row],[Column12]]), (deployment_raw[[#This Row],[Column12]] * IF($E$2="Deployment",deployment_raw[[#This Row],[Column5]],1)*(1+$V$2)),"")</f>
        <v/>
      </c>
      <c r="W724" s="14" t="str">
        <f>IF(ISNUMBER(deployment_raw[[#This Row],[Column13]]), (deployment_raw[[#This Row],[Column13]] * IF($E$2="Deployment",deployment_raw[[#This Row],[Column5]],1)*(1+$W$2))/1048576,"")</f>
        <v/>
      </c>
    </row>
    <row r="725" spans="1:23" ht="15.75" customHeight="1" x14ac:dyDescent="0.25">
      <c r="A725" s="5" t="str">
        <f>IF(ISNONTEXT(deployment_raw[[#This Row],[Column1]]), "", deployment_raw[[#This Row],[Column1]])</f>
        <v/>
      </c>
      <c r="B725" s="6" t="str">
        <f>IF(ISNONTEXT(deployment_raw[[#This Row],[Column2]]), "", deployment_raw[[#This Row],[Column2]])</f>
        <v/>
      </c>
      <c r="C725" s="6" t="str">
        <f>IF(ISNONTEXT(deployment_raw[[#This Row],[Column3]]), "", deployment_raw[[#This Row],[Column3]])</f>
        <v/>
      </c>
      <c r="D725" s="6" t="str">
        <f>IF(ISNONTEXT(deployment_raw[[#This Row],[Column4]]), "", deployment_raw[[#This Row],[Column4]])</f>
        <v/>
      </c>
      <c r="E725" s="7" t="str">
        <f>IF(ISNUMBER(deployment_raw[[#This Row],[Column5]]), deployment_raw[[#This Row],[Column5]],"")</f>
        <v/>
      </c>
      <c r="F725" s="32" t="str">
        <f>IF(ISNUMBER(deployment_raw[[#This Row],[Column17]]), deployment_raw[[#This Row],[Column17]]/IF(OR($E$2="Deployment",deployment_raw[[#This Row],[Column5]]=0),1,deployment_raw[[#This Row],[Column5]]),"")</f>
        <v/>
      </c>
      <c r="G725" s="42" t="str">
        <f>IF(ISNUMBER(deployment_raw[[#This Row],[Column14]]), deployment_raw[[#This Row],[Column14]]/IF(OR($E$2="Deployment",deployment_raw[[#This Row],[Column5]]=0),1,deployment_raw[[#This Row],[Column5]]),"")</f>
        <v/>
      </c>
      <c r="H725" s="79" t="str">
        <f>IF(ISNUMBER(deployment_raw[[#This Row],[Column19]]), IF(I725&lt;&gt;0,(deployment_raw[[#This Row],[Column19]]/IF(OR($E$2="Deployment",deployment_raw[[#This Row],[Column5]]=0),1,deployment_raw[[#This Row],[Column5]]))/I725,0),"")</f>
        <v/>
      </c>
      <c r="I725" s="69" t="str">
        <f>IF(ISNUMBER(deployment_raw[[#This Row],[Column6]]), (deployment_raw[[#This Row],[Column6]] * IF($E$2="Deployment",deployment_raw[[#This Row],[Column5]],1)),"")</f>
        <v/>
      </c>
      <c r="J725" s="79" t="str">
        <f>IF(ISNUMBER(deployment_raw[[#This Row],[Column19]]), IF(K725&lt;&gt;0,(deployment_raw[[#This Row],[Column19]]/IF(OR($E$2="Deployment",deployment_raw[[#This Row],[Column5]]=0),1,deployment_raw[[#This Row],[Column5]]))/K725,0),"")</f>
        <v/>
      </c>
      <c r="K725" s="72" t="str">
        <f>IF(ISNUMBER(deployment_raw[[#This Row],[Column8]]), (deployment_raw[[#This Row],[Column8]]  * IF($E$2="Deployment",deployment_raw[[#This Row],[Column5]],1)),"")</f>
        <v/>
      </c>
      <c r="L72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2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25" s="81" t="str">
        <f>IF(ISNUMBER(deployment_raw[[#This Row],[Column20]]), IF(O725&lt;&gt;0,deployment_raw[[#This Row],[Column20]]/IF(OR($E$2="Deployment",deployment_raw[[#This Row],[Column5]]=0),1,deployment_raw[[#This Row],[Column5]])/1048576/O725,0),"")</f>
        <v/>
      </c>
      <c r="O725" s="74" t="str">
        <f>IF(ISNUMBER(deployment_raw[[#This Row],[Column7]]), (deployment_raw[[#This Row],[Column7]] * IF($E$2="Deployment",deployment_raw[[#This Row],[Column5]],1))/1048576,"")</f>
        <v/>
      </c>
      <c r="P725" s="81" t="str">
        <f>IF(ISNUMBER(deployment_raw[[#This Row],[Column20]]), IF(Q725&lt;&gt;0,deployment_raw[[#This Row],[Column20]]/IF(OR($E$2="Deployment",deployment_raw[[#This Row],[Column5]]=0),1,deployment_raw[[#This Row],[Column5]])/1048576/Q725,0),"")</f>
        <v/>
      </c>
      <c r="Q725" s="76" t="str">
        <f>IF(ISNUMBER(deployment_raw[[#This Row],[Column9]]), (deployment_raw[[#This Row],[Column9]] * IF($E$2="Deployment",deployment_raw[[#This Row],[Column5]],1))/1048576,"")</f>
        <v/>
      </c>
      <c r="R725" s="57" t="str">
        <f>IF(ISNUMBER(deployment_raw[[#This Row],[Column10]]), (deployment_raw[[#This Row],[Column10]] * IF($E$2="Deployment",deployment_raw[[#This Row],[Column5]],1)),"")</f>
        <v/>
      </c>
      <c r="S725" s="48" t="str">
        <f>IF(ISNUMBER(deployment_raw[[#This Row],[Column11]]), (deployment_raw[[#This Row],[Column11]] * IF($E$2="Deployment",deployment_raw[[#This Row],[Column5]],1))/1048576,"")</f>
        <v/>
      </c>
      <c r="T725" s="59" t="str">
        <f>IF(ISNUMBER(deployment_raw[[#This Row],[Column8]]),IF(OR(deployment_raw[[#This Row],[Column5]] &lt;&gt; 0,$E$2 &lt;&gt; "Deployment"), MAX(V725, ($T$2 * IF($E$2="Deployment",deployment_raw[[#This Row],[Column5]],1))), 0),"")</f>
        <v/>
      </c>
      <c r="U725" s="50" t="str">
        <f>IF(ISNUMBER(deployment_raw[[#This Row],[Column9]]),IF(OR(deployment_raw[[#This Row],[Column5]] &lt;&gt; 0,$E$2&lt;&gt;"Deployment"), MAX(W725, ($U$2 * IF($E$2="Deployment",deployment_raw[[#This Row],[Column5]],1))), 0),"")</f>
        <v/>
      </c>
      <c r="V725" s="15" t="str">
        <f>IF(ISNUMBER(deployment_raw[[#This Row],[Column12]]), (deployment_raw[[#This Row],[Column12]] * IF($E$2="Deployment",deployment_raw[[#This Row],[Column5]],1)*(1+$V$2)),"")</f>
        <v/>
      </c>
      <c r="W725" s="14" t="str">
        <f>IF(ISNUMBER(deployment_raw[[#This Row],[Column13]]), (deployment_raw[[#This Row],[Column13]] * IF($E$2="Deployment",deployment_raw[[#This Row],[Column5]],1)*(1+$W$2))/1048576,"")</f>
        <v/>
      </c>
    </row>
    <row r="726" spans="1:23" ht="15.75" customHeight="1" x14ac:dyDescent="0.25">
      <c r="A726" s="5" t="str">
        <f>IF(ISNONTEXT(deployment_raw[[#This Row],[Column1]]), "", deployment_raw[[#This Row],[Column1]])</f>
        <v/>
      </c>
      <c r="B726" s="6" t="str">
        <f>IF(ISNONTEXT(deployment_raw[[#This Row],[Column2]]), "", deployment_raw[[#This Row],[Column2]])</f>
        <v/>
      </c>
      <c r="C726" s="6" t="str">
        <f>IF(ISNONTEXT(deployment_raw[[#This Row],[Column3]]), "", deployment_raw[[#This Row],[Column3]])</f>
        <v/>
      </c>
      <c r="D726" s="6" t="str">
        <f>IF(ISNONTEXT(deployment_raw[[#This Row],[Column4]]), "", deployment_raw[[#This Row],[Column4]])</f>
        <v/>
      </c>
      <c r="E726" s="7" t="str">
        <f>IF(ISNUMBER(deployment_raw[[#This Row],[Column5]]), deployment_raw[[#This Row],[Column5]],"")</f>
        <v/>
      </c>
      <c r="F726" s="32" t="str">
        <f>IF(ISNUMBER(deployment_raw[[#This Row],[Column17]]), deployment_raw[[#This Row],[Column17]]/IF(OR($E$2="Deployment",deployment_raw[[#This Row],[Column5]]=0),1,deployment_raw[[#This Row],[Column5]]),"")</f>
        <v/>
      </c>
      <c r="G726" s="42" t="str">
        <f>IF(ISNUMBER(deployment_raw[[#This Row],[Column14]]), deployment_raw[[#This Row],[Column14]]/IF(OR($E$2="Deployment",deployment_raw[[#This Row],[Column5]]=0),1,deployment_raw[[#This Row],[Column5]]),"")</f>
        <v/>
      </c>
      <c r="H726" s="79" t="str">
        <f>IF(ISNUMBER(deployment_raw[[#This Row],[Column19]]), IF(I726&lt;&gt;0,(deployment_raw[[#This Row],[Column19]]/IF(OR($E$2="Deployment",deployment_raw[[#This Row],[Column5]]=0),1,deployment_raw[[#This Row],[Column5]]))/I726,0),"")</f>
        <v/>
      </c>
      <c r="I726" s="69" t="str">
        <f>IF(ISNUMBER(deployment_raw[[#This Row],[Column6]]), (deployment_raw[[#This Row],[Column6]] * IF($E$2="Deployment",deployment_raw[[#This Row],[Column5]],1)),"")</f>
        <v/>
      </c>
      <c r="J726" s="79" t="str">
        <f>IF(ISNUMBER(deployment_raw[[#This Row],[Column19]]), IF(K726&lt;&gt;0,(deployment_raw[[#This Row],[Column19]]/IF(OR($E$2="Deployment",deployment_raw[[#This Row],[Column5]]=0),1,deployment_raw[[#This Row],[Column5]]))/K726,0),"")</f>
        <v/>
      </c>
      <c r="K726" s="72" t="str">
        <f>IF(ISNUMBER(deployment_raw[[#This Row],[Column8]]), (deployment_raw[[#This Row],[Column8]]  * IF($E$2="Deployment",deployment_raw[[#This Row],[Column5]],1)),"")</f>
        <v/>
      </c>
      <c r="L72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2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26" s="81" t="str">
        <f>IF(ISNUMBER(deployment_raw[[#This Row],[Column20]]), IF(O726&lt;&gt;0,deployment_raw[[#This Row],[Column20]]/IF(OR($E$2="Deployment",deployment_raw[[#This Row],[Column5]]=0),1,deployment_raw[[#This Row],[Column5]])/1048576/O726,0),"")</f>
        <v/>
      </c>
      <c r="O726" s="74" t="str">
        <f>IF(ISNUMBER(deployment_raw[[#This Row],[Column7]]), (deployment_raw[[#This Row],[Column7]] * IF($E$2="Deployment",deployment_raw[[#This Row],[Column5]],1))/1048576,"")</f>
        <v/>
      </c>
      <c r="P726" s="81" t="str">
        <f>IF(ISNUMBER(deployment_raw[[#This Row],[Column20]]), IF(Q726&lt;&gt;0,deployment_raw[[#This Row],[Column20]]/IF(OR($E$2="Deployment",deployment_raw[[#This Row],[Column5]]=0),1,deployment_raw[[#This Row],[Column5]])/1048576/Q726,0),"")</f>
        <v/>
      </c>
      <c r="Q726" s="76" t="str">
        <f>IF(ISNUMBER(deployment_raw[[#This Row],[Column9]]), (deployment_raw[[#This Row],[Column9]] * IF($E$2="Deployment",deployment_raw[[#This Row],[Column5]],1))/1048576,"")</f>
        <v/>
      </c>
      <c r="R726" s="57" t="str">
        <f>IF(ISNUMBER(deployment_raw[[#This Row],[Column10]]), (deployment_raw[[#This Row],[Column10]] * IF($E$2="Deployment",deployment_raw[[#This Row],[Column5]],1)),"")</f>
        <v/>
      </c>
      <c r="S726" s="48" t="str">
        <f>IF(ISNUMBER(deployment_raw[[#This Row],[Column11]]), (deployment_raw[[#This Row],[Column11]] * IF($E$2="Deployment",deployment_raw[[#This Row],[Column5]],1))/1048576,"")</f>
        <v/>
      </c>
      <c r="T726" s="59" t="str">
        <f>IF(ISNUMBER(deployment_raw[[#This Row],[Column8]]),IF(OR(deployment_raw[[#This Row],[Column5]] &lt;&gt; 0,$E$2 &lt;&gt; "Deployment"), MAX(V726, ($T$2 * IF($E$2="Deployment",deployment_raw[[#This Row],[Column5]],1))), 0),"")</f>
        <v/>
      </c>
      <c r="U726" s="50" t="str">
        <f>IF(ISNUMBER(deployment_raw[[#This Row],[Column9]]),IF(OR(deployment_raw[[#This Row],[Column5]] &lt;&gt; 0,$E$2&lt;&gt;"Deployment"), MAX(W726, ($U$2 * IF($E$2="Deployment",deployment_raw[[#This Row],[Column5]],1))), 0),"")</f>
        <v/>
      </c>
      <c r="V726" s="15" t="str">
        <f>IF(ISNUMBER(deployment_raw[[#This Row],[Column12]]), (deployment_raw[[#This Row],[Column12]] * IF($E$2="Deployment",deployment_raw[[#This Row],[Column5]],1)*(1+$V$2)),"")</f>
        <v/>
      </c>
      <c r="W726" s="14" t="str">
        <f>IF(ISNUMBER(deployment_raw[[#This Row],[Column13]]), (deployment_raw[[#This Row],[Column13]] * IF($E$2="Deployment",deployment_raw[[#This Row],[Column5]],1)*(1+$W$2))/1048576,"")</f>
        <v/>
      </c>
    </row>
    <row r="727" spans="1:23" ht="15.75" customHeight="1" x14ac:dyDescent="0.25">
      <c r="A727" s="5" t="str">
        <f>IF(ISNONTEXT(deployment_raw[[#This Row],[Column1]]), "", deployment_raw[[#This Row],[Column1]])</f>
        <v/>
      </c>
      <c r="B727" s="6" t="str">
        <f>IF(ISNONTEXT(deployment_raw[[#This Row],[Column2]]), "", deployment_raw[[#This Row],[Column2]])</f>
        <v/>
      </c>
      <c r="C727" s="6" t="str">
        <f>IF(ISNONTEXT(deployment_raw[[#This Row],[Column3]]), "", deployment_raw[[#This Row],[Column3]])</f>
        <v/>
      </c>
      <c r="D727" s="6" t="str">
        <f>IF(ISNONTEXT(deployment_raw[[#This Row],[Column4]]), "", deployment_raw[[#This Row],[Column4]])</f>
        <v/>
      </c>
      <c r="E727" s="7" t="str">
        <f>IF(ISNUMBER(deployment_raw[[#This Row],[Column5]]), deployment_raw[[#This Row],[Column5]],"")</f>
        <v/>
      </c>
      <c r="F727" s="32" t="str">
        <f>IF(ISNUMBER(deployment_raw[[#This Row],[Column17]]), deployment_raw[[#This Row],[Column17]]/IF(OR($E$2="Deployment",deployment_raw[[#This Row],[Column5]]=0),1,deployment_raw[[#This Row],[Column5]]),"")</f>
        <v/>
      </c>
      <c r="G727" s="42" t="str">
        <f>IF(ISNUMBER(deployment_raw[[#This Row],[Column14]]), deployment_raw[[#This Row],[Column14]]/IF(OR($E$2="Deployment",deployment_raw[[#This Row],[Column5]]=0),1,deployment_raw[[#This Row],[Column5]]),"")</f>
        <v/>
      </c>
      <c r="H727" s="79" t="str">
        <f>IF(ISNUMBER(deployment_raw[[#This Row],[Column19]]), IF(I727&lt;&gt;0,(deployment_raw[[#This Row],[Column19]]/IF(OR($E$2="Deployment",deployment_raw[[#This Row],[Column5]]=0),1,deployment_raw[[#This Row],[Column5]]))/I727,0),"")</f>
        <v/>
      </c>
      <c r="I727" s="69" t="str">
        <f>IF(ISNUMBER(deployment_raw[[#This Row],[Column6]]), (deployment_raw[[#This Row],[Column6]] * IF($E$2="Deployment",deployment_raw[[#This Row],[Column5]],1)),"")</f>
        <v/>
      </c>
      <c r="J727" s="79" t="str">
        <f>IF(ISNUMBER(deployment_raw[[#This Row],[Column19]]), IF(K727&lt;&gt;0,(deployment_raw[[#This Row],[Column19]]/IF(OR($E$2="Deployment",deployment_raw[[#This Row],[Column5]]=0),1,deployment_raw[[#This Row],[Column5]]))/K727,0),"")</f>
        <v/>
      </c>
      <c r="K727" s="72" t="str">
        <f>IF(ISNUMBER(deployment_raw[[#This Row],[Column8]]), (deployment_raw[[#This Row],[Column8]]  * IF($E$2="Deployment",deployment_raw[[#This Row],[Column5]],1)),"")</f>
        <v/>
      </c>
      <c r="L72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2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27" s="81" t="str">
        <f>IF(ISNUMBER(deployment_raw[[#This Row],[Column20]]), IF(O727&lt;&gt;0,deployment_raw[[#This Row],[Column20]]/IF(OR($E$2="Deployment",deployment_raw[[#This Row],[Column5]]=0),1,deployment_raw[[#This Row],[Column5]])/1048576/O727,0),"")</f>
        <v/>
      </c>
      <c r="O727" s="74" t="str">
        <f>IF(ISNUMBER(deployment_raw[[#This Row],[Column7]]), (deployment_raw[[#This Row],[Column7]] * IF($E$2="Deployment",deployment_raw[[#This Row],[Column5]],1))/1048576,"")</f>
        <v/>
      </c>
      <c r="P727" s="81" t="str">
        <f>IF(ISNUMBER(deployment_raw[[#This Row],[Column20]]), IF(Q727&lt;&gt;0,deployment_raw[[#This Row],[Column20]]/IF(OR($E$2="Deployment",deployment_raw[[#This Row],[Column5]]=0),1,deployment_raw[[#This Row],[Column5]])/1048576/Q727,0),"")</f>
        <v/>
      </c>
      <c r="Q727" s="76" t="str">
        <f>IF(ISNUMBER(deployment_raw[[#This Row],[Column9]]), (deployment_raw[[#This Row],[Column9]] * IF($E$2="Deployment",deployment_raw[[#This Row],[Column5]],1))/1048576,"")</f>
        <v/>
      </c>
      <c r="R727" s="57" t="str">
        <f>IF(ISNUMBER(deployment_raw[[#This Row],[Column10]]), (deployment_raw[[#This Row],[Column10]] * IF($E$2="Deployment",deployment_raw[[#This Row],[Column5]],1)),"")</f>
        <v/>
      </c>
      <c r="S727" s="48" t="str">
        <f>IF(ISNUMBER(deployment_raw[[#This Row],[Column11]]), (deployment_raw[[#This Row],[Column11]] * IF($E$2="Deployment",deployment_raw[[#This Row],[Column5]],1))/1048576,"")</f>
        <v/>
      </c>
      <c r="T727" s="59" t="str">
        <f>IF(ISNUMBER(deployment_raw[[#This Row],[Column8]]),IF(OR(deployment_raw[[#This Row],[Column5]] &lt;&gt; 0,$E$2 &lt;&gt; "Deployment"), MAX(V727, ($T$2 * IF($E$2="Deployment",deployment_raw[[#This Row],[Column5]],1))), 0),"")</f>
        <v/>
      </c>
      <c r="U727" s="50" t="str">
        <f>IF(ISNUMBER(deployment_raw[[#This Row],[Column9]]),IF(OR(deployment_raw[[#This Row],[Column5]] &lt;&gt; 0,$E$2&lt;&gt;"Deployment"), MAX(W727, ($U$2 * IF($E$2="Deployment",deployment_raw[[#This Row],[Column5]],1))), 0),"")</f>
        <v/>
      </c>
      <c r="V727" s="15" t="str">
        <f>IF(ISNUMBER(deployment_raw[[#This Row],[Column12]]), (deployment_raw[[#This Row],[Column12]] * IF($E$2="Deployment",deployment_raw[[#This Row],[Column5]],1)*(1+$V$2)),"")</f>
        <v/>
      </c>
      <c r="W727" s="14" t="str">
        <f>IF(ISNUMBER(deployment_raw[[#This Row],[Column13]]), (deployment_raw[[#This Row],[Column13]] * IF($E$2="Deployment",deployment_raw[[#This Row],[Column5]],1)*(1+$W$2))/1048576,"")</f>
        <v/>
      </c>
    </row>
    <row r="728" spans="1:23" ht="15.75" customHeight="1" x14ac:dyDescent="0.25">
      <c r="A728" s="5" t="str">
        <f>IF(ISNONTEXT(deployment_raw[[#This Row],[Column1]]), "", deployment_raw[[#This Row],[Column1]])</f>
        <v/>
      </c>
      <c r="B728" s="6" t="str">
        <f>IF(ISNONTEXT(deployment_raw[[#This Row],[Column2]]), "", deployment_raw[[#This Row],[Column2]])</f>
        <v/>
      </c>
      <c r="C728" s="6" t="str">
        <f>IF(ISNONTEXT(deployment_raw[[#This Row],[Column3]]), "", deployment_raw[[#This Row],[Column3]])</f>
        <v/>
      </c>
      <c r="D728" s="6" t="str">
        <f>IF(ISNONTEXT(deployment_raw[[#This Row],[Column4]]), "", deployment_raw[[#This Row],[Column4]])</f>
        <v/>
      </c>
      <c r="E728" s="7" t="str">
        <f>IF(ISNUMBER(deployment_raw[[#This Row],[Column5]]), deployment_raw[[#This Row],[Column5]],"")</f>
        <v/>
      </c>
      <c r="F728" s="32" t="str">
        <f>IF(ISNUMBER(deployment_raw[[#This Row],[Column17]]), deployment_raw[[#This Row],[Column17]]/IF(OR($E$2="Deployment",deployment_raw[[#This Row],[Column5]]=0),1,deployment_raw[[#This Row],[Column5]]),"")</f>
        <v/>
      </c>
      <c r="G728" s="42" t="str">
        <f>IF(ISNUMBER(deployment_raw[[#This Row],[Column14]]), deployment_raw[[#This Row],[Column14]]/IF(OR($E$2="Deployment",deployment_raw[[#This Row],[Column5]]=0),1,deployment_raw[[#This Row],[Column5]]),"")</f>
        <v/>
      </c>
      <c r="H728" s="79" t="str">
        <f>IF(ISNUMBER(deployment_raw[[#This Row],[Column19]]), IF(I728&lt;&gt;0,(deployment_raw[[#This Row],[Column19]]/IF(OR($E$2="Deployment",deployment_raw[[#This Row],[Column5]]=0),1,deployment_raw[[#This Row],[Column5]]))/I728,0),"")</f>
        <v/>
      </c>
      <c r="I728" s="69" t="str">
        <f>IF(ISNUMBER(deployment_raw[[#This Row],[Column6]]), (deployment_raw[[#This Row],[Column6]] * IF($E$2="Deployment",deployment_raw[[#This Row],[Column5]],1)),"")</f>
        <v/>
      </c>
      <c r="J728" s="79" t="str">
        <f>IF(ISNUMBER(deployment_raw[[#This Row],[Column19]]), IF(K728&lt;&gt;0,(deployment_raw[[#This Row],[Column19]]/IF(OR($E$2="Deployment",deployment_raw[[#This Row],[Column5]]=0),1,deployment_raw[[#This Row],[Column5]]))/K728,0),"")</f>
        <v/>
      </c>
      <c r="K728" s="72" t="str">
        <f>IF(ISNUMBER(deployment_raw[[#This Row],[Column8]]), (deployment_raw[[#This Row],[Column8]]  * IF($E$2="Deployment",deployment_raw[[#This Row],[Column5]],1)),"")</f>
        <v/>
      </c>
      <c r="L72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2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28" s="81" t="str">
        <f>IF(ISNUMBER(deployment_raw[[#This Row],[Column20]]), IF(O728&lt;&gt;0,deployment_raw[[#This Row],[Column20]]/IF(OR($E$2="Deployment",deployment_raw[[#This Row],[Column5]]=0),1,deployment_raw[[#This Row],[Column5]])/1048576/O728,0),"")</f>
        <v/>
      </c>
      <c r="O728" s="74" t="str">
        <f>IF(ISNUMBER(deployment_raw[[#This Row],[Column7]]), (deployment_raw[[#This Row],[Column7]] * IF($E$2="Deployment",deployment_raw[[#This Row],[Column5]],1))/1048576,"")</f>
        <v/>
      </c>
      <c r="P728" s="81" t="str">
        <f>IF(ISNUMBER(deployment_raw[[#This Row],[Column20]]), IF(Q728&lt;&gt;0,deployment_raw[[#This Row],[Column20]]/IF(OR($E$2="Deployment",deployment_raw[[#This Row],[Column5]]=0),1,deployment_raw[[#This Row],[Column5]])/1048576/Q728,0),"")</f>
        <v/>
      </c>
      <c r="Q728" s="76" t="str">
        <f>IF(ISNUMBER(deployment_raw[[#This Row],[Column9]]), (deployment_raw[[#This Row],[Column9]] * IF($E$2="Deployment",deployment_raw[[#This Row],[Column5]],1))/1048576,"")</f>
        <v/>
      </c>
      <c r="R728" s="57" t="str">
        <f>IF(ISNUMBER(deployment_raw[[#This Row],[Column10]]), (deployment_raw[[#This Row],[Column10]] * IF($E$2="Deployment",deployment_raw[[#This Row],[Column5]],1)),"")</f>
        <v/>
      </c>
      <c r="S728" s="48" t="str">
        <f>IF(ISNUMBER(deployment_raw[[#This Row],[Column11]]), (deployment_raw[[#This Row],[Column11]] * IF($E$2="Deployment",deployment_raw[[#This Row],[Column5]],1))/1048576,"")</f>
        <v/>
      </c>
      <c r="T728" s="59" t="str">
        <f>IF(ISNUMBER(deployment_raw[[#This Row],[Column8]]),IF(OR(deployment_raw[[#This Row],[Column5]] &lt;&gt; 0,$E$2 &lt;&gt; "Deployment"), MAX(V728, ($T$2 * IF($E$2="Deployment",deployment_raw[[#This Row],[Column5]],1))), 0),"")</f>
        <v/>
      </c>
      <c r="U728" s="50" t="str">
        <f>IF(ISNUMBER(deployment_raw[[#This Row],[Column9]]),IF(OR(deployment_raw[[#This Row],[Column5]] &lt;&gt; 0,$E$2&lt;&gt;"Deployment"), MAX(W728, ($U$2 * IF($E$2="Deployment",deployment_raw[[#This Row],[Column5]],1))), 0),"")</f>
        <v/>
      </c>
      <c r="V728" s="15" t="str">
        <f>IF(ISNUMBER(deployment_raw[[#This Row],[Column12]]), (deployment_raw[[#This Row],[Column12]] * IF($E$2="Deployment",deployment_raw[[#This Row],[Column5]],1)*(1+$V$2)),"")</f>
        <v/>
      </c>
      <c r="W728" s="14" t="str">
        <f>IF(ISNUMBER(deployment_raw[[#This Row],[Column13]]), (deployment_raw[[#This Row],[Column13]] * IF($E$2="Deployment",deployment_raw[[#This Row],[Column5]],1)*(1+$W$2))/1048576,"")</f>
        <v/>
      </c>
    </row>
    <row r="729" spans="1:23" ht="15.75" customHeight="1" x14ac:dyDescent="0.25">
      <c r="A729" s="5" t="str">
        <f>IF(ISNONTEXT(deployment_raw[[#This Row],[Column1]]), "", deployment_raw[[#This Row],[Column1]])</f>
        <v/>
      </c>
      <c r="B729" s="6" t="str">
        <f>IF(ISNONTEXT(deployment_raw[[#This Row],[Column2]]), "", deployment_raw[[#This Row],[Column2]])</f>
        <v/>
      </c>
      <c r="C729" s="6" t="str">
        <f>IF(ISNONTEXT(deployment_raw[[#This Row],[Column3]]), "", deployment_raw[[#This Row],[Column3]])</f>
        <v/>
      </c>
      <c r="D729" s="6" t="str">
        <f>IF(ISNONTEXT(deployment_raw[[#This Row],[Column4]]), "", deployment_raw[[#This Row],[Column4]])</f>
        <v/>
      </c>
      <c r="E729" s="7" t="str">
        <f>IF(ISNUMBER(deployment_raw[[#This Row],[Column5]]), deployment_raw[[#This Row],[Column5]],"")</f>
        <v/>
      </c>
      <c r="F729" s="32" t="str">
        <f>IF(ISNUMBER(deployment_raw[[#This Row],[Column17]]), deployment_raw[[#This Row],[Column17]]/IF(OR($E$2="Deployment",deployment_raw[[#This Row],[Column5]]=0),1,deployment_raw[[#This Row],[Column5]]),"")</f>
        <v/>
      </c>
      <c r="G729" s="42" t="str">
        <f>IF(ISNUMBER(deployment_raw[[#This Row],[Column14]]), deployment_raw[[#This Row],[Column14]]/IF(OR($E$2="Deployment",deployment_raw[[#This Row],[Column5]]=0),1,deployment_raw[[#This Row],[Column5]]),"")</f>
        <v/>
      </c>
      <c r="H729" s="79" t="str">
        <f>IF(ISNUMBER(deployment_raw[[#This Row],[Column19]]), IF(I729&lt;&gt;0,(deployment_raw[[#This Row],[Column19]]/IF(OR($E$2="Deployment",deployment_raw[[#This Row],[Column5]]=0),1,deployment_raw[[#This Row],[Column5]]))/I729,0),"")</f>
        <v/>
      </c>
      <c r="I729" s="69" t="str">
        <f>IF(ISNUMBER(deployment_raw[[#This Row],[Column6]]), (deployment_raw[[#This Row],[Column6]] * IF($E$2="Deployment",deployment_raw[[#This Row],[Column5]],1)),"")</f>
        <v/>
      </c>
      <c r="J729" s="79" t="str">
        <f>IF(ISNUMBER(deployment_raw[[#This Row],[Column19]]), IF(K729&lt;&gt;0,(deployment_raw[[#This Row],[Column19]]/IF(OR($E$2="Deployment",deployment_raw[[#This Row],[Column5]]=0),1,deployment_raw[[#This Row],[Column5]]))/K729,0),"")</f>
        <v/>
      </c>
      <c r="K729" s="72" t="str">
        <f>IF(ISNUMBER(deployment_raw[[#This Row],[Column8]]), (deployment_raw[[#This Row],[Column8]]  * IF($E$2="Deployment",deployment_raw[[#This Row],[Column5]],1)),"")</f>
        <v/>
      </c>
      <c r="L72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2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29" s="81" t="str">
        <f>IF(ISNUMBER(deployment_raw[[#This Row],[Column20]]), IF(O729&lt;&gt;0,deployment_raw[[#This Row],[Column20]]/IF(OR($E$2="Deployment",deployment_raw[[#This Row],[Column5]]=0),1,deployment_raw[[#This Row],[Column5]])/1048576/O729,0),"")</f>
        <v/>
      </c>
      <c r="O729" s="74" t="str">
        <f>IF(ISNUMBER(deployment_raw[[#This Row],[Column7]]), (deployment_raw[[#This Row],[Column7]] * IF($E$2="Deployment",deployment_raw[[#This Row],[Column5]],1))/1048576,"")</f>
        <v/>
      </c>
      <c r="P729" s="81" t="str">
        <f>IF(ISNUMBER(deployment_raw[[#This Row],[Column20]]), IF(Q729&lt;&gt;0,deployment_raw[[#This Row],[Column20]]/IF(OR($E$2="Deployment",deployment_raw[[#This Row],[Column5]]=0),1,deployment_raw[[#This Row],[Column5]])/1048576/Q729,0),"")</f>
        <v/>
      </c>
      <c r="Q729" s="76" t="str">
        <f>IF(ISNUMBER(deployment_raw[[#This Row],[Column9]]), (deployment_raw[[#This Row],[Column9]] * IF($E$2="Deployment",deployment_raw[[#This Row],[Column5]],1))/1048576,"")</f>
        <v/>
      </c>
      <c r="R729" s="57" t="str">
        <f>IF(ISNUMBER(deployment_raw[[#This Row],[Column10]]), (deployment_raw[[#This Row],[Column10]] * IF($E$2="Deployment",deployment_raw[[#This Row],[Column5]],1)),"")</f>
        <v/>
      </c>
      <c r="S729" s="48" t="str">
        <f>IF(ISNUMBER(deployment_raw[[#This Row],[Column11]]), (deployment_raw[[#This Row],[Column11]] * IF($E$2="Deployment",deployment_raw[[#This Row],[Column5]],1))/1048576,"")</f>
        <v/>
      </c>
      <c r="T729" s="59" t="str">
        <f>IF(ISNUMBER(deployment_raw[[#This Row],[Column8]]),IF(OR(deployment_raw[[#This Row],[Column5]] &lt;&gt; 0,$E$2 &lt;&gt; "Deployment"), MAX(V729, ($T$2 * IF($E$2="Deployment",deployment_raw[[#This Row],[Column5]],1))), 0),"")</f>
        <v/>
      </c>
      <c r="U729" s="50" t="str">
        <f>IF(ISNUMBER(deployment_raw[[#This Row],[Column9]]),IF(OR(deployment_raw[[#This Row],[Column5]] &lt;&gt; 0,$E$2&lt;&gt;"Deployment"), MAX(W729, ($U$2 * IF($E$2="Deployment",deployment_raw[[#This Row],[Column5]],1))), 0),"")</f>
        <v/>
      </c>
      <c r="V729" s="15" t="str">
        <f>IF(ISNUMBER(deployment_raw[[#This Row],[Column12]]), (deployment_raw[[#This Row],[Column12]] * IF($E$2="Deployment",deployment_raw[[#This Row],[Column5]],1)*(1+$V$2)),"")</f>
        <v/>
      </c>
      <c r="W729" s="14" t="str">
        <f>IF(ISNUMBER(deployment_raw[[#This Row],[Column13]]), (deployment_raw[[#This Row],[Column13]] * IF($E$2="Deployment",deployment_raw[[#This Row],[Column5]],1)*(1+$W$2))/1048576,"")</f>
        <v/>
      </c>
    </row>
    <row r="730" spans="1:23" ht="15.75" customHeight="1" x14ac:dyDescent="0.25">
      <c r="A730" s="5" t="str">
        <f>IF(ISNONTEXT(deployment_raw[[#This Row],[Column1]]), "", deployment_raw[[#This Row],[Column1]])</f>
        <v/>
      </c>
      <c r="B730" s="6" t="str">
        <f>IF(ISNONTEXT(deployment_raw[[#This Row],[Column2]]), "", deployment_raw[[#This Row],[Column2]])</f>
        <v/>
      </c>
      <c r="C730" s="6" t="str">
        <f>IF(ISNONTEXT(deployment_raw[[#This Row],[Column3]]), "", deployment_raw[[#This Row],[Column3]])</f>
        <v/>
      </c>
      <c r="D730" s="6" t="str">
        <f>IF(ISNONTEXT(deployment_raw[[#This Row],[Column4]]), "", deployment_raw[[#This Row],[Column4]])</f>
        <v/>
      </c>
      <c r="E730" s="7" t="str">
        <f>IF(ISNUMBER(deployment_raw[[#This Row],[Column5]]), deployment_raw[[#This Row],[Column5]],"")</f>
        <v/>
      </c>
      <c r="F730" s="32" t="str">
        <f>IF(ISNUMBER(deployment_raw[[#This Row],[Column17]]), deployment_raw[[#This Row],[Column17]]/IF(OR($E$2="Deployment",deployment_raw[[#This Row],[Column5]]=0),1,deployment_raw[[#This Row],[Column5]]),"")</f>
        <v/>
      </c>
      <c r="G730" s="42" t="str">
        <f>IF(ISNUMBER(deployment_raw[[#This Row],[Column14]]), deployment_raw[[#This Row],[Column14]]/IF(OR($E$2="Deployment",deployment_raw[[#This Row],[Column5]]=0),1,deployment_raw[[#This Row],[Column5]]),"")</f>
        <v/>
      </c>
      <c r="H730" s="79" t="str">
        <f>IF(ISNUMBER(deployment_raw[[#This Row],[Column19]]), IF(I730&lt;&gt;0,(deployment_raw[[#This Row],[Column19]]/IF(OR($E$2="Deployment",deployment_raw[[#This Row],[Column5]]=0),1,deployment_raw[[#This Row],[Column5]]))/I730,0),"")</f>
        <v/>
      </c>
      <c r="I730" s="69" t="str">
        <f>IF(ISNUMBER(deployment_raw[[#This Row],[Column6]]), (deployment_raw[[#This Row],[Column6]] * IF($E$2="Deployment",deployment_raw[[#This Row],[Column5]],1)),"")</f>
        <v/>
      </c>
      <c r="J730" s="79" t="str">
        <f>IF(ISNUMBER(deployment_raw[[#This Row],[Column19]]), IF(K730&lt;&gt;0,(deployment_raw[[#This Row],[Column19]]/IF(OR($E$2="Deployment",deployment_raw[[#This Row],[Column5]]=0),1,deployment_raw[[#This Row],[Column5]]))/K730,0),"")</f>
        <v/>
      </c>
      <c r="K730" s="72" t="str">
        <f>IF(ISNUMBER(deployment_raw[[#This Row],[Column8]]), (deployment_raw[[#This Row],[Column8]]  * IF($E$2="Deployment",deployment_raw[[#This Row],[Column5]],1)),"")</f>
        <v/>
      </c>
      <c r="L73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3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30" s="81" t="str">
        <f>IF(ISNUMBER(deployment_raw[[#This Row],[Column20]]), IF(O730&lt;&gt;0,deployment_raw[[#This Row],[Column20]]/IF(OR($E$2="Deployment",deployment_raw[[#This Row],[Column5]]=0),1,deployment_raw[[#This Row],[Column5]])/1048576/O730,0),"")</f>
        <v/>
      </c>
      <c r="O730" s="74" t="str">
        <f>IF(ISNUMBER(deployment_raw[[#This Row],[Column7]]), (deployment_raw[[#This Row],[Column7]] * IF($E$2="Deployment",deployment_raw[[#This Row],[Column5]],1))/1048576,"")</f>
        <v/>
      </c>
      <c r="P730" s="81" t="str">
        <f>IF(ISNUMBER(deployment_raw[[#This Row],[Column20]]), IF(Q730&lt;&gt;0,deployment_raw[[#This Row],[Column20]]/IF(OR($E$2="Deployment",deployment_raw[[#This Row],[Column5]]=0),1,deployment_raw[[#This Row],[Column5]])/1048576/Q730,0),"")</f>
        <v/>
      </c>
      <c r="Q730" s="76" t="str">
        <f>IF(ISNUMBER(deployment_raw[[#This Row],[Column9]]), (deployment_raw[[#This Row],[Column9]] * IF($E$2="Deployment",deployment_raw[[#This Row],[Column5]],1))/1048576,"")</f>
        <v/>
      </c>
      <c r="R730" s="57" t="str">
        <f>IF(ISNUMBER(deployment_raw[[#This Row],[Column10]]), (deployment_raw[[#This Row],[Column10]] * IF($E$2="Deployment",deployment_raw[[#This Row],[Column5]],1)),"")</f>
        <v/>
      </c>
      <c r="S730" s="48" t="str">
        <f>IF(ISNUMBER(deployment_raw[[#This Row],[Column11]]), (deployment_raw[[#This Row],[Column11]] * IF($E$2="Deployment",deployment_raw[[#This Row],[Column5]],1))/1048576,"")</f>
        <v/>
      </c>
      <c r="T730" s="59" t="str">
        <f>IF(ISNUMBER(deployment_raw[[#This Row],[Column8]]),IF(OR(deployment_raw[[#This Row],[Column5]] &lt;&gt; 0,$E$2 &lt;&gt; "Deployment"), MAX(V730, ($T$2 * IF($E$2="Deployment",deployment_raw[[#This Row],[Column5]],1))), 0),"")</f>
        <v/>
      </c>
      <c r="U730" s="50" t="str">
        <f>IF(ISNUMBER(deployment_raw[[#This Row],[Column9]]),IF(OR(deployment_raw[[#This Row],[Column5]] &lt;&gt; 0,$E$2&lt;&gt;"Deployment"), MAX(W730, ($U$2 * IF($E$2="Deployment",deployment_raw[[#This Row],[Column5]],1))), 0),"")</f>
        <v/>
      </c>
      <c r="V730" s="15" t="str">
        <f>IF(ISNUMBER(deployment_raw[[#This Row],[Column12]]), (deployment_raw[[#This Row],[Column12]] * IF($E$2="Deployment",deployment_raw[[#This Row],[Column5]],1)*(1+$V$2)),"")</f>
        <v/>
      </c>
      <c r="W730" s="14" t="str">
        <f>IF(ISNUMBER(deployment_raw[[#This Row],[Column13]]), (deployment_raw[[#This Row],[Column13]] * IF($E$2="Deployment",deployment_raw[[#This Row],[Column5]],1)*(1+$W$2))/1048576,"")</f>
        <v/>
      </c>
    </row>
    <row r="731" spans="1:23" ht="15.75" customHeight="1" x14ac:dyDescent="0.25">
      <c r="A731" s="5" t="str">
        <f>IF(ISNONTEXT(deployment_raw[[#This Row],[Column1]]), "", deployment_raw[[#This Row],[Column1]])</f>
        <v/>
      </c>
      <c r="B731" s="6" t="str">
        <f>IF(ISNONTEXT(deployment_raw[[#This Row],[Column2]]), "", deployment_raw[[#This Row],[Column2]])</f>
        <v/>
      </c>
      <c r="C731" s="6" t="str">
        <f>IF(ISNONTEXT(deployment_raw[[#This Row],[Column3]]), "", deployment_raw[[#This Row],[Column3]])</f>
        <v/>
      </c>
      <c r="D731" s="6" t="str">
        <f>IF(ISNONTEXT(deployment_raw[[#This Row],[Column4]]), "", deployment_raw[[#This Row],[Column4]])</f>
        <v/>
      </c>
      <c r="E731" s="7" t="str">
        <f>IF(ISNUMBER(deployment_raw[[#This Row],[Column5]]), deployment_raw[[#This Row],[Column5]],"")</f>
        <v/>
      </c>
      <c r="F731" s="32" t="str">
        <f>IF(ISNUMBER(deployment_raw[[#This Row],[Column17]]), deployment_raw[[#This Row],[Column17]]/IF(OR($E$2="Deployment",deployment_raw[[#This Row],[Column5]]=0),1,deployment_raw[[#This Row],[Column5]]),"")</f>
        <v/>
      </c>
      <c r="G731" s="42" t="str">
        <f>IF(ISNUMBER(deployment_raw[[#This Row],[Column14]]), deployment_raw[[#This Row],[Column14]]/IF(OR($E$2="Deployment",deployment_raw[[#This Row],[Column5]]=0),1,deployment_raw[[#This Row],[Column5]]),"")</f>
        <v/>
      </c>
      <c r="H731" s="79" t="str">
        <f>IF(ISNUMBER(deployment_raw[[#This Row],[Column19]]), IF(I731&lt;&gt;0,(deployment_raw[[#This Row],[Column19]]/IF(OR($E$2="Deployment",deployment_raw[[#This Row],[Column5]]=0),1,deployment_raw[[#This Row],[Column5]]))/I731,0),"")</f>
        <v/>
      </c>
      <c r="I731" s="69" t="str">
        <f>IF(ISNUMBER(deployment_raw[[#This Row],[Column6]]), (deployment_raw[[#This Row],[Column6]] * IF($E$2="Deployment",deployment_raw[[#This Row],[Column5]],1)),"")</f>
        <v/>
      </c>
      <c r="J731" s="79" t="str">
        <f>IF(ISNUMBER(deployment_raw[[#This Row],[Column19]]), IF(K731&lt;&gt;0,(deployment_raw[[#This Row],[Column19]]/IF(OR($E$2="Deployment",deployment_raw[[#This Row],[Column5]]=0),1,deployment_raw[[#This Row],[Column5]]))/K731,0),"")</f>
        <v/>
      </c>
      <c r="K731" s="72" t="str">
        <f>IF(ISNUMBER(deployment_raw[[#This Row],[Column8]]), (deployment_raw[[#This Row],[Column8]]  * IF($E$2="Deployment",deployment_raw[[#This Row],[Column5]],1)),"")</f>
        <v/>
      </c>
      <c r="L73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3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31" s="81" t="str">
        <f>IF(ISNUMBER(deployment_raw[[#This Row],[Column20]]), IF(O731&lt;&gt;0,deployment_raw[[#This Row],[Column20]]/IF(OR($E$2="Deployment",deployment_raw[[#This Row],[Column5]]=0),1,deployment_raw[[#This Row],[Column5]])/1048576/O731,0),"")</f>
        <v/>
      </c>
      <c r="O731" s="74" t="str">
        <f>IF(ISNUMBER(deployment_raw[[#This Row],[Column7]]), (deployment_raw[[#This Row],[Column7]] * IF($E$2="Deployment",deployment_raw[[#This Row],[Column5]],1))/1048576,"")</f>
        <v/>
      </c>
      <c r="P731" s="81" t="str">
        <f>IF(ISNUMBER(deployment_raw[[#This Row],[Column20]]), IF(Q731&lt;&gt;0,deployment_raw[[#This Row],[Column20]]/IF(OR($E$2="Deployment",deployment_raw[[#This Row],[Column5]]=0),1,deployment_raw[[#This Row],[Column5]])/1048576/Q731,0),"")</f>
        <v/>
      </c>
      <c r="Q731" s="76" t="str">
        <f>IF(ISNUMBER(deployment_raw[[#This Row],[Column9]]), (deployment_raw[[#This Row],[Column9]] * IF($E$2="Deployment",deployment_raw[[#This Row],[Column5]],1))/1048576,"")</f>
        <v/>
      </c>
      <c r="R731" s="57" t="str">
        <f>IF(ISNUMBER(deployment_raw[[#This Row],[Column10]]), (deployment_raw[[#This Row],[Column10]] * IF($E$2="Deployment",deployment_raw[[#This Row],[Column5]],1)),"")</f>
        <v/>
      </c>
      <c r="S731" s="48" t="str">
        <f>IF(ISNUMBER(deployment_raw[[#This Row],[Column11]]), (deployment_raw[[#This Row],[Column11]] * IF($E$2="Deployment",deployment_raw[[#This Row],[Column5]],1))/1048576,"")</f>
        <v/>
      </c>
      <c r="T731" s="59" t="str">
        <f>IF(ISNUMBER(deployment_raw[[#This Row],[Column8]]),IF(OR(deployment_raw[[#This Row],[Column5]] &lt;&gt; 0,$E$2 &lt;&gt; "Deployment"), MAX(V731, ($T$2 * IF($E$2="Deployment",deployment_raw[[#This Row],[Column5]],1))), 0),"")</f>
        <v/>
      </c>
      <c r="U731" s="50" t="str">
        <f>IF(ISNUMBER(deployment_raw[[#This Row],[Column9]]),IF(OR(deployment_raw[[#This Row],[Column5]] &lt;&gt; 0,$E$2&lt;&gt;"Deployment"), MAX(W731, ($U$2 * IF($E$2="Deployment",deployment_raw[[#This Row],[Column5]],1))), 0),"")</f>
        <v/>
      </c>
      <c r="V731" s="15" t="str">
        <f>IF(ISNUMBER(deployment_raw[[#This Row],[Column12]]), (deployment_raw[[#This Row],[Column12]] * IF($E$2="Deployment",deployment_raw[[#This Row],[Column5]],1)*(1+$V$2)),"")</f>
        <v/>
      </c>
      <c r="W731" s="14" t="str">
        <f>IF(ISNUMBER(deployment_raw[[#This Row],[Column13]]), (deployment_raw[[#This Row],[Column13]] * IF($E$2="Deployment",deployment_raw[[#This Row],[Column5]],1)*(1+$W$2))/1048576,"")</f>
        <v/>
      </c>
    </row>
    <row r="732" spans="1:23" ht="15.75" customHeight="1" x14ac:dyDescent="0.25">
      <c r="A732" s="5" t="str">
        <f>IF(ISNONTEXT(deployment_raw[[#This Row],[Column1]]), "", deployment_raw[[#This Row],[Column1]])</f>
        <v/>
      </c>
      <c r="B732" s="6" t="str">
        <f>IF(ISNONTEXT(deployment_raw[[#This Row],[Column2]]), "", deployment_raw[[#This Row],[Column2]])</f>
        <v/>
      </c>
      <c r="C732" s="6" t="str">
        <f>IF(ISNONTEXT(deployment_raw[[#This Row],[Column3]]), "", deployment_raw[[#This Row],[Column3]])</f>
        <v/>
      </c>
      <c r="D732" s="6" t="str">
        <f>IF(ISNONTEXT(deployment_raw[[#This Row],[Column4]]), "", deployment_raw[[#This Row],[Column4]])</f>
        <v/>
      </c>
      <c r="E732" s="7" t="str">
        <f>IF(ISNUMBER(deployment_raw[[#This Row],[Column5]]), deployment_raw[[#This Row],[Column5]],"")</f>
        <v/>
      </c>
      <c r="F732" s="32" t="str">
        <f>IF(ISNUMBER(deployment_raw[[#This Row],[Column17]]), deployment_raw[[#This Row],[Column17]]/IF(OR($E$2="Deployment",deployment_raw[[#This Row],[Column5]]=0),1,deployment_raw[[#This Row],[Column5]]),"")</f>
        <v/>
      </c>
      <c r="G732" s="42" t="str">
        <f>IF(ISNUMBER(deployment_raw[[#This Row],[Column14]]), deployment_raw[[#This Row],[Column14]]/IF(OR($E$2="Deployment",deployment_raw[[#This Row],[Column5]]=0),1,deployment_raw[[#This Row],[Column5]]),"")</f>
        <v/>
      </c>
      <c r="H732" s="79" t="str">
        <f>IF(ISNUMBER(deployment_raw[[#This Row],[Column19]]), IF(I732&lt;&gt;0,(deployment_raw[[#This Row],[Column19]]/IF(OR($E$2="Deployment",deployment_raw[[#This Row],[Column5]]=0),1,deployment_raw[[#This Row],[Column5]]))/I732,0),"")</f>
        <v/>
      </c>
      <c r="I732" s="69" t="str">
        <f>IF(ISNUMBER(deployment_raw[[#This Row],[Column6]]), (deployment_raw[[#This Row],[Column6]] * IF($E$2="Deployment",deployment_raw[[#This Row],[Column5]],1)),"")</f>
        <v/>
      </c>
      <c r="J732" s="79" t="str">
        <f>IF(ISNUMBER(deployment_raw[[#This Row],[Column19]]), IF(K732&lt;&gt;0,(deployment_raw[[#This Row],[Column19]]/IF(OR($E$2="Deployment",deployment_raw[[#This Row],[Column5]]=0),1,deployment_raw[[#This Row],[Column5]]))/K732,0),"")</f>
        <v/>
      </c>
      <c r="K732" s="72" t="str">
        <f>IF(ISNUMBER(deployment_raw[[#This Row],[Column8]]), (deployment_raw[[#This Row],[Column8]]  * IF($E$2="Deployment",deployment_raw[[#This Row],[Column5]],1)),"")</f>
        <v/>
      </c>
      <c r="L73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3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32" s="81" t="str">
        <f>IF(ISNUMBER(deployment_raw[[#This Row],[Column20]]), IF(O732&lt;&gt;0,deployment_raw[[#This Row],[Column20]]/IF(OR($E$2="Deployment",deployment_raw[[#This Row],[Column5]]=0),1,deployment_raw[[#This Row],[Column5]])/1048576/O732,0),"")</f>
        <v/>
      </c>
      <c r="O732" s="74" t="str">
        <f>IF(ISNUMBER(deployment_raw[[#This Row],[Column7]]), (deployment_raw[[#This Row],[Column7]] * IF($E$2="Deployment",deployment_raw[[#This Row],[Column5]],1))/1048576,"")</f>
        <v/>
      </c>
      <c r="P732" s="81" t="str">
        <f>IF(ISNUMBER(deployment_raw[[#This Row],[Column20]]), IF(Q732&lt;&gt;0,deployment_raw[[#This Row],[Column20]]/IF(OR($E$2="Deployment",deployment_raw[[#This Row],[Column5]]=0),1,deployment_raw[[#This Row],[Column5]])/1048576/Q732,0),"")</f>
        <v/>
      </c>
      <c r="Q732" s="76" t="str">
        <f>IF(ISNUMBER(deployment_raw[[#This Row],[Column9]]), (deployment_raw[[#This Row],[Column9]] * IF($E$2="Deployment",deployment_raw[[#This Row],[Column5]],1))/1048576,"")</f>
        <v/>
      </c>
      <c r="R732" s="57" t="str">
        <f>IF(ISNUMBER(deployment_raw[[#This Row],[Column10]]), (deployment_raw[[#This Row],[Column10]] * IF($E$2="Deployment",deployment_raw[[#This Row],[Column5]],1)),"")</f>
        <v/>
      </c>
      <c r="S732" s="48" t="str">
        <f>IF(ISNUMBER(deployment_raw[[#This Row],[Column11]]), (deployment_raw[[#This Row],[Column11]] * IF($E$2="Deployment",deployment_raw[[#This Row],[Column5]],1))/1048576,"")</f>
        <v/>
      </c>
      <c r="T732" s="59" t="str">
        <f>IF(ISNUMBER(deployment_raw[[#This Row],[Column8]]),IF(OR(deployment_raw[[#This Row],[Column5]] &lt;&gt; 0,$E$2 &lt;&gt; "Deployment"), MAX(V732, ($T$2 * IF($E$2="Deployment",deployment_raw[[#This Row],[Column5]],1))), 0),"")</f>
        <v/>
      </c>
      <c r="U732" s="50" t="str">
        <f>IF(ISNUMBER(deployment_raw[[#This Row],[Column9]]),IF(OR(deployment_raw[[#This Row],[Column5]] &lt;&gt; 0,$E$2&lt;&gt;"Deployment"), MAX(W732, ($U$2 * IF($E$2="Deployment",deployment_raw[[#This Row],[Column5]],1))), 0),"")</f>
        <v/>
      </c>
      <c r="V732" s="15" t="str">
        <f>IF(ISNUMBER(deployment_raw[[#This Row],[Column12]]), (deployment_raw[[#This Row],[Column12]] * IF($E$2="Deployment",deployment_raw[[#This Row],[Column5]],1)*(1+$V$2)),"")</f>
        <v/>
      </c>
      <c r="W732" s="14" t="str">
        <f>IF(ISNUMBER(deployment_raw[[#This Row],[Column13]]), (deployment_raw[[#This Row],[Column13]] * IF($E$2="Deployment",deployment_raw[[#This Row],[Column5]],1)*(1+$W$2))/1048576,"")</f>
        <v/>
      </c>
    </row>
    <row r="733" spans="1:23" ht="15.75" customHeight="1" x14ac:dyDescent="0.25">
      <c r="A733" s="5" t="str">
        <f>IF(ISNONTEXT(deployment_raw[[#This Row],[Column1]]), "", deployment_raw[[#This Row],[Column1]])</f>
        <v/>
      </c>
      <c r="B733" s="6" t="str">
        <f>IF(ISNONTEXT(deployment_raw[[#This Row],[Column2]]), "", deployment_raw[[#This Row],[Column2]])</f>
        <v/>
      </c>
      <c r="C733" s="6" t="str">
        <f>IF(ISNONTEXT(deployment_raw[[#This Row],[Column3]]), "", deployment_raw[[#This Row],[Column3]])</f>
        <v/>
      </c>
      <c r="D733" s="6" t="str">
        <f>IF(ISNONTEXT(deployment_raw[[#This Row],[Column4]]), "", deployment_raw[[#This Row],[Column4]])</f>
        <v/>
      </c>
      <c r="E733" s="7" t="str">
        <f>IF(ISNUMBER(deployment_raw[[#This Row],[Column5]]), deployment_raw[[#This Row],[Column5]],"")</f>
        <v/>
      </c>
      <c r="F733" s="32" t="str">
        <f>IF(ISNUMBER(deployment_raw[[#This Row],[Column17]]), deployment_raw[[#This Row],[Column17]]/IF(OR($E$2="Deployment",deployment_raw[[#This Row],[Column5]]=0),1,deployment_raw[[#This Row],[Column5]]),"")</f>
        <v/>
      </c>
      <c r="G733" s="42" t="str">
        <f>IF(ISNUMBER(deployment_raw[[#This Row],[Column14]]), deployment_raw[[#This Row],[Column14]]/IF(OR($E$2="Deployment",deployment_raw[[#This Row],[Column5]]=0),1,deployment_raw[[#This Row],[Column5]]),"")</f>
        <v/>
      </c>
      <c r="H733" s="79" t="str">
        <f>IF(ISNUMBER(deployment_raw[[#This Row],[Column19]]), IF(I733&lt;&gt;0,(deployment_raw[[#This Row],[Column19]]/IF(OR($E$2="Deployment",deployment_raw[[#This Row],[Column5]]=0),1,deployment_raw[[#This Row],[Column5]]))/I733,0),"")</f>
        <v/>
      </c>
      <c r="I733" s="69" t="str">
        <f>IF(ISNUMBER(deployment_raw[[#This Row],[Column6]]), (deployment_raw[[#This Row],[Column6]] * IF($E$2="Deployment",deployment_raw[[#This Row],[Column5]],1)),"")</f>
        <v/>
      </c>
      <c r="J733" s="79" t="str">
        <f>IF(ISNUMBER(deployment_raw[[#This Row],[Column19]]), IF(K733&lt;&gt;0,(deployment_raw[[#This Row],[Column19]]/IF(OR($E$2="Deployment",deployment_raw[[#This Row],[Column5]]=0),1,deployment_raw[[#This Row],[Column5]]))/K733,0),"")</f>
        <v/>
      </c>
      <c r="K733" s="72" t="str">
        <f>IF(ISNUMBER(deployment_raw[[#This Row],[Column8]]), (deployment_raw[[#This Row],[Column8]]  * IF($E$2="Deployment",deployment_raw[[#This Row],[Column5]],1)),"")</f>
        <v/>
      </c>
      <c r="L73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3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33" s="81" t="str">
        <f>IF(ISNUMBER(deployment_raw[[#This Row],[Column20]]), IF(O733&lt;&gt;0,deployment_raw[[#This Row],[Column20]]/IF(OR($E$2="Deployment",deployment_raw[[#This Row],[Column5]]=0),1,deployment_raw[[#This Row],[Column5]])/1048576/O733,0),"")</f>
        <v/>
      </c>
      <c r="O733" s="74" t="str">
        <f>IF(ISNUMBER(deployment_raw[[#This Row],[Column7]]), (deployment_raw[[#This Row],[Column7]] * IF($E$2="Deployment",deployment_raw[[#This Row],[Column5]],1))/1048576,"")</f>
        <v/>
      </c>
      <c r="P733" s="81" t="str">
        <f>IF(ISNUMBER(deployment_raw[[#This Row],[Column20]]), IF(Q733&lt;&gt;0,deployment_raw[[#This Row],[Column20]]/IF(OR($E$2="Deployment",deployment_raw[[#This Row],[Column5]]=0),1,deployment_raw[[#This Row],[Column5]])/1048576/Q733,0),"")</f>
        <v/>
      </c>
      <c r="Q733" s="76" t="str">
        <f>IF(ISNUMBER(deployment_raw[[#This Row],[Column9]]), (deployment_raw[[#This Row],[Column9]] * IF($E$2="Deployment",deployment_raw[[#This Row],[Column5]],1))/1048576,"")</f>
        <v/>
      </c>
      <c r="R733" s="57" t="str">
        <f>IF(ISNUMBER(deployment_raw[[#This Row],[Column10]]), (deployment_raw[[#This Row],[Column10]] * IF($E$2="Deployment",deployment_raw[[#This Row],[Column5]],1)),"")</f>
        <v/>
      </c>
      <c r="S733" s="48" t="str">
        <f>IF(ISNUMBER(deployment_raw[[#This Row],[Column11]]), (deployment_raw[[#This Row],[Column11]] * IF($E$2="Deployment",deployment_raw[[#This Row],[Column5]],1))/1048576,"")</f>
        <v/>
      </c>
      <c r="T733" s="59" t="str">
        <f>IF(ISNUMBER(deployment_raw[[#This Row],[Column8]]),IF(OR(deployment_raw[[#This Row],[Column5]] &lt;&gt; 0,$E$2 &lt;&gt; "Deployment"), MAX(V733, ($T$2 * IF($E$2="Deployment",deployment_raw[[#This Row],[Column5]],1))), 0),"")</f>
        <v/>
      </c>
      <c r="U733" s="50" t="str">
        <f>IF(ISNUMBER(deployment_raw[[#This Row],[Column9]]),IF(OR(deployment_raw[[#This Row],[Column5]] &lt;&gt; 0,$E$2&lt;&gt;"Deployment"), MAX(W733, ($U$2 * IF($E$2="Deployment",deployment_raw[[#This Row],[Column5]],1))), 0),"")</f>
        <v/>
      </c>
      <c r="V733" s="15" t="str">
        <f>IF(ISNUMBER(deployment_raw[[#This Row],[Column12]]), (deployment_raw[[#This Row],[Column12]] * IF($E$2="Deployment",deployment_raw[[#This Row],[Column5]],1)*(1+$V$2)),"")</f>
        <v/>
      </c>
      <c r="W733" s="14" t="str">
        <f>IF(ISNUMBER(deployment_raw[[#This Row],[Column13]]), (deployment_raw[[#This Row],[Column13]] * IF($E$2="Deployment",deployment_raw[[#This Row],[Column5]],1)*(1+$W$2))/1048576,"")</f>
        <v/>
      </c>
    </row>
    <row r="734" spans="1:23" ht="15.75" customHeight="1" x14ac:dyDescent="0.25">
      <c r="A734" s="5" t="str">
        <f>IF(ISNONTEXT(deployment_raw[[#This Row],[Column1]]), "", deployment_raw[[#This Row],[Column1]])</f>
        <v/>
      </c>
      <c r="B734" s="6" t="str">
        <f>IF(ISNONTEXT(deployment_raw[[#This Row],[Column2]]), "", deployment_raw[[#This Row],[Column2]])</f>
        <v/>
      </c>
      <c r="C734" s="6" t="str">
        <f>IF(ISNONTEXT(deployment_raw[[#This Row],[Column3]]), "", deployment_raw[[#This Row],[Column3]])</f>
        <v/>
      </c>
      <c r="D734" s="6" t="str">
        <f>IF(ISNONTEXT(deployment_raw[[#This Row],[Column4]]), "", deployment_raw[[#This Row],[Column4]])</f>
        <v/>
      </c>
      <c r="E734" s="7" t="str">
        <f>IF(ISNUMBER(deployment_raw[[#This Row],[Column5]]), deployment_raw[[#This Row],[Column5]],"")</f>
        <v/>
      </c>
      <c r="F734" s="32" t="str">
        <f>IF(ISNUMBER(deployment_raw[[#This Row],[Column17]]), deployment_raw[[#This Row],[Column17]]/IF(OR($E$2="Deployment",deployment_raw[[#This Row],[Column5]]=0),1,deployment_raw[[#This Row],[Column5]]),"")</f>
        <v/>
      </c>
      <c r="G734" s="42" t="str">
        <f>IF(ISNUMBER(deployment_raw[[#This Row],[Column14]]), deployment_raw[[#This Row],[Column14]]/IF(OR($E$2="Deployment",deployment_raw[[#This Row],[Column5]]=0),1,deployment_raw[[#This Row],[Column5]]),"")</f>
        <v/>
      </c>
      <c r="H734" s="79" t="str">
        <f>IF(ISNUMBER(deployment_raw[[#This Row],[Column19]]), IF(I734&lt;&gt;0,(deployment_raw[[#This Row],[Column19]]/IF(OR($E$2="Deployment",deployment_raw[[#This Row],[Column5]]=0),1,deployment_raw[[#This Row],[Column5]]))/I734,0),"")</f>
        <v/>
      </c>
      <c r="I734" s="69" t="str">
        <f>IF(ISNUMBER(deployment_raw[[#This Row],[Column6]]), (deployment_raw[[#This Row],[Column6]] * IF($E$2="Deployment",deployment_raw[[#This Row],[Column5]],1)),"")</f>
        <v/>
      </c>
      <c r="J734" s="79" t="str">
        <f>IF(ISNUMBER(deployment_raw[[#This Row],[Column19]]), IF(K734&lt;&gt;0,(deployment_raw[[#This Row],[Column19]]/IF(OR($E$2="Deployment",deployment_raw[[#This Row],[Column5]]=0),1,deployment_raw[[#This Row],[Column5]]))/K734,0),"")</f>
        <v/>
      </c>
      <c r="K734" s="72" t="str">
        <f>IF(ISNUMBER(deployment_raw[[#This Row],[Column8]]), (deployment_raw[[#This Row],[Column8]]  * IF($E$2="Deployment",deployment_raw[[#This Row],[Column5]],1)),"")</f>
        <v/>
      </c>
      <c r="L73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3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34" s="81" t="str">
        <f>IF(ISNUMBER(deployment_raw[[#This Row],[Column20]]), IF(O734&lt;&gt;0,deployment_raw[[#This Row],[Column20]]/IF(OR($E$2="Deployment",deployment_raw[[#This Row],[Column5]]=0),1,deployment_raw[[#This Row],[Column5]])/1048576/O734,0),"")</f>
        <v/>
      </c>
      <c r="O734" s="74" t="str">
        <f>IF(ISNUMBER(deployment_raw[[#This Row],[Column7]]), (deployment_raw[[#This Row],[Column7]] * IF($E$2="Deployment",deployment_raw[[#This Row],[Column5]],1))/1048576,"")</f>
        <v/>
      </c>
      <c r="P734" s="81" t="str">
        <f>IF(ISNUMBER(deployment_raw[[#This Row],[Column20]]), IF(Q734&lt;&gt;0,deployment_raw[[#This Row],[Column20]]/IF(OR($E$2="Deployment",deployment_raw[[#This Row],[Column5]]=0),1,deployment_raw[[#This Row],[Column5]])/1048576/Q734,0),"")</f>
        <v/>
      </c>
      <c r="Q734" s="76" t="str">
        <f>IF(ISNUMBER(deployment_raw[[#This Row],[Column9]]), (deployment_raw[[#This Row],[Column9]] * IF($E$2="Deployment",deployment_raw[[#This Row],[Column5]],1))/1048576,"")</f>
        <v/>
      </c>
      <c r="R734" s="57" t="str">
        <f>IF(ISNUMBER(deployment_raw[[#This Row],[Column10]]), (deployment_raw[[#This Row],[Column10]] * IF($E$2="Deployment",deployment_raw[[#This Row],[Column5]],1)),"")</f>
        <v/>
      </c>
      <c r="S734" s="48" t="str">
        <f>IF(ISNUMBER(deployment_raw[[#This Row],[Column11]]), (deployment_raw[[#This Row],[Column11]] * IF($E$2="Deployment",deployment_raw[[#This Row],[Column5]],1))/1048576,"")</f>
        <v/>
      </c>
      <c r="T734" s="59" t="str">
        <f>IF(ISNUMBER(deployment_raw[[#This Row],[Column8]]),IF(OR(deployment_raw[[#This Row],[Column5]] &lt;&gt; 0,$E$2 &lt;&gt; "Deployment"), MAX(V734, ($T$2 * IF($E$2="Deployment",deployment_raw[[#This Row],[Column5]],1))), 0),"")</f>
        <v/>
      </c>
      <c r="U734" s="50" t="str">
        <f>IF(ISNUMBER(deployment_raw[[#This Row],[Column9]]),IF(OR(deployment_raw[[#This Row],[Column5]] &lt;&gt; 0,$E$2&lt;&gt;"Deployment"), MAX(W734, ($U$2 * IF($E$2="Deployment",deployment_raw[[#This Row],[Column5]],1))), 0),"")</f>
        <v/>
      </c>
      <c r="V734" s="15" t="str">
        <f>IF(ISNUMBER(deployment_raw[[#This Row],[Column12]]), (deployment_raw[[#This Row],[Column12]] * IF($E$2="Deployment",deployment_raw[[#This Row],[Column5]],1)*(1+$V$2)),"")</f>
        <v/>
      </c>
      <c r="W734" s="14" t="str">
        <f>IF(ISNUMBER(deployment_raw[[#This Row],[Column13]]), (deployment_raw[[#This Row],[Column13]] * IF($E$2="Deployment",deployment_raw[[#This Row],[Column5]],1)*(1+$W$2))/1048576,"")</f>
        <v/>
      </c>
    </row>
    <row r="735" spans="1:23" ht="15.75" customHeight="1" x14ac:dyDescent="0.25">
      <c r="A735" s="5" t="str">
        <f>IF(ISNONTEXT(deployment_raw[[#This Row],[Column1]]), "", deployment_raw[[#This Row],[Column1]])</f>
        <v/>
      </c>
      <c r="B735" s="6" t="str">
        <f>IF(ISNONTEXT(deployment_raw[[#This Row],[Column2]]), "", deployment_raw[[#This Row],[Column2]])</f>
        <v/>
      </c>
      <c r="C735" s="6" t="str">
        <f>IF(ISNONTEXT(deployment_raw[[#This Row],[Column3]]), "", deployment_raw[[#This Row],[Column3]])</f>
        <v/>
      </c>
      <c r="D735" s="6" t="str">
        <f>IF(ISNONTEXT(deployment_raw[[#This Row],[Column4]]), "", deployment_raw[[#This Row],[Column4]])</f>
        <v/>
      </c>
      <c r="E735" s="7" t="str">
        <f>IF(ISNUMBER(deployment_raw[[#This Row],[Column5]]), deployment_raw[[#This Row],[Column5]],"")</f>
        <v/>
      </c>
      <c r="F735" s="32" t="str">
        <f>IF(ISNUMBER(deployment_raw[[#This Row],[Column17]]), deployment_raw[[#This Row],[Column17]]/IF(OR($E$2="Deployment",deployment_raw[[#This Row],[Column5]]=0),1,deployment_raw[[#This Row],[Column5]]),"")</f>
        <v/>
      </c>
      <c r="G735" s="42" t="str">
        <f>IF(ISNUMBER(deployment_raw[[#This Row],[Column14]]), deployment_raw[[#This Row],[Column14]]/IF(OR($E$2="Deployment",deployment_raw[[#This Row],[Column5]]=0),1,deployment_raw[[#This Row],[Column5]]),"")</f>
        <v/>
      </c>
      <c r="H735" s="79" t="str">
        <f>IF(ISNUMBER(deployment_raw[[#This Row],[Column19]]), IF(I735&lt;&gt;0,(deployment_raw[[#This Row],[Column19]]/IF(OR($E$2="Deployment",deployment_raw[[#This Row],[Column5]]=0),1,deployment_raw[[#This Row],[Column5]]))/I735,0),"")</f>
        <v/>
      </c>
      <c r="I735" s="69" t="str">
        <f>IF(ISNUMBER(deployment_raw[[#This Row],[Column6]]), (deployment_raw[[#This Row],[Column6]] * IF($E$2="Deployment",deployment_raw[[#This Row],[Column5]],1)),"")</f>
        <v/>
      </c>
      <c r="J735" s="79" t="str">
        <f>IF(ISNUMBER(deployment_raw[[#This Row],[Column19]]), IF(K735&lt;&gt;0,(deployment_raw[[#This Row],[Column19]]/IF(OR($E$2="Deployment",deployment_raw[[#This Row],[Column5]]=0),1,deployment_raw[[#This Row],[Column5]]))/K735,0),"")</f>
        <v/>
      </c>
      <c r="K735" s="72" t="str">
        <f>IF(ISNUMBER(deployment_raw[[#This Row],[Column8]]), (deployment_raw[[#This Row],[Column8]]  * IF($E$2="Deployment",deployment_raw[[#This Row],[Column5]],1)),"")</f>
        <v/>
      </c>
      <c r="L73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3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35" s="81" t="str">
        <f>IF(ISNUMBER(deployment_raw[[#This Row],[Column20]]), IF(O735&lt;&gt;0,deployment_raw[[#This Row],[Column20]]/IF(OR($E$2="Deployment",deployment_raw[[#This Row],[Column5]]=0),1,deployment_raw[[#This Row],[Column5]])/1048576/O735,0),"")</f>
        <v/>
      </c>
      <c r="O735" s="74" t="str">
        <f>IF(ISNUMBER(deployment_raw[[#This Row],[Column7]]), (deployment_raw[[#This Row],[Column7]] * IF($E$2="Deployment",deployment_raw[[#This Row],[Column5]],1))/1048576,"")</f>
        <v/>
      </c>
      <c r="P735" s="81" t="str">
        <f>IF(ISNUMBER(deployment_raw[[#This Row],[Column20]]), IF(Q735&lt;&gt;0,deployment_raw[[#This Row],[Column20]]/IF(OR($E$2="Deployment",deployment_raw[[#This Row],[Column5]]=0),1,deployment_raw[[#This Row],[Column5]])/1048576/Q735,0),"")</f>
        <v/>
      </c>
      <c r="Q735" s="76" t="str">
        <f>IF(ISNUMBER(deployment_raw[[#This Row],[Column9]]), (deployment_raw[[#This Row],[Column9]] * IF($E$2="Deployment",deployment_raw[[#This Row],[Column5]],1))/1048576,"")</f>
        <v/>
      </c>
      <c r="R735" s="57" t="str">
        <f>IF(ISNUMBER(deployment_raw[[#This Row],[Column10]]), (deployment_raw[[#This Row],[Column10]] * IF($E$2="Deployment",deployment_raw[[#This Row],[Column5]],1)),"")</f>
        <v/>
      </c>
      <c r="S735" s="48" t="str">
        <f>IF(ISNUMBER(deployment_raw[[#This Row],[Column11]]), (deployment_raw[[#This Row],[Column11]] * IF($E$2="Deployment",deployment_raw[[#This Row],[Column5]],1))/1048576,"")</f>
        <v/>
      </c>
      <c r="T735" s="59" t="str">
        <f>IF(ISNUMBER(deployment_raw[[#This Row],[Column8]]),IF(OR(deployment_raw[[#This Row],[Column5]] &lt;&gt; 0,$E$2 &lt;&gt; "Deployment"), MAX(V735, ($T$2 * IF($E$2="Deployment",deployment_raw[[#This Row],[Column5]],1))), 0),"")</f>
        <v/>
      </c>
      <c r="U735" s="50" t="str">
        <f>IF(ISNUMBER(deployment_raw[[#This Row],[Column9]]),IF(OR(deployment_raw[[#This Row],[Column5]] &lt;&gt; 0,$E$2&lt;&gt;"Deployment"), MAX(W735, ($U$2 * IF($E$2="Deployment",deployment_raw[[#This Row],[Column5]],1))), 0),"")</f>
        <v/>
      </c>
      <c r="V735" s="15" t="str">
        <f>IF(ISNUMBER(deployment_raw[[#This Row],[Column12]]), (deployment_raw[[#This Row],[Column12]] * IF($E$2="Deployment",deployment_raw[[#This Row],[Column5]],1)*(1+$V$2)),"")</f>
        <v/>
      </c>
      <c r="W735" s="14" t="str">
        <f>IF(ISNUMBER(deployment_raw[[#This Row],[Column13]]), (deployment_raw[[#This Row],[Column13]] * IF($E$2="Deployment",deployment_raw[[#This Row],[Column5]],1)*(1+$W$2))/1048576,"")</f>
        <v/>
      </c>
    </row>
    <row r="736" spans="1:23" ht="15.75" customHeight="1" x14ac:dyDescent="0.25">
      <c r="A736" s="5" t="str">
        <f>IF(ISNONTEXT(deployment_raw[[#This Row],[Column1]]), "", deployment_raw[[#This Row],[Column1]])</f>
        <v/>
      </c>
      <c r="B736" s="6" t="str">
        <f>IF(ISNONTEXT(deployment_raw[[#This Row],[Column2]]), "", deployment_raw[[#This Row],[Column2]])</f>
        <v/>
      </c>
      <c r="C736" s="6" t="str">
        <f>IF(ISNONTEXT(deployment_raw[[#This Row],[Column3]]), "", deployment_raw[[#This Row],[Column3]])</f>
        <v/>
      </c>
      <c r="D736" s="6" t="str">
        <f>IF(ISNONTEXT(deployment_raw[[#This Row],[Column4]]), "", deployment_raw[[#This Row],[Column4]])</f>
        <v/>
      </c>
      <c r="E736" s="7" t="str">
        <f>IF(ISNUMBER(deployment_raw[[#This Row],[Column5]]), deployment_raw[[#This Row],[Column5]],"")</f>
        <v/>
      </c>
      <c r="F736" s="32" t="str">
        <f>IF(ISNUMBER(deployment_raw[[#This Row],[Column17]]), deployment_raw[[#This Row],[Column17]]/IF(OR($E$2="Deployment",deployment_raw[[#This Row],[Column5]]=0),1,deployment_raw[[#This Row],[Column5]]),"")</f>
        <v/>
      </c>
      <c r="G736" s="42" t="str">
        <f>IF(ISNUMBER(deployment_raw[[#This Row],[Column14]]), deployment_raw[[#This Row],[Column14]]/IF(OR($E$2="Deployment",deployment_raw[[#This Row],[Column5]]=0),1,deployment_raw[[#This Row],[Column5]]),"")</f>
        <v/>
      </c>
      <c r="H736" s="79" t="str">
        <f>IF(ISNUMBER(deployment_raw[[#This Row],[Column19]]), IF(I736&lt;&gt;0,(deployment_raw[[#This Row],[Column19]]/IF(OR($E$2="Deployment",deployment_raw[[#This Row],[Column5]]=0),1,deployment_raw[[#This Row],[Column5]]))/I736,0),"")</f>
        <v/>
      </c>
      <c r="I736" s="69" t="str">
        <f>IF(ISNUMBER(deployment_raw[[#This Row],[Column6]]), (deployment_raw[[#This Row],[Column6]] * IF($E$2="Deployment",deployment_raw[[#This Row],[Column5]],1)),"")</f>
        <v/>
      </c>
      <c r="J736" s="79" t="str">
        <f>IF(ISNUMBER(deployment_raw[[#This Row],[Column19]]), IF(K736&lt;&gt;0,(deployment_raw[[#This Row],[Column19]]/IF(OR($E$2="Deployment",deployment_raw[[#This Row],[Column5]]=0),1,deployment_raw[[#This Row],[Column5]]))/K736,0),"")</f>
        <v/>
      </c>
      <c r="K736" s="72" t="str">
        <f>IF(ISNUMBER(deployment_raw[[#This Row],[Column8]]), (deployment_raw[[#This Row],[Column8]]  * IF($E$2="Deployment",deployment_raw[[#This Row],[Column5]],1)),"")</f>
        <v/>
      </c>
      <c r="L73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3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36" s="81" t="str">
        <f>IF(ISNUMBER(deployment_raw[[#This Row],[Column20]]), IF(O736&lt;&gt;0,deployment_raw[[#This Row],[Column20]]/IF(OR($E$2="Deployment",deployment_raw[[#This Row],[Column5]]=0),1,deployment_raw[[#This Row],[Column5]])/1048576/O736,0),"")</f>
        <v/>
      </c>
      <c r="O736" s="74" t="str">
        <f>IF(ISNUMBER(deployment_raw[[#This Row],[Column7]]), (deployment_raw[[#This Row],[Column7]] * IF($E$2="Deployment",deployment_raw[[#This Row],[Column5]],1))/1048576,"")</f>
        <v/>
      </c>
      <c r="P736" s="81" t="str">
        <f>IF(ISNUMBER(deployment_raw[[#This Row],[Column20]]), IF(Q736&lt;&gt;0,deployment_raw[[#This Row],[Column20]]/IF(OR($E$2="Deployment",deployment_raw[[#This Row],[Column5]]=0),1,deployment_raw[[#This Row],[Column5]])/1048576/Q736,0),"")</f>
        <v/>
      </c>
      <c r="Q736" s="76" t="str">
        <f>IF(ISNUMBER(deployment_raw[[#This Row],[Column9]]), (deployment_raw[[#This Row],[Column9]] * IF($E$2="Deployment",deployment_raw[[#This Row],[Column5]],1))/1048576,"")</f>
        <v/>
      </c>
      <c r="R736" s="57" t="str">
        <f>IF(ISNUMBER(deployment_raw[[#This Row],[Column10]]), (deployment_raw[[#This Row],[Column10]] * IF($E$2="Deployment",deployment_raw[[#This Row],[Column5]],1)),"")</f>
        <v/>
      </c>
      <c r="S736" s="48" t="str">
        <f>IF(ISNUMBER(deployment_raw[[#This Row],[Column11]]), (deployment_raw[[#This Row],[Column11]] * IF($E$2="Deployment",deployment_raw[[#This Row],[Column5]],1))/1048576,"")</f>
        <v/>
      </c>
      <c r="T736" s="59" t="str">
        <f>IF(ISNUMBER(deployment_raw[[#This Row],[Column8]]),IF(OR(deployment_raw[[#This Row],[Column5]] &lt;&gt; 0,$E$2 &lt;&gt; "Deployment"), MAX(V736, ($T$2 * IF($E$2="Deployment",deployment_raw[[#This Row],[Column5]],1))), 0),"")</f>
        <v/>
      </c>
      <c r="U736" s="50" t="str">
        <f>IF(ISNUMBER(deployment_raw[[#This Row],[Column9]]),IF(OR(deployment_raw[[#This Row],[Column5]] &lt;&gt; 0,$E$2&lt;&gt;"Deployment"), MAX(W736, ($U$2 * IF($E$2="Deployment",deployment_raw[[#This Row],[Column5]],1))), 0),"")</f>
        <v/>
      </c>
      <c r="V736" s="15" t="str">
        <f>IF(ISNUMBER(deployment_raw[[#This Row],[Column12]]), (deployment_raw[[#This Row],[Column12]] * IF($E$2="Deployment",deployment_raw[[#This Row],[Column5]],1)*(1+$V$2)),"")</f>
        <v/>
      </c>
      <c r="W736" s="14" t="str">
        <f>IF(ISNUMBER(deployment_raw[[#This Row],[Column13]]), (deployment_raw[[#This Row],[Column13]] * IF($E$2="Deployment",deployment_raw[[#This Row],[Column5]],1)*(1+$W$2))/1048576,"")</f>
        <v/>
      </c>
    </row>
    <row r="737" spans="1:23" ht="15.75" customHeight="1" x14ac:dyDescent="0.25">
      <c r="A737" s="5" t="str">
        <f>IF(ISNONTEXT(deployment_raw[[#This Row],[Column1]]), "", deployment_raw[[#This Row],[Column1]])</f>
        <v/>
      </c>
      <c r="B737" s="6" t="str">
        <f>IF(ISNONTEXT(deployment_raw[[#This Row],[Column2]]), "", deployment_raw[[#This Row],[Column2]])</f>
        <v/>
      </c>
      <c r="C737" s="6" t="str">
        <f>IF(ISNONTEXT(deployment_raw[[#This Row],[Column3]]), "", deployment_raw[[#This Row],[Column3]])</f>
        <v/>
      </c>
      <c r="D737" s="6" t="str">
        <f>IF(ISNONTEXT(deployment_raw[[#This Row],[Column4]]), "", deployment_raw[[#This Row],[Column4]])</f>
        <v/>
      </c>
      <c r="E737" s="7" t="str">
        <f>IF(ISNUMBER(deployment_raw[[#This Row],[Column5]]), deployment_raw[[#This Row],[Column5]],"")</f>
        <v/>
      </c>
      <c r="F737" s="32" t="str">
        <f>IF(ISNUMBER(deployment_raw[[#This Row],[Column17]]), deployment_raw[[#This Row],[Column17]]/IF(OR($E$2="Deployment",deployment_raw[[#This Row],[Column5]]=0),1,deployment_raw[[#This Row],[Column5]]),"")</f>
        <v/>
      </c>
      <c r="G737" s="42" t="str">
        <f>IF(ISNUMBER(deployment_raw[[#This Row],[Column14]]), deployment_raw[[#This Row],[Column14]]/IF(OR($E$2="Deployment",deployment_raw[[#This Row],[Column5]]=0),1,deployment_raw[[#This Row],[Column5]]),"")</f>
        <v/>
      </c>
      <c r="H737" s="79" t="str">
        <f>IF(ISNUMBER(deployment_raw[[#This Row],[Column19]]), IF(I737&lt;&gt;0,(deployment_raw[[#This Row],[Column19]]/IF(OR($E$2="Deployment",deployment_raw[[#This Row],[Column5]]=0),1,deployment_raw[[#This Row],[Column5]]))/I737,0),"")</f>
        <v/>
      </c>
      <c r="I737" s="69" t="str">
        <f>IF(ISNUMBER(deployment_raw[[#This Row],[Column6]]), (deployment_raw[[#This Row],[Column6]] * IF($E$2="Deployment",deployment_raw[[#This Row],[Column5]],1)),"")</f>
        <v/>
      </c>
      <c r="J737" s="79" t="str">
        <f>IF(ISNUMBER(deployment_raw[[#This Row],[Column19]]), IF(K737&lt;&gt;0,(deployment_raw[[#This Row],[Column19]]/IF(OR($E$2="Deployment",deployment_raw[[#This Row],[Column5]]=0),1,deployment_raw[[#This Row],[Column5]]))/K737,0),"")</f>
        <v/>
      </c>
      <c r="K737" s="72" t="str">
        <f>IF(ISNUMBER(deployment_raw[[#This Row],[Column8]]), (deployment_raw[[#This Row],[Column8]]  * IF($E$2="Deployment",deployment_raw[[#This Row],[Column5]],1)),"")</f>
        <v/>
      </c>
      <c r="L73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3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37" s="81" t="str">
        <f>IF(ISNUMBER(deployment_raw[[#This Row],[Column20]]), IF(O737&lt;&gt;0,deployment_raw[[#This Row],[Column20]]/IF(OR($E$2="Deployment",deployment_raw[[#This Row],[Column5]]=0),1,deployment_raw[[#This Row],[Column5]])/1048576/O737,0),"")</f>
        <v/>
      </c>
      <c r="O737" s="74" t="str">
        <f>IF(ISNUMBER(deployment_raw[[#This Row],[Column7]]), (deployment_raw[[#This Row],[Column7]] * IF($E$2="Deployment",deployment_raw[[#This Row],[Column5]],1))/1048576,"")</f>
        <v/>
      </c>
      <c r="P737" s="81" t="str">
        <f>IF(ISNUMBER(deployment_raw[[#This Row],[Column20]]), IF(Q737&lt;&gt;0,deployment_raw[[#This Row],[Column20]]/IF(OR($E$2="Deployment",deployment_raw[[#This Row],[Column5]]=0),1,deployment_raw[[#This Row],[Column5]])/1048576/Q737,0),"")</f>
        <v/>
      </c>
      <c r="Q737" s="76" t="str">
        <f>IF(ISNUMBER(deployment_raw[[#This Row],[Column9]]), (deployment_raw[[#This Row],[Column9]] * IF($E$2="Deployment",deployment_raw[[#This Row],[Column5]],1))/1048576,"")</f>
        <v/>
      </c>
      <c r="R737" s="57" t="str">
        <f>IF(ISNUMBER(deployment_raw[[#This Row],[Column10]]), (deployment_raw[[#This Row],[Column10]] * IF($E$2="Deployment",deployment_raw[[#This Row],[Column5]],1)),"")</f>
        <v/>
      </c>
      <c r="S737" s="48" t="str">
        <f>IF(ISNUMBER(deployment_raw[[#This Row],[Column11]]), (deployment_raw[[#This Row],[Column11]] * IF($E$2="Deployment",deployment_raw[[#This Row],[Column5]],1))/1048576,"")</f>
        <v/>
      </c>
      <c r="T737" s="59" t="str">
        <f>IF(ISNUMBER(deployment_raw[[#This Row],[Column8]]),IF(OR(deployment_raw[[#This Row],[Column5]] &lt;&gt; 0,$E$2 &lt;&gt; "Deployment"), MAX(V737, ($T$2 * IF($E$2="Deployment",deployment_raw[[#This Row],[Column5]],1))), 0),"")</f>
        <v/>
      </c>
      <c r="U737" s="50" t="str">
        <f>IF(ISNUMBER(deployment_raw[[#This Row],[Column9]]),IF(OR(deployment_raw[[#This Row],[Column5]] &lt;&gt; 0,$E$2&lt;&gt;"Deployment"), MAX(W737, ($U$2 * IF($E$2="Deployment",deployment_raw[[#This Row],[Column5]],1))), 0),"")</f>
        <v/>
      </c>
      <c r="V737" s="15" t="str">
        <f>IF(ISNUMBER(deployment_raw[[#This Row],[Column12]]), (deployment_raw[[#This Row],[Column12]] * IF($E$2="Deployment",deployment_raw[[#This Row],[Column5]],1)*(1+$V$2)),"")</f>
        <v/>
      </c>
      <c r="W737" s="14" t="str">
        <f>IF(ISNUMBER(deployment_raw[[#This Row],[Column13]]), (deployment_raw[[#This Row],[Column13]] * IF($E$2="Deployment",deployment_raw[[#This Row],[Column5]],1)*(1+$W$2))/1048576,"")</f>
        <v/>
      </c>
    </row>
    <row r="738" spans="1:23" ht="15.75" customHeight="1" x14ac:dyDescent="0.25">
      <c r="A738" s="5" t="str">
        <f>IF(ISNONTEXT(deployment_raw[[#This Row],[Column1]]), "", deployment_raw[[#This Row],[Column1]])</f>
        <v/>
      </c>
      <c r="B738" s="6" t="str">
        <f>IF(ISNONTEXT(deployment_raw[[#This Row],[Column2]]), "", deployment_raw[[#This Row],[Column2]])</f>
        <v/>
      </c>
      <c r="C738" s="6" t="str">
        <f>IF(ISNONTEXT(deployment_raw[[#This Row],[Column3]]), "", deployment_raw[[#This Row],[Column3]])</f>
        <v/>
      </c>
      <c r="D738" s="6" t="str">
        <f>IF(ISNONTEXT(deployment_raw[[#This Row],[Column4]]), "", deployment_raw[[#This Row],[Column4]])</f>
        <v/>
      </c>
      <c r="E738" s="7" t="str">
        <f>IF(ISNUMBER(deployment_raw[[#This Row],[Column5]]), deployment_raw[[#This Row],[Column5]],"")</f>
        <v/>
      </c>
      <c r="F738" s="32" t="str">
        <f>IF(ISNUMBER(deployment_raw[[#This Row],[Column17]]), deployment_raw[[#This Row],[Column17]]/IF(OR($E$2="Deployment",deployment_raw[[#This Row],[Column5]]=0),1,deployment_raw[[#This Row],[Column5]]),"")</f>
        <v/>
      </c>
      <c r="G738" s="42" t="str">
        <f>IF(ISNUMBER(deployment_raw[[#This Row],[Column14]]), deployment_raw[[#This Row],[Column14]]/IF(OR($E$2="Deployment",deployment_raw[[#This Row],[Column5]]=0),1,deployment_raw[[#This Row],[Column5]]),"")</f>
        <v/>
      </c>
      <c r="H738" s="79" t="str">
        <f>IF(ISNUMBER(deployment_raw[[#This Row],[Column19]]), IF(I738&lt;&gt;0,(deployment_raw[[#This Row],[Column19]]/IF(OR($E$2="Deployment",deployment_raw[[#This Row],[Column5]]=0),1,deployment_raw[[#This Row],[Column5]]))/I738,0),"")</f>
        <v/>
      </c>
      <c r="I738" s="69" t="str">
        <f>IF(ISNUMBER(deployment_raw[[#This Row],[Column6]]), (deployment_raw[[#This Row],[Column6]] * IF($E$2="Deployment",deployment_raw[[#This Row],[Column5]],1)),"")</f>
        <v/>
      </c>
      <c r="J738" s="79" t="str">
        <f>IF(ISNUMBER(deployment_raw[[#This Row],[Column19]]), IF(K738&lt;&gt;0,(deployment_raw[[#This Row],[Column19]]/IF(OR($E$2="Deployment",deployment_raw[[#This Row],[Column5]]=0),1,deployment_raw[[#This Row],[Column5]]))/K738,0),"")</f>
        <v/>
      </c>
      <c r="K738" s="72" t="str">
        <f>IF(ISNUMBER(deployment_raw[[#This Row],[Column8]]), (deployment_raw[[#This Row],[Column8]]  * IF($E$2="Deployment",deployment_raw[[#This Row],[Column5]],1)),"")</f>
        <v/>
      </c>
      <c r="L73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3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38" s="81" t="str">
        <f>IF(ISNUMBER(deployment_raw[[#This Row],[Column20]]), IF(O738&lt;&gt;0,deployment_raw[[#This Row],[Column20]]/IF(OR($E$2="Deployment",deployment_raw[[#This Row],[Column5]]=0),1,deployment_raw[[#This Row],[Column5]])/1048576/O738,0),"")</f>
        <v/>
      </c>
      <c r="O738" s="74" t="str">
        <f>IF(ISNUMBER(deployment_raw[[#This Row],[Column7]]), (deployment_raw[[#This Row],[Column7]] * IF($E$2="Deployment",deployment_raw[[#This Row],[Column5]],1))/1048576,"")</f>
        <v/>
      </c>
      <c r="P738" s="81" t="str">
        <f>IF(ISNUMBER(deployment_raw[[#This Row],[Column20]]), IF(Q738&lt;&gt;0,deployment_raw[[#This Row],[Column20]]/IF(OR($E$2="Deployment",deployment_raw[[#This Row],[Column5]]=0),1,deployment_raw[[#This Row],[Column5]])/1048576/Q738,0),"")</f>
        <v/>
      </c>
      <c r="Q738" s="76" t="str">
        <f>IF(ISNUMBER(deployment_raw[[#This Row],[Column9]]), (deployment_raw[[#This Row],[Column9]] * IF($E$2="Deployment",deployment_raw[[#This Row],[Column5]],1))/1048576,"")</f>
        <v/>
      </c>
      <c r="R738" s="57" t="str">
        <f>IF(ISNUMBER(deployment_raw[[#This Row],[Column10]]), (deployment_raw[[#This Row],[Column10]] * IF($E$2="Deployment",deployment_raw[[#This Row],[Column5]],1)),"")</f>
        <v/>
      </c>
      <c r="S738" s="48" t="str">
        <f>IF(ISNUMBER(deployment_raw[[#This Row],[Column11]]), (deployment_raw[[#This Row],[Column11]] * IF($E$2="Deployment",deployment_raw[[#This Row],[Column5]],1))/1048576,"")</f>
        <v/>
      </c>
      <c r="T738" s="59" t="str">
        <f>IF(ISNUMBER(deployment_raw[[#This Row],[Column8]]),IF(OR(deployment_raw[[#This Row],[Column5]] &lt;&gt; 0,$E$2 &lt;&gt; "Deployment"), MAX(V738, ($T$2 * IF($E$2="Deployment",deployment_raw[[#This Row],[Column5]],1))), 0),"")</f>
        <v/>
      </c>
      <c r="U738" s="50" t="str">
        <f>IF(ISNUMBER(deployment_raw[[#This Row],[Column9]]),IF(OR(deployment_raw[[#This Row],[Column5]] &lt;&gt; 0,$E$2&lt;&gt;"Deployment"), MAX(W738, ($U$2 * IF($E$2="Deployment",deployment_raw[[#This Row],[Column5]],1))), 0),"")</f>
        <v/>
      </c>
      <c r="V738" s="15" t="str">
        <f>IF(ISNUMBER(deployment_raw[[#This Row],[Column12]]), (deployment_raw[[#This Row],[Column12]] * IF($E$2="Deployment",deployment_raw[[#This Row],[Column5]],1)*(1+$V$2)),"")</f>
        <v/>
      </c>
      <c r="W738" s="14" t="str">
        <f>IF(ISNUMBER(deployment_raw[[#This Row],[Column13]]), (deployment_raw[[#This Row],[Column13]] * IF($E$2="Deployment",deployment_raw[[#This Row],[Column5]],1)*(1+$W$2))/1048576,"")</f>
        <v/>
      </c>
    </row>
    <row r="739" spans="1:23" ht="15.75" customHeight="1" x14ac:dyDescent="0.25">
      <c r="A739" s="5" t="str">
        <f>IF(ISNONTEXT(deployment_raw[[#This Row],[Column1]]), "", deployment_raw[[#This Row],[Column1]])</f>
        <v/>
      </c>
      <c r="B739" s="6" t="str">
        <f>IF(ISNONTEXT(deployment_raw[[#This Row],[Column2]]), "", deployment_raw[[#This Row],[Column2]])</f>
        <v/>
      </c>
      <c r="C739" s="6" t="str">
        <f>IF(ISNONTEXT(deployment_raw[[#This Row],[Column3]]), "", deployment_raw[[#This Row],[Column3]])</f>
        <v/>
      </c>
      <c r="D739" s="6" t="str">
        <f>IF(ISNONTEXT(deployment_raw[[#This Row],[Column4]]), "", deployment_raw[[#This Row],[Column4]])</f>
        <v/>
      </c>
      <c r="E739" s="7" t="str">
        <f>IF(ISNUMBER(deployment_raw[[#This Row],[Column5]]), deployment_raw[[#This Row],[Column5]],"")</f>
        <v/>
      </c>
      <c r="F739" s="32" t="str">
        <f>IF(ISNUMBER(deployment_raw[[#This Row],[Column17]]), deployment_raw[[#This Row],[Column17]]/IF(OR($E$2="Deployment",deployment_raw[[#This Row],[Column5]]=0),1,deployment_raw[[#This Row],[Column5]]),"")</f>
        <v/>
      </c>
      <c r="G739" s="42" t="str">
        <f>IF(ISNUMBER(deployment_raw[[#This Row],[Column14]]), deployment_raw[[#This Row],[Column14]]/IF(OR($E$2="Deployment",deployment_raw[[#This Row],[Column5]]=0),1,deployment_raw[[#This Row],[Column5]]),"")</f>
        <v/>
      </c>
      <c r="H739" s="79" t="str">
        <f>IF(ISNUMBER(deployment_raw[[#This Row],[Column19]]), IF(I739&lt;&gt;0,(deployment_raw[[#This Row],[Column19]]/IF(OR($E$2="Deployment",deployment_raw[[#This Row],[Column5]]=0),1,deployment_raw[[#This Row],[Column5]]))/I739,0),"")</f>
        <v/>
      </c>
      <c r="I739" s="69" t="str">
        <f>IF(ISNUMBER(deployment_raw[[#This Row],[Column6]]), (deployment_raw[[#This Row],[Column6]] * IF($E$2="Deployment",deployment_raw[[#This Row],[Column5]],1)),"")</f>
        <v/>
      </c>
      <c r="J739" s="79" t="str">
        <f>IF(ISNUMBER(deployment_raw[[#This Row],[Column19]]), IF(K739&lt;&gt;0,(deployment_raw[[#This Row],[Column19]]/IF(OR($E$2="Deployment",deployment_raw[[#This Row],[Column5]]=0),1,deployment_raw[[#This Row],[Column5]]))/K739,0),"")</f>
        <v/>
      </c>
      <c r="K739" s="72" t="str">
        <f>IF(ISNUMBER(deployment_raw[[#This Row],[Column8]]), (deployment_raw[[#This Row],[Column8]]  * IF($E$2="Deployment",deployment_raw[[#This Row],[Column5]],1)),"")</f>
        <v/>
      </c>
      <c r="L73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3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39" s="81" t="str">
        <f>IF(ISNUMBER(deployment_raw[[#This Row],[Column20]]), IF(O739&lt;&gt;0,deployment_raw[[#This Row],[Column20]]/IF(OR($E$2="Deployment",deployment_raw[[#This Row],[Column5]]=0),1,deployment_raw[[#This Row],[Column5]])/1048576/O739,0),"")</f>
        <v/>
      </c>
      <c r="O739" s="74" t="str">
        <f>IF(ISNUMBER(deployment_raw[[#This Row],[Column7]]), (deployment_raw[[#This Row],[Column7]] * IF($E$2="Deployment",deployment_raw[[#This Row],[Column5]],1))/1048576,"")</f>
        <v/>
      </c>
      <c r="P739" s="81" t="str">
        <f>IF(ISNUMBER(deployment_raw[[#This Row],[Column20]]), IF(Q739&lt;&gt;0,deployment_raw[[#This Row],[Column20]]/IF(OR($E$2="Deployment",deployment_raw[[#This Row],[Column5]]=0),1,deployment_raw[[#This Row],[Column5]])/1048576/Q739,0),"")</f>
        <v/>
      </c>
      <c r="Q739" s="76" t="str">
        <f>IF(ISNUMBER(deployment_raw[[#This Row],[Column9]]), (deployment_raw[[#This Row],[Column9]] * IF($E$2="Deployment",deployment_raw[[#This Row],[Column5]],1))/1048576,"")</f>
        <v/>
      </c>
      <c r="R739" s="57" t="str">
        <f>IF(ISNUMBER(deployment_raw[[#This Row],[Column10]]), (deployment_raw[[#This Row],[Column10]] * IF($E$2="Deployment",deployment_raw[[#This Row],[Column5]],1)),"")</f>
        <v/>
      </c>
      <c r="S739" s="48" t="str">
        <f>IF(ISNUMBER(deployment_raw[[#This Row],[Column11]]), (deployment_raw[[#This Row],[Column11]] * IF($E$2="Deployment",deployment_raw[[#This Row],[Column5]],1))/1048576,"")</f>
        <v/>
      </c>
      <c r="T739" s="59" t="str">
        <f>IF(ISNUMBER(deployment_raw[[#This Row],[Column8]]),IF(OR(deployment_raw[[#This Row],[Column5]] &lt;&gt; 0,$E$2 &lt;&gt; "Deployment"), MAX(V739, ($T$2 * IF($E$2="Deployment",deployment_raw[[#This Row],[Column5]],1))), 0),"")</f>
        <v/>
      </c>
      <c r="U739" s="50" t="str">
        <f>IF(ISNUMBER(deployment_raw[[#This Row],[Column9]]),IF(OR(deployment_raw[[#This Row],[Column5]] &lt;&gt; 0,$E$2&lt;&gt;"Deployment"), MAX(W739, ($U$2 * IF($E$2="Deployment",deployment_raw[[#This Row],[Column5]],1))), 0),"")</f>
        <v/>
      </c>
      <c r="V739" s="15" t="str">
        <f>IF(ISNUMBER(deployment_raw[[#This Row],[Column12]]), (deployment_raw[[#This Row],[Column12]] * IF($E$2="Deployment",deployment_raw[[#This Row],[Column5]],1)*(1+$V$2)),"")</f>
        <v/>
      </c>
      <c r="W739" s="14" t="str">
        <f>IF(ISNUMBER(deployment_raw[[#This Row],[Column13]]), (deployment_raw[[#This Row],[Column13]] * IF($E$2="Deployment",deployment_raw[[#This Row],[Column5]],1)*(1+$W$2))/1048576,"")</f>
        <v/>
      </c>
    </row>
    <row r="740" spans="1:23" ht="15.75" customHeight="1" x14ac:dyDescent="0.25">
      <c r="A740" s="5" t="str">
        <f>IF(ISNONTEXT(deployment_raw[[#This Row],[Column1]]), "", deployment_raw[[#This Row],[Column1]])</f>
        <v/>
      </c>
      <c r="B740" s="6" t="str">
        <f>IF(ISNONTEXT(deployment_raw[[#This Row],[Column2]]), "", deployment_raw[[#This Row],[Column2]])</f>
        <v/>
      </c>
      <c r="C740" s="6" t="str">
        <f>IF(ISNONTEXT(deployment_raw[[#This Row],[Column3]]), "", deployment_raw[[#This Row],[Column3]])</f>
        <v/>
      </c>
      <c r="D740" s="6" t="str">
        <f>IF(ISNONTEXT(deployment_raw[[#This Row],[Column4]]), "", deployment_raw[[#This Row],[Column4]])</f>
        <v/>
      </c>
      <c r="E740" s="7" t="str">
        <f>IF(ISNUMBER(deployment_raw[[#This Row],[Column5]]), deployment_raw[[#This Row],[Column5]],"")</f>
        <v/>
      </c>
      <c r="F740" s="32" t="str">
        <f>IF(ISNUMBER(deployment_raw[[#This Row],[Column17]]), deployment_raw[[#This Row],[Column17]]/IF(OR($E$2="Deployment",deployment_raw[[#This Row],[Column5]]=0),1,deployment_raw[[#This Row],[Column5]]),"")</f>
        <v/>
      </c>
      <c r="G740" s="42" t="str">
        <f>IF(ISNUMBER(deployment_raw[[#This Row],[Column14]]), deployment_raw[[#This Row],[Column14]]/IF(OR($E$2="Deployment",deployment_raw[[#This Row],[Column5]]=0),1,deployment_raw[[#This Row],[Column5]]),"")</f>
        <v/>
      </c>
      <c r="H740" s="79" t="str">
        <f>IF(ISNUMBER(deployment_raw[[#This Row],[Column19]]), IF(I740&lt;&gt;0,(deployment_raw[[#This Row],[Column19]]/IF(OR($E$2="Deployment",deployment_raw[[#This Row],[Column5]]=0),1,deployment_raw[[#This Row],[Column5]]))/I740,0),"")</f>
        <v/>
      </c>
      <c r="I740" s="69" t="str">
        <f>IF(ISNUMBER(deployment_raw[[#This Row],[Column6]]), (deployment_raw[[#This Row],[Column6]] * IF($E$2="Deployment",deployment_raw[[#This Row],[Column5]],1)),"")</f>
        <v/>
      </c>
      <c r="J740" s="79" t="str">
        <f>IF(ISNUMBER(deployment_raw[[#This Row],[Column19]]), IF(K740&lt;&gt;0,(deployment_raw[[#This Row],[Column19]]/IF(OR($E$2="Deployment",deployment_raw[[#This Row],[Column5]]=0),1,deployment_raw[[#This Row],[Column5]]))/K740,0),"")</f>
        <v/>
      </c>
      <c r="K740" s="72" t="str">
        <f>IF(ISNUMBER(deployment_raw[[#This Row],[Column8]]), (deployment_raw[[#This Row],[Column8]]  * IF($E$2="Deployment",deployment_raw[[#This Row],[Column5]],1)),"")</f>
        <v/>
      </c>
      <c r="L74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4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40" s="81" t="str">
        <f>IF(ISNUMBER(deployment_raw[[#This Row],[Column20]]), IF(O740&lt;&gt;0,deployment_raw[[#This Row],[Column20]]/IF(OR($E$2="Deployment",deployment_raw[[#This Row],[Column5]]=0),1,deployment_raw[[#This Row],[Column5]])/1048576/O740,0),"")</f>
        <v/>
      </c>
      <c r="O740" s="74" t="str">
        <f>IF(ISNUMBER(deployment_raw[[#This Row],[Column7]]), (deployment_raw[[#This Row],[Column7]] * IF($E$2="Deployment",deployment_raw[[#This Row],[Column5]],1))/1048576,"")</f>
        <v/>
      </c>
      <c r="P740" s="81" t="str">
        <f>IF(ISNUMBER(deployment_raw[[#This Row],[Column20]]), IF(Q740&lt;&gt;0,deployment_raw[[#This Row],[Column20]]/IF(OR($E$2="Deployment",deployment_raw[[#This Row],[Column5]]=0),1,deployment_raw[[#This Row],[Column5]])/1048576/Q740,0),"")</f>
        <v/>
      </c>
      <c r="Q740" s="76" t="str">
        <f>IF(ISNUMBER(deployment_raw[[#This Row],[Column9]]), (deployment_raw[[#This Row],[Column9]] * IF($E$2="Deployment",deployment_raw[[#This Row],[Column5]],1))/1048576,"")</f>
        <v/>
      </c>
      <c r="R740" s="57" t="str">
        <f>IF(ISNUMBER(deployment_raw[[#This Row],[Column10]]), (deployment_raw[[#This Row],[Column10]] * IF($E$2="Deployment",deployment_raw[[#This Row],[Column5]],1)),"")</f>
        <v/>
      </c>
      <c r="S740" s="48" t="str">
        <f>IF(ISNUMBER(deployment_raw[[#This Row],[Column11]]), (deployment_raw[[#This Row],[Column11]] * IF($E$2="Deployment",deployment_raw[[#This Row],[Column5]],1))/1048576,"")</f>
        <v/>
      </c>
      <c r="T740" s="59" t="str">
        <f>IF(ISNUMBER(deployment_raw[[#This Row],[Column8]]),IF(OR(deployment_raw[[#This Row],[Column5]] &lt;&gt; 0,$E$2 &lt;&gt; "Deployment"), MAX(V740, ($T$2 * IF($E$2="Deployment",deployment_raw[[#This Row],[Column5]],1))), 0),"")</f>
        <v/>
      </c>
      <c r="U740" s="50" t="str">
        <f>IF(ISNUMBER(deployment_raw[[#This Row],[Column9]]),IF(OR(deployment_raw[[#This Row],[Column5]] &lt;&gt; 0,$E$2&lt;&gt;"Deployment"), MAX(W740, ($U$2 * IF($E$2="Deployment",deployment_raw[[#This Row],[Column5]],1))), 0),"")</f>
        <v/>
      </c>
      <c r="V740" s="15" t="str">
        <f>IF(ISNUMBER(deployment_raw[[#This Row],[Column12]]), (deployment_raw[[#This Row],[Column12]] * IF($E$2="Deployment",deployment_raw[[#This Row],[Column5]],1)*(1+$V$2)),"")</f>
        <v/>
      </c>
      <c r="W740" s="14" t="str">
        <f>IF(ISNUMBER(deployment_raw[[#This Row],[Column13]]), (deployment_raw[[#This Row],[Column13]] * IF($E$2="Deployment",deployment_raw[[#This Row],[Column5]],1)*(1+$W$2))/1048576,"")</f>
        <v/>
      </c>
    </row>
    <row r="741" spans="1:23" ht="15.75" customHeight="1" x14ac:dyDescent="0.25">
      <c r="A741" s="5" t="str">
        <f>IF(ISNONTEXT(deployment_raw[[#This Row],[Column1]]), "", deployment_raw[[#This Row],[Column1]])</f>
        <v/>
      </c>
      <c r="B741" s="6" t="str">
        <f>IF(ISNONTEXT(deployment_raw[[#This Row],[Column2]]), "", deployment_raw[[#This Row],[Column2]])</f>
        <v/>
      </c>
      <c r="C741" s="6" t="str">
        <f>IF(ISNONTEXT(deployment_raw[[#This Row],[Column3]]), "", deployment_raw[[#This Row],[Column3]])</f>
        <v/>
      </c>
      <c r="D741" s="6" t="str">
        <f>IF(ISNONTEXT(deployment_raw[[#This Row],[Column4]]), "", deployment_raw[[#This Row],[Column4]])</f>
        <v/>
      </c>
      <c r="E741" s="7" t="str">
        <f>IF(ISNUMBER(deployment_raw[[#This Row],[Column5]]), deployment_raw[[#This Row],[Column5]],"")</f>
        <v/>
      </c>
      <c r="F741" s="32" t="str">
        <f>IF(ISNUMBER(deployment_raw[[#This Row],[Column17]]), deployment_raw[[#This Row],[Column17]]/IF(OR($E$2="Deployment",deployment_raw[[#This Row],[Column5]]=0),1,deployment_raw[[#This Row],[Column5]]),"")</f>
        <v/>
      </c>
      <c r="G741" s="42" t="str">
        <f>IF(ISNUMBER(deployment_raw[[#This Row],[Column14]]), deployment_raw[[#This Row],[Column14]]/IF(OR($E$2="Deployment",deployment_raw[[#This Row],[Column5]]=0),1,deployment_raw[[#This Row],[Column5]]),"")</f>
        <v/>
      </c>
      <c r="H741" s="79" t="str">
        <f>IF(ISNUMBER(deployment_raw[[#This Row],[Column19]]), IF(I741&lt;&gt;0,(deployment_raw[[#This Row],[Column19]]/IF(OR($E$2="Deployment",deployment_raw[[#This Row],[Column5]]=0),1,deployment_raw[[#This Row],[Column5]]))/I741,0),"")</f>
        <v/>
      </c>
      <c r="I741" s="69" t="str">
        <f>IF(ISNUMBER(deployment_raw[[#This Row],[Column6]]), (deployment_raw[[#This Row],[Column6]] * IF($E$2="Deployment",deployment_raw[[#This Row],[Column5]],1)),"")</f>
        <v/>
      </c>
      <c r="J741" s="79" t="str">
        <f>IF(ISNUMBER(deployment_raw[[#This Row],[Column19]]), IF(K741&lt;&gt;0,(deployment_raw[[#This Row],[Column19]]/IF(OR($E$2="Deployment",deployment_raw[[#This Row],[Column5]]=0),1,deployment_raw[[#This Row],[Column5]]))/K741,0),"")</f>
        <v/>
      </c>
      <c r="K741" s="72" t="str">
        <f>IF(ISNUMBER(deployment_raw[[#This Row],[Column8]]), (deployment_raw[[#This Row],[Column8]]  * IF($E$2="Deployment",deployment_raw[[#This Row],[Column5]],1)),"")</f>
        <v/>
      </c>
      <c r="L74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4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41" s="81" t="str">
        <f>IF(ISNUMBER(deployment_raw[[#This Row],[Column20]]), IF(O741&lt;&gt;0,deployment_raw[[#This Row],[Column20]]/IF(OR($E$2="Deployment",deployment_raw[[#This Row],[Column5]]=0),1,deployment_raw[[#This Row],[Column5]])/1048576/O741,0),"")</f>
        <v/>
      </c>
      <c r="O741" s="74" t="str">
        <f>IF(ISNUMBER(deployment_raw[[#This Row],[Column7]]), (deployment_raw[[#This Row],[Column7]] * IF($E$2="Deployment",deployment_raw[[#This Row],[Column5]],1))/1048576,"")</f>
        <v/>
      </c>
      <c r="P741" s="81" t="str">
        <f>IF(ISNUMBER(deployment_raw[[#This Row],[Column20]]), IF(Q741&lt;&gt;0,deployment_raw[[#This Row],[Column20]]/IF(OR($E$2="Deployment",deployment_raw[[#This Row],[Column5]]=0),1,deployment_raw[[#This Row],[Column5]])/1048576/Q741,0),"")</f>
        <v/>
      </c>
      <c r="Q741" s="76" t="str">
        <f>IF(ISNUMBER(deployment_raw[[#This Row],[Column9]]), (deployment_raw[[#This Row],[Column9]] * IF($E$2="Deployment",deployment_raw[[#This Row],[Column5]],1))/1048576,"")</f>
        <v/>
      </c>
      <c r="R741" s="57" t="str">
        <f>IF(ISNUMBER(deployment_raw[[#This Row],[Column10]]), (deployment_raw[[#This Row],[Column10]] * IF($E$2="Deployment",deployment_raw[[#This Row],[Column5]],1)),"")</f>
        <v/>
      </c>
      <c r="S741" s="48" t="str">
        <f>IF(ISNUMBER(deployment_raw[[#This Row],[Column11]]), (deployment_raw[[#This Row],[Column11]] * IF($E$2="Deployment",deployment_raw[[#This Row],[Column5]],1))/1048576,"")</f>
        <v/>
      </c>
      <c r="T741" s="59" t="str">
        <f>IF(ISNUMBER(deployment_raw[[#This Row],[Column8]]),IF(OR(deployment_raw[[#This Row],[Column5]] &lt;&gt; 0,$E$2 &lt;&gt; "Deployment"), MAX(V741, ($T$2 * IF($E$2="Deployment",deployment_raw[[#This Row],[Column5]],1))), 0),"")</f>
        <v/>
      </c>
      <c r="U741" s="50" t="str">
        <f>IF(ISNUMBER(deployment_raw[[#This Row],[Column9]]),IF(OR(deployment_raw[[#This Row],[Column5]] &lt;&gt; 0,$E$2&lt;&gt;"Deployment"), MAX(W741, ($U$2 * IF($E$2="Deployment",deployment_raw[[#This Row],[Column5]],1))), 0),"")</f>
        <v/>
      </c>
      <c r="V741" s="15" t="str">
        <f>IF(ISNUMBER(deployment_raw[[#This Row],[Column12]]), (deployment_raw[[#This Row],[Column12]] * IF($E$2="Deployment",deployment_raw[[#This Row],[Column5]],1)*(1+$V$2)),"")</f>
        <v/>
      </c>
      <c r="W741" s="14" t="str">
        <f>IF(ISNUMBER(deployment_raw[[#This Row],[Column13]]), (deployment_raw[[#This Row],[Column13]] * IF($E$2="Deployment",deployment_raw[[#This Row],[Column5]],1)*(1+$W$2))/1048576,"")</f>
        <v/>
      </c>
    </row>
    <row r="742" spans="1:23" ht="15.75" customHeight="1" x14ac:dyDescent="0.25">
      <c r="A742" s="5" t="str">
        <f>IF(ISNONTEXT(deployment_raw[[#This Row],[Column1]]), "", deployment_raw[[#This Row],[Column1]])</f>
        <v/>
      </c>
      <c r="B742" s="6" t="str">
        <f>IF(ISNONTEXT(deployment_raw[[#This Row],[Column2]]), "", deployment_raw[[#This Row],[Column2]])</f>
        <v/>
      </c>
      <c r="C742" s="6" t="str">
        <f>IF(ISNONTEXT(deployment_raw[[#This Row],[Column3]]), "", deployment_raw[[#This Row],[Column3]])</f>
        <v/>
      </c>
      <c r="D742" s="6" t="str">
        <f>IF(ISNONTEXT(deployment_raw[[#This Row],[Column4]]), "", deployment_raw[[#This Row],[Column4]])</f>
        <v/>
      </c>
      <c r="E742" s="7" t="str">
        <f>IF(ISNUMBER(deployment_raw[[#This Row],[Column5]]), deployment_raw[[#This Row],[Column5]],"")</f>
        <v/>
      </c>
      <c r="F742" s="32" t="str">
        <f>IF(ISNUMBER(deployment_raw[[#This Row],[Column17]]), deployment_raw[[#This Row],[Column17]]/IF(OR($E$2="Deployment",deployment_raw[[#This Row],[Column5]]=0),1,deployment_raw[[#This Row],[Column5]]),"")</f>
        <v/>
      </c>
      <c r="G742" s="42" t="str">
        <f>IF(ISNUMBER(deployment_raw[[#This Row],[Column14]]), deployment_raw[[#This Row],[Column14]]/IF(OR($E$2="Deployment",deployment_raw[[#This Row],[Column5]]=0),1,deployment_raw[[#This Row],[Column5]]),"")</f>
        <v/>
      </c>
      <c r="H742" s="79" t="str">
        <f>IF(ISNUMBER(deployment_raw[[#This Row],[Column19]]), IF(I742&lt;&gt;0,(deployment_raw[[#This Row],[Column19]]/IF(OR($E$2="Deployment",deployment_raw[[#This Row],[Column5]]=0),1,deployment_raw[[#This Row],[Column5]]))/I742,0),"")</f>
        <v/>
      </c>
      <c r="I742" s="69" t="str">
        <f>IF(ISNUMBER(deployment_raw[[#This Row],[Column6]]), (deployment_raw[[#This Row],[Column6]] * IF($E$2="Deployment",deployment_raw[[#This Row],[Column5]],1)),"")</f>
        <v/>
      </c>
      <c r="J742" s="79" t="str">
        <f>IF(ISNUMBER(deployment_raw[[#This Row],[Column19]]), IF(K742&lt;&gt;0,(deployment_raw[[#This Row],[Column19]]/IF(OR($E$2="Deployment",deployment_raw[[#This Row],[Column5]]=0),1,deployment_raw[[#This Row],[Column5]]))/K742,0),"")</f>
        <v/>
      </c>
      <c r="K742" s="72" t="str">
        <f>IF(ISNUMBER(deployment_raw[[#This Row],[Column8]]), (deployment_raw[[#This Row],[Column8]]  * IF($E$2="Deployment",deployment_raw[[#This Row],[Column5]],1)),"")</f>
        <v/>
      </c>
      <c r="L74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4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42" s="81" t="str">
        <f>IF(ISNUMBER(deployment_raw[[#This Row],[Column20]]), IF(O742&lt;&gt;0,deployment_raw[[#This Row],[Column20]]/IF(OR($E$2="Deployment",deployment_raw[[#This Row],[Column5]]=0),1,deployment_raw[[#This Row],[Column5]])/1048576/O742,0),"")</f>
        <v/>
      </c>
      <c r="O742" s="74" t="str">
        <f>IF(ISNUMBER(deployment_raw[[#This Row],[Column7]]), (deployment_raw[[#This Row],[Column7]] * IF($E$2="Deployment",deployment_raw[[#This Row],[Column5]],1))/1048576,"")</f>
        <v/>
      </c>
      <c r="P742" s="81" t="str">
        <f>IF(ISNUMBER(deployment_raw[[#This Row],[Column20]]), IF(Q742&lt;&gt;0,deployment_raw[[#This Row],[Column20]]/IF(OR($E$2="Deployment",deployment_raw[[#This Row],[Column5]]=0),1,deployment_raw[[#This Row],[Column5]])/1048576/Q742,0),"")</f>
        <v/>
      </c>
      <c r="Q742" s="76" t="str">
        <f>IF(ISNUMBER(deployment_raw[[#This Row],[Column9]]), (deployment_raw[[#This Row],[Column9]] * IF($E$2="Deployment",deployment_raw[[#This Row],[Column5]],1))/1048576,"")</f>
        <v/>
      </c>
      <c r="R742" s="57" t="str">
        <f>IF(ISNUMBER(deployment_raw[[#This Row],[Column10]]), (deployment_raw[[#This Row],[Column10]] * IF($E$2="Deployment",deployment_raw[[#This Row],[Column5]],1)),"")</f>
        <v/>
      </c>
      <c r="S742" s="48" t="str">
        <f>IF(ISNUMBER(deployment_raw[[#This Row],[Column11]]), (deployment_raw[[#This Row],[Column11]] * IF($E$2="Deployment",deployment_raw[[#This Row],[Column5]],1))/1048576,"")</f>
        <v/>
      </c>
      <c r="T742" s="59" t="str">
        <f>IF(ISNUMBER(deployment_raw[[#This Row],[Column8]]),IF(OR(deployment_raw[[#This Row],[Column5]] &lt;&gt; 0,$E$2 &lt;&gt; "Deployment"), MAX(V742, ($T$2 * IF($E$2="Deployment",deployment_raw[[#This Row],[Column5]],1))), 0),"")</f>
        <v/>
      </c>
      <c r="U742" s="50" t="str">
        <f>IF(ISNUMBER(deployment_raw[[#This Row],[Column9]]),IF(OR(deployment_raw[[#This Row],[Column5]] &lt;&gt; 0,$E$2&lt;&gt;"Deployment"), MAX(W742, ($U$2 * IF($E$2="Deployment",deployment_raw[[#This Row],[Column5]],1))), 0),"")</f>
        <v/>
      </c>
      <c r="V742" s="15" t="str">
        <f>IF(ISNUMBER(deployment_raw[[#This Row],[Column12]]), (deployment_raw[[#This Row],[Column12]] * IF($E$2="Deployment",deployment_raw[[#This Row],[Column5]],1)*(1+$V$2)),"")</f>
        <v/>
      </c>
      <c r="W742" s="14" t="str">
        <f>IF(ISNUMBER(deployment_raw[[#This Row],[Column13]]), (deployment_raw[[#This Row],[Column13]] * IF($E$2="Deployment",deployment_raw[[#This Row],[Column5]],1)*(1+$W$2))/1048576,"")</f>
        <v/>
      </c>
    </row>
    <row r="743" spans="1:23" ht="15.75" customHeight="1" x14ac:dyDescent="0.25">
      <c r="A743" s="5" t="str">
        <f>IF(ISNONTEXT(deployment_raw[[#This Row],[Column1]]), "", deployment_raw[[#This Row],[Column1]])</f>
        <v/>
      </c>
      <c r="B743" s="6" t="str">
        <f>IF(ISNONTEXT(deployment_raw[[#This Row],[Column2]]), "", deployment_raw[[#This Row],[Column2]])</f>
        <v/>
      </c>
      <c r="C743" s="6" t="str">
        <f>IF(ISNONTEXT(deployment_raw[[#This Row],[Column3]]), "", deployment_raw[[#This Row],[Column3]])</f>
        <v/>
      </c>
      <c r="D743" s="6" t="str">
        <f>IF(ISNONTEXT(deployment_raw[[#This Row],[Column4]]), "", deployment_raw[[#This Row],[Column4]])</f>
        <v/>
      </c>
      <c r="E743" s="7" t="str">
        <f>IF(ISNUMBER(deployment_raw[[#This Row],[Column5]]), deployment_raw[[#This Row],[Column5]],"")</f>
        <v/>
      </c>
      <c r="F743" s="32" t="str">
        <f>IF(ISNUMBER(deployment_raw[[#This Row],[Column17]]), deployment_raw[[#This Row],[Column17]]/IF(OR($E$2="Deployment",deployment_raw[[#This Row],[Column5]]=0),1,deployment_raw[[#This Row],[Column5]]),"")</f>
        <v/>
      </c>
      <c r="G743" s="42" t="str">
        <f>IF(ISNUMBER(deployment_raw[[#This Row],[Column14]]), deployment_raw[[#This Row],[Column14]]/IF(OR($E$2="Deployment",deployment_raw[[#This Row],[Column5]]=0),1,deployment_raw[[#This Row],[Column5]]),"")</f>
        <v/>
      </c>
      <c r="H743" s="79" t="str">
        <f>IF(ISNUMBER(deployment_raw[[#This Row],[Column19]]), IF(I743&lt;&gt;0,(deployment_raw[[#This Row],[Column19]]/IF(OR($E$2="Deployment",deployment_raw[[#This Row],[Column5]]=0),1,deployment_raw[[#This Row],[Column5]]))/I743,0),"")</f>
        <v/>
      </c>
      <c r="I743" s="69" t="str">
        <f>IF(ISNUMBER(deployment_raw[[#This Row],[Column6]]), (deployment_raw[[#This Row],[Column6]] * IF($E$2="Deployment",deployment_raw[[#This Row],[Column5]],1)),"")</f>
        <v/>
      </c>
      <c r="J743" s="79" t="str">
        <f>IF(ISNUMBER(deployment_raw[[#This Row],[Column19]]), IF(K743&lt;&gt;0,(deployment_raw[[#This Row],[Column19]]/IF(OR($E$2="Deployment",deployment_raw[[#This Row],[Column5]]=0),1,deployment_raw[[#This Row],[Column5]]))/K743,0),"")</f>
        <v/>
      </c>
      <c r="K743" s="72" t="str">
        <f>IF(ISNUMBER(deployment_raw[[#This Row],[Column8]]), (deployment_raw[[#This Row],[Column8]]  * IF($E$2="Deployment",deployment_raw[[#This Row],[Column5]],1)),"")</f>
        <v/>
      </c>
      <c r="L74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4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43" s="81" t="str">
        <f>IF(ISNUMBER(deployment_raw[[#This Row],[Column20]]), IF(O743&lt;&gt;0,deployment_raw[[#This Row],[Column20]]/IF(OR($E$2="Deployment",deployment_raw[[#This Row],[Column5]]=0),1,deployment_raw[[#This Row],[Column5]])/1048576/O743,0),"")</f>
        <v/>
      </c>
      <c r="O743" s="74" t="str">
        <f>IF(ISNUMBER(deployment_raw[[#This Row],[Column7]]), (deployment_raw[[#This Row],[Column7]] * IF($E$2="Deployment",deployment_raw[[#This Row],[Column5]],1))/1048576,"")</f>
        <v/>
      </c>
      <c r="P743" s="81" t="str">
        <f>IF(ISNUMBER(deployment_raw[[#This Row],[Column20]]), IF(Q743&lt;&gt;0,deployment_raw[[#This Row],[Column20]]/IF(OR($E$2="Deployment",deployment_raw[[#This Row],[Column5]]=0),1,deployment_raw[[#This Row],[Column5]])/1048576/Q743,0),"")</f>
        <v/>
      </c>
      <c r="Q743" s="76" t="str">
        <f>IF(ISNUMBER(deployment_raw[[#This Row],[Column9]]), (deployment_raw[[#This Row],[Column9]] * IF($E$2="Deployment",deployment_raw[[#This Row],[Column5]],1))/1048576,"")</f>
        <v/>
      </c>
      <c r="R743" s="57" t="str">
        <f>IF(ISNUMBER(deployment_raw[[#This Row],[Column10]]), (deployment_raw[[#This Row],[Column10]] * IF($E$2="Deployment",deployment_raw[[#This Row],[Column5]],1)),"")</f>
        <v/>
      </c>
      <c r="S743" s="48" t="str">
        <f>IF(ISNUMBER(deployment_raw[[#This Row],[Column11]]), (deployment_raw[[#This Row],[Column11]] * IF($E$2="Deployment",deployment_raw[[#This Row],[Column5]],1))/1048576,"")</f>
        <v/>
      </c>
      <c r="T743" s="59" t="str">
        <f>IF(ISNUMBER(deployment_raw[[#This Row],[Column8]]),IF(OR(deployment_raw[[#This Row],[Column5]] &lt;&gt; 0,$E$2 &lt;&gt; "Deployment"), MAX(V743, ($T$2 * IF($E$2="Deployment",deployment_raw[[#This Row],[Column5]],1))), 0),"")</f>
        <v/>
      </c>
      <c r="U743" s="50" t="str">
        <f>IF(ISNUMBER(deployment_raw[[#This Row],[Column9]]),IF(OR(deployment_raw[[#This Row],[Column5]] &lt;&gt; 0,$E$2&lt;&gt;"Deployment"), MAX(W743, ($U$2 * IF($E$2="Deployment",deployment_raw[[#This Row],[Column5]],1))), 0),"")</f>
        <v/>
      </c>
      <c r="V743" s="15" t="str">
        <f>IF(ISNUMBER(deployment_raw[[#This Row],[Column12]]), (deployment_raw[[#This Row],[Column12]] * IF($E$2="Deployment",deployment_raw[[#This Row],[Column5]],1)*(1+$V$2)),"")</f>
        <v/>
      </c>
      <c r="W743" s="14" t="str">
        <f>IF(ISNUMBER(deployment_raw[[#This Row],[Column13]]), (deployment_raw[[#This Row],[Column13]] * IF($E$2="Deployment",deployment_raw[[#This Row],[Column5]],1)*(1+$W$2))/1048576,"")</f>
        <v/>
      </c>
    </row>
    <row r="744" spans="1:23" ht="15.75" customHeight="1" x14ac:dyDescent="0.25">
      <c r="A744" s="5" t="str">
        <f>IF(ISNONTEXT(deployment_raw[[#This Row],[Column1]]), "", deployment_raw[[#This Row],[Column1]])</f>
        <v/>
      </c>
      <c r="B744" s="6" t="str">
        <f>IF(ISNONTEXT(deployment_raw[[#This Row],[Column2]]), "", deployment_raw[[#This Row],[Column2]])</f>
        <v/>
      </c>
      <c r="C744" s="6" t="str">
        <f>IF(ISNONTEXT(deployment_raw[[#This Row],[Column3]]), "", deployment_raw[[#This Row],[Column3]])</f>
        <v/>
      </c>
      <c r="D744" s="6" t="str">
        <f>IF(ISNONTEXT(deployment_raw[[#This Row],[Column4]]), "", deployment_raw[[#This Row],[Column4]])</f>
        <v/>
      </c>
      <c r="E744" s="7" t="str">
        <f>IF(ISNUMBER(deployment_raw[[#This Row],[Column5]]), deployment_raw[[#This Row],[Column5]],"")</f>
        <v/>
      </c>
      <c r="F744" s="32" t="str">
        <f>IF(ISNUMBER(deployment_raw[[#This Row],[Column17]]), deployment_raw[[#This Row],[Column17]]/IF(OR($E$2="Deployment",deployment_raw[[#This Row],[Column5]]=0),1,deployment_raw[[#This Row],[Column5]]),"")</f>
        <v/>
      </c>
      <c r="G744" s="42" t="str">
        <f>IF(ISNUMBER(deployment_raw[[#This Row],[Column14]]), deployment_raw[[#This Row],[Column14]]/IF(OR($E$2="Deployment",deployment_raw[[#This Row],[Column5]]=0),1,deployment_raw[[#This Row],[Column5]]),"")</f>
        <v/>
      </c>
      <c r="H744" s="79" t="str">
        <f>IF(ISNUMBER(deployment_raw[[#This Row],[Column19]]), IF(I744&lt;&gt;0,(deployment_raw[[#This Row],[Column19]]/IF(OR($E$2="Deployment",deployment_raw[[#This Row],[Column5]]=0),1,deployment_raw[[#This Row],[Column5]]))/I744,0),"")</f>
        <v/>
      </c>
      <c r="I744" s="69" t="str">
        <f>IF(ISNUMBER(deployment_raw[[#This Row],[Column6]]), (deployment_raw[[#This Row],[Column6]] * IF($E$2="Deployment",deployment_raw[[#This Row],[Column5]],1)),"")</f>
        <v/>
      </c>
      <c r="J744" s="79" t="str">
        <f>IF(ISNUMBER(deployment_raw[[#This Row],[Column19]]), IF(K744&lt;&gt;0,(deployment_raw[[#This Row],[Column19]]/IF(OR($E$2="Deployment",deployment_raw[[#This Row],[Column5]]=0),1,deployment_raw[[#This Row],[Column5]]))/K744,0),"")</f>
        <v/>
      </c>
      <c r="K744" s="72" t="str">
        <f>IF(ISNUMBER(deployment_raw[[#This Row],[Column8]]), (deployment_raw[[#This Row],[Column8]]  * IF($E$2="Deployment",deployment_raw[[#This Row],[Column5]],1)),"")</f>
        <v/>
      </c>
      <c r="L74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4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44" s="81" t="str">
        <f>IF(ISNUMBER(deployment_raw[[#This Row],[Column20]]), IF(O744&lt;&gt;0,deployment_raw[[#This Row],[Column20]]/IF(OR($E$2="Deployment",deployment_raw[[#This Row],[Column5]]=0),1,deployment_raw[[#This Row],[Column5]])/1048576/O744,0),"")</f>
        <v/>
      </c>
      <c r="O744" s="74" t="str">
        <f>IF(ISNUMBER(deployment_raw[[#This Row],[Column7]]), (deployment_raw[[#This Row],[Column7]] * IF($E$2="Deployment",deployment_raw[[#This Row],[Column5]],1))/1048576,"")</f>
        <v/>
      </c>
      <c r="P744" s="81" t="str">
        <f>IF(ISNUMBER(deployment_raw[[#This Row],[Column20]]), IF(Q744&lt;&gt;0,deployment_raw[[#This Row],[Column20]]/IF(OR($E$2="Deployment",deployment_raw[[#This Row],[Column5]]=0),1,deployment_raw[[#This Row],[Column5]])/1048576/Q744,0),"")</f>
        <v/>
      </c>
      <c r="Q744" s="76" t="str">
        <f>IF(ISNUMBER(deployment_raw[[#This Row],[Column9]]), (deployment_raw[[#This Row],[Column9]] * IF($E$2="Deployment",deployment_raw[[#This Row],[Column5]],1))/1048576,"")</f>
        <v/>
      </c>
      <c r="R744" s="57" t="str">
        <f>IF(ISNUMBER(deployment_raw[[#This Row],[Column10]]), (deployment_raw[[#This Row],[Column10]] * IF($E$2="Deployment",deployment_raw[[#This Row],[Column5]],1)),"")</f>
        <v/>
      </c>
      <c r="S744" s="48" t="str">
        <f>IF(ISNUMBER(deployment_raw[[#This Row],[Column11]]), (deployment_raw[[#This Row],[Column11]] * IF($E$2="Deployment",deployment_raw[[#This Row],[Column5]],1))/1048576,"")</f>
        <v/>
      </c>
      <c r="T744" s="59" t="str">
        <f>IF(ISNUMBER(deployment_raw[[#This Row],[Column8]]),IF(OR(deployment_raw[[#This Row],[Column5]] &lt;&gt; 0,$E$2 &lt;&gt; "Deployment"), MAX(V744, ($T$2 * IF($E$2="Deployment",deployment_raw[[#This Row],[Column5]],1))), 0),"")</f>
        <v/>
      </c>
      <c r="U744" s="50" t="str">
        <f>IF(ISNUMBER(deployment_raw[[#This Row],[Column9]]),IF(OR(deployment_raw[[#This Row],[Column5]] &lt;&gt; 0,$E$2&lt;&gt;"Deployment"), MAX(W744, ($U$2 * IF($E$2="Deployment",deployment_raw[[#This Row],[Column5]],1))), 0),"")</f>
        <v/>
      </c>
      <c r="V744" s="15" t="str">
        <f>IF(ISNUMBER(deployment_raw[[#This Row],[Column12]]), (deployment_raw[[#This Row],[Column12]] * IF($E$2="Deployment",deployment_raw[[#This Row],[Column5]],1)*(1+$V$2)),"")</f>
        <v/>
      </c>
      <c r="W744" s="14" t="str">
        <f>IF(ISNUMBER(deployment_raw[[#This Row],[Column13]]), (deployment_raw[[#This Row],[Column13]] * IF($E$2="Deployment",deployment_raw[[#This Row],[Column5]],1)*(1+$W$2))/1048576,"")</f>
        <v/>
      </c>
    </row>
    <row r="745" spans="1:23" ht="15.75" customHeight="1" x14ac:dyDescent="0.25">
      <c r="A745" s="5" t="str">
        <f>IF(ISNONTEXT(deployment_raw[[#This Row],[Column1]]), "", deployment_raw[[#This Row],[Column1]])</f>
        <v/>
      </c>
      <c r="B745" s="6" t="str">
        <f>IF(ISNONTEXT(deployment_raw[[#This Row],[Column2]]), "", deployment_raw[[#This Row],[Column2]])</f>
        <v/>
      </c>
      <c r="C745" s="6" t="str">
        <f>IF(ISNONTEXT(deployment_raw[[#This Row],[Column3]]), "", deployment_raw[[#This Row],[Column3]])</f>
        <v/>
      </c>
      <c r="D745" s="6" t="str">
        <f>IF(ISNONTEXT(deployment_raw[[#This Row],[Column4]]), "", deployment_raw[[#This Row],[Column4]])</f>
        <v/>
      </c>
      <c r="E745" s="7" t="str">
        <f>IF(ISNUMBER(deployment_raw[[#This Row],[Column5]]), deployment_raw[[#This Row],[Column5]],"")</f>
        <v/>
      </c>
      <c r="F745" s="32" t="str">
        <f>IF(ISNUMBER(deployment_raw[[#This Row],[Column17]]), deployment_raw[[#This Row],[Column17]]/IF(OR($E$2="Deployment",deployment_raw[[#This Row],[Column5]]=0),1,deployment_raw[[#This Row],[Column5]]),"")</f>
        <v/>
      </c>
      <c r="G745" s="42" t="str">
        <f>IF(ISNUMBER(deployment_raw[[#This Row],[Column14]]), deployment_raw[[#This Row],[Column14]]/IF(OR($E$2="Deployment",deployment_raw[[#This Row],[Column5]]=0),1,deployment_raw[[#This Row],[Column5]]),"")</f>
        <v/>
      </c>
      <c r="H745" s="79" t="str">
        <f>IF(ISNUMBER(deployment_raw[[#This Row],[Column19]]), IF(I745&lt;&gt;0,(deployment_raw[[#This Row],[Column19]]/IF(OR($E$2="Deployment",deployment_raw[[#This Row],[Column5]]=0),1,deployment_raw[[#This Row],[Column5]]))/I745,0),"")</f>
        <v/>
      </c>
      <c r="I745" s="69" t="str">
        <f>IF(ISNUMBER(deployment_raw[[#This Row],[Column6]]), (deployment_raw[[#This Row],[Column6]] * IF($E$2="Deployment",deployment_raw[[#This Row],[Column5]],1)),"")</f>
        <v/>
      </c>
      <c r="J745" s="79" t="str">
        <f>IF(ISNUMBER(deployment_raw[[#This Row],[Column19]]), IF(K745&lt;&gt;0,(deployment_raw[[#This Row],[Column19]]/IF(OR($E$2="Deployment",deployment_raw[[#This Row],[Column5]]=0),1,deployment_raw[[#This Row],[Column5]]))/K745,0),"")</f>
        <v/>
      </c>
      <c r="K745" s="72" t="str">
        <f>IF(ISNUMBER(deployment_raw[[#This Row],[Column8]]), (deployment_raw[[#This Row],[Column8]]  * IF($E$2="Deployment",deployment_raw[[#This Row],[Column5]],1)),"")</f>
        <v/>
      </c>
      <c r="L74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4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45" s="81" t="str">
        <f>IF(ISNUMBER(deployment_raw[[#This Row],[Column20]]), IF(O745&lt;&gt;0,deployment_raw[[#This Row],[Column20]]/IF(OR($E$2="Deployment",deployment_raw[[#This Row],[Column5]]=0),1,deployment_raw[[#This Row],[Column5]])/1048576/O745,0),"")</f>
        <v/>
      </c>
      <c r="O745" s="74" t="str">
        <f>IF(ISNUMBER(deployment_raw[[#This Row],[Column7]]), (deployment_raw[[#This Row],[Column7]] * IF($E$2="Deployment",deployment_raw[[#This Row],[Column5]],1))/1048576,"")</f>
        <v/>
      </c>
      <c r="P745" s="81" t="str">
        <f>IF(ISNUMBER(deployment_raw[[#This Row],[Column20]]), IF(Q745&lt;&gt;0,deployment_raw[[#This Row],[Column20]]/IF(OR($E$2="Deployment",deployment_raw[[#This Row],[Column5]]=0),1,deployment_raw[[#This Row],[Column5]])/1048576/Q745,0),"")</f>
        <v/>
      </c>
      <c r="Q745" s="76" t="str">
        <f>IF(ISNUMBER(deployment_raw[[#This Row],[Column9]]), (deployment_raw[[#This Row],[Column9]] * IF($E$2="Deployment",deployment_raw[[#This Row],[Column5]],1))/1048576,"")</f>
        <v/>
      </c>
      <c r="R745" s="57" t="str">
        <f>IF(ISNUMBER(deployment_raw[[#This Row],[Column10]]), (deployment_raw[[#This Row],[Column10]] * IF($E$2="Deployment",deployment_raw[[#This Row],[Column5]],1)),"")</f>
        <v/>
      </c>
      <c r="S745" s="48" t="str">
        <f>IF(ISNUMBER(deployment_raw[[#This Row],[Column11]]), (deployment_raw[[#This Row],[Column11]] * IF($E$2="Deployment",deployment_raw[[#This Row],[Column5]],1))/1048576,"")</f>
        <v/>
      </c>
      <c r="T745" s="59" t="str">
        <f>IF(ISNUMBER(deployment_raw[[#This Row],[Column8]]),IF(OR(deployment_raw[[#This Row],[Column5]] &lt;&gt; 0,$E$2 &lt;&gt; "Deployment"), MAX(V745, ($T$2 * IF($E$2="Deployment",deployment_raw[[#This Row],[Column5]],1))), 0),"")</f>
        <v/>
      </c>
      <c r="U745" s="50" t="str">
        <f>IF(ISNUMBER(deployment_raw[[#This Row],[Column9]]),IF(OR(deployment_raw[[#This Row],[Column5]] &lt;&gt; 0,$E$2&lt;&gt;"Deployment"), MAX(W745, ($U$2 * IF($E$2="Deployment",deployment_raw[[#This Row],[Column5]],1))), 0),"")</f>
        <v/>
      </c>
      <c r="V745" s="15" t="str">
        <f>IF(ISNUMBER(deployment_raw[[#This Row],[Column12]]), (deployment_raw[[#This Row],[Column12]] * IF($E$2="Deployment",deployment_raw[[#This Row],[Column5]],1)*(1+$V$2)),"")</f>
        <v/>
      </c>
      <c r="W745" s="14" t="str">
        <f>IF(ISNUMBER(deployment_raw[[#This Row],[Column13]]), (deployment_raw[[#This Row],[Column13]] * IF($E$2="Deployment",deployment_raw[[#This Row],[Column5]],1)*(1+$W$2))/1048576,"")</f>
        <v/>
      </c>
    </row>
    <row r="746" spans="1:23" ht="15.75" customHeight="1" x14ac:dyDescent="0.25">
      <c r="A746" s="5" t="str">
        <f>IF(ISNONTEXT(deployment_raw[[#This Row],[Column1]]), "", deployment_raw[[#This Row],[Column1]])</f>
        <v/>
      </c>
      <c r="B746" s="6" t="str">
        <f>IF(ISNONTEXT(deployment_raw[[#This Row],[Column2]]), "", deployment_raw[[#This Row],[Column2]])</f>
        <v/>
      </c>
      <c r="C746" s="6" t="str">
        <f>IF(ISNONTEXT(deployment_raw[[#This Row],[Column3]]), "", deployment_raw[[#This Row],[Column3]])</f>
        <v/>
      </c>
      <c r="D746" s="6" t="str">
        <f>IF(ISNONTEXT(deployment_raw[[#This Row],[Column4]]), "", deployment_raw[[#This Row],[Column4]])</f>
        <v/>
      </c>
      <c r="E746" s="7" t="str">
        <f>IF(ISNUMBER(deployment_raw[[#This Row],[Column5]]), deployment_raw[[#This Row],[Column5]],"")</f>
        <v/>
      </c>
      <c r="F746" s="32" t="str">
        <f>IF(ISNUMBER(deployment_raw[[#This Row],[Column17]]), deployment_raw[[#This Row],[Column17]]/IF(OR($E$2="Deployment",deployment_raw[[#This Row],[Column5]]=0),1,deployment_raw[[#This Row],[Column5]]),"")</f>
        <v/>
      </c>
      <c r="G746" s="42" t="str">
        <f>IF(ISNUMBER(deployment_raw[[#This Row],[Column14]]), deployment_raw[[#This Row],[Column14]]/IF(OR($E$2="Deployment",deployment_raw[[#This Row],[Column5]]=0),1,deployment_raw[[#This Row],[Column5]]),"")</f>
        <v/>
      </c>
      <c r="H746" s="79" t="str">
        <f>IF(ISNUMBER(deployment_raw[[#This Row],[Column19]]), IF(I746&lt;&gt;0,(deployment_raw[[#This Row],[Column19]]/IF(OR($E$2="Deployment",deployment_raw[[#This Row],[Column5]]=0),1,deployment_raw[[#This Row],[Column5]]))/I746,0),"")</f>
        <v/>
      </c>
      <c r="I746" s="69" t="str">
        <f>IF(ISNUMBER(deployment_raw[[#This Row],[Column6]]), (deployment_raw[[#This Row],[Column6]] * IF($E$2="Deployment",deployment_raw[[#This Row],[Column5]],1)),"")</f>
        <v/>
      </c>
      <c r="J746" s="79" t="str">
        <f>IF(ISNUMBER(deployment_raw[[#This Row],[Column19]]), IF(K746&lt;&gt;0,(deployment_raw[[#This Row],[Column19]]/IF(OR($E$2="Deployment",deployment_raw[[#This Row],[Column5]]=0),1,deployment_raw[[#This Row],[Column5]]))/K746,0),"")</f>
        <v/>
      </c>
      <c r="K746" s="72" t="str">
        <f>IF(ISNUMBER(deployment_raw[[#This Row],[Column8]]), (deployment_raw[[#This Row],[Column8]]  * IF($E$2="Deployment",deployment_raw[[#This Row],[Column5]],1)),"")</f>
        <v/>
      </c>
      <c r="L74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4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46" s="81" t="str">
        <f>IF(ISNUMBER(deployment_raw[[#This Row],[Column20]]), IF(O746&lt;&gt;0,deployment_raw[[#This Row],[Column20]]/IF(OR($E$2="Deployment",deployment_raw[[#This Row],[Column5]]=0),1,deployment_raw[[#This Row],[Column5]])/1048576/O746,0),"")</f>
        <v/>
      </c>
      <c r="O746" s="74" t="str">
        <f>IF(ISNUMBER(deployment_raw[[#This Row],[Column7]]), (deployment_raw[[#This Row],[Column7]] * IF($E$2="Deployment",deployment_raw[[#This Row],[Column5]],1))/1048576,"")</f>
        <v/>
      </c>
      <c r="P746" s="81" t="str">
        <f>IF(ISNUMBER(deployment_raw[[#This Row],[Column20]]), IF(Q746&lt;&gt;0,deployment_raw[[#This Row],[Column20]]/IF(OR($E$2="Deployment",deployment_raw[[#This Row],[Column5]]=0),1,deployment_raw[[#This Row],[Column5]])/1048576/Q746,0),"")</f>
        <v/>
      </c>
      <c r="Q746" s="76" t="str">
        <f>IF(ISNUMBER(deployment_raw[[#This Row],[Column9]]), (deployment_raw[[#This Row],[Column9]] * IF($E$2="Deployment",deployment_raw[[#This Row],[Column5]],1))/1048576,"")</f>
        <v/>
      </c>
      <c r="R746" s="57" t="str">
        <f>IF(ISNUMBER(deployment_raw[[#This Row],[Column10]]), (deployment_raw[[#This Row],[Column10]] * IF($E$2="Deployment",deployment_raw[[#This Row],[Column5]],1)),"")</f>
        <v/>
      </c>
      <c r="S746" s="48" t="str">
        <f>IF(ISNUMBER(deployment_raw[[#This Row],[Column11]]), (deployment_raw[[#This Row],[Column11]] * IF($E$2="Deployment",deployment_raw[[#This Row],[Column5]],1))/1048576,"")</f>
        <v/>
      </c>
      <c r="T746" s="59" t="str">
        <f>IF(ISNUMBER(deployment_raw[[#This Row],[Column8]]),IF(OR(deployment_raw[[#This Row],[Column5]] &lt;&gt; 0,$E$2 &lt;&gt; "Deployment"), MAX(V746, ($T$2 * IF($E$2="Deployment",deployment_raw[[#This Row],[Column5]],1))), 0),"")</f>
        <v/>
      </c>
      <c r="U746" s="50" t="str">
        <f>IF(ISNUMBER(deployment_raw[[#This Row],[Column9]]),IF(OR(deployment_raw[[#This Row],[Column5]] &lt;&gt; 0,$E$2&lt;&gt;"Deployment"), MAX(W746, ($U$2 * IF($E$2="Deployment",deployment_raw[[#This Row],[Column5]],1))), 0),"")</f>
        <v/>
      </c>
      <c r="V746" s="15" t="str">
        <f>IF(ISNUMBER(deployment_raw[[#This Row],[Column12]]), (deployment_raw[[#This Row],[Column12]] * IF($E$2="Deployment",deployment_raw[[#This Row],[Column5]],1)*(1+$V$2)),"")</f>
        <v/>
      </c>
      <c r="W746" s="14" t="str">
        <f>IF(ISNUMBER(deployment_raw[[#This Row],[Column13]]), (deployment_raw[[#This Row],[Column13]] * IF($E$2="Deployment",deployment_raw[[#This Row],[Column5]],1)*(1+$W$2))/1048576,"")</f>
        <v/>
      </c>
    </row>
    <row r="747" spans="1:23" ht="15.75" customHeight="1" x14ac:dyDescent="0.25">
      <c r="A747" s="5" t="str">
        <f>IF(ISNONTEXT(deployment_raw[[#This Row],[Column1]]), "", deployment_raw[[#This Row],[Column1]])</f>
        <v/>
      </c>
      <c r="B747" s="6" t="str">
        <f>IF(ISNONTEXT(deployment_raw[[#This Row],[Column2]]), "", deployment_raw[[#This Row],[Column2]])</f>
        <v/>
      </c>
      <c r="C747" s="6" t="str">
        <f>IF(ISNONTEXT(deployment_raw[[#This Row],[Column3]]), "", deployment_raw[[#This Row],[Column3]])</f>
        <v/>
      </c>
      <c r="D747" s="6" t="str">
        <f>IF(ISNONTEXT(deployment_raw[[#This Row],[Column4]]), "", deployment_raw[[#This Row],[Column4]])</f>
        <v/>
      </c>
      <c r="E747" s="7" t="str">
        <f>IF(ISNUMBER(deployment_raw[[#This Row],[Column5]]), deployment_raw[[#This Row],[Column5]],"")</f>
        <v/>
      </c>
      <c r="F747" s="32" t="str">
        <f>IF(ISNUMBER(deployment_raw[[#This Row],[Column17]]), deployment_raw[[#This Row],[Column17]]/IF(OR($E$2="Deployment",deployment_raw[[#This Row],[Column5]]=0),1,deployment_raw[[#This Row],[Column5]]),"")</f>
        <v/>
      </c>
      <c r="G747" s="42" t="str">
        <f>IF(ISNUMBER(deployment_raw[[#This Row],[Column14]]), deployment_raw[[#This Row],[Column14]]/IF(OR($E$2="Deployment",deployment_raw[[#This Row],[Column5]]=0),1,deployment_raw[[#This Row],[Column5]]),"")</f>
        <v/>
      </c>
      <c r="H747" s="79" t="str">
        <f>IF(ISNUMBER(deployment_raw[[#This Row],[Column19]]), IF(I747&lt;&gt;0,(deployment_raw[[#This Row],[Column19]]/IF(OR($E$2="Deployment",deployment_raw[[#This Row],[Column5]]=0),1,deployment_raw[[#This Row],[Column5]]))/I747,0),"")</f>
        <v/>
      </c>
      <c r="I747" s="69" t="str">
        <f>IF(ISNUMBER(deployment_raw[[#This Row],[Column6]]), (deployment_raw[[#This Row],[Column6]] * IF($E$2="Deployment",deployment_raw[[#This Row],[Column5]],1)),"")</f>
        <v/>
      </c>
      <c r="J747" s="79" t="str">
        <f>IF(ISNUMBER(deployment_raw[[#This Row],[Column19]]), IF(K747&lt;&gt;0,(deployment_raw[[#This Row],[Column19]]/IF(OR($E$2="Deployment",deployment_raw[[#This Row],[Column5]]=0),1,deployment_raw[[#This Row],[Column5]]))/K747,0),"")</f>
        <v/>
      </c>
      <c r="K747" s="72" t="str">
        <f>IF(ISNUMBER(deployment_raw[[#This Row],[Column8]]), (deployment_raw[[#This Row],[Column8]]  * IF($E$2="Deployment",deployment_raw[[#This Row],[Column5]],1)),"")</f>
        <v/>
      </c>
      <c r="L74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4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47" s="81" t="str">
        <f>IF(ISNUMBER(deployment_raw[[#This Row],[Column20]]), IF(O747&lt;&gt;0,deployment_raw[[#This Row],[Column20]]/IF(OR($E$2="Deployment",deployment_raw[[#This Row],[Column5]]=0),1,deployment_raw[[#This Row],[Column5]])/1048576/O747,0),"")</f>
        <v/>
      </c>
      <c r="O747" s="74" t="str">
        <f>IF(ISNUMBER(deployment_raw[[#This Row],[Column7]]), (deployment_raw[[#This Row],[Column7]] * IF($E$2="Deployment",deployment_raw[[#This Row],[Column5]],1))/1048576,"")</f>
        <v/>
      </c>
      <c r="P747" s="81" t="str">
        <f>IF(ISNUMBER(deployment_raw[[#This Row],[Column20]]), IF(Q747&lt;&gt;0,deployment_raw[[#This Row],[Column20]]/IF(OR($E$2="Deployment",deployment_raw[[#This Row],[Column5]]=0),1,deployment_raw[[#This Row],[Column5]])/1048576/Q747,0),"")</f>
        <v/>
      </c>
      <c r="Q747" s="76" t="str">
        <f>IF(ISNUMBER(deployment_raw[[#This Row],[Column9]]), (deployment_raw[[#This Row],[Column9]] * IF($E$2="Deployment",deployment_raw[[#This Row],[Column5]],1))/1048576,"")</f>
        <v/>
      </c>
      <c r="R747" s="57" t="str">
        <f>IF(ISNUMBER(deployment_raw[[#This Row],[Column10]]), (deployment_raw[[#This Row],[Column10]] * IF($E$2="Deployment",deployment_raw[[#This Row],[Column5]],1)),"")</f>
        <v/>
      </c>
      <c r="S747" s="48" t="str">
        <f>IF(ISNUMBER(deployment_raw[[#This Row],[Column11]]), (deployment_raw[[#This Row],[Column11]] * IF($E$2="Deployment",deployment_raw[[#This Row],[Column5]],1))/1048576,"")</f>
        <v/>
      </c>
      <c r="T747" s="59" t="str">
        <f>IF(ISNUMBER(deployment_raw[[#This Row],[Column8]]),IF(OR(deployment_raw[[#This Row],[Column5]] &lt;&gt; 0,$E$2 &lt;&gt; "Deployment"), MAX(V747, ($T$2 * IF($E$2="Deployment",deployment_raw[[#This Row],[Column5]],1))), 0),"")</f>
        <v/>
      </c>
      <c r="U747" s="50" t="str">
        <f>IF(ISNUMBER(deployment_raw[[#This Row],[Column9]]),IF(OR(deployment_raw[[#This Row],[Column5]] &lt;&gt; 0,$E$2&lt;&gt;"Deployment"), MAX(W747, ($U$2 * IF($E$2="Deployment",deployment_raw[[#This Row],[Column5]],1))), 0),"")</f>
        <v/>
      </c>
      <c r="V747" s="15" t="str">
        <f>IF(ISNUMBER(deployment_raw[[#This Row],[Column12]]), (deployment_raw[[#This Row],[Column12]] * IF($E$2="Deployment",deployment_raw[[#This Row],[Column5]],1)*(1+$V$2)),"")</f>
        <v/>
      </c>
      <c r="W747" s="14" t="str">
        <f>IF(ISNUMBER(deployment_raw[[#This Row],[Column13]]), (deployment_raw[[#This Row],[Column13]] * IF($E$2="Deployment",deployment_raw[[#This Row],[Column5]],1)*(1+$W$2))/1048576,"")</f>
        <v/>
      </c>
    </row>
    <row r="748" spans="1:23" ht="15.75" customHeight="1" x14ac:dyDescent="0.25">
      <c r="A748" s="5" t="str">
        <f>IF(ISNONTEXT(deployment_raw[[#This Row],[Column1]]), "", deployment_raw[[#This Row],[Column1]])</f>
        <v/>
      </c>
      <c r="B748" s="6" t="str">
        <f>IF(ISNONTEXT(deployment_raw[[#This Row],[Column2]]), "", deployment_raw[[#This Row],[Column2]])</f>
        <v/>
      </c>
      <c r="C748" s="6" t="str">
        <f>IF(ISNONTEXT(deployment_raw[[#This Row],[Column3]]), "", deployment_raw[[#This Row],[Column3]])</f>
        <v/>
      </c>
      <c r="D748" s="6" t="str">
        <f>IF(ISNONTEXT(deployment_raw[[#This Row],[Column4]]), "", deployment_raw[[#This Row],[Column4]])</f>
        <v/>
      </c>
      <c r="E748" s="7" t="str">
        <f>IF(ISNUMBER(deployment_raw[[#This Row],[Column5]]), deployment_raw[[#This Row],[Column5]],"")</f>
        <v/>
      </c>
      <c r="F748" s="32" t="str">
        <f>IF(ISNUMBER(deployment_raw[[#This Row],[Column17]]), deployment_raw[[#This Row],[Column17]]/IF(OR($E$2="Deployment",deployment_raw[[#This Row],[Column5]]=0),1,deployment_raw[[#This Row],[Column5]]),"")</f>
        <v/>
      </c>
      <c r="G748" s="42" t="str">
        <f>IF(ISNUMBER(deployment_raw[[#This Row],[Column14]]), deployment_raw[[#This Row],[Column14]]/IF(OR($E$2="Deployment",deployment_raw[[#This Row],[Column5]]=0),1,deployment_raw[[#This Row],[Column5]]),"")</f>
        <v/>
      </c>
      <c r="H748" s="79" t="str">
        <f>IF(ISNUMBER(deployment_raw[[#This Row],[Column19]]), IF(I748&lt;&gt;0,(deployment_raw[[#This Row],[Column19]]/IF(OR($E$2="Deployment",deployment_raw[[#This Row],[Column5]]=0),1,deployment_raw[[#This Row],[Column5]]))/I748,0),"")</f>
        <v/>
      </c>
      <c r="I748" s="69" t="str">
        <f>IF(ISNUMBER(deployment_raw[[#This Row],[Column6]]), (deployment_raw[[#This Row],[Column6]] * IF($E$2="Deployment",deployment_raw[[#This Row],[Column5]],1)),"")</f>
        <v/>
      </c>
      <c r="J748" s="79" t="str">
        <f>IF(ISNUMBER(deployment_raw[[#This Row],[Column19]]), IF(K748&lt;&gt;0,(deployment_raw[[#This Row],[Column19]]/IF(OR($E$2="Deployment",deployment_raw[[#This Row],[Column5]]=0),1,deployment_raw[[#This Row],[Column5]]))/K748,0),"")</f>
        <v/>
      </c>
      <c r="K748" s="72" t="str">
        <f>IF(ISNUMBER(deployment_raw[[#This Row],[Column8]]), (deployment_raw[[#This Row],[Column8]]  * IF($E$2="Deployment",deployment_raw[[#This Row],[Column5]],1)),"")</f>
        <v/>
      </c>
      <c r="L74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4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48" s="81" t="str">
        <f>IF(ISNUMBER(deployment_raw[[#This Row],[Column20]]), IF(O748&lt;&gt;0,deployment_raw[[#This Row],[Column20]]/IF(OR($E$2="Deployment",deployment_raw[[#This Row],[Column5]]=0),1,deployment_raw[[#This Row],[Column5]])/1048576/O748,0),"")</f>
        <v/>
      </c>
      <c r="O748" s="74" t="str">
        <f>IF(ISNUMBER(deployment_raw[[#This Row],[Column7]]), (deployment_raw[[#This Row],[Column7]] * IF($E$2="Deployment",deployment_raw[[#This Row],[Column5]],1))/1048576,"")</f>
        <v/>
      </c>
      <c r="P748" s="81" t="str">
        <f>IF(ISNUMBER(deployment_raw[[#This Row],[Column20]]), IF(Q748&lt;&gt;0,deployment_raw[[#This Row],[Column20]]/IF(OR($E$2="Deployment",deployment_raw[[#This Row],[Column5]]=0),1,deployment_raw[[#This Row],[Column5]])/1048576/Q748,0),"")</f>
        <v/>
      </c>
      <c r="Q748" s="76" t="str">
        <f>IF(ISNUMBER(deployment_raw[[#This Row],[Column9]]), (deployment_raw[[#This Row],[Column9]] * IF($E$2="Deployment",deployment_raw[[#This Row],[Column5]],1))/1048576,"")</f>
        <v/>
      </c>
      <c r="R748" s="57" t="str">
        <f>IF(ISNUMBER(deployment_raw[[#This Row],[Column10]]), (deployment_raw[[#This Row],[Column10]] * IF($E$2="Deployment",deployment_raw[[#This Row],[Column5]],1)),"")</f>
        <v/>
      </c>
      <c r="S748" s="48" t="str">
        <f>IF(ISNUMBER(deployment_raw[[#This Row],[Column11]]), (deployment_raw[[#This Row],[Column11]] * IF($E$2="Deployment",deployment_raw[[#This Row],[Column5]],1))/1048576,"")</f>
        <v/>
      </c>
      <c r="T748" s="59" t="str">
        <f>IF(ISNUMBER(deployment_raw[[#This Row],[Column8]]),IF(OR(deployment_raw[[#This Row],[Column5]] &lt;&gt; 0,$E$2 &lt;&gt; "Deployment"), MAX(V748, ($T$2 * IF($E$2="Deployment",deployment_raw[[#This Row],[Column5]],1))), 0),"")</f>
        <v/>
      </c>
      <c r="U748" s="50" t="str">
        <f>IF(ISNUMBER(deployment_raw[[#This Row],[Column9]]),IF(OR(deployment_raw[[#This Row],[Column5]] &lt;&gt; 0,$E$2&lt;&gt;"Deployment"), MAX(W748, ($U$2 * IF($E$2="Deployment",deployment_raw[[#This Row],[Column5]],1))), 0),"")</f>
        <v/>
      </c>
      <c r="V748" s="15" t="str">
        <f>IF(ISNUMBER(deployment_raw[[#This Row],[Column12]]), (deployment_raw[[#This Row],[Column12]] * IF($E$2="Deployment",deployment_raw[[#This Row],[Column5]],1)*(1+$V$2)),"")</f>
        <v/>
      </c>
      <c r="W748" s="14" t="str">
        <f>IF(ISNUMBER(deployment_raw[[#This Row],[Column13]]), (deployment_raw[[#This Row],[Column13]] * IF($E$2="Deployment",deployment_raw[[#This Row],[Column5]],1)*(1+$W$2))/1048576,"")</f>
        <v/>
      </c>
    </row>
    <row r="749" spans="1:23" ht="15.75" customHeight="1" x14ac:dyDescent="0.25">
      <c r="A749" s="5" t="str">
        <f>IF(ISNONTEXT(deployment_raw[[#This Row],[Column1]]), "", deployment_raw[[#This Row],[Column1]])</f>
        <v/>
      </c>
      <c r="B749" s="6" t="str">
        <f>IF(ISNONTEXT(deployment_raw[[#This Row],[Column2]]), "", deployment_raw[[#This Row],[Column2]])</f>
        <v/>
      </c>
      <c r="C749" s="6" t="str">
        <f>IF(ISNONTEXT(deployment_raw[[#This Row],[Column3]]), "", deployment_raw[[#This Row],[Column3]])</f>
        <v/>
      </c>
      <c r="D749" s="6" t="str">
        <f>IF(ISNONTEXT(deployment_raw[[#This Row],[Column4]]), "", deployment_raw[[#This Row],[Column4]])</f>
        <v/>
      </c>
      <c r="E749" s="7" t="str">
        <f>IF(ISNUMBER(deployment_raw[[#This Row],[Column5]]), deployment_raw[[#This Row],[Column5]],"")</f>
        <v/>
      </c>
      <c r="F749" s="32" t="str">
        <f>IF(ISNUMBER(deployment_raw[[#This Row],[Column17]]), deployment_raw[[#This Row],[Column17]]/IF(OR($E$2="Deployment",deployment_raw[[#This Row],[Column5]]=0),1,deployment_raw[[#This Row],[Column5]]),"")</f>
        <v/>
      </c>
      <c r="G749" s="42" t="str">
        <f>IF(ISNUMBER(deployment_raw[[#This Row],[Column14]]), deployment_raw[[#This Row],[Column14]]/IF(OR($E$2="Deployment",deployment_raw[[#This Row],[Column5]]=0),1,deployment_raw[[#This Row],[Column5]]),"")</f>
        <v/>
      </c>
      <c r="H749" s="79" t="str">
        <f>IF(ISNUMBER(deployment_raw[[#This Row],[Column19]]), IF(I749&lt;&gt;0,(deployment_raw[[#This Row],[Column19]]/IF(OR($E$2="Deployment",deployment_raw[[#This Row],[Column5]]=0),1,deployment_raw[[#This Row],[Column5]]))/I749,0),"")</f>
        <v/>
      </c>
      <c r="I749" s="69" t="str">
        <f>IF(ISNUMBER(deployment_raw[[#This Row],[Column6]]), (deployment_raw[[#This Row],[Column6]] * IF($E$2="Deployment",deployment_raw[[#This Row],[Column5]],1)),"")</f>
        <v/>
      </c>
      <c r="J749" s="79" t="str">
        <f>IF(ISNUMBER(deployment_raw[[#This Row],[Column19]]), IF(K749&lt;&gt;0,(deployment_raw[[#This Row],[Column19]]/IF(OR($E$2="Deployment",deployment_raw[[#This Row],[Column5]]=0),1,deployment_raw[[#This Row],[Column5]]))/K749,0),"")</f>
        <v/>
      </c>
      <c r="K749" s="72" t="str">
        <f>IF(ISNUMBER(deployment_raw[[#This Row],[Column8]]), (deployment_raw[[#This Row],[Column8]]  * IF($E$2="Deployment",deployment_raw[[#This Row],[Column5]],1)),"")</f>
        <v/>
      </c>
      <c r="L74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4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49" s="81" t="str">
        <f>IF(ISNUMBER(deployment_raw[[#This Row],[Column20]]), IF(O749&lt;&gt;0,deployment_raw[[#This Row],[Column20]]/IF(OR($E$2="Deployment",deployment_raw[[#This Row],[Column5]]=0),1,deployment_raw[[#This Row],[Column5]])/1048576/O749,0),"")</f>
        <v/>
      </c>
      <c r="O749" s="74" t="str">
        <f>IF(ISNUMBER(deployment_raw[[#This Row],[Column7]]), (deployment_raw[[#This Row],[Column7]] * IF($E$2="Deployment",deployment_raw[[#This Row],[Column5]],1))/1048576,"")</f>
        <v/>
      </c>
      <c r="P749" s="81" t="str">
        <f>IF(ISNUMBER(deployment_raw[[#This Row],[Column20]]), IF(Q749&lt;&gt;0,deployment_raw[[#This Row],[Column20]]/IF(OR($E$2="Deployment",deployment_raw[[#This Row],[Column5]]=0),1,deployment_raw[[#This Row],[Column5]])/1048576/Q749,0),"")</f>
        <v/>
      </c>
      <c r="Q749" s="76" t="str">
        <f>IF(ISNUMBER(deployment_raw[[#This Row],[Column9]]), (deployment_raw[[#This Row],[Column9]] * IF($E$2="Deployment",deployment_raw[[#This Row],[Column5]],1))/1048576,"")</f>
        <v/>
      </c>
      <c r="R749" s="57" t="str">
        <f>IF(ISNUMBER(deployment_raw[[#This Row],[Column10]]), (deployment_raw[[#This Row],[Column10]] * IF($E$2="Deployment",deployment_raw[[#This Row],[Column5]],1)),"")</f>
        <v/>
      </c>
      <c r="S749" s="48" t="str">
        <f>IF(ISNUMBER(deployment_raw[[#This Row],[Column11]]), (deployment_raw[[#This Row],[Column11]] * IF($E$2="Deployment",deployment_raw[[#This Row],[Column5]],1))/1048576,"")</f>
        <v/>
      </c>
      <c r="T749" s="59" t="str">
        <f>IF(ISNUMBER(deployment_raw[[#This Row],[Column8]]),IF(OR(deployment_raw[[#This Row],[Column5]] &lt;&gt; 0,$E$2 &lt;&gt; "Deployment"), MAX(V749, ($T$2 * IF($E$2="Deployment",deployment_raw[[#This Row],[Column5]],1))), 0),"")</f>
        <v/>
      </c>
      <c r="U749" s="50" t="str">
        <f>IF(ISNUMBER(deployment_raw[[#This Row],[Column9]]),IF(OR(deployment_raw[[#This Row],[Column5]] &lt;&gt; 0,$E$2&lt;&gt;"Deployment"), MAX(W749, ($U$2 * IF($E$2="Deployment",deployment_raw[[#This Row],[Column5]],1))), 0),"")</f>
        <v/>
      </c>
      <c r="V749" s="15" t="str">
        <f>IF(ISNUMBER(deployment_raw[[#This Row],[Column12]]), (deployment_raw[[#This Row],[Column12]] * IF($E$2="Deployment",deployment_raw[[#This Row],[Column5]],1)*(1+$V$2)),"")</f>
        <v/>
      </c>
      <c r="W749" s="14" t="str">
        <f>IF(ISNUMBER(deployment_raw[[#This Row],[Column13]]), (deployment_raw[[#This Row],[Column13]] * IF($E$2="Deployment",deployment_raw[[#This Row],[Column5]],1)*(1+$W$2))/1048576,"")</f>
        <v/>
      </c>
    </row>
    <row r="750" spans="1:23" ht="15.75" customHeight="1" x14ac:dyDescent="0.25">
      <c r="A750" s="5" t="str">
        <f>IF(ISNONTEXT(deployment_raw[[#This Row],[Column1]]), "", deployment_raw[[#This Row],[Column1]])</f>
        <v/>
      </c>
      <c r="B750" s="6" t="str">
        <f>IF(ISNONTEXT(deployment_raw[[#This Row],[Column2]]), "", deployment_raw[[#This Row],[Column2]])</f>
        <v/>
      </c>
      <c r="C750" s="6" t="str">
        <f>IF(ISNONTEXT(deployment_raw[[#This Row],[Column3]]), "", deployment_raw[[#This Row],[Column3]])</f>
        <v/>
      </c>
      <c r="D750" s="6" t="str">
        <f>IF(ISNONTEXT(deployment_raw[[#This Row],[Column4]]), "", deployment_raw[[#This Row],[Column4]])</f>
        <v/>
      </c>
      <c r="E750" s="7" t="str">
        <f>IF(ISNUMBER(deployment_raw[[#This Row],[Column5]]), deployment_raw[[#This Row],[Column5]],"")</f>
        <v/>
      </c>
      <c r="F750" s="32" t="str">
        <f>IF(ISNUMBER(deployment_raw[[#This Row],[Column17]]), deployment_raw[[#This Row],[Column17]]/IF(OR($E$2="Deployment",deployment_raw[[#This Row],[Column5]]=0),1,deployment_raw[[#This Row],[Column5]]),"")</f>
        <v/>
      </c>
      <c r="G750" s="42" t="str">
        <f>IF(ISNUMBER(deployment_raw[[#This Row],[Column14]]), deployment_raw[[#This Row],[Column14]]/IF(OR($E$2="Deployment",deployment_raw[[#This Row],[Column5]]=0),1,deployment_raw[[#This Row],[Column5]]),"")</f>
        <v/>
      </c>
      <c r="H750" s="79" t="str">
        <f>IF(ISNUMBER(deployment_raw[[#This Row],[Column19]]), IF(I750&lt;&gt;0,(deployment_raw[[#This Row],[Column19]]/IF(OR($E$2="Deployment",deployment_raw[[#This Row],[Column5]]=0),1,deployment_raw[[#This Row],[Column5]]))/I750,0),"")</f>
        <v/>
      </c>
      <c r="I750" s="69" t="str">
        <f>IF(ISNUMBER(deployment_raw[[#This Row],[Column6]]), (deployment_raw[[#This Row],[Column6]] * IF($E$2="Deployment",deployment_raw[[#This Row],[Column5]],1)),"")</f>
        <v/>
      </c>
      <c r="J750" s="79" t="str">
        <f>IF(ISNUMBER(deployment_raw[[#This Row],[Column19]]), IF(K750&lt;&gt;0,(deployment_raw[[#This Row],[Column19]]/IF(OR($E$2="Deployment",deployment_raw[[#This Row],[Column5]]=0),1,deployment_raw[[#This Row],[Column5]]))/K750,0),"")</f>
        <v/>
      </c>
      <c r="K750" s="72" t="str">
        <f>IF(ISNUMBER(deployment_raw[[#This Row],[Column8]]), (deployment_raw[[#This Row],[Column8]]  * IF($E$2="Deployment",deployment_raw[[#This Row],[Column5]],1)),"")</f>
        <v/>
      </c>
      <c r="L75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5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50" s="81" t="str">
        <f>IF(ISNUMBER(deployment_raw[[#This Row],[Column20]]), IF(O750&lt;&gt;0,deployment_raw[[#This Row],[Column20]]/IF(OR($E$2="Deployment",deployment_raw[[#This Row],[Column5]]=0),1,deployment_raw[[#This Row],[Column5]])/1048576/O750,0),"")</f>
        <v/>
      </c>
      <c r="O750" s="74" t="str">
        <f>IF(ISNUMBER(deployment_raw[[#This Row],[Column7]]), (deployment_raw[[#This Row],[Column7]] * IF($E$2="Deployment",deployment_raw[[#This Row],[Column5]],1))/1048576,"")</f>
        <v/>
      </c>
      <c r="P750" s="81" t="str">
        <f>IF(ISNUMBER(deployment_raw[[#This Row],[Column20]]), IF(Q750&lt;&gt;0,deployment_raw[[#This Row],[Column20]]/IF(OR($E$2="Deployment",deployment_raw[[#This Row],[Column5]]=0),1,deployment_raw[[#This Row],[Column5]])/1048576/Q750,0),"")</f>
        <v/>
      </c>
      <c r="Q750" s="76" t="str">
        <f>IF(ISNUMBER(deployment_raw[[#This Row],[Column9]]), (deployment_raw[[#This Row],[Column9]] * IF($E$2="Deployment",deployment_raw[[#This Row],[Column5]],1))/1048576,"")</f>
        <v/>
      </c>
      <c r="R750" s="57" t="str">
        <f>IF(ISNUMBER(deployment_raw[[#This Row],[Column10]]), (deployment_raw[[#This Row],[Column10]] * IF($E$2="Deployment",deployment_raw[[#This Row],[Column5]],1)),"")</f>
        <v/>
      </c>
      <c r="S750" s="48" t="str">
        <f>IF(ISNUMBER(deployment_raw[[#This Row],[Column11]]), (deployment_raw[[#This Row],[Column11]] * IF($E$2="Deployment",deployment_raw[[#This Row],[Column5]],1))/1048576,"")</f>
        <v/>
      </c>
      <c r="T750" s="59" t="str">
        <f>IF(ISNUMBER(deployment_raw[[#This Row],[Column8]]),IF(OR(deployment_raw[[#This Row],[Column5]] &lt;&gt; 0,$E$2 &lt;&gt; "Deployment"), MAX(V750, ($T$2 * IF($E$2="Deployment",deployment_raw[[#This Row],[Column5]],1))), 0),"")</f>
        <v/>
      </c>
      <c r="U750" s="50" t="str">
        <f>IF(ISNUMBER(deployment_raw[[#This Row],[Column9]]),IF(OR(deployment_raw[[#This Row],[Column5]] &lt;&gt; 0,$E$2&lt;&gt;"Deployment"), MAX(W750, ($U$2 * IF($E$2="Deployment",deployment_raw[[#This Row],[Column5]],1))), 0),"")</f>
        <v/>
      </c>
      <c r="V750" s="15" t="str">
        <f>IF(ISNUMBER(deployment_raw[[#This Row],[Column12]]), (deployment_raw[[#This Row],[Column12]] * IF($E$2="Deployment",deployment_raw[[#This Row],[Column5]],1)*(1+$V$2)),"")</f>
        <v/>
      </c>
      <c r="W750" s="14" t="str">
        <f>IF(ISNUMBER(deployment_raw[[#This Row],[Column13]]), (deployment_raw[[#This Row],[Column13]] * IF($E$2="Deployment",deployment_raw[[#This Row],[Column5]],1)*(1+$W$2))/1048576,"")</f>
        <v/>
      </c>
    </row>
    <row r="751" spans="1:23" ht="15.75" customHeight="1" x14ac:dyDescent="0.25">
      <c r="A751" s="5" t="str">
        <f>IF(ISNONTEXT(deployment_raw[[#This Row],[Column1]]), "", deployment_raw[[#This Row],[Column1]])</f>
        <v/>
      </c>
      <c r="B751" s="6" t="str">
        <f>IF(ISNONTEXT(deployment_raw[[#This Row],[Column2]]), "", deployment_raw[[#This Row],[Column2]])</f>
        <v/>
      </c>
      <c r="C751" s="6" t="str">
        <f>IF(ISNONTEXT(deployment_raw[[#This Row],[Column3]]), "", deployment_raw[[#This Row],[Column3]])</f>
        <v/>
      </c>
      <c r="D751" s="6" t="str">
        <f>IF(ISNONTEXT(deployment_raw[[#This Row],[Column4]]), "", deployment_raw[[#This Row],[Column4]])</f>
        <v/>
      </c>
      <c r="E751" s="7" t="str">
        <f>IF(ISNUMBER(deployment_raw[[#This Row],[Column5]]), deployment_raw[[#This Row],[Column5]],"")</f>
        <v/>
      </c>
      <c r="F751" s="32" t="str">
        <f>IF(ISNUMBER(deployment_raw[[#This Row],[Column17]]), deployment_raw[[#This Row],[Column17]]/IF(OR($E$2="Deployment",deployment_raw[[#This Row],[Column5]]=0),1,deployment_raw[[#This Row],[Column5]]),"")</f>
        <v/>
      </c>
      <c r="G751" s="42" t="str">
        <f>IF(ISNUMBER(deployment_raw[[#This Row],[Column14]]), deployment_raw[[#This Row],[Column14]]/IF(OR($E$2="Deployment",deployment_raw[[#This Row],[Column5]]=0),1,deployment_raw[[#This Row],[Column5]]),"")</f>
        <v/>
      </c>
      <c r="H751" s="79" t="str">
        <f>IF(ISNUMBER(deployment_raw[[#This Row],[Column19]]), IF(I751&lt;&gt;0,(deployment_raw[[#This Row],[Column19]]/IF(OR($E$2="Deployment",deployment_raw[[#This Row],[Column5]]=0),1,deployment_raw[[#This Row],[Column5]]))/I751,0),"")</f>
        <v/>
      </c>
      <c r="I751" s="69" t="str">
        <f>IF(ISNUMBER(deployment_raw[[#This Row],[Column6]]), (deployment_raw[[#This Row],[Column6]] * IF($E$2="Deployment",deployment_raw[[#This Row],[Column5]],1)),"")</f>
        <v/>
      </c>
      <c r="J751" s="79" t="str">
        <f>IF(ISNUMBER(deployment_raw[[#This Row],[Column19]]), IF(K751&lt;&gt;0,(deployment_raw[[#This Row],[Column19]]/IF(OR($E$2="Deployment",deployment_raw[[#This Row],[Column5]]=0),1,deployment_raw[[#This Row],[Column5]]))/K751,0),"")</f>
        <v/>
      </c>
      <c r="K751" s="72" t="str">
        <f>IF(ISNUMBER(deployment_raw[[#This Row],[Column8]]), (deployment_raw[[#This Row],[Column8]]  * IF($E$2="Deployment",deployment_raw[[#This Row],[Column5]],1)),"")</f>
        <v/>
      </c>
      <c r="L75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5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51" s="81" t="str">
        <f>IF(ISNUMBER(deployment_raw[[#This Row],[Column20]]), IF(O751&lt;&gt;0,deployment_raw[[#This Row],[Column20]]/IF(OR($E$2="Deployment",deployment_raw[[#This Row],[Column5]]=0),1,deployment_raw[[#This Row],[Column5]])/1048576/O751,0),"")</f>
        <v/>
      </c>
      <c r="O751" s="74" t="str">
        <f>IF(ISNUMBER(deployment_raw[[#This Row],[Column7]]), (deployment_raw[[#This Row],[Column7]] * IF($E$2="Deployment",deployment_raw[[#This Row],[Column5]],1))/1048576,"")</f>
        <v/>
      </c>
      <c r="P751" s="81" t="str">
        <f>IF(ISNUMBER(deployment_raw[[#This Row],[Column20]]), IF(Q751&lt;&gt;0,deployment_raw[[#This Row],[Column20]]/IF(OR($E$2="Deployment",deployment_raw[[#This Row],[Column5]]=0),1,deployment_raw[[#This Row],[Column5]])/1048576/Q751,0),"")</f>
        <v/>
      </c>
      <c r="Q751" s="76" t="str">
        <f>IF(ISNUMBER(deployment_raw[[#This Row],[Column9]]), (deployment_raw[[#This Row],[Column9]] * IF($E$2="Deployment",deployment_raw[[#This Row],[Column5]],1))/1048576,"")</f>
        <v/>
      </c>
      <c r="R751" s="57" t="str">
        <f>IF(ISNUMBER(deployment_raw[[#This Row],[Column10]]), (deployment_raw[[#This Row],[Column10]] * IF($E$2="Deployment",deployment_raw[[#This Row],[Column5]],1)),"")</f>
        <v/>
      </c>
      <c r="S751" s="48" t="str">
        <f>IF(ISNUMBER(deployment_raw[[#This Row],[Column11]]), (deployment_raw[[#This Row],[Column11]] * IF($E$2="Deployment",deployment_raw[[#This Row],[Column5]],1))/1048576,"")</f>
        <v/>
      </c>
      <c r="T751" s="59" t="str">
        <f>IF(ISNUMBER(deployment_raw[[#This Row],[Column8]]),IF(OR(deployment_raw[[#This Row],[Column5]] &lt;&gt; 0,$E$2 &lt;&gt; "Deployment"), MAX(V751, ($T$2 * IF($E$2="Deployment",deployment_raw[[#This Row],[Column5]],1))), 0),"")</f>
        <v/>
      </c>
      <c r="U751" s="50" t="str">
        <f>IF(ISNUMBER(deployment_raw[[#This Row],[Column9]]),IF(OR(deployment_raw[[#This Row],[Column5]] &lt;&gt; 0,$E$2&lt;&gt;"Deployment"), MAX(W751, ($U$2 * IF($E$2="Deployment",deployment_raw[[#This Row],[Column5]],1))), 0),"")</f>
        <v/>
      </c>
      <c r="V751" s="15" t="str">
        <f>IF(ISNUMBER(deployment_raw[[#This Row],[Column12]]), (deployment_raw[[#This Row],[Column12]] * IF($E$2="Deployment",deployment_raw[[#This Row],[Column5]],1)*(1+$V$2)),"")</f>
        <v/>
      </c>
      <c r="W751" s="14" t="str">
        <f>IF(ISNUMBER(deployment_raw[[#This Row],[Column13]]), (deployment_raw[[#This Row],[Column13]] * IF($E$2="Deployment",deployment_raw[[#This Row],[Column5]],1)*(1+$W$2))/1048576,"")</f>
        <v/>
      </c>
    </row>
    <row r="752" spans="1:23" ht="15.75" customHeight="1" x14ac:dyDescent="0.25">
      <c r="A752" s="5" t="str">
        <f>IF(ISNONTEXT(deployment_raw[[#This Row],[Column1]]), "", deployment_raw[[#This Row],[Column1]])</f>
        <v/>
      </c>
      <c r="B752" s="6" t="str">
        <f>IF(ISNONTEXT(deployment_raw[[#This Row],[Column2]]), "", deployment_raw[[#This Row],[Column2]])</f>
        <v/>
      </c>
      <c r="C752" s="6" t="str">
        <f>IF(ISNONTEXT(deployment_raw[[#This Row],[Column3]]), "", deployment_raw[[#This Row],[Column3]])</f>
        <v/>
      </c>
      <c r="D752" s="6" t="str">
        <f>IF(ISNONTEXT(deployment_raw[[#This Row],[Column4]]), "", deployment_raw[[#This Row],[Column4]])</f>
        <v/>
      </c>
      <c r="E752" s="7" t="str">
        <f>IF(ISNUMBER(deployment_raw[[#This Row],[Column5]]), deployment_raw[[#This Row],[Column5]],"")</f>
        <v/>
      </c>
      <c r="F752" s="32" t="str">
        <f>IF(ISNUMBER(deployment_raw[[#This Row],[Column17]]), deployment_raw[[#This Row],[Column17]]/IF(OR($E$2="Deployment",deployment_raw[[#This Row],[Column5]]=0),1,deployment_raw[[#This Row],[Column5]]),"")</f>
        <v/>
      </c>
      <c r="G752" s="42" t="str">
        <f>IF(ISNUMBER(deployment_raw[[#This Row],[Column14]]), deployment_raw[[#This Row],[Column14]]/IF(OR($E$2="Deployment",deployment_raw[[#This Row],[Column5]]=0),1,deployment_raw[[#This Row],[Column5]]),"")</f>
        <v/>
      </c>
      <c r="H752" s="79" t="str">
        <f>IF(ISNUMBER(deployment_raw[[#This Row],[Column19]]), IF(I752&lt;&gt;0,(deployment_raw[[#This Row],[Column19]]/IF(OR($E$2="Deployment",deployment_raw[[#This Row],[Column5]]=0),1,deployment_raw[[#This Row],[Column5]]))/I752,0),"")</f>
        <v/>
      </c>
      <c r="I752" s="69" t="str">
        <f>IF(ISNUMBER(deployment_raw[[#This Row],[Column6]]), (deployment_raw[[#This Row],[Column6]] * IF($E$2="Deployment",deployment_raw[[#This Row],[Column5]],1)),"")</f>
        <v/>
      </c>
      <c r="J752" s="79" t="str">
        <f>IF(ISNUMBER(deployment_raw[[#This Row],[Column19]]), IF(K752&lt;&gt;0,(deployment_raw[[#This Row],[Column19]]/IF(OR($E$2="Deployment",deployment_raw[[#This Row],[Column5]]=0),1,deployment_raw[[#This Row],[Column5]]))/K752,0),"")</f>
        <v/>
      </c>
      <c r="K752" s="72" t="str">
        <f>IF(ISNUMBER(deployment_raw[[#This Row],[Column8]]), (deployment_raw[[#This Row],[Column8]]  * IF($E$2="Deployment",deployment_raw[[#This Row],[Column5]],1)),"")</f>
        <v/>
      </c>
      <c r="L75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5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52" s="81" t="str">
        <f>IF(ISNUMBER(deployment_raw[[#This Row],[Column20]]), IF(O752&lt;&gt;0,deployment_raw[[#This Row],[Column20]]/IF(OR($E$2="Deployment",deployment_raw[[#This Row],[Column5]]=0),1,deployment_raw[[#This Row],[Column5]])/1048576/O752,0),"")</f>
        <v/>
      </c>
      <c r="O752" s="74" t="str">
        <f>IF(ISNUMBER(deployment_raw[[#This Row],[Column7]]), (deployment_raw[[#This Row],[Column7]] * IF($E$2="Deployment",deployment_raw[[#This Row],[Column5]],1))/1048576,"")</f>
        <v/>
      </c>
      <c r="P752" s="81" t="str">
        <f>IF(ISNUMBER(deployment_raw[[#This Row],[Column20]]), IF(Q752&lt;&gt;0,deployment_raw[[#This Row],[Column20]]/IF(OR($E$2="Deployment",deployment_raw[[#This Row],[Column5]]=0),1,deployment_raw[[#This Row],[Column5]])/1048576/Q752,0),"")</f>
        <v/>
      </c>
      <c r="Q752" s="76" t="str">
        <f>IF(ISNUMBER(deployment_raw[[#This Row],[Column9]]), (deployment_raw[[#This Row],[Column9]] * IF($E$2="Deployment",deployment_raw[[#This Row],[Column5]],1))/1048576,"")</f>
        <v/>
      </c>
      <c r="R752" s="57" t="str">
        <f>IF(ISNUMBER(deployment_raw[[#This Row],[Column10]]), (deployment_raw[[#This Row],[Column10]] * IF($E$2="Deployment",deployment_raw[[#This Row],[Column5]],1)),"")</f>
        <v/>
      </c>
      <c r="S752" s="48" t="str">
        <f>IF(ISNUMBER(deployment_raw[[#This Row],[Column11]]), (deployment_raw[[#This Row],[Column11]] * IF($E$2="Deployment",deployment_raw[[#This Row],[Column5]],1))/1048576,"")</f>
        <v/>
      </c>
      <c r="T752" s="59" t="str">
        <f>IF(ISNUMBER(deployment_raw[[#This Row],[Column8]]),IF(OR(deployment_raw[[#This Row],[Column5]] &lt;&gt; 0,$E$2 &lt;&gt; "Deployment"), MAX(V752, ($T$2 * IF($E$2="Deployment",deployment_raw[[#This Row],[Column5]],1))), 0),"")</f>
        <v/>
      </c>
      <c r="U752" s="50" t="str">
        <f>IF(ISNUMBER(deployment_raw[[#This Row],[Column9]]),IF(OR(deployment_raw[[#This Row],[Column5]] &lt;&gt; 0,$E$2&lt;&gt;"Deployment"), MAX(W752, ($U$2 * IF($E$2="Deployment",deployment_raw[[#This Row],[Column5]],1))), 0),"")</f>
        <v/>
      </c>
      <c r="V752" s="15" t="str">
        <f>IF(ISNUMBER(deployment_raw[[#This Row],[Column12]]), (deployment_raw[[#This Row],[Column12]] * IF($E$2="Deployment",deployment_raw[[#This Row],[Column5]],1)*(1+$V$2)),"")</f>
        <v/>
      </c>
      <c r="W752" s="14" t="str">
        <f>IF(ISNUMBER(deployment_raw[[#This Row],[Column13]]), (deployment_raw[[#This Row],[Column13]] * IF($E$2="Deployment",deployment_raw[[#This Row],[Column5]],1)*(1+$W$2))/1048576,"")</f>
        <v/>
      </c>
    </row>
    <row r="753" spans="1:23" ht="15.75" customHeight="1" x14ac:dyDescent="0.25">
      <c r="A753" s="5" t="str">
        <f>IF(ISNONTEXT(deployment_raw[[#This Row],[Column1]]), "", deployment_raw[[#This Row],[Column1]])</f>
        <v/>
      </c>
      <c r="B753" s="6" t="str">
        <f>IF(ISNONTEXT(deployment_raw[[#This Row],[Column2]]), "", deployment_raw[[#This Row],[Column2]])</f>
        <v/>
      </c>
      <c r="C753" s="6" t="str">
        <f>IF(ISNONTEXT(deployment_raw[[#This Row],[Column3]]), "", deployment_raw[[#This Row],[Column3]])</f>
        <v/>
      </c>
      <c r="D753" s="6" t="str">
        <f>IF(ISNONTEXT(deployment_raw[[#This Row],[Column4]]), "", deployment_raw[[#This Row],[Column4]])</f>
        <v/>
      </c>
      <c r="E753" s="7" t="str">
        <f>IF(ISNUMBER(deployment_raw[[#This Row],[Column5]]), deployment_raw[[#This Row],[Column5]],"")</f>
        <v/>
      </c>
      <c r="F753" s="32" t="str">
        <f>IF(ISNUMBER(deployment_raw[[#This Row],[Column17]]), deployment_raw[[#This Row],[Column17]]/IF(OR($E$2="Deployment",deployment_raw[[#This Row],[Column5]]=0),1,deployment_raw[[#This Row],[Column5]]),"")</f>
        <v/>
      </c>
      <c r="G753" s="42" t="str">
        <f>IF(ISNUMBER(deployment_raw[[#This Row],[Column14]]), deployment_raw[[#This Row],[Column14]]/IF(OR($E$2="Deployment",deployment_raw[[#This Row],[Column5]]=0),1,deployment_raw[[#This Row],[Column5]]),"")</f>
        <v/>
      </c>
      <c r="H753" s="79" t="str">
        <f>IF(ISNUMBER(deployment_raw[[#This Row],[Column19]]), IF(I753&lt;&gt;0,(deployment_raw[[#This Row],[Column19]]/IF(OR($E$2="Deployment",deployment_raw[[#This Row],[Column5]]=0),1,deployment_raw[[#This Row],[Column5]]))/I753,0),"")</f>
        <v/>
      </c>
      <c r="I753" s="69" t="str">
        <f>IF(ISNUMBER(deployment_raw[[#This Row],[Column6]]), (deployment_raw[[#This Row],[Column6]] * IF($E$2="Deployment",deployment_raw[[#This Row],[Column5]],1)),"")</f>
        <v/>
      </c>
      <c r="J753" s="79" t="str">
        <f>IF(ISNUMBER(deployment_raw[[#This Row],[Column19]]), IF(K753&lt;&gt;0,(deployment_raw[[#This Row],[Column19]]/IF(OR($E$2="Deployment",deployment_raw[[#This Row],[Column5]]=0),1,deployment_raw[[#This Row],[Column5]]))/K753,0),"")</f>
        <v/>
      </c>
      <c r="K753" s="72" t="str">
        <f>IF(ISNUMBER(deployment_raw[[#This Row],[Column8]]), (deployment_raw[[#This Row],[Column8]]  * IF($E$2="Deployment",deployment_raw[[#This Row],[Column5]],1)),"")</f>
        <v/>
      </c>
      <c r="L75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5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53" s="81" t="str">
        <f>IF(ISNUMBER(deployment_raw[[#This Row],[Column20]]), IF(O753&lt;&gt;0,deployment_raw[[#This Row],[Column20]]/IF(OR($E$2="Deployment",deployment_raw[[#This Row],[Column5]]=0),1,deployment_raw[[#This Row],[Column5]])/1048576/O753,0),"")</f>
        <v/>
      </c>
      <c r="O753" s="74" t="str">
        <f>IF(ISNUMBER(deployment_raw[[#This Row],[Column7]]), (deployment_raw[[#This Row],[Column7]] * IF($E$2="Deployment",deployment_raw[[#This Row],[Column5]],1))/1048576,"")</f>
        <v/>
      </c>
      <c r="P753" s="81" t="str">
        <f>IF(ISNUMBER(deployment_raw[[#This Row],[Column20]]), IF(Q753&lt;&gt;0,deployment_raw[[#This Row],[Column20]]/IF(OR($E$2="Deployment",deployment_raw[[#This Row],[Column5]]=0),1,deployment_raw[[#This Row],[Column5]])/1048576/Q753,0),"")</f>
        <v/>
      </c>
      <c r="Q753" s="76" t="str">
        <f>IF(ISNUMBER(deployment_raw[[#This Row],[Column9]]), (deployment_raw[[#This Row],[Column9]] * IF($E$2="Deployment",deployment_raw[[#This Row],[Column5]],1))/1048576,"")</f>
        <v/>
      </c>
      <c r="R753" s="57" t="str">
        <f>IF(ISNUMBER(deployment_raw[[#This Row],[Column10]]), (deployment_raw[[#This Row],[Column10]] * IF($E$2="Deployment",deployment_raw[[#This Row],[Column5]],1)),"")</f>
        <v/>
      </c>
      <c r="S753" s="48" t="str">
        <f>IF(ISNUMBER(deployment_raw[[#This Row],[Column11]]), (deployment_raw[[#This Row],[Column11]] * IF($E$2="Deployment",deployment_raw[[#This Row],[Column5]],1))/1048576,"")</f>
        <v/>
      </c>
      <c r="T753" s="59" t="str">
        <f>IF(ISNUMBER(deployment_raw[[#This Row],[Column8]]),IF(OR(deployment_raw[[#This Row],[Column5]] &lt;&gt; 0,$E$2 &lt;&gt; "Deployment"), MAX(V753, ($T$2 * IF($E$2="Deployment",deployment_raw[[#This Row],[Column5]],1))), 0),"")</f>
        <v/>
      </c>
      <c r="U753" s="50" t="str">
        <f>IF(ISNUMBER(deployment_raw[[#This Row],[Column9]]),IF(OR(deployment_raw[[#This Row],[Column5]] &lt;&gt; 0,$E$2&lt;&gt;"Deployment"), MAX(W753, ($U$2 * IF($E$2="Deployment",deployment_raw[[#This Row],[Column5]],1))), 0),"")</f>
        <v/>
      </c>
      <c r="V753" s="15" t="str">
        <f>IF(ISNUMBER(deployment_raw[[#This Row],[Column12]]), (deployment_raw[[#This Row],[Column12]] * IF($E$2="Deployment",deployment_raw[[#This Row],[Column5]],1)*(1+$V$2)),"")</f>
        <v/>
      </c>
      <c r="W753" s="14" t="str">
        <f>IF(ISNUMBER(deployment_raw[[#This Row],[Column13]]), (deployment_raw[[#This Row],[Column13]] * IF($E$2="Deployment",deployment_raw[[#This Row],[Column5]],1)*(1+$W$2))/1048576,"")</f>
        <v/>
      </c>
    </row>
    <row r="754" spans="1:23" ht="15.75" customHeight="1" x14ac:dyDescent="0.25">
      <c r="A754" s="5" t="str">
        <f>IF(ISNONTEXT(deployment_raw[[#This Row],[Column1]]), "", deployment_raw[[#This Row],[Column1]])</f>
        <v/>
      </c>
      <c r="B754" s="6" t="str">
        <f>IF(ISNONTEXT(deployment_raw[[#This Row],[Column2]]), "", deployment_raw[[#This Row],[Column2]])</f>
        <v/>
      </c>
      <c r="C754" s="6" t="str">
        <f>IF(ISNONTEXT(deployment_raw[[#This Row],[Column3]]), "", deployment_raw[[#This Row],[Column3]])</f>
        <v/>
      </c>
      <c r="D754" s="6" t="str">
        <f>IF(ISNONTEXT(deployment_raw[[#This Row],[Column4]]), "", deployment_raw[[#This Row],[Column4]])</f>
        <v/>
      </c>
      <c r="E754" s="7" t="str">
        <f>IF(ISNUMBER(deployment_raw[[#This Row],[Column5]]), deployment_raw[[#This Row],[Column5]],"")</f>
        <v/>
      </c>
      <c r="F754" s="32" t="str">
        <f>IF(ISNUMBER(deployment_raw[[#This Row],[Column17]]), deployment_raw[[#This Row],[Column17]]/IF(OR($E$2="Deployment",deployment_raw[[#This Row],[Column5]]=0),1,deployment_raw[[#This Row],[Column5]]),"")</f>
        <v/>
      </c>
      <c r="G754" s="42" t="str">
        <f>IF(ISNUMBER(deployment_raw[[#This Row],[Column14]]), deployment_raw[[#This Row],[Column14]]/IF(OR($E$2="Deployment",deployment_raw[[#This Row],[Column5]]=0),1,deployment_raw[[#This Row],[Column5]]),"")</f>
        <v/>
      </c>
      <c r="H754" s="79" t="str">
        <f>IF(ISNUMBER(deployment_raw[[#This Row],[Column19]]), IF(I754&lt;&gt;0,(deployment_raw[[#This Row],[Column19]]/IF(OR($E$2="Deployment",deployment_raw[[#This Row],[Column5]]=0),1,deployment_raw[[#This Row],[Column5]]))/I754,0),"")</f>
        <v/>
      </c>
      <c r="I754" s="69" t="str">
        <f>IF(ISNUMBER(deployment_raw[[#This Row],[Column6]]), (deployment_raw[[#This Row],[Column6]] * IF($E$2="Deployment",deployment_raw[[#This Row],[Column5]],1)),"")</f>
        <v/>
      </c>
      <c r="J754" s="79" t="str">
        <f>IF(ISNUMBER(deployment_raw[[#This Row],[Column19]]), IF(K754&lt;&gt;0,(deployment_raw[[#This Row],[Column19]]/IF(OR($E$2="Deployment",deployment_raw[[#This Row],[Column5]]=0),1,deployment_raw[[#This Row],[Column5]]))/K754,0),"")</f>
        <v/>
      </c>
      <c r="K754" s="72" t="str">
        <f>IF(ISNUMBER(deployment_raw[[#This Row],[Column8]]), (deployment_raw[[#This Row],[Column8]]  * IF($E$2="Deployment",deployment_raw[[#This Row],[Column5]],1)),"")</f>
        <v/>
      </c>
      <c r="L75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5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54" s="81" t="str">
        <f>IF(ISNUMBER(deployment_raw[[#This Row],[Column20]]), IF(O754&lt;&gt;0,deployment_raw[[#This Row],[Column20]]/IF(OR($E$2="Deployment",deployment_raw[[#This Row],[Column5]]=0),1,deployment_raw[[#This Row],[Column5]])/1048576/O754,0),"")</f>
        <v/>
      </c>
      <c r="O754" s="74" t="str">
        <f>IF(ISNUMBER(deployment_raw[[#This Row],[Column7]]), (deployment_raw[[#This Row],[Column7]] * IF($E$2="Deployment",deployment_raw[[#This Row],[Column5]],1))/1048576,"")</f>
        <v/>
      </c>
      <c r="P754" s="81" t="str">
        <f>IF(ISNUMBER(deployment_raw[[#This Row],[Column20]]), IF(Q754&lt;&gt;0,deployment_raw[[#This Row],[Column20]]/IF(OR($E$2="Deployment",deployment_raw[[#This Row],[Column5]]=0),1,deployment_raw[[#This Row],[Column5]])/1048576/Q754,0),"")</f>
        <v/>
      </c>
      <c r="Q754" s="76" t="str">
        <f>IF(ISNUMBER(deployment_raw[[#This Row],[Column9]]), (deployment_raw[[#This Row],[Column9]] * IF($E$2="Deployment",deployment_raw[[#This Row],[Column5]],1))/1048576,"")</f>
        <v/>
      </c>
      <c r="R754" s="57" t="str">
        <f>IF(ISNUMBER(deployment_raw[[#This Row],[Column10]]), (deployment_raw[[#This Row],[Column10]] * IF($E$2="Deployment",deployment_raw[[#This Row],[Column5]],1)),"")</f>
        <v/>
      </c>
      <c r="S754" s="48" t="str">
        <f>IF(ISNUMBER(deployment_raw[[#This Row],[Column11]]), (deployment_raw[[#This Row],[Column11]] * IF($E$2="Deployment",deployment_raw[[#This Row],[Column5]],1))/1048576,"")</f>
        <v/>
      </c>
      <c r="T754" s="59" t="str">
        <f>IF(ISNUMBER(deployment_raw[[#This Row],[Column8]]),IF(OR(deployment_raw[[#This Row],[Column5]] &lt;&gt; 0,$E$2 &lt;&gt; "Deployment"), MAX(V754, ($T$2 * IF($E$2="Deployment",deployment_raw[[#This Row],[Column5]],1))), 0),"")</f>
        <v/>
      </c>
      <c r="U754" s="50" t="str">
        <f>IF(ISNUMBER(deployment_raw[[#This Row],[Column9]]),IF(OR(deployment_raw[[#This Row],[Column5]] &lt;&gt; 0,$E$2&lt;&gt;"Deployment"), MAX(W754, ($U$2 * IF($E$2="Deployment",deployment_raw[[#This Row],[Column5]],1))), 0),"")</f>
        <v/>
      </c>
      <c r="V754" s="15" t="str">
        <f>IF(ISNUMBER(deployment_raw[[#This Row],[Column12]]), (deployment_raw[[#This Row],[Column12]] * IF($E$2="Deployment",deployment_raw[[#This Row],[Column5]],1)*(1+$V$2)),"")</f>
        <v/>
      </c>
      <c r="W754" s="14" t="str">
        <f>IF(ISNUMBER(deployment_raw[[#This Row],[Column13]]), (deployment_raw[[#This Row],[Column13]] * IF($E$2="Deployment",deployment_raw[[#This Row],[Column5]],1)*(1+$W$2))/1048576,"")</f>
        <v/>
      </c>
    </row>
    <row r="755" spans="1:23" ht="15.75" customHeight="1" x14ac:dyDescent="0.25">
      <c r="A755" s="5" t="str">
        <f>IF(ISNONTEXT(deployment_raw[[#This Row],[Column1]]), "", deployment_raw[[#This Row],[Column1]])</f>
        <v/>
      </c>
      <c r="B755" s="6" t="str">
        <f>IF(ISNONTEXT(deployment_raw[[#This Row],[Column2]]), "", deployment_raw[[#This Row],[Column2]])</f>
        <v/>
      </c>
      <c r="C755" s="6" t="str">
        <f>IF(ISNONTEXT(deployment_raw[[#This Row],[Column3]]), "", deployment_raw[[#This Row],[Column3]])</f>
        <v/>
      </c>
      <c r="D755" s="6" t="str">
        <f>IF(ISNONTEXT(deployment_raw[[#This Row],[Column4]]), "", deployment_raw[[#This Row],[Column4]])</f>
        <v/>
      </c>
      <c r="E755" s="7" t="str">
        <f>IF(ISNUMBER(deployment_raw[[#This Row],[Column5]]), deployment_raw[[#This Row],[Column5]],"")</f>
        <v/>
      </c>
      <c r="F755" s="32" t="str">
        <f>IF(ISNUMBER(deployment_raw[[#This Row],[Column17]]), deployment_raw[[#This Row],[Column17]]/IF(OR($E$2="Deployment",deployment_raw[[#This Row],[Column5]]=0),1,deployment_raw[[#This Row],[Column5]]),"")</f>
        <v/>
      </c>
      <c r="G755" s="42" t="str">
        <f>IF(ISNUMBER(deployment_raw[[#This Row],[Column14]]), deployment_raw[[#This Row],[Column14]]/IF(OR($E$2="Deployment",deployment_raw[[#This Row],[Column5]]=0),1,deployment_raw[[#This Row],[Column5]]),"")</f>
        <v/>
      </c>
      <c r="H755" s="79" t="str">
        <f>IF(ISNUMBER(deployment_raw[[#This Row],[Column19]]), IF(I755&lt;&gt;0,(deployment_raw[[#This Row],[Column19]]/IF(OR($E$2="Deployment",deployment_raw[[#This Row],[Column5]]=0),1,deployment_raw[[#This Row],[Column5]]))/I755,0),"")</f>
        <v/>
      </c>
      <c r="I755" s="69" t="str">
        <f>IF(ISNUMBER(deployment_raw[[#This Row],[Column6]]), (deployment_raw[[#This Row],[Column6]] * IF($E$2="Deployment",deployment_raw[[#This Row],[Column5]],1)),"")</f>
        <v/>
      </c>
      <c r="J755" s="79" t="str">
        <f>IF(ISNUMBER(deployment_raw[[#This Row],[Column19]]), IF(K755&lt;&gt;0,(deployment_raw[[#This Row],[Column19]]/IF(OR($E$2="Deployment",deployment_raw[[#This Row],[Column5]]=0),1,deployment_raw[[#This Row],[Column5]]))/K755,0),"")</f>
        <v/>
      </c>
      <c r="K755" s="72" t="str">
        <f>IF(ISNUMBER(deployment_raw[[#This Row],[Column8]]), (deployment_raw[[#This Row],[Column8]]  * IF($E$2="Deployment",deployment_raw[[#This Row],[Column5]],1)),"")</f>
        <v/>
      </c>
      <c r="L75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5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55" s="81" t="str">
        <f>IF(ISNUMBER(deployment_raw[[#This Row],[Column20]]), IF(O755&lt;&gt;0,deployment_raw[[#This Row],[Column20]]/IF(OR($E$2="Deployment",deployment_raw[[#This Row],[Column5]]=0),1,deployment_raw[[#This Row],[Column5]])/1048576/O755,0),"")</f>
        <v/>
      </c>
      <c r="O755" s="74" t="str">
        <f>IF(ISNUMBER(deployment_raw[[#This Row],[Column7]]), (deployment_raw[[#This Row],[Column7]] * IF($E$2="Deployment",deployment_raw[[#This Row],[Column5]],1))/1048576,"")</f>
        <v/>
      </c>
      <c r="P755" s="81" t="str">
        <f>IF(ISNUMBER(deployment_raw[[#This Row],[Column20]]), IF(Q755&lt;&gt;0,deployment_raw[[#This Row],[Column20]]/IF(OR($E$2="Deployment",deployment_raw[[#This Row],[Column5]]=0),1,deployment_raw[[#This Row],[Column5]])/1048576/Q755,0),"")</f>
        <v/>
      </c>
      <c r="Q755" s="76" t="str">
        <f>IF(ISNUMBER(deployment_raw[[#This Row],[Column9]]), (deployment_raw[[#This Row],[Column9]] * IF($E$2="Deployment",deployment_raw[[#This Row],[Column5]],1))/1048576,"")</f>
        <v/>
      </c>
      <c r="R755" s="57" t="str">
        <f>IF(ISNUMBER(deployment_raw[[#This Row],[Column10]]), (deployment_raw[[#This Row],[Column10]] * IF($E$2="Deployment",deployment_raw[[#This Row],[Column5]],1)),"")</f>
        <v/>
      </c>
      <c r="S755" s="48" t="str">
        <f>IF(ISNUMBER(deployment_raw[[#This Row],[Column11]]), (deployment_raw[[#This Row],[Column11]] * IF($E$2="Deployment",deployment_raw[[#This Row],[Column5]],1))/1048576,"")</f>
        <v/>
      </c>
      <c r="T755" s="59" t="str">
        <f>IF(ISNUMBER(deployment_raw[[#This Row],[Column8]]),IF(OR(deployment_raw[[#This Row],[Column5]] &lt;&gt; 0,$E$2 &lt;&gt; "Deployment"), MAX(V755, ($T$2 * IF($E$2="Deployment",deployment_raw[[#This Row],[Column5]],1))), 0),"")</f>
        <v/>
      </c>
      <c r="U755" s="50" t="str">
        <f>IF(ISNUMBER(deployment_raw[[#This Row],[Column9]]),IF(OR(deployment_raw[[#This Row],[Column5]] &lt;&gt; 0,$E$2&lt;&gt;"Deployment"), MAX(W755, ($U$2 * IF($E$2="Deployment",deployment_raw[[#This Row],[Column5]],1))), 0),"")</f>
        <v/>
      </c>
      <c r="V755" s="15" t="str">
        <f>IF(ISNUMBER(deployment_raw[[#This Row],[Column12]]), (deployment_raw[[#This Row],[Column12]] * IF($E$2="Deployment",deployment_raw[[#This Row],[Column5]],1)*(1+$V$2)),"")</f>
        <v/>
      </c>
      <c r="W755" s="14" t="str">
        <f>IF(ISNUMBER(deployment_raw[[#This Row],[Column13]]), (deployment_raw[[#This Row],[Column13]] * IF($E$2="Deployment",deployment_raw[[#This Row],[Column5]],1)*(1+$W$2))/1048576,"")</f>
        <v/>
      </c>
    </row>
    <row r="756" spans="1:23" ht="15.75" customHeight="1" x14ac:dyDescent="0.25">
      <c r="A756" s="5" t="str">
        <f>IF(ISNONTEXT(deployment_raw[[#This Row],[Column1]]), "", deployment_raw[[#This Row],[Column1]])</f>
        <v/>
      </c>
      <c r="B756" s="6" t="str">
        <f>IF(ISNONTEXT(deployment_raw[[#This Row],[Column2]]), "", deployment_raw[[#This Row],[Column2]])</f>
        <v/>
      </c>
      <c r="C756" s="6" t="str">
        <f>IF(ISNONTEXT(deployment_raw[[#This Row],[Column3]]), "", deployment_raw[[#This Row],[Column3]])</f>
        <v/>
      </c>
      <c r="D756" s="6" t="str">
        <f>IF(ISNONTEXT(deployment_raw[[#This Row],[Column4]]), "", deployment_raw[[#This Row],[Column4]])</f>
        <v/>
      </c>
      <c r="E756" s="7" t="str">
        <f>IF(ISNUMBER(deployment_raw[[#This Row],[Column5]]), deployment_raw[[#This Row],[Column5]],"")</f>
        <v/>
      </c>
      <c r="F756" s="32" t="str">
        <f>IF(ISNUMBER(deployment_raw[[#This Row],[Column17]]), deployment_raw[[#This Row],[Column17]]/IF(OR($E$2="Deployment",deployment_raw[[#This Row],[Column5]]=0),1,deployment_raw[[#This Row],[Column5]]),"")</f>
        <v/>
      </c>
      <c r="G756" s="42" t="str">
        <f>IF(ISNUMBER(deployment_raw[[#This Row],[Column14]]), deployment_raw[[#This Row],[Column14]]/IF(OR($E$2="Deployment",deployment_raw[[#This Row],[Column5]]=0),1,deployment_raw[[#This Row],[Column5]]),"")</f>
        <v/>
      </c>
      <c r="H756" s="79" t="str">
        <f>IF(ISNUMBER(deployment_raw[[#This Row],[Column19]]), IF(I756&lt;&gt;0,(deployment_raw[[#This Row],[Column19]]/IF(OR($E$2="Deployment",deployment_raw[[#This Row],[Column5]]=0),1,deployment_raw[[#This Row],[Column5]]))/I756,0),"")</f>
        <v/>
      </c>
      <c r="I756" s="69" t="str">
        <f>IF(ISNUMBER(deployment_raw[[#This Row],[Column6]]), (deployment_raw[[#This Row],[Column6]] * IF($E$2="Deployment",deployment_raw[[#This Row],[Column5]],1)),"")</f>
        <v/>
      </c>
      <c r="J756" s="79" t="str">
        <f>IF(ISNUMBER(deployment_raw[[#This Row],[Column19]]), IF(K756&lt;&gt;0,(deployment_raw[[#This Row],[Column19]]/IF(OR($E$2="Deployment",deployment_raw[[#This Row],[Column5]]=0),1,deployment_raw[[#This Row],[Column5]]))/K756,0),"")</f>
        <v/>
      </c>
      <c r="K756" s="72" t="str">
        <f>IF(ISNUMBER(deployment_raw[[#This Row],[Column8]]), (deployment_raw[[#This Row],[Column8]]  * IF($E$2="Deployment",deployment_raw[[#This Row],[Column5]],1)),"")</f>
        <v/>
      </c>
      <c r="L75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5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56" s="81" t="str">
        <f>IF(ISNUMBER(deployment_raw[[#This Row],[Column20]]), IF(O756&lt;&gt;0,deployment_raw[[#This Row],[Column20]]/IF(OR($E$2="Deployment",deployment_raw[[#This Row],[Column5]]=0),1,deployment_raw[[#This Row],[Column5]])/1048576/O756,0),"")</f>
        <v/>
      </c>
      <c r="O756" s="74" t="str">
        <f>IF(ISNUMBER(deployment_raw[[#This Row],[Column7]]), (deployment_raw[[#This Row],[Column7]] * IF($E$2="Deployment",deployment_raw[[#This Row],[Column5]],1))/1048576,"")</f>
        <v/>
      </c>
      <c r="P756" s="81" t="str">
        <f>IF(ISNUMBER(deployment_raw[[#This Row],[Column20]]), IF(Q756&lt;&gt;0,deployment_raw[[#This Row],[Column20]]/IF(OR($E$2="Deployment",deployment_raw[[#This Row],[Column5]]=0),1,deployment_raw[[#This Row],[Column5]])/1048576/Q756,0),"")</f>
        <v/>
      </c>
      <c r="Q756" s="76" t="str">
        <f>IF(ISNUMBER(deployment_raw[[#This Row],[Column9]]), (deployment_raw[[#This Row],[Column9]] * IF($E$2="Deployment",deployment_raw[[#This Row],[Column5]],1))/1048576,"")</f>
        <v/>
      </c>
      <c r="R756" s="57" t="str">
        <f>IF(ISNUMBER(deployment_raw[[#This Row],[Column10]]), (deployment_raw[[#This Row],[Column10]] * IF($E$2="Deployment",deployment_raw[[#This Row],[Column5]],1)),"")</f>
        <v/>
      </c>
      <c r="S756" s="48" t="str">
        <f>IF(ISNUMBER(deployment_raw[[#This Row],[Column11]]), (deployment_raw[[#This Row],[Column11]] * IF($E$2="Deployment",deployment_raw[[#This Row],[Column5]],1))/1048576,"")</f>
        <v/>
      </c>
      <c r="T756" s="59" t="str">
        <f>IF(ISNUMBER(deployment_raw[[#This Row],[Column8]]),IF(OR(deployment_raw[[#This Row],[Column5]] &lt;&gt; 0,$E$2 &lt;&gt; "Deployment"), MAX(V756, ($T$2 * IF($E$2="Deployment",deployment_raw[[#This Row],[Column5]],1))), 0),"")</f>
        <v/>
      </c>
      <c r="U756" s="50" t="str">
        <f>IF(ISNUMBER(deployment_raw[[#This Row],[Column9]]),IF(OR(deployment_raw[[#This Row],[Column5]] &lt;&gt; 0,$E$2&lt;&gt;"Deployment"), MAX(W756, ($U$2 * IF($E$2="Deployment",deployment_raw[[#This Row],[Column5]],1))), 0),"")</f>
        <v/>
      </c>
      <c r="V756" s="15" t="str">
        <f>IF(ISNUMBER(deployment_raw[[#This Row],[Column12]]), (deployment_raw[[#This Row],[Column12]] * IF($E$2="Deployment",deployment_raw[[#This Row],[Column5]],1)*(1+$V$2)),"")</f>
        <v/>
      </c>
      <c r="W756" s="14" t="str">
        <f>IF(ISNUMBER(deployment_raw[[#This Row],[Column13]]), (deployment_raw[[#This Row],[Column13]] * IF($E$2="Deployment",deployment_raw[[#This Row],[Column5]],1)*(1+$W$2))/1048576,"")</f>
        <v/>
      </c>
    </row>
    <row r="757" spans="1:23" ht="15.75" customHeight="1" x14ac:dyDescent="0.25">
      <c r="A757" s="5" t="str">
        <f>IF(ISNONTEXT(deployment_raw[[#This Row],[Column1]]), "", deployment_raw[[#This Row],[Column1]])</f>
        <v/>
      </c>
      <c r="B757" s="6" t="str">
        <f>IF(ISNONTEXT(deployment_raw[[#This Row],[Column2]]), "", deployment_raw[[#This Row],[Column2]])</f>
        <v/>
      </c>
      <c r="C757" s="6" t="str">
        <f>IF(ISNONTEXT(deployment_raw[[#This Row],[Column3]]), "", deployment_raw[[#This Row],[Column3]])</f>
        <v/>
      </c>
      <c r="D757" s="6" t="str">
        <f>IF(ISNONTEXT(deployment_raw[[#This Row],[Column4]]), "", deployment_raw[[#This Row],[Column4]])</f>
        <v/>
      </c>
      <c r="E757" s="7" t="str">
        <f>IF(ISNUMBER(deployment_raw[[#This Row],[Column5]]), deployment_raw[[#This Row],[Column5]],"")</f>
        <v/>
      </c>
      <c r="F757" s="32" t="str">
        <f>IF(ISNUMBER(deployment_raw[[#This Row],[Column17]]), deployment_raw[[#This Row],[Column17]]/IF(OR($E$2="Deployment",deployment_raw[[#This Row],[Column5]]=0),1,deployment_raw[[#This Row],[Column5]]),"")</f>
        <v/>
      </c>
      <c r="G757" s="42" t="str">
        <f>IF(ISNUMBER(deployment_raw[[#This Row],[Column14]]), deployment_raw[[#This Row],[Column14]]/IF(OR($E$2="Deployment",deployment_raw[[#This Row],[Column5]]=0),1,deployment_raw[[#This Row],[Column5]]),"")</f>
        <v/>
      </c>
      <c r="H757" s="79" t="str">
        <f>IF(ISNUMBER(deployment_raw[[#This Row],[Column19]]), IF(I757&lt;&gt;0,(deployment_raw[[#This Row],[Column19]]/IF(OR($E$2="Deployment",deployment_raw[[#This Row],[Column5]]=0),1,deployment_raw[[#This Row],[Column5]]))/I757,0),"")</f>
        <v/>
      </c>
      <c r="I757" s="69" t="str">
        <f>IF(ISNUMBER(deployment_raw[[#This Row],[Column6]]), (deployment_raw[[#This Row],[Column6]] * IF($E$2="Deployment",deployment_raw[[#This Row],[Column5]],1)),"")</f>
        <v/>
      </c>
      <c r="J757" s="79" t="str">
        <f>IF(ISNUMBER(deployment_raw[[#This Row],[Column19]]), IF(K757&lt;&gt;0,(deployment_raw[[#This Row],[Column19]]/IF(OR($E$2="Deployment",deployment_raw[[#This Row],[Column5]]=0),1,deployment_raw[[#This Row],[Column5]]))/K757,0),"")</f>
        <v/>
      </c>
      <c r="K757" s="72" t="str">
        <f>IF(ISNUMBER(deployment_raw[[#This Row],[Column8]]), (deployment_raw[[#This Row],[Column8]]  * IF($E$2="Deployment",deployment_raw[[#This Row],[Column5]],1)),"")</f>
        <v/>
      </c>
      <c r="L75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5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57" s="81" t="str">
        <f>IF(ISNUMBER(deployment_raw[[#This Row],[Column20]]), IF(O757&lt;&gt;0,deployment_raw[[#This Row],[Column20]]/IF(OR($E$2="Deployment",deployment_raw[[#This Row],[Column5]]=0),1,deployment_raw[[#This Row],[Column5]])/1048576/O757,0),"")</f>
        <v/>
      </c>
      <c r="O757" s="74" t="str">
        <f>IF(ISNUMBER(deployment_raw[[#This Row],[Column7]]), (deployment_raw[[#This Row],[Column7]] * IF($E$2="Deployment",deployment_raw[[#This Row],[Column5]],1))/1048576,"")</f>
        <v/>
      </c>
      <c r="P757" s="81" t="str">
        <f>IF(ISNUMBER(deployment_raw[[#This Row],[Column20]]), IF(Q757&lt;&gt;0,deployment_raw[[#This Row],[Column20]]/IF(OR($E$2="Deployment",deployment_raw[[#This Row],[Column5]]=0),1,deployment_raw[[#This Row],[Column5]])/1048576/Q757,0),"")</f>
        <v/>
      </c>
      <c r="Q757" s="76" t="str">
        <f>IF(ISNUMBER(deployment_raw[[#This Row],[Column9]]), (deployment_raw[[#This Row],[Column9]] * IF($E$2="Deployment",deployment_raw[[#This Row],[Column5]],1))/1048576,"")</f>
        <v/>
      </c>
      <c r="R757" s="57" t="str">
        <f>IF(ISNUMBER(deployment_raw[[#This Row],[Column10]]), (deployment_raw[[#This Row],[Column10]] * IF($E$2="Deployment",deployment_raw[[#This Row],[Column5]],1)),"")</f>
        <v/>
      </c>
      <c r="S757" s="48" t="str">
        <f>IF(ISNUMBER(deployment_raw[[#This Row],[Column11]]), (deployment_raw[[#This Row],[Column11]] * IF($E$2="Deployment",deployment_raw[[#This Row],[Column5]],1))/1048576,"")</f>
        <v/>
      </c>
      <c r="T757" s="59" t="str">
        <f>IF(ISNUMBER(deployment_raw[[#This Row],[Column8]]),IF(OR(deployment_raw[[#This Row],[Column5]] &lt;&gt; 0,$E$2 &lt;&gt; "Deployment"), MAX(V757, ($T$2 * IF($E$2="Deployment",deployment_raw[[#This Row],[Column5]],1))), 0),"")</f>
        <v/>
      </c>
      <c r="U757" s="50" t="str">
        <f>IF(ISNUMBER(deployment_raw[[#This Row],[Column9]]),IF(OR(deployment_raw[[#This Row],[Column5]] &lt;&gt; 0,$E$2&lt;&gt;"Deployment"), MAX(W757, ($U$2 * IF($E$2="Deployment",deployment_raw[[#This Row],[Column5]],1))), 0),"")</f>
        <v/>
      </c>
      <c r="V757" s="15" t="str">
        <f>IF(ISNUMBER(deployment_raw[[#This Row],[Column12]]), (deployment_raw[[#This Row],[Column12]] * IF($E$2="Deployment",deployment_raw[[#This Row],[Column5]],1)*(1+$V$2)),"")</f>
        <v/>
      </c>
      <c r="W757" s="14" t="str">
        <f>IF(ISNUMBER(deployment_raw[[#This Row],[Column13]]), (deployment_raw[[#This Row],[Column13]] * IF($E$2="Deployment",deployment_raw[[#This Row],[Column5]],1)*(1+$W$2))/1048576,"")</f>
        <v/>
      </c>
    </row>
    <row r="758" spans="1:23" ht="15.75" customHeight="1" x14ac:dyDescent="0.25">
      <c r="A758" s="5" t="str">
        <f>IF(ISNONTEXT(deployment_raw[[#This Row],[Column1]]), "", deployment_raw[[#This Row],[Column1]])</f>
        <v/>
      </c>
      <c r="B758" s="6" t="str">
        <f>IF(ISNONTEXT(deployment_raw[[#This Row],[Column2]]), "", deployment_raw[[#This Row],[Column2]])</f>
        <v/>
      </c>
      <c r="C758" s="6" t="str">
        <f>IF(ISNONTEXT(deployment_raw[[#This Row],[Column3]]), "", deployment_raw[[#This Row],[Column3]])</f>
        <v/>
      </c>
      <c r="D758" s="6" t="str">
        <f>IF(ISNONTEXT(deployment_raw[[#This Row],[Column4]]), "", deployment_raw[[#This Row],[Column4]])</f>
        <v/>
      </c>
      <c r="E758" s="7" t="str">
        <f>IF(ISNUMBER(deployment_raw[[#This Row],[Column5]]), deployment_raw[[#This Row],[Column5]],"")</f>
        <v/>
      </c>
      <c r="F758" s="32" t="str">
        <f>IF(ISNUMBER(deployment_raw[[#This Row],[Column17]]), deployment_raw[[#This Row],[Column17]]/IF(OR($E$2="Deployment",deployment_raw[[#This Row],[Column5]]=0),1,deployment_raw[[#This Row],[Column5]]),"")</f>
        <v/>
      </c>
      <c r="G758" s="42" t="str">
        <f>IF(ISNUMBER(deployment_raw[[#This Row],[Column14]]), deployment_raw[[#This Row],[Column14]]/IF(OR($E$2="Deployment",deployment_raw[[#This Row],[Column5]]=0),1,deployment_raw[[#This Row],[Column5]]),"")</f>
        <v/>
      </c>
      <c r="H758" s="79" t="str">
        <f>IF(ISNUMBER(deployment_raw[[#This Row],[Column19]]), IF(I758&lt;&gt;0,(deployment_raw[[#This Row],[Column19]]/IF(OR($E$2="Deployment",deployment_raw[[#This Row],[Column5]]=0),1,deployment_raw[[#This Row],[Column5]]))/I758,0),"")</f>
        <v/>
      </c>
      <c r="I758" s="69" t="str">
        <f>IF(ISNUMBER(deployment_raw[[#This Row],[Column6]]), (deployment_raw[[#This Row],[Column6]] * IF($E$2="Deployment",deployment_raw[[#This Row],[Column5]],1)),"")</f>
        <v/>
      </c>
      <c r="J758" s="79" t="str">
        <f>IF(ISNUMBER(deployment_raw[[#This Row],[Column19]]), IF(K758&lt;&gt;0,(deployment_raw[[#This Row],[Column19]]/IF(OR($E$2="Deployment",deployment_raw[[#This Row],[Column5]]=0),1,deployment_raw[[#This Row],[Column5]]))/K758,0),"")</f>
        <v/>
      </c>
      <c r="K758" s="72" t="str">
        <f>IF(ISNUMBER(deployment_raw[[#This Row],[Column8]]), (deployment_raw[[#This Row],[Column8]]  * IF($E$2="Deployment",deployment_raw[[#This Row],[Column5]],1)),"")</f>
        <v/>
      </c>
      <c r="L75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5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58" s="81" t="str">
        <f>IF(ISNUMBER(deployment_raw[[#This Row],[Column20]]), IF(O758&lt;&gt;0,deployment_raw[[#This Row],[Column20]]/IF(OR($E$2="Deployment",deployment_raw[[#This Row],[Column5]]=0),1,deployment_raw[[#This Row],[Column5]])/1048576/O758,0),"")</f>
        <v/>
      </c>
      <c r="O758" s="74" t="str">
        <f>IF(ISNUMBER(deployment_raw[[#This Row],[Column7]]), (deployment_raw[[#This Row],[Column7]] * IF($E$2="Deployment",deployment_raw[[#This Row],[Column5]],1))/1048576,"")</f>
        <v/>
      </c>
      <c r="P758" s="81" t="str">
        <f>IF(ISNUMBER(deployment_raw[[#This Row],[Column20]]), IF(Q758&lt;&gt;0,deployment_raw[[#This Row],[Column20]]/IF(OR($E$2="Deployment",deployment_raw[[#This Row],[Column5]]=0),1,deployment_raw[[#This Row],[Column5]])/1048576/Q758,0),"")</f>
        <v/>
      </c>
      <c r="Q758" s="76" t="str">
        <f>IF(ISNUMBER(deployment_raw[[#This Row],[Column9]]), (deployment_raw[[#This Row],[Column9]] * IF($E$2="Deployment",deployment_raw[[#This Row],[Column5]],1))/1048576,"")</f>
        <v/>
      </c>
      <c r="R758" s="57" t="str">
        <f>IF(ISNUMBER(deployment_raw[[#This Row],[Column10]]), (deployment_raw[[#This Row],[Column10]] * IF($E$2="Deployment",deployment_raw[[#This Row],[Column5]],1)),"")</f>
        <v/>
      </c>
      <c r="S758" s="48" t="str">
        <f>IF(ISNUMBER(deployment_raw[[#This Row],[Column11]]), (deployment_raw[[#This Row],[Column11]] * IF($E$2="Deployment",deployment_raw[[#This Row],[Column5]],1))/1048576,"")</f>
        <v/>
      </c>
      <c r="T758" s="59" t="str">
        <f>IF(ISNUMBER(deployment_raw[[#This Row],[Column8]]),IF(OR(deployment_raw[[#This Row],[Column5]] &lt;&gt; 0,$E$2 &lt;&gt; "Deployment"), MAX(V758, ($T$2 * IF($E$2="Deployment",deployment_raw[[#This Row],[Column5]],1))), 0),"")</f>
        <v/>
      </c>
      <c r="U758" s="50" t="str">
        <f>IF(ISNUMBER(deployment_raw[[#This Row],[Column9]]),IF(OR(deployment_raw[[#This Row],[Column5]] &lt;&gt; 0,$E$2&lt;&gt;"Deployment"), MAX(W758, ($U$2 * IF($E$2="Deployment",deployment_raw[[#This Row],[Column5]],1))), 0),"")</f>
        <v/>
      </c>
      <c r="V758" s="15" t="str">
        <f>IF(ISNUMBER(deployment_raw[[#This Row],[Column12]]), (deployment_raw[[#This Row],[Column12]] * IF($E$2="Deployment",deployment_raw[[#This Row],[Column5]],1)*(1+$V$2)),"")</f>
        <v/>
      </c>
      <c r="W758" s="14" t="str">
        <f>IF(ISNUMBER(deployment_raw[[#This Row],[Column13]]), (deployment_raw[[#This Row],[Column13]] * IF($E$2="Deployment",deployment_raw[[#This Row],[Column5]],1)*(1+$W$2))/1048576,"")</f>
        <v/>
      </c>
    </row>
    <row r="759" spans="1:23" ht="15.75" customHeight="1" x14ac:dyDescent="0.25">
      <c r="A759" s="5" t="str">
        <f>IF(ISNONTEXT(deployment_raw[[#This Row],[Column1]]), "", deployment_raw[[#This Row],[Column1]])</f>
        <v/>
      </c>
      <c r="B759" s="6" t="str">
        <f>IF(ISNONTEXT(deployment_raw[[#This Row],[Column2]]), "", deployment_raw[[#This Row],[Column2]])</f>
        <v/>
      </c>
      <c r="C759" s="6" t="str">
        <f>IF(ISNONTEXT(deployment_raw[[#This Row],[Column3]]), "", deployment_raw[[#This Row],[Column3]])</f>
        <v/>
      </c>
      <c r="D759" s="6" t="str">
        <f>IF(ISNONTEXT(deployment_raw[[#This Row],[Column4]]), "", deployment_raw[[#This Row],[Column4]])</f>
        <v/>
      </c>
      <c r="E759" s="7" t="str">
        <f>IF(ISNUMBER(deployment_raw[[#This Row],[Column5]]), deployment_raw[[#This Row],[Column5]],"")</f>
        <v/>
      </c>
      <c r="F759" s="32" t="str">
        <f>IF(ISNUMBER(deployment_raw[[#This Row],[Column17]]), deployment_raw[[#This Row],[Column17]]/IF(OR($E$2="Deployment",deployment_raw[[#This Row],[Column5]]=0),1,deployment_raw[[#This Row],[Column5]]),"")</f>
        <v/>
      </c>
      <c r="G759" s="42" t="str">
        <f>IF(ISNUMBER(deployment_raw[[#This Row],[Column14]]), deployment_raw[[#This Row],[Column14]]/IF(OR($E$2="Deployment",deployment_raw[[#This Row],[Column5]]=0),1,deployment_raw[[#This Row],[Column5]]),"")</f>
        <v/>
      </c>
      <c r="H759" s="79" t="str">
        <f>IF(ISNUMBER(deployment_raw[[#This Row],[Column19]]), IF(I759&lt;&gt;0,(deployment_raw[[#This Row],[Column19]]/IF(OR($E$2="Deployment",deployment_raw[[#This Row],[Column5]]=0),1,deployment_raw[[#This Row],[Column5]]))/I759,0),"")</f>
        <v/>
      </c>
      <c r="I759" s="69" t="str">
        <f>IF(ISNUMBER(deployment_raw[[#This Row],[Column6]]), (deployment_raw[[#This Row],[Column6]] * IF($E$2="Deployment",deployment_raw[[#This Row],[Column5]],1)),"")</f>
        <v/>
      </c>
      <c r="J759" s="79" t="str">
        <f>IF(ISNUMBER(deployment_raw[[#This Row],[Column19]]), IF(K759&lt;&gt;0,(deployment_raw[[#This Row],[Column19]]/IF(OR($E$2="Deployment",deployment_raw[[#This Row],[Column5]]=0),1,deployment_raw[[#This Row],[Column5]]))/K759,0),"")</f>
        <v/>
      </c>
      <c r="K759" s="72" t="str">
        <f>IF(ISNUMBER(deployment_raw[[#This Row],[Column8]]), (deployment_raw[[#This Row],[Column8]]  * IF($E$2="Deployment",deployment_raw[[#This Row],[Column5]],1)),"")</f>
        <v/>
      </c>
      <c r="L75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5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59" s="81" t="str">
        <f>IF(ISNUMBER(deployment_raw[[#This Row],[Column20]]), IF(O759&lt;&gt;0,deployment_raw[[#This Row],[Column20]]/IF(OR($E$2="Deployment",deployment_raw[[#This Row],[Column5]]=0),1,deployment_raw[[#This Row],[Column5]])/1048576/O759,0),"")</f>
        <v/>
      </c>
      <c r="O759" s="74" t="str">
        <f>IF(ISNUMBER(deployment_raw[[#This Row],[Column7]]), (deployment_raw[[#This Row],[Column7]] * IF($E$2="Deployment",deployment_raw[[#This Row],[Column5]],1))/1048576,"")</f>
        <v/>
      </c>
      <c r="P759" s="81" t="str">
        <f>IF(ISNUMBER(deployment_raw[[#This Row],[Column20]]), IF(Q759&lt;&gt;0,deployment_raw[[#This Row],[Column20]]/IF(OR($E$2="Deployment",deployment_raw[[#This Row],[Column5]]=0),1,deployment_raw[[#This Row],[Column5]])/1048576/Q759,0),"")</f>
        <v/>
      </c>
      <c r="Q759" s="76" t="str">
        <f>IF(ISNUMBER(deployment_raw[[#This Row],[Column9]]), (deployment_raw[[#This Row],[Column9]] * IF($E$2="Deployment",deployment_raw[[#This Row],[Column5]],1))/1048576,"")</f>
        <v/>
      </c>
      <c r="R759" s="57" t="str">
        <f>IF(ISNUMBER(deployment_raw[[#This Row],[Column10]]), (deployment_raw[[#This Row],[Column10]] * IF($E$2="Deployment",deployment_raw[[#This Row],[Column5]],1)),"")</f>
        <v/>
      </c>
      <c r="S759" s="48" t="str">
        <f>IF(ISNUMBER(deployment_raw[[#This Row],[Column11]]), (deployment_raw[[#This Row],[Column11]] * IF($E$2="Deployment",deployment_raw[[#This Row],[Column5]],1))/1048576,"")</f>
        <v/>
      </c>
      <c r="T759" s="59" t="str">
        <f>IF(ISNUMBER(deployment_raw[[#This Row],[Column8]]),IF(OR(deployment_raw[[#This Row],[Column5]] &lt;&gt; 0,$E$2 &lt;&gt; "Deployment"), MAX(V759, ($T$2 * IF($E$2="Deployment",deployment_raw[[#This Row],[Column5]],1))), 0),"")</f>
        <v/>
      </c>
      <c r="U759" s="50" t="str">
        <f>IF(ISNUMBER(deployment_raw[[#This Row],[Column9]]),IF(OR(deployment_raw[[#This Row],[Column5]] &lt;&gt; 0,$E$2&lt;&gt;"Deployment"), MAX(W759, ($U$2 * IF($E$2="Deployment",deployment_raw[[#This Row],[Column5]],1))), 0),"")</f>
        <v/>
      </c>
      <c r="V759" s="15" t="str">
        <f>IF(ISNUMBER(deployment_raw[[#This Row],[Column12]]), (deployment_raw[[#This Row],[Column12]] * IF($E$2="Deployment",deployment_raw[[#This Row],[Column5]],1)*(1+$V$2)),"")</f>
        <v/>
      </c>
      <c r="W759" s="14" t="str">
        <f>IF(ISNUMBER(deployment_raw[[#This Row],[Column13]]), (deployment_raw[[#This Row],[Column13]] * IF($E$2="Deployment",deployment_raw[[#This Row],[Column5]],1)*(1+$W$2))/1048576,"")</f>
        <v/>
      </c>
    </row>
    <row r="760" spans="1:23" ht="15.75" customHeight="1" x14ac:dyDescent="0.25">
      <c r="A760" s="5" t="str">
        <f>IF(ISNONTEXT(deployment_raw[[#This Row],[Column1]]), "", deployment_raw[[#This Row],[Column1]])</f>
        <v/>
      </c>
      <c r="B760" s="6" t="str">
        <f>IF(ISNONTEXT(deployment_raw[[#This Row],[Column2]]), "", deployment_raw[[#This Row],[Column2]])</f>
        <v/>
      </c>
      <c r="C760" s="6" t="str">
        <f>IF(ISNONTEXT(deployment_raw[[#This Row],[Column3]]), "", deployment_raw[[#This Row],[Column3]])</f>
        <v/>
      </c>
      <c r="D760" s="6" t="str">
        <f>IF(ISNONTEXT(deployment_raw[[#This Row],[Column4]]), "", deployment_raw[[#This Row],[Column4]])</f>
        <v/>
      </c>
      <c r="E760" s="7" t="str">
        <f>IF(ISNUMBER(deployment_raw[[#This Row],[Column5]]), deployment_raw[[#This Row],[Column5]],"")</f>
        <v/>
      </c>
      <c r="F760" s="32" t="str">
        <f>IF(ISNUMBER(deployment_raw[[#This Row],[Column17]]), deployment_raw[[#This Row],[Column17]]/IF(OR($E$2="Deployment",deployment_raw[[#This Row],[Column5]]=0),1,deployment_raw[[#This Row],[Column5]]),"")</f>
        <v/>
      </c>
      <c r="G760" s="42" t="str">
        <f>IF(ISNUMBER(deployment_raw[[#This Row],[Column14]]), deployment_raw[[#This Row],[Column14]]/IF(OR($E$2="Deployment",deployment_raw[[#This Row],[Column5]]=0),1,deployment_raw[[#This Row],[Column5]]),"")</f>
        <v/>
      </c>
      <c r="H760" s="79" t="str">
        <f>IF(ISNUMBER(deployment_raw[[#This Row],[Column19]]), IF(I760&lt;&gt;0,(deployment_raw[[#This Row],[Column19]]/IF(OR($E$2="Deployment",deployment_raw[[#This Row],[Column5]]=0),1,deployment_raw[[#This Row],[Column5]]))/I760,0),"")</f>
        <v/>
      </c>
      <c r="I760" s="69" t="str">
        <f>IF(ISNUMBER(deployment_raw[[#This Row],[Column6]]), (deployment_raw[[#This Row],[Column6]] * IF($E$2="Deployment",deployment_raw[[#This Row],[Column5]],1)),"")</f>
        <v/>
      </c>
      <c r="J760" s="79" t="str">
        <f>IF(ISNUMBER(deployment_raw[[#This Row],[Column19]]), IF(K760&lt;&gt;0,(deployment_raw[[#This Row],[Column19]]/IF(OR($E$2="Deployment",deployment_raw[[#This Row],[Column5]]=0),1,deployment_raw[[#This Row],[Column5]]))/K760,0),"")</f>
        <v/>
      </c>
      <c r="K760" s="72" t="str">
        <f>IF(ISNUMBER(deployment_raw[[#This Row],[Column8]]), (deployment_raw[[#This Row],[Column8]]  * IF($E$2="Deployment",deployment_raw[[#This Row],[Column5]],1)),"")</f>
        <v/>
      </c>
      <c r="L76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6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60" s="81" t="str">
        <f>IF(ISNUMBER(deployment_raw[[#This Row],[Column20]]), IF(O760&lt;&gt;0,deployment_raw[[#This Row],[Column20]]/IF(OR($E$2="Deployment",deployment_raw[[#This Row],[Column5]]=0),1,deployment_raw[[#This Row],[Column5]])/1048576/O760,0),"")</f>
        <v/>
      </c>
      <c r="O760" s="74" t="str">
        <f>IF(ISNUMBER(deployment_raw[[#This Row],[Column7]]), (deployment_raw[[#This Row],[Column7]] * IF($E$2="Deployment",deployment_raw[[#This Row],[Column5]],1))/1048576,"")</f>
        <v/>
      </c>
      <c r="P760" s="81" t="str">
        <f>IF(ISNUMBER(deployment_raw[[#This Row],[Column20]]), IF(Q760&lt;&gt;0,deployment_raw[[#This Row],[Column20]]/IF(OR($E$2="Deployment",deployment_raw[[#This Row],[Column5]]=0),1,deployment_raw[[#This Row],[Column5]])/1048576/Q760,0),"")</f>
        <v/>
      </c>
      <c r="Q760" s="76" t="str">
        <f>IF(ISNUMBER(deployment_raw[[#This Row],[Column9]]), (deployment_raw[[#This Row],[Column9]] * IF($E$2="Deployment",deployment_raw[[#This Row],[Column5]],1))/1048576,"")</f>
        <v/>
      </c>
      <c r="R760" s="57" t="str">
        <f>IF(ISNUMBER(deployment_raw[[#This Row],[Column10]]), (deployment_raw[[#This Row],[Column10]] * IF($E$2="Deployment",deployment_raw[[#This Row],[Column5]],1)),"")</f>
        <v/>
      </c>
      <c r="S760" s="48" t="str">
        <f>IF(ISNUMBER(deployment_raw[[#This Row],[Column11]]), (deployment_raw[[#This Row],[Column11]] * IF($E$2="Deployment",deployment_raw[[#This Row],[Column5]],1))/1048576,"")</f>
        <v/>
      </c>
      <c r="T760" s="59" t="str">
        <f>IF(ISNUMBER(deployment_raw[[#This Row],[Column8]]),IF(OR(deployment_raw[[#This Row],[Column5]] &lt;&gt; 0,$E$2 &lt;&gt; "Deployment"), MAX(V760, ($T$2 * IF($E$2="Deployment",deployment_raw[[#This Row],[Column5]],1))), 0),"")</f>
        <v/>
      </c>
      <c r="U760" s="50" t="str">
        <f>IF(ISNUMBER(deployment_raw[[#This Row],[Column9]]),IF(OR(deployment_raw[[#This Row],[Column5]] &lt;&gt; 0,$E$2&lt;&gt;"Deployment"), MAX(W760, ($U$2 * IF($E$2="Deployment",deployment_raw[[#This Row],[Column5]],1))), 0),"")</f>
        <v/>
      </c>
      <c r="V760" s="15" t="str">
        <f>IF(ISNUMBER(deployment_raw[[#This Row],[Column12]]), (deployment_raw[[#This Row],[Column12]] * IF($E$2="Deployment",deployment_raw[[#This Row],[Column5]],1)*(1+$V$2)),"")</f>
        <v/>
      </c>
      <c r="W760" s="14" t="str">
        <f>IF(ISNUMBER(deployment_raw[[#This Row],[Column13]]), (deployment_raw[[#This Row],[Column13]] * IF($E$2="Deployment",deployment_raw[[#This Row],[Column5]],1)*(1+$W$2))/1048576,"")</f>
        <v/>
      </c>
    </row>
    <row r="761" spans="1:23" ht="15.75" customHeight="1" x14ac:dyDescent="0.25">
      <c r="A761" s="5" t="str">
        <f>IF(ISNONTEXT(deployment_raw[[#This Row],[Column1]]), "", deployment_raw[[#This Row],[Column1]])</f>
        <v/>
      </c>
      <c r="B761" s="6" t="str">
        <f>IF(ISNONTEXT(deployment_raw[[#This Row],[Column2]]), "", deployment_raw[[#This Row],[Column2]])</f>
        <v/>
      </c>
      <c r="C761" s="6" t="str">
        <f>IF(ISNONTEXT(deployment_raw[[#This Row],[Column3]]), "", deployment_raw[[#This Row],[Column3]])</f>
        <v/>
      </c>
      <c r="D761" s="6" t="str">
        <f>IF(ISNONTEXT(deployment_raw[[#This Row],[Column4]]), "", deployment_raw[[#This Row],[Column4]])</f>
        <v/>
      </c>
      <c r="E761" s="7" t="str">
        <f>IF(ISNUMBER(deployment_raw[[#This Row],[Column5]]), deployment_raw[[#This Row],[Column5]],"")</f>
        <v/>
      </c>
      <c r="F761" s="32" t="str">
        <f>IF(ISNUMBER(deployment_raw[[#This Row],[Column17]]), deployment_raw[[#This Row],[Column17]]/IF(OR($E$2="Deployment",deployment_raw[[#This Row],[Column5]]=0),1,deployment_raw[[#This Row],[Column5]]),"")</f>
        <v/>
      </c>
      <c r="G761" s="42" t="str">
        <f>IF(ISNUMBER(deployment_raw[[#This Row],[Column14]]), deployment_raw[[#This Row],[Column14]]/IF(OR($E$2="Deployment",deployment_raw[[#This Row],[Column5]]=0),1,deployment_raw[[#This Row],[Column5]]),"")</f>
        <v/>
      </c>
      <c r="H761" s="79" t="str">
        <f>IF(ISNUMBER(deployment_raw[[#This Row],[Column19]]), IF(I761&lt;&gt;0,(deployment_raw[[#This Row],[Column19]]/IF(OR($E$2="Deployment",deployment_raw[[#This Row],[Column5]]=0),1,deployment_raw[[#This Row],[Column5]]))/I761,0),"")</f>
        <v/>
      </c>
      <c r="I761" s="69" t="str">
        <f>IF(ISNUMBER(deployment_raw[[#This Row],[Column6]]), (deployment_raw[[#This Row],[Column6]] * IF($E$2="Deployment",deployment_raw[[#This Row],[Column5]],1)),"")</f>
        <v/>
      </c>
      <c r="J761" s="79" t="str">
        <f>IF(ISNUMBER(deployment_raw[[#This Row],[Column19]]), IF(K761&lt;&gt;0,(deployment_raw[[#This Row],[Column19]]/IF(OR($E$2="Deployment",deployment_raw[[#This Row],[Column5]]=0),1,deployment_raw[[#This Row],[Column5]]))/K761,0),"")</f>
        <v/>
      </c>
      <c r="K761" s="72" t="str">
        <f>IF(ISNUMBER(deployment_raw[[#This Row],[Column8]]), (deployment_raw[[#This Row],[Column8]]  * IF($E$2="Deployment",deployment_raw[[#This Row],[Column5]],1)),"")</f>
        <v/>
      </c>
      <c r="L76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6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61" s="81" t="str">
        <f>IF(ISNUMBER(deployment_raw[[#This Row],[Column20]]), IF(O761&lt;&gt;0,deployment_raw[[#This Row],[Column20]]/IF(OR($E$2="Deployment",deployment_raw[[#This Row],[Column5]]=0),1,deployment_raw[[#This Row],[Column5]])/1048576/O761,0),"")</f>
        <v/>
      </c>
      <c r="O761" s="74" t="str">
        <f>IF(ISNUMBER(deployment_raw[[#This Row],[Column7]]), (deployment_raw[[#This Row],[Column7]] * IF($E$2="Deployment",deployment_raw[[#This Row],[Column5]],1))/1048576,"")</f>
        <v/>
      </c>
      <c r="P761" s="81" t="str">
        <f>IF(ISNUMBER(deployment_raw[[#This Row],[Column20]]), IF(Q761&lt;&gt;0,deployment_raw[[#This Row],[Column20]]/IF(OR($E$2="Deployment",deployment_raw[[#This Row],[Column5]]=0),1,deployment_raw[[#This Row],[Column5]])/1048576/Q761,0),"")</f>
        <v/>
      </c>
      <c r="Q761" s="76" t="str">
        <f>IF(ISNUMBER(deployment_raw[[#This Row],[Column9]]), (deployment_raw[[#This Row],[Column9]] * IF($E$2="Deployment",deployment_raw[[#This Row],[Column5]],1))/1048576,"")</f>
        <v/>
      </c>
      <c r="R761" s="57" t="str">
        <f>IF(ISNUMBER(deployment_raw[[#This Row],[Column10]]), (deployment_raw[[#This Row],[Column10]] * IF($E$2="Deployment",deployment_raw[[#This Row],[Column5]],1)),"")</f>
        <v/>
      </c>
      <c r="S761" s="48" t="str">
        <f>IF(ISNUMBER(deployment_raw[[#This Row],[Column11]]), (deployment_raw[[#This Row],[Column11]] * IF($E$2="Deployment",deployment_raw[[#This Row],[Column5]],1))/1048576,"")</f>
        <v/>
      </c>
      <c r="T761" s="59" t="str">
        <f>IF(ISNUMBER(deployment_raw[[#This Row],[Column8]]),IF(OR(deployment_raw[[#This Row],[Column5]] &lt;&gt; 0,$E$2 &lt;&gt; "Deployment"), MAX(V761, ($T$2 * IF($E$2="Deployment",deployment_raw[[#This Row],[Column5]],1))), 0),"")</f>
        <v/>
      </c>
      <c r="U761" s="50" t="str">
        <f>IF(ISNUMBER(deployment_raw[[#This Row],[Column9]]),IF(OR(deployment_raw[[#This Row],[Column5]] &lt;&gt; 0,$E$2&lt;&gt;"Deployment"), MAX(W761, ($U$2 * IF($E$2="Deployment",deployment_raw[[#This Row],[Column5]],1))), 0),"")</f>
        <v/>
      </c>
      <c r="V761" s="15" t="str">
        <f>IF(ISNUMBER(deployment_raw[[#This Row],[Column12]]), (deployment_raw[[#This Row],[Column12]] * IF($E$2="Deployment",deployment_raw[[#This Row],[Column5]],1)*(1+$V$2)),"")</f>
        <v/>
      </c>
      <c r="W761" s="14" t="str">
        <f>IF(ISNUMBER(deployment_raw[[#This Row],[Column13]]), (deployment_raw[[#This Row],[Column13]] * IF($E$2="Deployment",deployment_raw[[#This Row],[Column5]],1)*(1+$W$2))/1048576,"")</f>
        <v/>
      </c>
    </row>
    <row r="762" spans="1:23" ht="15.75" customHeight="1" x14ac:dyDescent="0.25">
      <c r="A762" s="5" t="str">
        <f>IF(ISNONTEXT(deployment_raw[[#This Row],[Column1]]), "", deployment_raw[[#This Row],[Column1]])</f>
        <v/>
      </c>
      <c r="B762" s="6" t="str">
        <f>IF(ISNONTEXT(deployment_raw[[#This Row],[Column2]]), "", deployment_raw[[#This Row],[Column2]])</f>
        <v/>
      </c>
      <c r="C762" s="6" t="str">
        <f>IF(ISNONTEXT(deployment_raw[[#This Row],[Column3]]), "", deployment_raw[[#This Row],[Column3]])</f>
        <v/>
      </c>
      <c r="D762" s="6" t="str">
        <f>IF(ISNONTEXT(deployment_raw[[#This Row],[Column4]]), "", deployment_raw[[#This Row],[Column4]])</f>
        <v/>
      </c>
      <c r="E762" s="7" t="str">
        <f>IF(ISNUMBER(deployment_raw[[#This Row],[Column5]]), deployment_raw[[#This Row],[Column5]],"")</f>
        <v/>
      </c>
      <c r="F762" s="32" t="str">
        <f>IF(ISNUMBER(deployment_raw[[#This Row],[Column17]]), deployment_raw[[#This Row],[Column17]]/IF(OR($E$2="Deployment",deployment_raw[[#This Row],[Column5]]=0),1,deployment_raw[[#This Row],[Column5]]),"")</f>
        <v/>
      </c>
      <c r="G762" s="42" t="str">
        <f>IF(ISNUMBER(deployment_raw[[#This Row],[Column14]]), deployment_raw[[#This Row],[Column14]]/IF(OR($E$2="Deployment",deployment_raw[[#This Row],[Column5]]=0),1,deployment_raw[[#This Row],[Column5]]),"")</f>
        <v/>
      </c>
      <c r="H762" s="79" t="str">
        <f>IF(ISNUMBER(deployment_raw[[#This Row],[Column19]]), IF(I762&lt;&gt;0,(deployment_raw[[#This Row],[Column19]]/IF(OR($E$2="Deployment",deployment_raw[[#This Row],[Column5]]=0),1,deployment_raw[[#This Row],[Column5]]))/I762,0),"")</f>
        <v/>
      </c>
      <c r="I762" s="69" t="str">
        <f>IF(ISNUMBER(deployment_raw[[#This Row],[Column6]]), (deployment_raw[[#This Row],[Column6]] * IF($E$2="Deployment",deployment_raw[[#This Row],[Column5]],1)),"")</f>
        <v/>
      </c>
      <c r="J762" s="79" t="str">
        <f>IF(ISNUMBER(deployment_raw[[#This Row],[Column19]]), IF(K762&lt;&gt;0,(deployment_raw[[#This Row],[Column19]]/IF(OR($E$2="Deployment",deployment_raw[[#This Row],[Column5]]=0),1,deployment_raw[[#This Row],[Column5]]))/K762,0),"")</f>
        <v/>
      </c>
      <c r="K762" s="72" t="str">
        <f>IF(ISNUMBER(deployment_raw[[#This Row],[Column8]]), (deployment_raw[[#This Row],[Column8]]  * IF($E$2="Deployment",deployment_raw[[#This Row],[Column5]],1)),"")</f>
        <v/>
      </c>
      <c r="L76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6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62" s="81" t="str">
        <f>IF(ISNUMBER(deployment_raw[[#This Row],[Column20]]), IF(O762&lt;&gt;0,deployment_raw[[#This Row],[Column20]]/IF(OR($E$2="Deployment",deployment_raw[[#This Row],[Column5]]=0),1,deployment_raw[[#This Row],[Column5]])/1048576/O762,0),"")</f>
        <v/>
      </c>
      <c r="O762" s="74" t="str">
        <f>IF(ISNUMBER(deployment_raw[[#This Row],[Column7]]), (deployment_raw[[#This Row],[Column7]] * IF($E$2="Deployment",deployment_raw[[#This Row],[Column5]],1))/1048576,"")</f>
        <v/>
      </c>
      <c r="P762" s="81" t="str">
        <f>IF(ISNUMBER(deployment_raw[[#This Row],[Column20]]), IF(Q762&lt;&gt;0,deployment_raw[[#This Row],[Column20]]/IF(OR($E$2="Deployment",deployment_raw[[#This Row],[Column5]]=0),1,deployment_raw[[#This Row],[Column5]])/1048576/Q762,0),"")</f>
        <v/>
      </c>
      <c r="Q762" s="76" t="str">
        <f>IF(ISNUMBER(deployment_raw[[#This Row],[Column9]]), (deployment_raw[[#This Row],[Column9]] * IF($E$2="Deployment",deployment_raw[[#This Row],[Column5]],1))/1048576,"")</f>
        <v/>
      </c>
      <c r="R762" s="57" t="str">
        <f>IF(ISNUMBER(deployment_raw[[#This Row],[Column10]]), (deployment_raw[[#This Row],[Column10]] * IF($E$2="Deployment",deployment_raw[[#This Row],[Column5]],1)),"")</f>
        <v/>
      </c>
      <c r="S762" s="48" t="str">
        <f>IF(ISNUMBER(deployment_raw[[#This Row],[Column11]]), (deployment_raw[[#This Row],[Column11]] * IF($E$2="Deployment",deployment_raw[[#This Row],[Column5]],1))/1048576,"")</f>
        <v/>
      </c>
      <c r="T762" s="59" t="str">
        <f>IF(ISNUMBER(deployment_raw[[#This Row],[Column8]]),IF(OR(deployment_raw[[#This Row],[Column5]] &lt;&gt; 0,$E$2 &lt;&gt; "Deployment"), MAX(V762, ($T$2 * IF($E$2="Deployment",deployment_raw[[#This Row],[Column5]],1))), 0),"")</f>
        <v/>
      </c>
      <c r="U762" s="50" t="str">
        <f>IF(ISNUMBER(deployment_raw[[#This Row],[Column9]]),IF(OR(deployment_raw[[#This Row],[Column5]] &lt;&gt; 0,$E$2&lt;&gt;"Deployment"), MAX(W762, ($U$2 * IF($E$2="Deployment",deployment_raw[[#This Row],[Column5]],1))), 0),"")</f>
        <v/>
      </c>
      <c r="V762" s="15" t="str">
        <f>IF(ISNUMBER(deployment_raw[[#This Row],[Column12]]), (deployment_raw[[#This Row],[Column12]] * IF($E$2="Deployment",deployment_raw[[#This Row],[Column5]],1)*(1+$V$2)),"")</f>
        <v/>
      </c>
      <c r="W762" s="14" t="str">
        <f>IF(ISNUMBER(deployment_raw[[#This Row],[Column13]]), (deployment_raw[[#This Row],[Column13]] * IF($E$2="Deployment",deployment_raw[[#This Row],[Column5]],1)*(1+$W$2))/1048576,"")</f>
        <v/>
      </c>
    </row>
    <row r="763" spans="1:23" ht="15.75" customHeight="1" x14ac:dyDescent="0.25">
      <c r="A763" s="5" t="str">
        <f>IF(ISNONTEXT(deployment_raw[[#This Row],[Column1]]), "", deployment_raw[[#This Row],[Column1]])</f>
        <v/>
      </c>
      <c r="B763" s="6" t="str">
        <f>IF(ISNONTEXT(deployment_raw[[#This Row],[Column2]]), "", deployment_raw[[#This Row],[Column2]])</f>
        <v/>
      </c>
      <c r="C763" s="6" t="str">
        <f>IF(ISNONTEXT(deployment_raw[[#This Row],[Column3]]), "", deployment_raw[[#This Row],[Column3]])</f>
        <v/>
      </c>
      <c r="D763" s="6" t="str">
        <f>IF(ISNONTEXT(deployment_raw[[#This Row],[Column4]]), "", deployment_raw[[#This Row],[Column4]])</f>
        <v/>
      </c>
      <c r="E763" s="7" t="str">
        <f>IF(ISNUMBER(deployment_raw[[#This Row],[Column5]]), deployment_raw[[#This Row],[Column5]],"")</f>
        <v/>
      </c>
      <c r="F763" s="32" t="str">
        <f>IF(ISNUMBER(deployment_raw[[#This Row],[Column17]]), deployment_raw[[#This Row],[Column17]]/IF(OR($E$2="Deployment",deployment_raw[[#This Row],[Column5]]=0),1,deployment_raw[[#This Row],[Column5]]),"")</f>
        <v/>
      </c>
      <c r="G763" s="42" t="str">
        <f>IF(ISNUMBER(deployment_raw[[#This Row],[Column14]]), deployment_raw[[#This Row],[Column14]]/IF(OR($E$2="Deployment",deployment_raw[[#This Row],[Column5]]=0),1,deployment_raw[[#This Row],[Column5]]),"")</f>
        <v/>
      </c>
      <c r="H763" s="79" t="str">
        <f>IF(ISNUMBER(deployment_raw[[#This Row],[Column19]]), IF(I763&lt;&gt;0,(deployment_raw[[#This Row],[Column19]]/IF(OR($E$2="Deployment",deployment_raw[[#This Row],[Column5]]=0),1,deployment_raw[[#This Row],[Column5]]))/I763,0),"")</f>
        <v/>
      </c>
      <c r="I763" s="69" t="str">
        <f>IF(ISNUMBER(deployment_raw[[#This Row],[Column6]]), (deployment_raw[[#This Row],[Column6]] * IF($E$2="Deployment",deployment_raw[[#This Row],[Column5]],1)),"")</f>
        <v/>
      </c>
      <c r="J763" s="79" t="str">
        <f>IF(ISNUMBER(deployment_raw[[#This Row],[Column19]]), IF(K763&lt;&gt;0,(deployment_raw[[#This Row],[Column19]]/IF(OR($E$2="Deployment",deployment_raw[[#This Row],[Column5]]=0),1,deployment_raw[[#This Row],[Column5]]))/K763,0),"")</f>
        <v/>
      </c>
      <c r="K763" s="72" t="str">
        <f>IF(ISNUMBER(deployment_raw[[#This Row],[Column8]]), (deployment_raw[[#This Row],[Column8]]  * IF($E$2="Deployment",deployment_raw[[#This Row],[Column5]],1)),"")</f>
        <v/>
      </c>
      <c r="L76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6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63" s="81" t="str">
        <f>IF(ISNUMBER(deployment_raw[[#This Row],[Column20]]), IF(O763&lt;&gt;0,deployment_raw[[#This Row],[Column20]]/IF(OR($E$2="Deployment",deployment_raw[[#This Row],[Column5]]=0),1,deployment_raw[[#This Row],[Column5]])/1048576/O763,0),"")</f>
        <v/>
      </c>
      <c r="O763" s="74" t="str">
        <f>IF(ISNUMBER(deployment_raw[[#This Row],[Column7]]), (deployment_raw[[#This Row],[Column7]] * IF($E$2="Deployment",deployment_raw[[#This Row],[Column5]],1))/1048576,"")</f>
        <v/>
      </c>
      <c r="P763" s="81" t="str">
        <f>IF(ISNUMBER(deployment_raw[[#This Row],[Column20]]), IF(Q763&lt;&gt;0,deployment_raw[[#This Row],[Column20]]/IF(OR($E$2="Deployment",deployment_raw[[#This Row],[Column5]]=0),1,deployment_raw[[#This Row],[Column5]])/1048576/Q763,0),"")</f>
        <v/>
      </c>
      <c r="Q763" s="76" t="str">
        <f>IF(ISNUMBER(deployment_raw[[#This Row],[Column9]]), (deployment_raw[[#This Row],[Column9]] * IF($E$2="Deployment",deployment_raw[[#This Row],[Column5]],1))/1048576,"")</f>
        <v/>
      </c>
      <c r="R763" s="57" t="str">
        <f>IF(ISNUMBER(deployment_raw[[#This Row],[Column10]]), (deployment_raw[[#This Row],[Column10]] * IF($E$2="Deployment",deployment_raw[[#This Row],[Column5]],1)),"")</f>
        <v/>
      </c>
      <c r="S763" s="48" t="str">
        <f>IF(ISNUMBER(deployment_raw[[#This Row],[Column11]]), (deployment_raw[[#This Row],[Column11]] * IF($E$2="Deployment",deployment_raw[[#This Row],[Column5]],1))/1048576,"")</f>
        <v/>
      </c>
      <c r="T763" s="59" t="str">
        <f>IF(ISNUMBER(deployment_raw[[#This Row],[Column8]]),IF(OR(deployment_raw[[#This Row],[Column5]] &lt;&gt; 0,$E$2 &lt;&gt; "Deployment"), MAX(V763, ($T$2 * IF($E$2="Deployment",deployment_raw[[#This Row],[Column5]],1))), 0),"")</f>
        <v/>
      </c>
      <c r="U763" s="50" t="str">
        <f>IF(ISNUMBER(deployment_raw[[#This Row],[Column9]]),IF(OR(deployment_raw[[#This Row],[Column5]] &lt;&gt; 0,$E$2&lt;&gt;"Deployment"), MAX(W763, ($U$2 * IF($E$2="Deployment",deployment_raw[[#This Row],[Column5]],1))), 0),"")</f>
        <v/>
      </c>
      <c r="V763" s="15" t="str">
        <f>IF(ISNUMBER(deployment_raw[[#This Row],[Column12]]), (deployment_raw[[#This Row],[Column12]] * IF($E$2="Deployment",deployment_raw[[#This Row],[Column5]],1)*(1+$V$2)),"")</f>
        <v/>
      </c>
      <c r="W763" s="14" t="str">
        <f>IF(ISNUMBER(deployment_raw[[#This Row],[Column13]]), (deployment_raw[[#This Row],[Column13]] * IF($E$2="Deployment",deployment_raw[[#This Row],[Column5]],1)*(1+$W$2))/1048576,"")</f>
        <v/>
      </c>
    </row>
    <row r="764" spans="1:23" ht="15.75" customHeight="1" x14ac:dyDescent="0.25">
      <c r="A764" s="5" t="str">
        <f>IF(ISNONTEXT(deployment_raw[[#This Row],[Column1]]), "", deployment_raw[[#This Row],[Column1]])</f>
        <v/>
      </c>
      <c r="B764" s="6" t="str">
        <f>IF(ISNONTEXT(deployment_raw[[#This Row],[Column2]]), "", deployment_raw[[#This Row],[Column2]])</f>
        <v/>
      </c>
      <c r="C764" s="6" t="str">
        <f>IF(ISNONTEXT(deployment_raw[[#This Row],[Column3]]), "", deployment_raw[[#This Row],[Column3]])</f>
        <v/>
      </c>
      <c r="D764" s="6" t="str">
        <f>IF(ISNONTEXT(deployment_raw[[#This Row],[Column4]]), "", deployment_raw[[#This Row],[Column4]])</f>
        <v/>
      </c>
      <c r="E764" s="7" t="str">
        <f>IF(ISNUMBER(deployment_raw[[#This Row],[Column5]]), deployment_raw[[#This Row],[Column5]],"")</f>
        <v/>
      </c>
      <c r="F764" s="32" t="str">
        <f>IF(ISNUMBER(deployment_raw[[#This Row],[Column17]]), deployment_raw[[#This Row],[Column17]]/IF(OR($E$2="Deployment",deployment_raw[[#This Row],[Column5]]=0),1,deployment_raw[[#This Row],[Column5]]),"")</f>
        <v/>
      </c>
      <c r="G764" s="42" t="str">
        <f>IF(ISNUMBER(deployment_raw[[#This Row],[Column14]]), deployment_raw[[#This Row],[Column14]]/IF(OR($E$2="Deployment",deployment_raw[[#This Row],[Column5]]=0),1,deployment_raw[[#This Row],[Column5]]),"")</f>
        <v/>
      </c>
      <c r="H764" s="79" t="str">
        <f>IF(ISNUMBER(deployment_raw[[#This Row],[Column19]]), IF(I764&lt;&gt;0,(deployment_raw[[#This Row],[Column19]]/IF(OR($E$2="Deployment",deployment_raw[[#This Row],[Column5]]=0),1,deployment_raw[[#This Row],[Column5]]))/I764,0),"")</f>
        <v/>
      </c>
      <c r="I764" s="69" t="str">
        <f>IF(ISNUMBER(deployment_raw[[#This Row],[Column6]]), (deployment_raw[[#This Row],[Column6]] * IF($E$2="Deployment",deployment_raw[[#This Row],[Column5]],1)),"")</f>
        <v/>
      </c>
      <c r="J764" s="79" t="str">
        <f>IF(ISNUMBER(deployment_raw[[#This Row],[Column19]]), IF(K764&lt;&gt;0,(deployment_raw[[#This Row],[Column19]]/IF(OR($E$2="Deployment",deployment_raw[[#This Row],[Column5]]=0),1,deployment_raw[[#This Row],[Column5]]))/K764,0),"")</f>
        <v/>
      </c>
      <c r="K764" s="72" t="str">
        <f>IF(ISNUMBER(deployment_raw[[#This Row],[Column8]]), (deployment_raw[[#This Row],[Column8]]  * IF($E$2="Deployment",deployment_raw[[#This Row],[Column5]],1)),"")</f>
        <v/>
      </c>
      <c r="L76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6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64" s="81" t="str">
        <f>IF(ISNUMBER(deployment_raw[[#This Row],[Column20]]), IF(O764&lt;&gt;0,deployment_raw[[#This Row],[Column20]]/IF(OR($E$2="Deployment",deployment_raw[[#This Row],[Column5]]=0),1,deployment_raw[[#This Row],[Column5]])/1048576/O764,0),"")</f>
        <v/>
      </c>
      <c r="O764" s="74" t="str">
        <f>IF(ISNUMBER(deployment_raw[[#This Row],[Column7]]), (deployment_raw[[#This Row],[Column7]] * IF($E$2="Deployment",deployment_raw[[#This Row],[Column5]],1))/1048576,"")</f>
        <v/>
      </c>
      <c r="P764" s="81" t="str">
        <f>IF(ISNUMBER(deployment_raw[[#This Row],[Column20]]), IF(Q764&lt;&gt;0,deployment_raw[[#This Row],[Column20]]/IF(OR($E$2="Deployment",deployment_raw[[#This Row],[Column5]]=0),1,deployment_raw[[#This Row],[Column5]])/1048576/Q764,0),"")</f>
        <v/>
      </c>
      <c r="Q764" s="76" t="str">
        <f>IF(ISNUMBER(deployment_raw[[#This Row],[Column9]]), (deployment_raw[[#This Row],[Column9]] * IF($E$2="Deployment",deployment_raw[[#This Row],[Column5]],1))/1048576,"")</f>
        <v/>
      </c>
      <c r="R764" s="57" t="str">
        <f>IF(ISNUMBER(deployment_raw[[#This Row],[Column10]]), (deployment_raw[[#This Row],[Column10]] * IF($E$2="Deployment",deployment_raw[[#This Row],[Column5]],1)),"")</f>
        <v/>
      </c>
      <c r="S764" s="48" t="str">
        <f>IF(ISNUMBER(deployment_raw[[#This Row],[Column11]]), (deployment_raw[[#This Row],[Column11]] * IF($E$2="Deployment",deployment_raw[[#This Row],[Column5]],1))/1048576,"")</f>
        <v/>
      </c>
      <c r="T764" s="59" t="str">
        <f>IF(ISNUMBER(deployment_raw[[#This Row],[Column8]]),IF(OR(deployment_raw[[#This Row],[Column5]] &lt;&gt; 0,$E$2 &lt;&gt; "Deployment"), MAX(V764, ($T$2 * IF($E$2="Deployment",deployment_raw[[#This Row],[Column5]],1))), 0),"")</f>
        <v/>
      </c>
      <c r="U764" s="50" t="str">
        <f>IF(ISNUMBER(deployment_raw[[#This Row],[Column9]]),IF(OR(deployment_raw[[#This Row],[Column5]] &lt;&gt; 0,$E$2&lt;&gt;"Deployment"), MAX(W764, ($U$2 * IF($E$2="Deployment",deployment_raw[[#This Row],[Column5]],1))), 0),"")</f>
        <v/>
      </c>
      <c r="V764" s="15" t="str">
        <f>IF(ISNUMBER(deployment_raw[[#This Row],[Column12]]), (deployment_raw[[#This Row],[Column12]] * IF($E$2="Deployment",deployment_raw[[#This Row],[Column5]],1)*(1+$V$2)),"")</f>
        <v/>
      </c>
      <c r="W764" s="14" t="str">
        <f>IF(ISNUMBER(deployment_raw[[#This Row],[Column13]]), (deployment_raw[[#This Row],[Column13]] * IF($E$2="Deployment",deployment_raw[[#This Row],[Column5]],1)*(1+$W$2))/1048576,"")</f>
        <v/>
      </c>
    </row>
    <row r="765" spans="1:23" ht="15.75" customHeight="1" x14ac:dyDescent="0.25">
      <c r="A765" s="5" t="str">
        <f>IF(ISNONTEXT(deployment_raw[[#This Row],[Column1]]), "", deployment_raw[[#This Row],[Column1]])</f>
        <v/>
      </c>
      <c r="B765" s="6" t="str">
        <f>IF(ISNONTEXT(deployment_raw[[#This Row],[Column2]]), "", deployment_raw[[#This Row],[Column2]])</f>
        <v/>
      </c>
      <c r="C765" s="6" t="str">
        <f>IF(ISNONTEXT(deployment_raw[[#This Row],[Column3]]), "", deployment_raw[[#This Row],[Column3]])</f>
        <v/>
      </c>
      <c r="D765" s="6" t="str">
        <f>IF(ISNONTEXT(deployment_raw[[#This Row],[Column4]]), "", deployment_raw[[#This Row],[Column4]])</f>
        <v/>
      </c>
      <c r="E765" s="7" t="str">
        <f>IF(ISNUMBER(deployment_raw[[#This Row],[Column5]]), deployment_raw[[#This Row],[Column5]],"")</f>
        <v/>
      </c>
      <c r="F765" s="32" t="str">
        <f>IF(ISNUMBER(deployment_raw[[#This Row],[Column17]]), deployment_raw[[#This Row],[Column17]]/IF(OR($E$2="Deployment",deployment_raw[[#This Row],[Column5]]=0),1,deployment_raw[[#This Row],[Column5]]),"")</f>
        <v/>
      </c>
      <c r="G765" s="42" t="str">
        <f>IF(ISNUMBER(deployment_raw[[#This Row],[Column14]]), deployment_raw[[#This Row],[Column14]]/IF(OR($E$2="Deployment",deployment_raw[[#This Row],[Column5]]=0),1,deployment_raw[[#This Row],[Column5]]),"")</f>
        <v/>
      </c>
      <c r="H765" s="79" t="str">
        <f>IF(ISNUMBER(deployment_raw[[#This Row],[Column19]]), IF(I765&lt;&gt;0,(deployment_raw[[#This Row],[Column19]]/IF(OR($E$2="Deployment",deployment_raw[[#This Row],[Column5]]=0),1,deployment_raw[[#This Row],[Column5]]))/I765,0),"")</f>
        <v/>
      </c>
      <c r="I765" s="69" t="str">
        <f>IF(ISNUMBER(deployment_raw[[#This Row],[Column6]]), (deployment_raw[[#This Row],[Column6]] * IF($E$2="Deployment",deployment_raw[[#This Row],[Column5]],1)),"")</f>
        <v/>
      </c>
      <c r="J765" s="79" t="str">
        <f>IF(ISNUMBER(deployment_raw[[#This Row],[Column19]]), IF(K765&lt;&gt;0,(deployment_raw[[#This Row],[Column19]]/IF(OR($E$2="Deployment",deployment_raw[[#This Row],[Column5]]=0),1,deployment_raw[[#This Row],[Column5]]))/K765,0),"")</f>
        <v/>
      </c>
      <c r="K765" s="72" t="str">
        <f>IF(ISNUMBER(deployment_raw[[#This Row],[Column8]]), (deployment_raw[[#This Row],[Column8]]  * IF($E$2="Deployment",deployment_raw[[#This Row],[Column5]],1)),"")</f>
        <v/>
      </c>
      <c r="L76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6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65" s="81" t="str">
        <f>IF(ISNUMBER(deployment_raw[[#This Row],[Column20]]), IF(O765&lt;&gt;0,deployment_raw[[#This Row],[Column20]]/IF(OR($E$2="Deployment",deployment_raw[[#This Row],[Column5]]=0),1,deployment_raw[[#This Row],[Column5]])/1048576/O765,0),"")</f>
        <v/>
      </c>
      <c r="O765" s="74" t="str">
        <f>IF(ISNUMBER(deployment_raw[[#This Row],[Column7]]), (deployment_raw[[#This Row],[Column7]] * IF($E$2="Deployment",deployment_raw[[#This Row],[Column5]],1))/1048576,"")</f>
        <v/>
      </c>
      <c r="P765" s="81" t="str">
        <f>IF(ISNUMBER(deployment_raw[[#This Row],[Column20]]), IF(Q765&lt;&gt;0,deployment_raw[[#This Row],[Column20]]/IF(OR($E$2="Deployment",deployment_raw[[#This Row],[Column5]]=0),1,deployment_raw[[#This Row],[Column5]])/1048576/Q765,0),"")</f>
        <v/>
      </c>
      <c r="Q765" s="76" t="str">
        <f>IF(ISNUMBER(deployment_raw[[#This Row],[Column9]]), (deployment_raw[[#This Row],[Column9]] * IF($E$2="Deployment",deployment_raw[[#This Row],[Column5]],1))/1048576,"")</f>
        <v/>
      </c>
      <c r="R765" s="57" t="str">
        <f>IF(ISNUMBER(deployment_raw[[#This Row],[Column10]]), (deployment_raw[[#This Row],[Column10]] * IF($E$2="Deployment",deployment_raw[[#This Row],[Column5]],1)),"")</f>
        <v/>
      </c>
      <c r="S765" s="48" t="str">
        <f>IF(ISNUMBER(deployment_raw[[#This Row],[Column11]]), (deployment_raw[[#This Row],[Column11]] * IF($E$2="Deployment",deployment_raw[[#This Row],[Column5]],1))/1048576,"")</f>
        <v/>
      </c>
      <c r="T765" s="59" t="str">
        <f>IF(ISNUMBER(deployment_raw[[#This Row],[Column8]]),IF(OR(deployment_raw[[#This Row],[Column5]] &lt;&gt; 0,$E$2 &lt;&gt; "Deployment"), MAX(V765, ($T$2 * IF($E$2="Deployment",deployment_raw[[#This Row],[Column5]],1))), 0),"")</f>
        <v/>
      </c>
      <c r="U765" s="50" t="str">
        <f>IF(ISNUMBER(deployment_raw[[#This Row],[Column9]]),IF(OR(deployment_raw[[#This Row],[Column5]] &lt;&gt; 0,$E$2&lt;&gt;"Deployment"), MAX(W765, ($U$2 * IF($E$2="Deployment",deployment_raw[[#This Row],[Column5]],1))), 0),"")</f>
        <v/>
      </c>
      <c r="V765" s="15" t="str">
        <f>IF(ISNUMBER(deployment_raw[[#This Row],[Column12]]), (deployment_raw[[#This Row],[Column12]] * IF($E$2="Deployment",deployment_raw[[#This Row],[Column5]],1)*(1+$V$2)),"")</f>
        <v/>
      </c>
      <c r="W765" s="14" t="str">
        <f>IF(ISNUMBER(deployment_raw[[#This Row],[Column13]]), (deployment_raw[[#This Row],[Column13]] * IF($E$2="Deployment",deployment_raw[[#This Row],[Column5]],1)*(1+$W$2))/1048576,"")</f>
        <v/>
      </c>
    </row>
    <row r="766" spans="1:23" ht="15.75" customHeight="1" x14ac:dyDescent="0.25">
      <c r="A766" s="5" t="str">
        <f>IF(ISNONTEXT(deployment_raw[[#This Row],[Column1]]), "", deployment_raw[[#This Row],[Column1]])</f>
        <v/>
      </c>
      <c r="B766" s="6" t="str">
        <f>IF(ISNONTEXT(deployment_raw[[#This Row],[Column2]]), "", deployment_raw[[#This Row],[Column2]])</f>
        <v/>
      </c>
      <c r="C766" s="6" t="str">
        <f>IF(ISNONTEXT(deployment_raw[[#This Row],[Column3]]), "", deployment_raw[[#This Row],[Column3]])</f>
        <v/>
      </c>
      <c r="D766" s="6" t="str">
        <f>IF(ISNONTEXT(deployment_raw[[#This Row],[Column4]]), "", deployment_raw[[#This Row],[Column4]])</f>
        <v/>
      </c>
      <c r="E766" s="7" t="str">
        <f>IF(ISNUMBER(deployment_raw[[#This Row],[Column5]]), deployment_raw[[#This Row],[Column5]],"")</f>
        <v/>
      </c>
      <c r="F766" s="32" t="str">
        <f>IF(ISNUMBER(deployment_raw[[#This Row],[Column17]]), deployment_raw[[#This Row],[Column17]]/IF(OR($E$2="Deployment",deployment_raw[[#This Row],[Column5]]=0),1,deployment_raw[[#This Row],[Column5]]),"")</f>
        <v/>
      </c>
      <c r="G766" s="42" t="str">
        <f>IF(ISNUMBER(deployment_raw[[#This Row],[Column14]]), deployment_raw[[#This Row],[Column14]]/IF(OR($E$2="Deployment",deployment_raw[[#This Row],[Column5]]=0),1,deployment_raw[[#This Row],[Column5]]),"")</f>
        <v/>
      </c>
      <c r="H766" s="79" t="str">
        <f>IF(ISNUMBER(deployment_raw[[#This Row],[Column19]]), IF(I766&lt;&gt;0,(deployment_raw[[#This Row],[Column19]]/IF(OR($E$2="Deployment",deployment_raw[[#This Row],[Column5]]=0),1,deployment_raw[[#This Row],[Column5]]))/I766,0),"")</f>
        <v/>
      </c>
      <c r="I766" s="69" t="str">
        <f>IF(ISNUMBER(deployment_raw[[#This Row],[Column6]]), (deployment_raw[[#This Row],[Column6]] * IF($E$2="Deployment",deployment_raw[[#This Row],[Column5]],1)),"")</f>
        <v/>
      </c>
      <c r="J766" s="79" t="str">
        <f>IF(ISNUMBER(deployment_raw[[#This Row],[Column19]]), IF(K766&lt;&gt;0,(deployment_raw[[#This Row],[Column19]]/IF(OR($E$2="Deployment",deployment_raw[[#This Row],[Column5]]=0),1,deployment_raw[[#This Row],[Column5]]))/K766,0),"")</f>
        <v/>
      </c>
      <c r="K766" s="72" t="str">
        <f>IF(ISNUMBER(deployment_raw[[#This Row],[Column8]]), (deployment_raw[[#This Row],[Column8]]  * IF($E$2="Deployment",deployment_raw[[#This Row],[Column5]],1)),"")</f>
        <v/>
      </c>
      <c r="L76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6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66" s="81" t="str">
        <f>IF(ISNUMBER(deployment_raw[[#This Row],[Column20]]), IF(O766&lt;&gt;0,deployment_raw[[#This Row],[Column20]]/IF(OR($E$2="Deployment",deployment_raw[[#This Row],[Column5]]=0),1,deployment_raw[[#This Row],[Column5]])/1048576/O766,0),"")</f>
        <v/>
      </c>
      <c r="O766" s="74" t="str">
        <f>IF(ISNUMBER(deployment_raw[[#This Row],[Column7]]), (deployment_raw[[#This Row],[Column7]] * IF($E$2="Deployment",deployment_raw[[#This Row],[Column5]],1))/1048576,"")</f>
        <v/>
      </c>
      <c r="P766" s="81" t="str">
        <f>IF(ISNUMBER(deployment_raw[[#This Row],[Column20]]), IF(Q766&lt;&gt;0,deployment_raw[[#This Row],[Column20]]/IF(OR($E$2="Deployment",deployment_raw[[#This Row],[Column5]]=0),1,deployment_raw[[#This Row],[Column5]])/1048576/Q766,0),"")</f>
        <v/>
      </c>
      <c r="Q766" s="76" t="str">
        <f>IF(ISNUMBER(deployment_raw[[#This Row],[Column9]]), (deployment_raw[[#This Row],[Column9]] * IF($E$2="Deployment",deployment_raw[[#This Row],[Column5]],1))/1048576,"")</f>
        <v/>
      </c>
      <c r="R766" s="57" t="str">
        <f>IF(ISNUMBER(deployment_raw[[#This Row],[Column10]]), (deployment_raw[[#This Row],[Column10]] * IF($E$2="Deployment",deployment_raw[[#This Row],[Column5]],1)),"")</f>
        <v/>
      </c>
      <c r="S766" s="48" t="str">
        <f>IF(ISNUMBER(deployment_raw[[#This Row],[Column11]]), (deployment_raw[[#This Row],[Column11]] * IF($E$2="Deployment",deployment_raw[[#This Row],[Column5]],1))/1048576,"")</f>
        <v/>
      </c>
      <c r="T766" s="59" t="str">
        <f>IF(ISNUMBER(deployment_raw[[#This Row],[Column8]]),IF(OR(deployment_raw[[#This Row],[Column5]] &lt;&gt; 0,$E$2 &lt;&gt; "Deployment"), MAX(V766, ($T$2 * IF($E$2="Deployment",deployment_raw[[#This Row],[Column5]],1))), 0),"")</f>
        <v/>
      </c>
      <c r="U766" s="50" t="str">
        <f>IF(ISNUMBER(deployment_raw[[#This Row],[Column9]]),IF(OR(deployment_raw[[#This Row],[Column5]] &lt;&gt; 0,$E$2&lt;&gt;"Deployment"), MAX(W766, ($U$2 * IF($E$2="Deployment",deployment_raw[[#This Row],[Column5]],1))), 0),"")</f>
        <v/>
      </c>
      <c r="V766" s="15" t="str">
        <f>IF(ISNUMBER(deployment_raw[[#This Row],[Column12]]), (deployment_raw[[#This Row],[Column12]] * IF($E$2="Deployment",deployment_raw[[#This Row],[Column5]],1)*(1+$V$2)),"")</f>
        <v/>
      </c>
      <c r="W766" s="14" t="str">
        <f>IF(ISNUMBER(deployment_raw[[#This Row],[Column13]]), (deployment_raw[[#This Row],[Column13]] * IF($E$2="Deployment",deployment_raw[[#This Row],[Column5]],1)*(1+$W$2))/1048576,"")</f>
        <v/>
      </c>
    </row>
    <row r="767" spans="1:23" ht="15.75" customHeight="1" x14ac:dyDescent="0.25">
      <c r="A767" s="5" t="str">
        <f>IF(ISNONTEXT(deployment_raw[[#This Row],[Column1]]), "", deployment_raw[[#This Row],[Column1]])</f>
        <v/>
      </c>
      <c r="B767" s="6" t="str">
        <f>IF(ISNONTEXT(deployment_raw[[#This Row],[Column2]]), "", deployment_raw[[#This Row],[Column2]])</f>
        <v/>
      </c>
      <c r="C767" s="6" t="str">
        <f>IF(ISNONTEXT(deployment_raw[[#This Row],[Column3]]), "", deployment_raw[[#This Row],[Column3]])</f>
        <v/>
      </c>
      <c r="D767" s="6" t="str">
        <f>IF(ISNONTEXT(deployment_raw[[#This Row],[Column4]]), "", deployment_raw[[#This Row],[Column4]])</f>
        <v/>
      </c>
      <c r="E767" s="7" t="str">
        <f>IF(ISNUMBER(deployment_raw[[#This Row],[Column5]]), deployment_raw[[#This Row],[Column5]],"")</f>
        <v/>
      </c>
      <c r="F767" s="32" t="str">
        <f>IF(ISNUMBER(deployment_raw[[#This Row],[Column17]]), deployment_raw[[#This Row],[Column17]]/IF(OR($E$2="Deployment",deployment_raw[[#This Row],[Column5]]=0),1,deployment_raw[[#This Row],[Column5]]),"")</f>
        <v/>
      </c>
      <c r="G767" s="42" t="str">
        <f>IF(ISNUMBER(deployment_raw[[#This Row],[Column14]]), deployment_raw[[#This Row],[Column14]]/IF(OR($E$2="Deployment",deployment_raw[[#This Row],[Column5]]=0),1,deployment_raw[[#This Row],[Column5]]),"")</f>
        <v/>
      </c>
      <c r="H767" s="79" t="str">
        <f>IF(ISNUMBER(deployment_raw[[#This Row],[Column19]]), IF(I767&lt;&gt;0,(deployment_raw[[#This Row],[Column19]]/IF(OR($E$2="Deployment",deployment_raw[[#This Row],[Column5]]=0),1,deployment_raw[[#This Row],[Column5]]))/I767,0),"")</f>
        <v/>
      </c>
      <c r="I767" s="69" t="str">
        <f>IF(ISNUMBER(deployment_raw[[#This Row],[Column6]]), (deployment_raw[[#This Row],[Column6]] * IF($E$2="Deployment",deployment_raw[[#This Row],[Column5]],1)),"")</f>
        <v/>
      </c>
      <c r="J767" s="79" t="str">
        <f>IF(ISNUMBER(deployment_raw[[#This Row],[Column19]]), IF(K767&lt;&gt;0,(deployment_raw[[#This Row],[Column19]]/IF(OR($E$2="Deployment",deployment_raw[[#This Row],[Column5]]=0),1,deployment_raw[[#This Row],[Column5]]))/K767,0),"")</f>
        <v/>
      </c>
      <c r="K767" s="72" t="str">
        <f>IF(ISNUMBER(deployment_raw[[#This Row],[Column8]]), (deployment_raw[[#This Row],[Column8]]  * IF($E$2="Deployment",deployment_raw[[#This Row],[Column5]],1)),"")</f>
        <v/>
      </c>
      <c r="L76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6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67" s="81" t="str">
        <f>IF(ISNUMBER(deployment_raw[[#This Row],[Column20]]), IF(O767&lt;&gt;0,deployment_raw[[#This Row],[Column20]]/IF(OR($E$2="Deployment",deployment_raw[[#This Row],[Column5]]=0),1,deployment_raw[[#This Row],[Column5]])/1048576/O767,0),"")</f>
        <v/>
      </c>
      <c r="O767" s="74" t="str">
        <f>IF(ISNUMBER(deployment_raw[[#This Row],[Column7]]), (deployment_raw[[#This Row],[Column7]] * IF($E$2="Deployment",deployment_raw[[#This Row],[Column5]],1))/1048576,"")</f>
        <v/>
      </c>
      <c r="P767" s="81" t="str">
        <f>IF(ISNUMBER(deployment_raw[[#This Row],[Column20]]), IF(Q767&lt;&gt;0,deployment_raw[[#This Row],[Column20]]/IF(OR($E$2="Deployment",deployment_raw[[#This Row],[Column5]]=0),1,deployment_raw[[#This Row],[Column5]])/1048576/Q767,0),"")</f>
        <v/>
      </c>
      <c r="Q767" s="76" t="str">
        <f>IF(ISNUMBER(deployment_raw[[#This Row],[Column9]]), (deployment_raw[[#This Row],[Column9]] * IF($E$2="Deployment",deployment_raw[[#This Row],[Column5]],1))/1048576,"")</f>
        <v/>
      </c>
      <c r="R767" s="57" t="str">
        <f>IF(ISNUMBER(deployment_raw[[#This Row],[Column10]]), (deployment_raw[[#This Row],[Column10]] * IF($E$2="Deployment",deployment_raw[[#This Row],[Column5]],1)),"")</f>
        <v/>
      </c>
      <c r="S767" s="48" t="str">
        <f>IF(ISNUMBER(deployment_raw[[#This Row],[Column11]]), (deployment_raw[[#This Row],[Column11]] * IF($E$2="Deployment",deployment_raw[[#This Row],[Column5]],1))/1048576,"")</f>
        <v/>
      </c>
      <c r="T767" s="59" t="str">
        <f>IF(ISNUMBER(deployment_raw[[#This Row],[Column8]]),IF(OR(deployment_raw[[#This Row],[Column5]] &lt;&gt; 0,$E$2 &lt;&gt; "Deployment"), MAX(V767, ($T$2 * IF($E$2="Deployment",deployment_raw[[#This Row],[Column5]],1))), 0),"")</f>
        <v/>
      </c>
      <c r="U767" s="50" t="str">
        <f>IF(ISNUMBER(deployment_raw[[#This Row],[Column9]]),IF(OR(deployment_raw[[#This Row],[Column5]] &lt;&gt; 0,$E$2&lt;&gt;"Deployment"), MAX(W767, ($U$2 * IF($E$2="Deployment",deployment_raw[[#This Row],[Column5]],1))), 0),"")</f>
        <v/>
      </c>
      <c r="V767" s="15" t="str">
        <f>IF(ISNUMBER(deployment_raw[[#This Row],[Column12]]), (deployment_raw[[#This Row],[Column12]] * IF($E$2="Deployment",deployment_raw[[#This Row],[Column5]],1)*(1+$V$2)),"")</f>
        <v/>
      </c>
      <c r="W767" s="14" t="str">
        <f>IF(ISNUMBER(deployment_raw[[#This Row],[Column13]]), (deployment_raw[[#This Row],[Column13]] * IF($E$2="Deployment",deployment_raw[[#This Row],[Column5]],1)*(1+$W$2))/1048576,"")</f>
        <v/>
      </c>
    </row>
    <row r="768" spans="1:23" ht="15.75" customHeight="1" x14ac:dyDescent="0.25">
      <c r="A768" s="5" t="str">
        <f>IF(ISNONTEXT(deployment_raw[[#This Row],[Column1]]), "", deployment_raw[[#This Row],[Column1]])</f>
        <v/>
      </c>
      <c r="B768" s="6" t="str">
        <f>IF(ISNONTEXT(deployment_raw[[#This Row],[Column2]]), "", deployment_raw[[#This Row],[Column2]])</f>
        <v/>
      </c>
      <c r="C768" s="6" t="str">
        <f>IF(ISNONTEXT(deployment_raw[[#This Row],[Column3]]), "", deployment_raw[[#This Row],[Column3]])</f>
        <v/>
      </c>
      <c r="D768" s="6" t="str">
        <f>IF(ISNONTEXT(deployment_raw[[#This Row],[Column4]]), "", deployment_raw[[#This Row],[Column4]])</f>
        <v/>
      </c>
      <c r="E768" s="7" t="str">
        <f>IF(ISNUMBER(deployment_raw[[#This Row],[Column5]]), deployment_raw[[#This Row],[Column5]],"")</f>
        <v/>
      </c>
      <c r="F768" s="32" t="str">
        <f>IF(ISNUMBER(deployment_raw[[#This Row],[Column17]]), deployment_raw[[#This Row],[Column17]]/IF(OR($E$2="Deployment",deployment_raw[[#This Row],[Column5]]=0),1,deployment_raw[[#This Row],[Column5]]),"")</f>
        <v/>
      </c>
      <c r="G768" s="42" t="str">
        <f>IF(ISNUMBER(deployment_raw[[#This Row],[Column14]]), deployment_raw[[#This Row],[Column14]]/IF(OR($E$2="Deployment",deployment_raw[[#This Row],[Column5]]=0),1,deployment_raw[[#This Row],[Column5]]),"")</f>
        <v/>
      </c>
      <c r="H768" s="79" t="str">
        <f>IF(ISNUMBER(deployment_raw[[#This Row],[Column19]]), IF(I768&lt;&gt;0,(deployment_raw[[#This Row],[Column19]]/IF(OR($E$2="Deployment",deployment_raw[[#This Row],[Column5]]=0),1,deployment_raw[[#This Row],[Column5]]))/I768,0),"")</f>
        <v/>
      </c>
      <c r="I768" s="69" t="str">
        <f>IF(ISNUMBER(deployment_raw[[#This Row],[Column6]]), (deployment_raw[[#This Row],[Column6]] * IF($E$2="Deployment",deployment_raw[[#This Row],[Column5]],1)),"")</f>
        <v/>
      </c>
      <c r="J768" s="79" t="str">
        <f>IF(ISNUMBER(deployment_raw[[#This Row],[Column19]]), IF(K768&lt;&gt;0,(deployment_raw[[#This Row],[Column19]]/IF(OR($E$2="Deployment",deployment_raw[[#This Row],[Column5]]=0),1,deployment_raw[[#This Row],[Column5]]))/K768,0),"")</f>
        <v/>
      </c>
      <c r="K768" s="72" t="str">
        <f>IF(ISNUMBER(deployment_raw[[#This Row],[Column8]]), (deployment_raw[[#This Row],[Column8]]  * IF($E$2="Deployment",deployment_raw[[#This Row],[Column5]],1)),"")</f>
        <v/>
      </c>
      <c r="L76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6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68" s="81" t="str">
        <f>IF(ISNUMBER(deployment_raw[[#This Row],[Column20]]), IF(O768&lt;&gt;0,deployment_raw[[#This Row],[Column20]]/IF(OR($E$2="Deployment",deployment_raw[[#This Row],[Column5]]=0),1,deployment_raw[[#This Row],[Column5]])/1048576/O768,0),"")</f>
        <v/>
      </c>
      <c r="O768" s="74" t="str">
        <f>IF(ISNUMBER(deployment_raw[[#This Row],[Column7]]), (deployment_raw[[#This Row],[Column7]] * IF($E$2="Deployment",deployment_raw[[#This Row],[Column5]],1))/1048576,"")</f>
        <v/>
      </c>
      <c r="P768" s="81" t="str">
        <f>IF(ISNUMBER(deployment_raw[[#This Row],[Column20]]), IF(Q768&lt;&gt;0,deployment_raw[[#This Row],[Column20]]/IF(OR($E$2="Deployment",deployment_raw[[#This Row],[Column5]]=0),1,deployment_raw[[#This Row],[Column5]])/1048576/Q768,0),"")</f>
        <v/>
      </c>
      <c r="Q768" s="76" t="str">
        <f>IF(ISNUMBER(deployment_raw[[#This Row],[Column9]]), (deployment_raw[[#This Row],[Column9]] * IF($E$2="Deployment",deployment_raw[[#This Row],[Column5]],1))/1048576,"")</f>
        <v/>
      </c>
      <c r="R768" s="57" t="str">
        <f>IF(ISNUMBER(deployment_raw[[#This Row],[Column10]]), (deployment_raw[[#This Row],[Column10]] * IF($E$2="Deployment",deployment_raw[[#This Row],[Column5]],1)),"")</f>
        <v/>
      </c>
      <c r="S768" s="48" t="str">
        <f>IF(ISNUMBER(deployment_raw[[#This Row],[Column11]]), (deployment_raw[[#This Row],[Column11]] * IF($E$2="Deployment",deployment_raw[[#This Row],[Column5]],1))/1048576,"")</f>
        <v/>
      </c>
      <c r="T768" s="59" t="str">
        <f>IF(ISNUMBER(deployment_raw[[#This Row],[Column8]]),IF(OR(deployment_raw[[#This Row],[Column5]] &lt;&gt; 0,$E$2 &lt;&gt; "Deployment"), MAX(V768, ($T$2 * IF($E$2="Deployment",deployment_raw[[#This Row],[Column5]],1))), 0),"")</f>
        <v/>
      </c>
      <c r="U768" s="50" t="str">
        <f>IF(ISNUMBER(deployment_raw[[#This Row],[Column9]]),IF(OR(deployment_raw[[#This Row],[Column5]] &lt;&gt; 0,$E$2&lt;&gt;"Deployment"), MAX(W768, ($U$2 * IF($E$2="Deployment",deployment_raw[[#This Row],[Column5]],1))), 0),"")</f>
        <v/>
      </c>
      <c r="V768" s="15" t="str">
        <f>IF(ISNUMBER(deployment_raw[[#This Row],[Column12]]), (deployment_raw[[#This Row],[Column12]] * IF($E$2="Deployment",deployment_raw[[#This Row],[Column5]],1)*(1+$V$2)),"")</f>
        <v/>
      </c>
      <c r="W768" s="14" t="str">
        <f>IF(ISNUMBER(deployment_raw[[#This Row],[Column13]]), (deployment_raw[[#This Row],[Column13]] * IF($E$2="Deployment",deployment_raw[[#This Row],[Column5]],1)*(1+$W$2))/1048576,"")</f>
        <v/>
      </c>
    </row>
    <row r="769" spans="1:23" ht="15.75" customHeight="1" x14ac:dyDescent="0.25">
      <c r="A769" s="5" t="str">
        <f>IF(ISNONTEXT(deployment_raw[[#This Row],[Column1]]), "", deployment_raw[[#This Row],[Column1]])</f>
        <v/>
      </c>
      <c r="B769" s="6" t="str">
        <f>IF(ISNONTEXT(deployment_raw[[#This Row],[Column2]]), "", deployment_raw[[#This Row],[Column2]])</f>
        <v/>
      </c>
      <c r="C769" s="6" t="str">
        <f>IF(ISNONTEXT(deployment_raw[[#This Row],[Column3]]), "", deployment_raw[[#This Row],[Column3]])</f>
        <v/>
      </c>
      <c r="D769" s="6" t="str">
        <f>IF(ISNONTEXT(deployment_raw[[#This Row],[Column4]]), "", deployment_raw[[#This Row],[Column4]])</f>
        <v/>
      </c>
      <c r="E769" s="7" t="str">
        <f>IF(ISNUMBER(deployment_raw[[#This Row],[Column5]]), deployment_raw[[#This Row],[Column5]],"")</f>
        <v/>
      </c>
      <c r="F769" s="32" t="str">
        <f>IF(ISNUMBER(deployment_raw[[#This Row],[Column17]]), deployment_raw[[#This Row],[Column17]]/IF(OR($E$2="Deployment",deployment_raw[[#This Row],[Column5]]=0),1,deployment_raw[[#This Row],[Column5]]),"")</f>
        <v/>
      </c>
      <c r="G769" s="42" t="str">
        <f>IF(ISNUMBER(deployment_raw[[#This Row],[Column14]]), deployment_raw[[#This Row],[Column14]]/IF(OR($E$2="Deployment",deployment_raw[[#This Row],[Column5]]=0),1,deployment_raw[[#This Row],[Column5]]),"")</f>
        <v/>
      </c>
      <c r="H769" s="79" t="str">
        <f>IF(ISNUMBER(deployment_raw[[#This Row],[Column19]]), IF(I769&lt;&gt;0,(deployment_raw[[#This Row],[Column19]]/IF(OR($E$2="Deployment",deployment_raw[[#This Row],[Column5]]=0),1,deployment_raw[[#This Row],[Column5]]))/I769,0),"")</f>
        <v/>
      </c>
      <c r="I769" s="69" t="str">
        <f>IF(ISNUMBER(deployment_raw[[#This Row],[Column6]]), (deployment_raw[[#This Row],[Column6]] * IF($E$2="Deployment",deployment_raw[[#This Row],[Column5]],1)),"")</f>
        <v/>
      </c>
      <c r="J769" s="79" t="str">
        <f>IF(ISNUMBER(deployment_raw[[#This Row],[Column19]]), IF(K769&lt;&gt;0,(deployment_raw[[#This Row],[Column19]]/IF(OR($E$2="Deployment",deployment_raw[[#This Row],[Column5]]=0),1,deployment_raw[[#This Row],[Column5]]))/K769,0),"")</f>
        <v/>
      </c>
      <c r="K769" s="72" t="str">
        <f>IF(ISNUMBER(deployment_raw[[#This Row],[Column8]]), (deployment_raw[[#This Row],[Column8]]  * IF($E$2="Deployment",deployment_raw[[#This Row],[Column5]],1)),"")</f>
        <v/>
      </c>
      <c r="L76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6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69" s="81" t="str">
        <f>IF(ISNUMBER(deployment_raw[[#This Row],[Column20]]), IF(O769&lt;&gt;0,deployment_raw[[#This Row],[Column20]]/IF(OR($E$2="Deployment",deployment_raw[[#This Row],[Column5]]=0),1,deployment_raw[[#This Row],[Column5]])/1048576/O769,0),"")</f>
        <v/>
      </c>
      <c r="O769" s="74" t="str">
        <f>IF(ISNUMBER(deployment_raw[[#This Row],[Column7]]), (deployment_raw[[#This Row],[Column7]] * IF($E$2="Deployment",deployment_raw[[#This Row],[Column5]],1))/1048576,"")</f>
        <v/>
      </c>
      <c r="P769" s="81" t="str">
        <f>IF(ISNUMBER(deployment_raw[[#This Row],[Column20]]), IF(Q769&lt;&gt;0,deployment_raw[[#This Row],[Column20]]/IF(OR($E$2="Deployment",deployment_raw[[#This Row],[Column5]]=0),1,deployment_raw[[#This Row],[Column5]])/1048576/Q769,0),"")</f>
        <v/>
      </c>
      <c r="Q769" s="76" t="str">
        <f>IF(ISNUMBER(deployment_raw[[#This Row],[Column9]]), (deployment_raw[[#This Row],[Column9]] * IF($E$2="Deployment",deployment_raw[[#This Row],[Column5]],1))/1048576,"")</f>
        <v/>
      </c>
      <c r="R769" s="57" t="str">
        <f>IF(ISNUMBER(deployment_raw[[#This Row],[Column10]]), (deployment_raw[[#This Row],[Column10]] * IF($E$2="Deployment",deployment_raw[[#This Row],[Column5]],1)),"")</f>
        <v/>
      </c>
      <c r="S769" s="48" t="str">
        <f>IF(ISNUMBER(deployment_raw[[#This Row],[Column11]]), (deployment_raw[[#This Row],[Column11]] * IF($E$2="Deployment",deployment_raw[[#This Row],[Column5]],1))/1048576,"")</f>
        <v/>
      </c>
      <c r="T769" s="59" t="str">
        <f>IF(ISNUMBER(deployment_raw[[#This Row],[Column8]]),IF(OR(deployment_raw[[#This Row],[Column5]] &lt;&gt; 0,$E$2 &lt;&gt; "Deployment"), MAX(V769, ($T$2 * IF($E$2="Deployment",deployment_raw[[#This Row],[Column5]],1))), 0),"")</f>
        <v/>
      </c>
      <c r="U769" s="50" t="str">
        <f>IF(ISNUMBER(deployment_raw[[#This Row],[Column9]]),IF(OR(deployment_raw[[#This Row],[Column5]] &lt;&gt; 0,$E$2&lt;&gt;"Deployment"), MAX(W769, ($U$2 * IF($E$2="Deployment",deployment_raw[[#This Row],[Column5]],1))), 0),"")</f>
        <v/>
      </c>
      <c r="V769" s="15" t="str">
        <f>IF(ISNUMBER(deployment_raw[[#This Row],[Column12]]), (deployment_raw[[#This Row],[Column12]] * IF($E$2="Deployment",deployment_raw[[#This Row],[Column5]],1)*(1+$V$2)),"")</f>
        <v/>
      </c>
      <c r="W769" s="14" t="str">
        <f>IF(ISNUMBER(deployment_raw[[#This Row],[Column13]]), (deployment_raw[[#This Row],[Column13]] * IF($E$2="Deployment",deployment_raw[[#This Row],[Column5]],1)*(1+$W$2))/1048576,"")</f>
        <v/>
      </c>
    </row>
    <row r="770" spans="1:23" ht="15.75" customHeight="1" x14ac:dyDescent="0.25">
      <c r="A770" s="5" t="str">
        <f>IF(ISNONTEXT(deployment_raw[[#This Row],[Column1]]), "", deployment_raw[[#This Row],[Column1]])</f>
        <v/>
      </c>
      <c r="B770" s="6" t="str">
        <f>IF(ISNONTEXT(deployment_raw[[#This Row],[Column2]]), "", deployment_raw[[#This Row],[Column2]])</f>
        <v/>
      </c>
      <c r="C770" s="6" t="str">
        <f>IF(ISNONTEXT(deployment_raw[[#This Row],[Column3]]), "", deployment_raw[[#This Row],[Column3]])</f>
        <v/>
      </c>
      <c r="D770" s="6" t="str">
        <f>IF(ISNONTEXT(deployment_raw[[#This Row],[Column4]]), "", deployment_raw[[#This Row],[Column4]])</f>
        <v/>
      </c>
      <c r="E770" s="7" t="str">
        <f>IF(ISNUMBER(deployment_raw[[#This Row],[Column5]]), deployment_raw[[#This Row],[Column5]],"")</f>
        <v/>
      </c>
      <c r="F770" s="32" t="str">
        <f>IF(ISNUMBER(deployment_raw[[#This Row],[Column17]]), deployment_raw[[#This Row],[Column17]]/IF(OR($E$2="Deployment",deployment_raw[[#This Row],[Column5]]=0),1,deployment_raw[[#This Row],[Column5]]),"")</f>
        <v/>
      </c>
      <c r="G770" s="42" t="str">
        <f>IF(ISNUMBER(deployment_raw[[#This Row],[Column14]]), deployment_raw[[#This Row],[Column14]]/IF(OR($E$2="Deployment",deployment_raw[[#This Row],[Column5]]=0),1,deployment_raw[[#This Row],[Column5]]),"")</f>
        <v/>
      </c>
      <c r="H770" s="79" t="str">
        <f>IF(ISNUMBER(deployment_raw[[#This Row],[Column19]]), IF(I770&lt;&gt;0,(deployment_raw[[#This Row],[Column19]]/IF(OR($E$2="Deployment",deployment_raw[[#This Row],[Column5]]=0),1,deployment_raw[[#This Row],[Column5]]))/I770,0),"")</f>
        <v/>
      </c>
      <c r="I770" s="69" t="str">
        <f>IF(ISNUMBER(deployment_raw[[#This Row],[Column6]]), (deployment_raw[[#This Row],[Column6]] * IF($E$2="Deployment",deployment_raw[[#This Row],[Column5]],1)),"")</f>
        <v/>
      </c>
      <c r="J770" s="79" t="str">
        <f>IF(ISNUMBER(deployment_raw[[#This Row],[Column19]]), IF(K770&lt;&gt;0,(deployment_raw[[#This Row],[Column19]]/IF(OR($E$2="Deployment",deployment_raw[[#This Row],[Column5]]=0),1,deployment_raw[[#This Row],[Column5]]))/K770,0),"")</f>
        <v/>
      </c>
      <c r="K770" s="72" t="str">
        <f>IF(ISNUMBER(deployment_raw[[#This Row],[Column8]]), (deployment_raw[[#This Row],[Column8]]  * IF($E$2="Deployment",deployment_raw[[#This Row],[Column5]],1)),"")</f>
        <v/>
      </c>
      <c r="L77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7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70" s="81" t="str">
        <f>IF(ISNUMBER(deployment_raw[[#This Row],[Column20]]), IF(O770&lt;&gt;0,deployment_raw[[#This Row],[Column20]]/IF(OR($E$2="Deployment",deployment_raw[[#This Row],[Column5]]=0),1,deployment_raw[[#This Row],[Column5]])/1048576/O770,0),"")</f>
        <v/>
      </c>
      <c r="O770" s="74" t="str">
        <f>IF(ISNUMBER(deployment_raw[[#This Row],[Column7]]), (deployment_raw[[#This Row],[Column7]] * IF($E$2="Deployment",deployment_raw[[#This Row],[Column5]],1))/1048576,"")</f>
        <v/>
      </c>
      <c r="P770" s="81" t="str">
        <f>IF(ISNUMBER(deployment_raw[[#This Row],[Column20]]), IF(Q770&lt;&gt;0,deployment_raw[[#This Row],[Column20]]/IF(OR($E$2="Deployment",deployment_raw[[#This Row],[Column5]]=0),1,deployment_raw[[#This Row],[Column5]])/1048576/Q770,0),"")</f>
        <v/>
      </c>
      <c r="Q770" s="76" t="str">
        <f>IF(ISNUMBER(deployment_raw[[#This Row],[Column9]]), (deployment_raw[[#This Row],[Column9]] * IF($E$2="Deployment",deployment_raw[[#This Row],[Column5]],1))/1048576,"")</f>
        <v/>
      </c>
      <c r="R770" s="57" t="str">
        <f>IF(ISNUMBER(deployment_raw[[#This Row],[Column10]]), (deployment_raw[[#This Row],[Column10]] * IF($E$2="Deployment",deployment_raw[[#This Row],[Column5]],1)),"")</f>
        <v/>
      </c>
      <c r="S770" s="48" t="str">
        <f>IF(ISNUMBER(deployment_raw[[#This Row],[Column11]]), (deployment_raw[[#This Row],[Column11]] * IF($E$2="Deployment",deployment_raw[[#This Row],[Column5]],1))/1048576,"")</f>
        <v/>
      </c>
      <c r="T770" s="59" t="str">
        <f>IF(ISNUMBER(deployment_raw[[#This Row],[Column8]]),IF(OR(deployment_raw[[#This Row],[Column5]] &lt;&gt; 0,$E$2 &lt;&gt; "Deployment"), MAX(V770, ($T$2 * IF($E$2="Deployment",deployment_raw[[#This Row],[Column5]],1))), 0),"")</f>
        <v/>
      </c>
      <c r="U770" s="50" t="str">
        <f>IF(ISNUMBER(deployment_raw[[#This Row],[Column9]]),IF(OR(deployment_raw[[#This Row],[Column5]] &lt;&gt; 0,$E$2&lt;&gt;"Deployment"), MAX(W770, ($U$2 * IF($E$2="Deployment",deployment_raw[[#This Row],[Column5]],1))), 0),"")</f>
        <v/>
      </c>
      <c r="V770" s="15" t="str">
        <f>IF(ISNUMBER(deployment_raw[[#This Row],[Column12]]), (deployment_raw[[#This Row],[Column12]] * IF($E$2="Deployment",deployment_raw[[#This Row],[Column5]],1)*(1+$V$2)),"")</f>
        <v/>
      </c>
      <c r="W770" s="14" t="str">
        <f>IF(ISNUMBER(deployment_raw[[#This Row],[Column13]]), (deployment_raw[[#This Row],[Column13]] * IF($E$2="Deployment",deployment_raw[[#This Row],[Column5]],1)*(1+$W$2))/1048576,"")</f>
        <v/>
      </c>
    </row>
    <row r="771" spans="1:23" ht="15.75" customHeight="1" x14ac:dyDescent="0.25">
      <c r="A771" s="5" t="str">
        <f>IF(ISNONTEXT(deployment_raw[[#This Row],[Column1]]), "", deployment_raw[[#This Row],[Column1]])</f>
        <v/>
      </c>
      <c r="B771" s="6" t="str">
        <f>IF(ISNONTEXT(deployment_raw[[#This Row],[Column2]]), "", deployment_raw[[#This Row],[Column2]])</f>
        <v/>
      </c>
      <c r="C771" s="6" t="str">
        <f>IF(ISNONTEXT(deployment_raw[[#This Row],[Column3]]), "", deployment_raw[[#This Row],[Column3]])</f>
        <v/>
      </c>
      <c r="D771" s="6" t="str">
        <f>IF(ISNONTEXT(deployment_raw[[#This Row],[Column4]]), "", deployment_raw[[#This Row],[Column4]])</f>
        <v/>
      </c>
      <c r="E771" s="7" t="str">
        <f>IF(ISNUMBER(deployment_raw[[#This Row],[Column5]]), deployment_raw[[#This Row],[Column5]],"")</f>
        <v/>
      </c>
      <c r="F771" s="32" t="str">
        <f>IF(ISNUMBER(deployment_raw[[#This Row],[Column17]]), deployment_raw[[#This Row],[Column17]]/IF(OR($E$2="Deployment",deployment_raw[[#This Row],[Column5]]=0),1,deployment_raw[[#This Row],[Column5]]),"")</f>
        <v/>
      </c>
      <c r="G771" s="42" t="str">
        <f>IF(ISNUMBER(deployment_raw[[#This Row],[Column14]]), deployment_raw[[#This Row],[Column14]]/IF(OR($E$2="Deployment",deployment_raw[[#This Row],[Column5]]=0),1,deployment_raw[[#This Row],[Column5]]),"")</f>
        <v/>
      </c>
      <c r="H771" s="79" t="str">
        <f>IF(ISNUMBER(deployment_raw[[#This Row],[Column19]]), IF(I771&lt;&gt;0,(deployment_raw[[#This Row],[Column19]]/IF(OR($E$2="Deployment",deployment_raw[[#This Row],[Column5]]=0),1,deployment_raw[[#This Row],[Column5]]))/I771,0),"")</f>
        <v/>
      </c>
      <c r="I771" s="69" t="str">
        <f>IF(ISNUMBER(deployment_raw[[#This Row],[Column6]]), (deployment_raw[[#This Row],[Column6]] * IF($E$2="Deployment",deployment_raw[[#This Row],[Column5]],1)),"")</f>
        <v/>
      </c>
      <c r="J771" s="79" t="str">
        <f>IF(ISNUMBER(deployment_raw[[#This Row],[Column19]]), IF(K771&lt;&gt;0,(deployment_raw[[#This Row],[Column19]]/IF(OR($E$2="Deployment",deployment_raw[[#This Row],[Column5]]=0),1,deployment_raw[[#This Row],[Column5]]))/K771,0),"")</f>
        <v/>
      </c>
      <c r="K771" s="72" t="str">
        <f>IF(ISNUMBER(deployment_raw[[#This Row],[Column8]]), (deployment_raw[[#This Row],[Column8]]  * IF($E$2="Deployment",deployment_raw[[#This Row],[Column5]],1)),"")</f>
        <v/>
      </c>
      <c r="L77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7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71" s="81" t="str">
        <f>IF(ISNUMBER(deployment_raw[[#This Row],[Column20]]), IF(O771&lt;&gt;0,deployment_raw[[#This Row],[Column20]]/IF(OR($E$2="Deployment",deployment_raw[[#This Row],[Column5]]=0),1,deployment_raw[[#This Row],[Column5]])/1048576/O771,0),"")</f>
        <v/>
      </c>
      <c r="O771" s="74" t="str">
        <f>IF(ISNUMBER(deployment_raw[[#This Row],[Column7]]), (deployment_raw[[#This Row],[Column7]] * IF($E$2="Deployment",deployment_raw[[#This Row],[Column5]],1))/1048576,"")</f>
        <v/>
      </c>
      <c r="P771" s="81" t="str">
        <f>IF(ISNUMBER(deployment_raw[[#This Row],[Column20]]), IF(Q771&lt;&gt;0,deployment_raw[[#This Row],[Column20]]/IF(OR($E$2="Deployment",deployment_raw[[#This Row],[Column5]]=0),1,deployment_raw[[#This Row],[Column5]])/1048576/Q771,0),"")</f>
        <v/>
      </c>
      <c r="Q771" s="76" t="str">
        <f>IF(ISNUMBER(deployment_raw[[#This Row],[Column9]]), (deployment_raw[[#This Row],[Column9]] * IF($E$2="Deployment",deployment_raw[[#This Row],[Column5]],1))/1048576,"")</f>
        <v/>
      </c>
      <c r="R771" s="57" t="str">
        <f>IF(ISNUMBER(deployment_raw[[#This Row],[Column10]]), (deployment_raw[[#This Row],[Column10]] * IF($E$2="Deployment",deployment_raw[[#This Row],[Column5]],1)),"")</f>
        <v/>
      </c>
      <c r="S771" s="48" t="str">
        <f>IF(ISNUMBER(deployment_raw[[#This Row],[Column11]]), (deployment_raw[[#This Row],[Column11]] * IF($E$2="Deployment",deployment_raw[[#This Row],[Column5]],1))/1048576,"")</f>
        <v/>
      </c>
      <c r="T771" s="59" t="str">
        <f>IF(ISNUMBER(deployment_raw[[#This Row],[Column8]]),IF(OR(deployment_raw[[#This Row],[Column5]] &lt;&gt; 0,$E$2 &lt;&gt; "Deployment"), MAX(V771, ($T$2 * IF($E$2="Deployment",deployment_raw[[#This Row],[Column5]],1))), 0),"")</f>
        <v/>
      </c>
      <c r="U771" s="50" t="str">
        <f>IF(ISNUMBER(deployment_raw[[#This Row],[Column9]]),IF(OR(deployment_raw[[#This Row],[Column5]] &lt;&gt; 0,$E$2&lt;&gt;"Deployment"), MAX(W771, ($U$2 * IF($E$2="Deployment",deployment_raw[[#This Row],[Column5]],1))), 0),"")</f>
        <v/>
      </c>
      <c r="V771" s="15" t="str">
        <f>IF(ISNUMBER(deployment_raw[[#This Row],[Column12]]), (deployment_raw[[#This Row],[Column12]] * IF($E$2="Deployment",deployment_raw[[#This Row],[Column5]],1)*(1+$V$2)),"")</f>
        <v/>
      </c>
      <c r="W771" s="14" t="str">
        <f>IF(ISNUMBER(deployment_raw[[#This Row],[Column13]]), (deployment_raw[[#This Row],[Column13]] * IF($E$2="Deployment",deployment_raw[[#This Row],[Column5]],1)*(1+$W$2))/1048576,"")</f>
        <v/>
      </c>
    </row>
    <row r="772" spans="1:23" ht="15.75" customHeight="1" x14ac:dyDescent="0.25">
      <c r="A772" s="5" t="str">
        <f>IF(ISNONTEXT(deployment_raw[[#This Row],[Column1]]), "", deployment_raw[[#This Row],[Column1]])</f>
        <v/>
      </c>
      <c r="B772" s="6" t="str">
        <f>IF(ISNONTEXT(deployment_raw[[#This Row],[Column2]]), "", deployment_raw[[#This Row],[Column2]])</f>
        <v/>
      </c>
      <c r="C772" s="6" t="str">
        <f>IF(ISNONTEXT(deployment_raw[[#This Row],[Column3]]), "", deployment_raw[[#This Row],[Column3]])</f>
        <v/>
      </c>
      <c r="D772" s="6" t="str">
        <f>IF(ISNONTEXT(deployment_raw[[#This Row],[Column4]]), "", deployment_raw[[#This Row],[Column4]])</f>
        <v/>
      </c>
      <c r="E772" s="7" t="str">
        <f>IF(ISNUMBER(deployment_raw[[#This Row],[Column5]]), deployment_raw[[#This Row],[Column5]],"")</f>
        <v/>
      </c>
      <c r="F772" s="32" t="str">
        <f>IF(ISNUMBER(deployment_raw[[#This Row],[Column17]]), deployment_raw[[#This Row],[Column17]]/IF(OR($E$2="Deployment",deployment_raw[[#This Row],[Column5]]=0),1,deployment_raw[[#This Row],[Column5]]),"")</f>
        <v/>
      </c>
      <c r="G772" s="42" t="str">
        <f>IF(ISNUMBER(deployment_raw[[#This Row],[Column14]]), deployment_raw[[#This Row],[Column14]]/IF(OR($E$2="Deployment",deployment_raw[[#This Row],[Column5]]=0),1,deployment_raw[[#This Row],[Column5]]),"")</f>
        <v/>
      </c>
      <c r="H772" s="79" t="str">
        <f>IF(ISNUMBER(deployment_raw[[#This Row],[Column19]]), IF(I772&lt;&gt;0,(deployment_raw[[#This Row],[Column19]]/IF(OR($E$2="Deployment",deployment_raw[[#This Row],[Column5]]=0),1,deployment_raw[[#This Row],[Column5]]))/I772,0),"")</f>
        <v/>
      </c>
      <c r="I772" s="69" t="str">
        <f>IF(ISNUMBER(deployment_raw[[#This Row],[Column6]]), (deployment_raw[[#This Row],[Column6]] * IF($E$2="Deployment",deployment_raw[[#This Row],[Column5]],1)),"")</f>
        <v/>
      </c>
      <c r="J772" s="79" t="str">
        <f>IF(ISNUMBER(deployment_raw[[#This Row],[Column19]]), IF(K772&lt;&gt;0,(deployment_raw[[#This Row],[Column19]]/IF(OR($E$2="Deployment",deployment_raw[[#This Row],[Column5]]=0),1,deployment_raw[[#This Row],[Column5]]))/K772,0),"")</f>
        <v/>
      </c>
      <c r="K772" s="72" t="str">
        <f>IF(ISNUMBER(deployment_raw[[#This Row],[Column8]]), (deployment_raw[[#This Row],[Column8]]  * IF($E$2="Deployment",deployment_raw[[#This Row],[Column5]],1)),"")</f>
        <v/>
      </c>
      <c r="L77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7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72" s="81" t="str">
        <f>IF(ISNUMBER(deployment_raw[[#This Row],[Column20]]), IF(O772&lt;&gt;0,deployment_raw[[#This Row],[Column20]]/IF(OR($E$2="Deployment",deployment_raw[[#This Row],[Column5]]=0),1,deployment_raw[[#This Row],[Column5]])/1048576/O772,0),"")</f>
        <v/>
      </c>
      <c r="O772" s="74" t="str">
        <f>IF(ISNUMBER(deployment_raw[[#This Row],[Column7]]), (deployment_raw[[#This Row],[Column7]] * IF($E$2="Deployment",deployment_raw[[#This Row],[Column5]],1))/1048576,"")</f>
        <v/>
      </c>
      <c r="P772" s="81" t="str">
        <f>IF(ISNUMBER(deployment_raw[[#This Row],[Column20]]), IF(Q772&lt;&gt;0,deployment_raw[[#This Row],[Column20]]/IF(OR($E$2="Deployment",deployment_raw[[#This Row],[Column5]]=0),1,deployment_raw[[#This Row],[Column5]])/1048576/Q772,0),"")</f>
        <v/>
      </c>
      <c r="Q772" s="76" t="str">
        <f>IF(ISNUMBER(deployment_raw[[#This Row],[Column9]]), (deployment_raw[[#This Row],[Column9]] * IF($E$2="Deployment",deployment_raw[[#This Row],[Column5]],1))/1048576,"")</f>
        <v/>
      </c>
      <c r="R772" s="57" t="str">
        <f>IF(ISNUMBER(deployment_raw[[#This Row],[Column10]]), (deployment_raw[[#This Row],[Column10]] * IF($E$2="Deployment",deployment_raw[[#This Row],[Column5]],1)),"")</f>
        <v/>
      </c>
      <c r="S772" s="48" t="str">
        <f>IF(ISNUMBER(deployment_raw[[#This Row],[Column11]]), (deployment_raw[[#This Row],[Column11]] * IF($E$2="Deployment",deployment_raw[[#This Row],[Column5]],1))/1048576,"")</f>
        <v/>
      </c>
      <c r="T772" s="59" t="str">
        <f>IF(ISNUMBER(deployment_raw[[#This Row],[Column8]]),IF(OR(deployment_raw[[#This Row],[Column5]] &lt;&gt; 0,$E$2 &lt;&gt; "Deployment"), MAX(V772, ($T$2 * IF($E$2="Deployment",deployment_raw[[#This Row],[Column5]],1))), 0),"")</f>
        <v/>
      </c>
      <c r="U772" s="50" t="str">
        <f>IF(ISNUMBER(deployment_raw[[#This Row],[Column9]]),IF(OR(deployment_raw[[#This Row],[Column5]] &lt;&gt; 0,$E$2&lt;&gt;"Deployment"), MAX(W772, ($U$2 * IF($E$2="Deployment",deployment_raw[[#This Row],[Column5]],1))), 0),"")</f>
        <v/>
      </c>
      <c r="V772" s="15" t="str">
        <f>IF(ISNUMBER(deployment_raw[[#This Row],[Column12]]), (deployment_raw[[#This Row],[Column12]] * IF($E$2="Deployment",deployment_raw[[#This Row],[Column5]],1)*(1+$V$2)),"")</f>
        <v/>
      </c>
      <c r="W772" s="14" t="str">
        <f>IF(ISNUMBER(deployment_raw[[#This Row],[Column13]]), (deployment_raw[[#This Row],[Column13]] * IF($E$2="Deployment",deployment_raw[[#This Row],[Column5]],1)*(1+$W$2))/1048576,"")</f>
        <v/>
      </c>
    </row>
    <row r="773" spans="1:23" ht="15.75" customHeight="1" x14ac:dyDescent="0.25">
      <c r="A773" s="5" t="str">
        <f>IF(ISNONTEXT(deployment_raw[[#This Row],[Column1]]), "", deployment_raw[[#This Row],[Column1]])</f>
        <v/>
      </c>
      <c r="B773" s="6" t="str">
        <f>IF(ISNONTEXT(deployment_raw[[#This Row],[Column2]]), "", deployment_raw[[#This Row],[Column2]])</f>
        <v/>
      </c>
      <c r="C773" s="6" t="str">
        <f>IF(ISNONTEXT(deployment_raw[[#This Row],[Column3]]), "", deployment_raw[[#This Row],[Column3]])</f>
        <v/>
      </c>
      <c r="D773" s="6" t="str">
        <f>IF(ISNONTEXT(deployment_raw[[#This Row],[Column4]]), "", deployment_raw[[#This Row],[Column4]])</f>
        <v/>
      </c>
      <c r="E773" s="7" t="str">
        <f>IF(ISNUMBER(deployment_raw[[#This Row],[Column5]]), deployment_raw[[#This Row],[Column5]],"")</f>
        <v/>
      </c>
      <c r="F773" s="32" t="str">
        <f>IF(ISNUMBER(deployment_raw[[#This Row],[Column17]]), deployment_raw[[#This Row],[Column17]]/IF(OR($E$2="Deployment",deployment_raw[[#This Row],[Column5]]=0),1,deployment_raw[[#This Row],[Column5]]),"")</f>
        <v/>
      </c>
      <c r="G773" s="42" t="str">
        <f>IF(ISNUMBER(deployment_raw[[#This Row],[Column14]]), deployment_raw[[#This Row],[Column14]]/IF(OR($E$2="Deployment",deployment_raw[[#This Row],[Column5]]=0),1,deployment_raw[[#This Row],[Column5]]),"")</f>
        <v/>
      </c>
      <c r="H773" s="79" t="str">
        <f>IF(ISNUMBER(deployment_raw[[#This Row],[Column19]]), IF(I773&lt;&gt;0,(deployment_raw[[#This Row],[Column19]]/IF(OR($E$2="Deployment",deployment_raw[[#This Row],[Column5]]=0),1,deployment_raw[[#This Row],[Column5]]))/I773,0),"")</f>
        <v/>
      </c>
      <c r="I773" s="69" t="str">
        <f>IF(ISNUMBER(deployment_raw[[#This Row],[Column6]]), (deployment_raw[[#This Row],[Column6]] * IF($E$2="Deployment",deployment_raw[[#This Row],[Column5]],1)),"")</f>
        <v/>
      </c>
      <c r="J773" s="79" t="str">
        <f>IF(ISNUMBER(deployment_raw[[#This Row],[Column19]]), IF(K773&lt;&gt;0,(deployment_raw[[#This Row],[Column19]]/IF(OR($E$2="Deployment",deployment_raw[[#This Row],[Column5]]=0),1,deployment_raw[[#This Row],[Column5]]))/K773,0),"")</f>
        <v/>
      </c>
      <c r="K773" s="72" t="str">
        <f>IF(ISNUMBER(deployment_raw[[#This Row],[Column8]]), (deployment_raw[[#This Row],[Column8]]  * IF($E$2="Deployment",deployment_raw[[#This Row],[Column5]],1)),"")</f>
        <v/>
      </c>
      <c r="L77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7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73" s="81" t="str">
        <f>IF(ISNUMBER(deployment_raw[[#This Row],[Column20]]), IF(O773&lt;&gt;0,deployment_raw[[#This Row],[Column20]]/IF(OR($E$2="Deployment",deployment_raw[[#This Row],[Column5]]=0),1,deployment_raw[[#This Row],[Column5]])/1048576/O773,0),"")</f>
        <v/>
      </c>
      <c r="O773" s="74" t="str">
        <f>IF(ISNUMBER(deployment_raw[[#This Row],[Column7]]), (deployment_raw[[#This Row],[Column7]] * IF($E$2="Deployment",deployment_raw[[#This Row],[Column5]],1))/1048576,"")</f>
        <v/>
      </c>
      <c r="P773" s="81" t="str">
        <f>IF(ISNUMBER(deployment_raw[[#This Row],[Column20]]), IF(Q773&lt;&gt;0,deployment_raw[[#This Row],[Column20]]/IF(OR($E$2="Deployment",deployment_raw[[#This Row],[Column5]]=0),1,deployment_raw[[#This Row],[Column5]])/1048576/Q773,0),"")</f>
        <v/>
      </c>
      <c r="Q773" s="76" t="str">
        <f>IF(ISNUMBER(deployment_raw[[#This Row],[Column9]]), (deployment_raw[[#This Row],[Column9]] * IF($E$2="Deployment",deployment_raw[[#This Row],[Column5]],1))/1048576,"")</f>
        <v/>
      </c>
      <c r="R773" s="57" t="str">
        <f>IF(ISNUMBER(deployment_raw[[#This Row],[Column10]]), (deployment_raw[[#This Row],[Column10]] * IF($E$2="Deployment",deployment_raw[[#This Row],[Column5]],1)),"")</f>
        <v/>
      </c>
      <c r="S773" s="48" t="str">
        <f>IF(ISNUMBER(deployment_raw[[#This Row],[Column11]]), (deployment_raw[[#This Row],[Column11]] * IF($E$2="Deployment",deployment_raw[[#This Row],[Column5]],1))/1048576,"")</f>
        <v/>
      </c>
      <c r="T773" s="59" t="str">
        <f>IF(ISNUMBER(deployment_raw[[#This Row],[Column8]]),IF(OR(deployment_raw[[#This Row],[Column5]] &lt;&gt; 0,$E$2 &lt;&gt; "Deployment"), MAX(V773, ($T$2 * IF($E$2="Deployment",deployment_raw[[#This Row],[Column5]],1))), 0),"")</f>
        <v/>
      </c>
      <c r="U773" s="50" t="str">
        <f>IF(ISNUMBER(deployment_raw[[#This Row],[Column9]]),IF(OR(deployment_raw[[#This Row],[Column5]] &lt;&gt; 0,$E$2&lt;&gt;"Deployment"), MAX(W773, ($U$2 * IF($E$2="Deployment",deployment_raw[[#This Row],[Column5]],1))), 0),"")</f>
        <v/>
      </c>
      <c r="V773" s="15" t="str">
        <f>IF(ISNUMBER(deployment_raw[[#This Row],[Column12]]), (deployment_raw[[#This Row],[Column12]] * IF($E$2="Deployment",deployment_raw[[#This Row],[Column5]],1)*(1+$V$2)),"")</f>
        <v/>
      </c>
      <c r="W773" s="14" t="str">
        <f>IF(ISNUMBER(deployment_raw[[#This Row],[Column13]]), (deployment_raw[[#This Row],[Column13]] * IF($E$2="Deployment",deployment_raw[[#This Row],[Column5]],1)*(1+$W$2))/1048576,"")</f>
        <v/>
      </c>
    </row>
    <row r="774" spans="1:23" ht="15.75" customHeight="1" x14ac:dyDescent="0.25">
      <c r="A774" s="5" t="str">
        <f>IF(ISNONTEXT(deployment_raw[[#This Row],[Column1]]), "", deployment_raw[[#This Row],[Column1]])</f>
        <v/>
      </c>
      <c r="B774" s="6" t="str">
        <f>IF(ISNONTEXT(deployment_raw[[#This Row],[Column2]]), "", deployment_raw[[#This Row],[Column2]])</f>
        <v/>
      </c>
      <c r="C774" s="6" t="str">
        <f>IF(ISNONTEXT(deployment_raw[[#This Row],[Column3]]), "", deployment_raw[[#This Row],[Column3]])</f>
        <v/>
      </c>
      <c r="D774" s="6" t="str">
        <f>IF(ISNONTEXT(deployment_raw[[#This Row],[Column4]]), "", deployment_raw[[#This Row],[Column4]])</f>
        <v/>
      </c>
      <c r="E774" s="7" t="str">
        <f>IF(ISNUMBER(deployment_raw[[#This Row],[Column5]]), deployment_raw[[#This Row],[Column5]],"")</f>
        <v/>
      </c>
      <c r="F774" s="32" t="str">
        <f>IF(ISNUMBER(deployment_raw[[#This Row],[Column17]]), deployment_raw[[#This Row],[Column17]]/IF(OR($E$2="Deployment",deployment_raw[[#This Row],[Column5]]=0),1,deployment_raw[[#This Row],[Column5]]),"")</f>
        <v/>
      </c>
      <c r="G774" s="42" t="str">
        <f>IF(ISNUMBER(deployment_raw[[#This Row],[Column14]]), deployment_raw[[#This Row],[Column14]]/IF(OR($E$2="Deployment",deployment_raw[[#This Row],[Column5]]=0),1,deployment_raw[[#This Row],[Column5]]),"")</f>
        <v/>
      </c>
      <c r="H774" s="79" t="str">
        <f>IF(ISNUMBER(deployment_raw[[#This Row],[Column19]]), IF(I774&lt;&gt;0,(deployment_raw[[#This Row],[Column19]]/IF(OR($E$2="Deployment",deployment_raw[[#This Row],[Column5]]=0),1,deployment_raw[[#This Row],[Column5]]))/I774,0),"")</f>
        <v/>
      </c>
      <c r="I774" s="69" t="str">
        <f>IF(ISNUMBER(deployment_raw[[#This Row],[Column6]]), (deployment_raw[[#This Row],[Column6]] * IF($E$2="Deployment",deployment_raw[[#This Row],[Column5]],1)),"")</f>
        <v/>
      </c>
      <c r="J774" s="79" t="str">
        <f>IF(ISNUMBER(deployment_raw[[#This Row],[Column19]]), IF(K774&lt;&gt;0,(deployment_raw[[#This Row],[Column19]]/IF(OR($E$2="Deployment",deployment_raw[[#This Row],[Column5]]=0),1,deployment_raw[[#This Row],[Column5]]))/K774,0),"")</f>
        <v/>
      </c>
      <c r="K774" s="72" t="str">
        <f>IF(ISNUMBER(deployment_raw[[#This Row],[Column8]]), (deployment_raw[[#This Row],[Column8]]  * IF($E$2="Deployment",deployment_raw[[#This Row],[Column5]],1)),"")</f>
        <v/>
      </c>
      <c r="L77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7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74" s="81" t="str">
        <f>IF(ISNUMBER(deployment_raw[[#This Row],[Column20]]), IF(O774&lt;&gt;0,deployment_raw[[#This Row],[Column20]]/IF(OR($E$2="Deployment",deployment_raw[[#This Row],[Column5]]=0),1,deployment_raw[[#This Row],[Column5]])/1048576/O774,0),"")</f>
        <v/>
      </c>
      <c r="O774" s="74" t="str">
        <f>IF(ISNUMBER(deployment_raw[[#This Row],[Column7]]), (deployment_raw[[#This Row],[Column7]] * IF($E$2="Deployment",deployment_raw[[#This Row],[Column5]],1))/1048576,"")</f>
        <v/>
      </c>
      <c r="P774" s="81" t="str">
        <f>IF(ISNUMBER(deployment_raw[[#This Row],[Column20]]), IF(Q774&lt;&gt;0,deployment_raw[[#This Row],[Column20]]/IF(OR($E$2="Deployment",deployment_raw[[#This Row],[Column5]]=0),1,deployment_raw[[#This Row],[Column5]])/1048576/Q774,0),"")</f>
        <v/>
      </c>
      <c r="Q774" s="76" t="str">
        <f>IF(ISNUMBER(deployment_raw[[#This Row],[Column9]]), (deployment_raw[[#This Row],[Column9]] * IF($E$2="Deployment",deployment_raw[[#This Row],[Column5]],1))/1048576,"")</f>
        <v/>
      </c>
      <c r="R774" s="57" t="str">
        <f>IF(ISNUMBER(deployment_raw[[#This Row],[Column10]]), (deployment_raw[[#This Row],[Column10]] * IF($E$2="Deployment",deployment_raw[[#This Row],[Column5]],1)),"")</f>
        <v/>
      </c>
      <c r="S774" s="48" t="str">
        <f>IF(ISNUMBER(deployment_raw[[#This Row],[Column11]]), (deployment_raw[[#This Row],[Column11]] * IF($E$2="Deployment",deployment_raw[[#This Row],[Column5]],1))/1048576,"")</f>
        <v/>
      </c>
      <c r="T774" s="59" t="str">
        <f>IF(ISNUMBER(deployment_raw[[#This Row],[Column8]]),IF(OR(deployment_raw[[#This Row],[Column5]] &lt;&gt; 0,$E$2 &lt;&gt; "Deployment"), MAX(V774, ($T$2 * IF($E$2="Deployment",deployment_raw[[#This Row],[Column5]],1))), 0),"")</f>
        <v/>
      </c>
      <c r="U774" s="50" t="str">
        <f>IF(ISNUMBER(deployment_raw[[#This Row],[Column9]]),IF(OR(deployment_raw[[#This Row],[Column5]] &lt;&gt; 0,$E$2&lt;&gt;"Deployment"), MAX(W774, ($U$2 * IF($E$2="Deployment",deployment_raw[[#This Row],[Column5]],1))), 0),"")</f>
        <v/>
      </c>
      <c r="V774" s="15" t="str">
        <f>IF(ISNUMBER(deployment_raw[[#This Row],[Column12]]), (deployment_raw[[#This Row],[Column12]] * IF($E$2="Deployment",deployment_raw[[#This Row],[Column5]],1)*(1+$V$2)),"")</f>
        <v/>
      </c>
      <c r="W774" s="14" t="str">
        <f>IF(ISNUMBER(deployment_raw[[#This Row],[Column13]]), (deployment_raw[[#This Row],[Column13]] * IF($E$2="Deployment",deployment_raw[[#This Row],[Column5]],1)*(1+$W$2))/1048576,"")</f>
        <v/>
      </c>
    </row>
    <row r="775" spans="1:23" ht="15.75" customHeight="1" x14ac:dyDescent="0.25">
      <c r="A775" s="5" t="str">
        <f>IF(ISNONTEXT(deployment_raw[[#This Row],[Column1]]), "", deployment_raw[[#This Row],[Column1]])</f>
        <v/>
      </c>
      <c r="B775" s="6" t="str">
        <f>IF(ISNONTEXT(deployment_raw[[#This Row],[Column2]]), "", deployment_raw[[#This Row],[Column2]])</f>
        <v/>
      </c>
      <c r="C775" s="6" t="str">
        <f>IF(ISNONTEXT(deployment_raw[[#This Row],[Column3]]), "", deployment_raw[[#This Row],[Column3]])</f>
        <v/>
      </c>
      <c r="D775" s="6" t="str">
        <f>IF(ISNONTEXT(deployment_raw[[#This Row],[Column4]]), "", deployment_raw[[#This Row],[Column4]])</f>
        <v/>
      </c>
      <c r="E775" s="7" t="str">
        <f>IF(ISNUMBER(deployment_raw[[#This Row],[Column5]]), deployment_raw[[#This Row],[Column5]],"")</f>
        <v/>
      </c>
      <c r="F775" s="32" t="str">
        <f>IF(ISNUMBER(deployment_raw[[#This Row],[Column17]]), deployment_raw[[#This Row],[Column17]]/IF(OR($E$2="Deployment",deployment_raw[[#This Row],[Column5]]=0),1,deployment_raw[[#This Row],[Column5]]),"")</f>
        <v/>
      </c>
      <c r="G775" s="42" t="str">
        <f>IF(ISNUMBER(deployment_raw[[#This Row],[Column14]]), deployment_raw[[#This Row],[Column14]]/IF(OR($E$2="Deployment",deployment_raw[[#This Row],[Column5]]=0),1,deployment_raw[[#This Row],[Column5]]),"")</f>
        <v/>
      </c>
      <c r="H775" s="79" t="str">
        <f>IF(ISNUMBER(deployment_raw[[#This Row],[Column19]]), IF(I775&lt;&gt;0,(deployment_raw[[#This Row],[Column19]]/IF(OR($E$2="Deployment",deployment_raw[[#This Row],[Column5]]=0),1,deployment_raw[[#This Row],[Column5]]))/I775,0),"")</f>
        <v/>
      </c>
      <c r="I775" s="69" t="str">
        <f>IF(ISNUMBER(deployment_raw[[#This Row],[Column6]]), (deployment_raw[[#This Row],[Column6]] * IF($E$2="Deployment",deployment_raw[[#This Row],[Column5]],1)),"")</f>
        <v/>
      </c>
      <c r="J775" s="79" t="str">
        <f>IF(ISNUMBER(deployment_raw[[#This Row],[Column19]]), IF(K775&lt;&gt;0,(deployment_raw[[#This Row],[Column19]]/IF(OR($E$2="Deployment",deployment_raw[[#This Row],[Column5]]=0),1,deployment_raw[[#This Row],[Column5]]))/K775,0),"")</f>
        <v/>
      </c>
      <c r="K775" s="72" t="str">
        <f>IF(ISNUMBER(deployment_raw[[#This Row],[Column8]]), (deployment_raw[[#This Row],[Column8]]  * IF($E$2="Deployment",deployment_raw[[#This Row],[Column5]],1)),"")</f>
        <v/>
      </c>
      <c r="L77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7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75" s="81" t="str">
        <f>IF(ISNUMBER(deployment_raw[[#This Row],[Column20]]), IF(O775&lt;&gt;0,deployment_raw[[#This Row],[Column20]]/IF(OR($E$2="Deployment",deployment_raw[[#This Row],[Column5]]=0),1,deployment_raw[[#This Row],[Column5]])/1048576/O775,0),"")</f>
        <v/>
      </c>
      <c r="O775" s="74" t="str">
        <f>IF(ISNUMBER(deployment_raw[[#This Row],[Column7]]), (deployment_raw[[#This Row],[Column7]] * IF($E$2="Deployment",deployment_raw[[#This Row],[Column5]],1))/1048576,"")</f>
        <v/>
      </c>
      <c r="P775" s="81" t="str">
        <f>IF(ISNUMBER(deployment_raw[[#This Row],[Column20]]), IF(Q775&lt;&gt;0,deployment_raw[[#This Row],[Column20]]/IF(OR($E$2="Deployment",deployment_raw[[#This Row],[Column5]]=0),1,deployment_raw[[#This Row],[Column5]])/1048576/Q775,0),"")</f>
        <v/>
      </c>
      <c r="Q775" s="76" t="str">
        <f>IF(ISNUMBER(deployment_raw[[#This Row],[Column9]]), (deployment_raw[[#This Row],[Column9]] * IF($E$2="Deployment",deployment_raw[[#This Row],[Column5]],1))/1048576,"")</f>
        <v/>
      </c>
      <c r="R775" s="57" t="str">
        <f>IF(ISNUMBER(deployment_raw[[#This Row],[Column10]]), (deployment_raw[[#This Row],[Column10]] * IF($E$2="Deployment",deployment_raw[[#This Row],[Column5]],1)),"")</f>
        <v/>
      </c>
      <c r="S775" s="48" t="str">
        <f>IF(ISNUMBER(deployment_raw[[#This Row],[Column11]]), (deployment_raw[[#This Row],[Column11]] * IF($E$2="Deployment",deployment_raw[[#This Row],[Column5]],1))/1048576,"")</f>
        <v/>
      </c>
      <c r="T775" s="59" t="str">
        <f>IF(ISNUMBER(deployment_raw[[#This Row],[Column8]]),IF(OR(deployment_raw[[#This Row],[Column5]] &lt;&gt; 0,$E$2 &lt;&gt; "Deployment"), MAX(V775, ($T$2 * IF($E$2="Deployment",deployment_raw[[#This Row],[Column5]],1))), 0),"")</f>
        <v/>
      </c>
      <c r="U775" s="50" t="str">
        <f>IF(ISNUMBER(deployment_raw[[#This Row],[Column9]]),IF(OR(deployment_raw[[#This Row],[Column5]] &lt;&gt; 0,$E$2&lt;&gt;"Deployment"), MAX(W775, ($U$2 * IF($E$2="Deployment",deployment_raw[[#This Row],[Column5]],1))), 0),"")</f>
        <v/>
      </c>
      <c r="V775" s="15" t="str">
        <f>IF(ISNUMBER(deployment_raw[[#This Row],[Column12]]), (deployment_raw[[#This Row],[Column12]] * IF($E$2="Deployment",deployment_raw[[#This Row],[Column5]],1)*(1+$V$2)),"")</f>
        <v/>
      </c>
      <c r="W775" s="14" t="str">
        <f>IF(ISNUMBER(deployment_raw[[#This Row],[Column13]]), (deployment_raw[[#This Row],[Column13]] * IF($E$2="Deployment",deployment_raw[[#This Row],[Column5]],1)*(1+$W$2))/1048576,"")</f>
        <v/>
      </c>
    </row>
    <row r="776" spans="1:23" ht="15.75" customHeight="1" x14ac:dyDescent="0.25">
      <c r="A776" s="5" t="str">
        <f>IF(ISNONTEXT(deployment_raw[[#This Row],[Column1]]), "", deployment_raw[[#This Row],[Column1]])</f>
        <v/>
      </c>
      <c r="B776" s="6" t="str">
        <f>IF(ISNONTEXT(deployment_raw[[#This Row],[Column2]]), "", deployment_raw[[#This Row],[Column2]])</f>
        <v/>
      </c>
      <c r="C776" s="6" t="str">
        <f>IF(ISNONTEXT(deployment_raw[[#This Row],[Column3]]), "", deployment_raw[[#This Row],[Column3]])</f>
        <v/>
      </c>
      <c r="D776" s="6" t="str">
        <f>IF(ISNONTEXT(deployment_raw[[#This Row],[Column4]]), "", deployment_raw[[#This Row],[Column4]])</f>
        <v/>
      </c>
      <c r="E776" s="7" t="str">
        <f>IF(ISNUMBER(deployment_raw[[#This Row],[Column5]]), deployment_raw[[#This Row],[Column5]],"")</f>
        <v/>
      </c>
      <c r="F776" s="32" t="str">
        <f>IF(ISNUMBER(deployment_raw[[#This Row],[Column17]]), deployment_raw[[#This Row],[Column17]]/IF(OR($E$2="Deployment",deployment_raw[[#This Row],[Column5]]=0),1,deployment_raw[[#This Row],[Column5]]),"")</f>
        <v/>
      </c>
      <c r="G776" s="42" t="str">
        <f>IF(ISNUMBER(deployment_raw[[#This Row],[Column14]]), deployment_raw[[#This Row],[Column14]]/IF(OR($E$2="Deployment",deployment_raw[[#This Row],[Column5]]=0),1,deployment_raw[[#This Row],[Column5]]),"")</f>
        <v/>
      </c>
      <c r="H776" s="79" t="str">
        <f>IF(ISNUMBER(deployment_raw[[#This Row],[Column19]]), IF(I776&lt;&gt;0,(deployment_raw[[#This Row],[Column19]]/IF(OR($E$2="Deployment",deployment_raw[[#This Row],[Column5]]=0),1,deployment_raw[[#This Row],[Column5]]))/I776,0),"")</f>
        <v/>
      </c>
      <c r="I776" s="69" t="str">
        <f>IF(ISNUMBER(deployment_raw[[#This Row],[Column6]]), (deployment_raw[[#This Row],[Column6]] * IF($E$2="Deployment",deployment_raw[[#This Row],[Column5]],1)),"")</f>
        <v/>
      </c>
      <c r="J776" s="79" t="str">
        <f>IF(ISNUMBER(deployment_raw[[#This Row],[Column19]]), IF(K776&lt;&gt;0,(deployment_raw[[#This Row],[Column19]]/IF(OR($E$2="Deployment",deployment_raw[[#This Row],[Column5]]=0),1,deployment_raw[[#This Row],[Column5]]))/K776,0),"")</f>
        <v/>
      </c>
      <c r="K776" s="72" t="str">
        <f>IF(ISNUMBER(deployment_raw[[#This Row],[Column8]]), (deployment_raw[[#This Row],[Column8]]  * IF($E$2="Deployment",deployment_raw[[#This Row],[Column5]],1)),"")</f>
        <v/>
      </c>
      <c r="L77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7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76" s="81" t="str">
        <f>IF(ISNUMBER(deployment_raw[[#This Row],[Column20]]), IF(O776&lt;&gt;0,deployment_raw[[#This Row],[Column20]]/IF(OR($E$2="Deployment",deployment_raw[[#This Row],[Column5]]=0),1,deployment_raw[[#This Row],[Column5]])/1048576/O776,0),"")</f>
        <v/>
      </c>
      <c r="O776" s="74" t="str">
        <f>IF(ISNUMBER(deployment_raw[[#This Row],[Column7]]), (deployment_raw[[#This Row],[Column7]] * IF($E$2="Deployment",deployment_raw[[#This Row],[Column5]],1))/1048576,"")</f>
        <v/>
      </c>
      <c r="P776" s="81" t="str">
        <f>IF(ISNUMBER(deployment_raw[[#This Row],[Column20]]), IF(Q776&lt;&gt;0,deployment_raw[[#This Row],[Column20]]/IF(OR($E$2="Deployment",deployment_raw[[#This Row],[Column5]]=0),1,deployment_raw[[#This Row],[Column5]])/1048576/Q776,0),"")</f>
        <v/>
      </c>
      <c r="Q776" s="76" t="str">
        <f>IF(ISNUMBER(deployment_raw[[#This Row],[Column9]]), (deployment_raw[[#This Row],[Column9]] * IF($E$2="Deployment",deployment_raw[[#This Row],[Column5]],1))/1048576,"")</f>
        <v/>
      </c>
      <c r="R776" s="57" t="str">
        <f>IF(ISNUMBER(deployment_raw[[#This Row],[Column10]]), (deployment_raw[[#This Row],[Column10]] * IF($E$2="Deployment",deployment_raw[[#This Row],[Column5]],1)),"")</f>
        <v/>
      </c>
      <c r="S776" s="48" t="str">
        <f>IF(ISNUMBER(deployment_raw[[#This Row],[Column11]]), (deployment_raw[[#This Row],[Column11]] * IF($E$2="Deployment",deployment_raw[[#This Row],[Column5]],1))/1048576,"")</f>
        <v/>
      </c>
      <c r="T776" s="59" t="str">
        <f>IF(ISNUMBER(deployment_raw[[#This Row],[Column8]]),IF(OR(deployment_raw[[#This Row],[Column5]] &lt;&gt; 0,$E$2 &lt;&gt; "Deployment"), MAX(V776, ($T$2 * IF($E$2="Deployment",deployment_raw[[#This Row],[Column5]],1))), 0),"")</f>
        <v/>
      </c>
      <c r="U776" s="50" t="str">
        <f>IF(ISNUMBER(deployment_raw[[#This Row],[Column9]]),IF(OR(deployment_raw[[#This Row],[Column5]] &lt;&gt; 0,$E$2&lt;&gt;"Deployment"), MAX(W776, ($U$2 * IF($E$2="Deployment",deployment_raw[[#This Row],[Column5]],1))), 0),"")</f>
        <v/>
      </c>
      <c r="V776" s="15" t="str">
        <f>IF(ISNUMBER(deployment_raw[[#This Row],[Column12]]), (deployment_raw[[#This Row],[Column12]] * IF($E$2="Deployment",deployment_raw[[#This Row],[Column5]],1)*(1+$V$2)),"")</f>
        <v/>
      </c>
      <c r="W776" s="14" t="str">
        <f>IF(ISNUMBER(deployment_raw[[#This Row],[Column13]]), (deployment_raw[[#This Row],[Column13]] * IF($E$2="Deployment",deployment_raw[[#This Row],[Column5]],1)*(1+$W$2))/1048576,"")</f>
        <v/>
      </c>
    </row>
    <row r="777" spans="1:23" ht="15.75" customHeight="1" x14ac:dyDescent="0.25">
      <c r="A777" s="5" t="str">
        <f>IF(ISNONTEXT(deployment_raw[[#This Row],[Column1]]), "", deployment_raw[[#This Row],[Column1]])</f>
        <v/>
      </c>
      <c r="B777" s="6" t="str">
        <f>IF(ISNONTEXT(deployment_raw[[#This Row],[Column2]]), "", deployment_raw[[#This Row],[Column2]])</f>
        <v/>
      </c>
      <c r="C777" s="6" t="str">
        <f>IF(ISNONTEXT(deployment_raw[[#This Row],[Column3]]), "", deployment_raw[[#This Row],[Column3]])</f>
        <v/>
      </c>
      <c r="D777" s="6" t="str">
        <f>IF(ISNONTEXT(deployment_raw[[#This Row],[Column4]]), "", deployment_raw[[#This Row],[Column4]])</f>
        <v/>
      </c>
      <c r="E777" s="7" t="str">
        <f>IF(ISNUMBER(deployment_raw[[#This Row],[Column5]]), deployment_raw[[#This Row],[Column5]],"")</f>
        <v/>
      </c>
      <c r="F777" s="32" t="str">
        <f>IF(ISNUMBER(deployment_raw[[#This Row],[Column17]]), deployment_raw[[#This Row],[Column17]]/IF(OR($E$2="Deployment",deployment_raw[[#This Row],[Column5]]=0),1,deployment_raw[[#This Row],[Column5]]),"")</f>
        <v/>
      </c>
      <c r="G777" s="42" t="str">
        <f>IF(ISNUMBER(deployment_raw[[#This Row],[Column14]]), deployment_raw[[#This Row],[Column14]]/IF(OR($E$2="Deployment",deployment_raw[[#This Row],[Column5]]=0),1,deployment_raw[[#This Row],[Column5]]),"")</f>
        <v/>
      </c>
      <c r="H777" s="79" t="str">
        <f>IF(ISNUMBER(deployment_raw[[#This Row],[Column19]]), IF(I777&lt;&gt;0,(deployment_raw[[#This Row],[Column19]]/IF(OR($E$2="Deployment",deployment_raw[[#This Row],[Column5]]=0),1,deployment_raw[[#This Row],[Column5]]))/I777,0),"")</f>
        <v/>
      </c>
      <c r="I777" s="69" t="str">
        <f>IF(ISNUMBER(deployment_raw[[#This Row],[Column6]]), (deployment_raw[[#This Row],[Column6]] * IF($E$2="Deployment",deployment_raw[[#This Row],[Column5]],1)),"")</f>
        <v/>
      </c>
      <c r="J777" s="79" t="str">
        <f>IF(ISNUMBER(deployment_raw[[#This Row],[Column19]]), IF(K777&lt;&gt;0,(deployment_raw[[#This Row],[Column19]]/IF(OR($E$2="Deployment",deployment_raw[[#This Row],[Column5]]=0),1,deployment_raw[[#This Row],[Column5]]))/K777,0),"")</f>
        <v/>
      </c>
      <c r="K777" s="72" t="str">
        <f>IF(ISNUMBER(deployment_raw[[#This Row],[Column8]]), (deployment_raw[[#This Row],[Column8]]  * IF($E$2="Deployment",deployment_raw[[#This Row],[Column5]],1)),"")</f>
        <v/>
      </c>
      <c r="L77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7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77" s="81" t="str">
        <f>IF(ISNUMBER(deployment_raw[[#This Row],[Column20]]), IF(O777&lt;&gt;0,deployment_raw[[#This Row],[Column20]]/IF(OR($E$2="Deployment",deployment_raw[[#This Row],[Column5]]=0),1,deployment_raw[[#This Row],[Column5]])/1048576/O777,0),"")</f>
        <v/>
      </c>
      <c r="O777" s="74" t="str">
        <f>IF(ISNUMBER(deployment_raw[[#This Row],[Column7]]), (deployment_raw[[#This Row],[Column7]] * IF($E$2="Deployment",deployment_raw[[#This Row],[Column5]],1))/1048576,"")</f>
        <v/>
      </c>
      <c r="P777" s="81" t="str">
        <f>IF(ISNUMBER(deployment_raw[[#This Row],[Column20]]), IF(Q777&lt;&gt;0,deployment_raw[[#This Row],[Column20]]/IF(OR($E$2="Deployment",deployment_raw[[#This Row],[Column5]]=0),1,deployment_raw[[#This Row],[Column5]])/1048576/Q777,0),"")</f>
        <v/>
      </c>
      <c r="Q777" s="76" t="str">
        <f>IF(ISNUMBER(deployment_raw[[#This Row],[Column9]]), (deployment_raw[[#This Row],[Column9]] * IF($E$2="Deployment",deployment_raw[[#This Row],[Column5]],1))/1048576,"")</f>
        <v/>
      </c>
      <c r="R777" s="57" t="str">
        <f>IF(ISNUMBER(deployment_raw[[#This Row],[Column10]]), (deployment_raw[[#This Row],[Column10]] * IF($E$2="Deployment",deployment_raw[[#This Row],[Column5]],1)),"")</f>
        <v/>
      </c>
      <c r="S777" s="48" t="str">
        <f>IF(ISNUMBER(deployment_raw[[#This Row],[Column11]]), (deployment_raw[[#This Row],[Column11]] * IF($E$2="Deployment",deployment_raw[[#This Row],[Column5]],1))/1048576,"")</f>
        <v/>
      </c>
      <c r="T777" s="59" t="str">
        <f>IF(ISNUMBER(deployment_raw[[#This Row],[Column8]]),IF(OR(deployment_raw[[#This Row],[Column5]] &lt;&gt; 0,$E$2 &lt;&gt; "Deployment"), MAX(V777, ($T$2 * IF($E$2="Deployment",deployment_raw[[#This Row],[Column5]],1))), 0),"")</f>
        <v/>
      </c>
      <c r="U777" s="50" t="str">
        <f>IF(ISNUMBER(deployment_raw[[#This Row],[Column9]]),IF(OR(deployment_raw[[#This Row],[Column5]] &lt;&gt; 0,$E$2&lt;&gt;"Deployment"), MAX(W777, ($U$2 * IF($E$2="Deployment",deployment_raw[[#This Row],[Column5]],1))), 0),"")</f>
        <v/>
      </c>
      <c r="V777" s="15" t="str">
        <f>IF(ISNUMBER(deployment_raw[[#This Row],[Column12]]), (deployment_raw[[#This Row],[Column12]] * IF($E$2="Deployment",deployment_raw[[#This Row],[Column5]],1)*(1+$V$2)),"")</f>
        <v/>
      </c>
      <c r="W777" s="14" t="str">
        <f>IF(ISNUMBER(deployment_raw[[#This Row],[Column13]]), (deployment_raw[[#This Row],[Column13]] * IF($E$2="Deployment",deployment_raw[[#This Row],[Column5]],1)*(1+$W$2))/1048576,"")</f>
        <v/>
      </c>
    </row>
    <row r="778" spans="1:23" ht="15.75" customHeight="1" x14ac:dyDescent="0.25">
      <c r="A778" s="5" t="str">
        <f>IF(ISNONTEXT(deployment_raw[[#This Row],[Column1]]), "", deployment_raw[[#This Row],[Column1]])</f>
        <v/>
      </c>
      <c r="B778" s="6" t="str">
        <f>IF(ISNONTEXT(deployment_raw[[#This Row],[Column2]]), "", deployment_raw[[#This Row],[Column2]])</f>
        <v/>
      </c>
      <c r="C778" s="6" t="str">
        <f>IF(ISNONTEXT(deployment_raw[[#This Row],[Column3]]), "", deployment_raw[[#This Row],[Column3]])</f>
        <v/>
      </c>
      <c r="D778" s="6" t="str">
        <f>IF(ISNONTEXT(deployment_raw[[#This Row],[Column4]]), "", deployment_raw[[#This Row],[Column4]])</f>
        <v/>
      </c>
      <c r="E778" s="7" t="str">
        <f>IF(ISNUMBER(deployment_raw[[#This Row],[Column5]]), deployment_raw[[#This Row],[Column5]],"")</f>
        <v/>
      </c>
      <c r="F778" s="32" t="str">
        <f>IF(ISNUMBER(deployment_raw[[#This Row],[Column17]]), deployment_raw[[#This Row],[Column17]]/IF(OR($E$2="Deployment",deployment_raw[[#This Row],[Column5]]=0),1,deployment_raw[[#This Row],[Column5]]),"")</f>
        <v/>
      </c>
      <c r="G778" s="42" t="str">
        <f>IF(ISNUMBER(deployment_raw[[#This Row],[Column14]]), deployment_raw[[#This Row],[Column14]]/IF(OR($E$2="Deployment",deployment_raw[[#This Row],[Column5]]=0),1,deployment_raw[[#This Row],[Column5]]),"")</f>
        <v/>
      </c>
      <c r="H778" s="79" t="str">
        <f>IF(ISNUMBER(deployment_raw[[#This Row],[Column19]]), IF(I778&lt;&gt;0,(deployment_raw[[#This Row],[Column19]]/IF(OR($E$2="Deployment",deployment_raw[[#This Row],[Column5]]=0),1,deployment_raw[[#This Row],[Column5]]))/I778,0),"")</f>
        <v/>
      </c>
      <c r="I778" s="69" t="str">
        <f>IF(ISNUMBER(deployment_raw[[#This Row],[Column6]]), (deployment_raw[[#This Row],[Column6]] * IF($E$2="Deployment",deployment_raw[[#This Row],[Column5]],1)),"")</f>
        <v/>
      </c>
      <c r="J778" s="79" t="str">
        <f>IF(ISNUMBER(deployment_raw[[#This Row],[Column19]]), IF(K778&lt;&gt;0,(deployment_raw[[#This Row],[Column19]]/IF(OR($E$2="Deployment",deployment_raw[[#This Row],[Column5]]=0),1,deployment_raw[[#This Row],[Column5]]))/K778,0),"")</f>
        <v/>
      </c>
      <c r="K778" s="72" t="str">
        <f>IF(ISNUMBER(deployment_raw[[#This Row],[Column8]]), (deployment_raw[[#This Row],[Column8]]  * IF($E$2="Deployment",deployment_raw[[#This Row],[Column5]],1)),"")</f>
        <v/>
      </c>
      <c r="L77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7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78" s="81" t="str">
        <f>IF(ISNUMBER(deployment_raw[[#This Row],[Column20]]), IF(O778&lt;&gt;0,deployment_raw[[#This Row],[Column20]]/IF(OR($E$2="Deployment",deployment_raw[[#This Row],[Column5]]=0),1,deployment_raw[[#This Row],[Column5]])/1048576/O778,0),"")</f>
        <v/>
      </c>
      <c r="O778" s="74" t="str">
        <f>IF(ISNUMBER(deployment_raw[[#This Row],[Column7]]), (deployment_raw[[#This Row],[Column7]] * IF($E$2="Deployment",deployment_raw[[#This Row],[Column5]],1))/1048576,"")</f>
        <v/>
      </c>
      <c r="P778" s="81" t="str">
        <f>IF(ISNUMBER(deployment_raw[[#This Row],[Column20]]), IF(Q778&lt;&gt;0,deployment_raw[[#This Row],[Column20]]/IF(OR($E$2="Deployment",deployment_raw[[#This Row],[Column5]]=0),1,deployment_raw[[#This Row],[Column5]])/1048576/Q778,0),"")</f>
        <v/>
      </c>
      <c r="Q778" s="76" t="str">
        <f>IF(ISNUMBER(deployment_raw[[#This Row],[Column9]]), (deployment_raw[[#This Row],[Column9]] * IF($E$2="Deployment",deployment_raw[[#This Row],[Column5]],1))/1048576,"")</f>
        <v/>
      </c>
      <c r="R778" s="57" t="str">
        <f>IF(ISNUMBER(deployment_raw[[#This Row],[Column10]]), (deployment_raw[[#This Row],[Column10]] * IF($E$2="Deployment",deployment_raw[[#This Row],[Column5]],1)),"")</f>
        <v/>
      </c>
      <c r="S778" s="48" t="str">
        <f>IF(ISNUMBER(deployment_raw[[#This Row],[Column11]]), (deployment_raw[[#This Row],[Column11]] * IF($E$2="Deployment",deployment_raw[[#This Row],[Column5]],1))/1048576,"")</f>
        <v/>
      </c>
      <c r="T778" s="59" t="str">
        <f>IF(ISNUMBER(deployment_raw[[#This Row],[Column8]]),IF(OR(deployment_raw[[#This Row],[Column5]] &lt;&gt; 0,$E$2 &lt;&gt; "Deployment"), MAX(V778, ($T$2 * IF($E$2="Deployment",deployment_raw[[#This Row],[Column5]],1))), 0),"")</f>
        <v/>
      </c>
      <c r="U778" s="50" t="str">
        <f>IF(ISNUMBER(deployment_raw[[#This Row],[Column9]]),IF(OR(deployment_raw[[#This Row],[Column5]] &lt;&gt; 0,$E$2&lt;&gt;"Deployment"), MAX(W778, ($U$2 * IF($E$2="Deployment",deployment_raw[[#This Row],[Column5]],1))), 0),"")</f>
        <v/>
      </c>
      <c r="V778" s="15" t="str">
        <f>IF(ISNUMBER(deployment_raw[[#This Row],[Column12]]), (deployment_raw[[#This Row],[Column12]] * IF($E$2="Deployment",deployment_raw[[#This Row],[Column5]],1)*(1+$V$2)),"")</f>
        <v/>
      </c>
      <c r="W778" s="14" t="str">
        <f>IF(ISNUMBER(deployment_raw[[#This Row],[Column13]]), (deployment_raw[[#This Row],[Column13]] * IF($E$2="Deployment",deployment_raw[[#This Row],[Column5]],1)*(1+$W$2))/1048576,"")</f>
        <v/>
      </c>
    </row>
    <row r="779" spans="1:23" ht="15.75" customHeight="1" x14ac:dyDescent="0.25">
      <c r="A779" s="5" t="str">
        <f>IF(ISNONTEXT(deployment_raw[[#This Row],[Column1]]), "", deployment_raw[[#This Row],[Column1]])</f>
        <v/>
      </c>
      <c r="B779" s="6" t="str">
        <f>IF(ISNONTEXT(deployment_raw[[#This Row],[Column2]]), "", deployment_raw[[#This Row],[Column2]])</f>
        <v/>
      </c>
      <c r="C779" s="6" t="str">
        <f>IF(ISNONTEXT(deployment_raw[[#This Row],[Column3]]), "", deployment_raw[[#This Row],[Column3]])</f>
        <v/>
      </c>
      <c r="D779" s="6" t="str">
        <f>IF(ISNONTEXT(deployment_raw[[#This Row],[Column4]]), "", deployment_raw[[#This Row],[Column4]])</f>
        <v/>
      </c>
      <c r="E779" s="7" t="str">
        <f>IF(ISNUMBER(deployment_raw[[#This Row],[Column5]]), deployment_raw[[#This Row],[Column5]],"")</f>
        <v/>
      </c>
      <c r="F779" s="32" t="str">
        <f>IF(ISNUMBER(deployment_raw[[#This Row],[Column17]]), deployment_raw[[#This Row],[Column17]]/IF(OR($E$2="Deployment",deployment_raw[[#This Row],[Column5]]=0),1,deployment_raw[[#This Row],[Column5]]),"")</f>
        <v/>
      </c>
      <c r="G779" s="42" t="str">
        <f>IF(ISNUMBER(deployment_raw[[#This Row],[Column14]]), deployment_raw[[#This Row],[Column14]]/IF(OR($E$2="Deployment",deployment_raw[[#This Row],[Column5]]=0),1,deployment_raw[[#This Row],[Column5]]),"")</f>
        <v/>
      </c>
      <c r="H779" s="79" t="str">
        <f>IF(ISNUMBER(deployment_raw[[#This Row],[Column19]]), IF(I779&lt;&gt;0,(deployment_raw[[#This Row],[Column19]]/IF(OR($E$2="Deployment",deployment_raw[[#This Row],[Column5]]=0),1,deployment_raw[[#This Row],[Column5]]))/I779,0),"")</f>
        <v/>
      </c>
      <c r="I779" s="69" t="str">
        <f>IF(ISNUMBER(deployment_raw[[#This Row],[Column6]]), (deployment_raw[[#This Row],[Column6]] * IF($E$2="Deployment",deployment_raw[[#This Row],[Column5]],1)),"")</f>
        <v/>
      </c>
      <c r="J779" s="79" t="str">
        <f>IF(ISNUMBER(deployment_raw[[#This Row],[Column19]]), IF(K779&lt;&gt;0,(deployment_raw[[#This Row],[Column19]]/IF(OR($E$2="Deployment",deployment_raw[[#This Row],[Column5]]=0),1,deployment_raw[[#This Row],[Column5]]))/K779,0),"")</f>
        <v/>
      </c>
      <c r="K779" s="72" t="str">
        <f>IF(ISNUMBER(deployment_raw[[#This Row],[Column8]]), (deployment_raw[[#This Row],[Column8]]  * IF($E$2="Deployment",deployment_raw[[#This Row],[Column5]],1)),"")</f>
        <v/>
      </c>
      <c r="L77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7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79" s="81" t="str">
        <f>IF(ISNUMBER(deployment_raw[[#This Row],[Column20]]), IF(O779&lt;&gt;0,deployment_raw[[#This Row],[Column20]]/IF(OR($E$2="Deployment",deployment_raw[[#This Row],[Column5]]=0),1,deployment_raw[[#This Row],[Column5]])/1048576/O779,0),"")</f>
        <v/>
      </c>
      <c r="O779" s="74" t="str">
        <f>IF(ISNUMBER(deployment_raw[[#This Row],[Column7]]), (deployment_raw[[#This Row],[Column7]] * IF($E$2="Deployment",deployment_raw[[#This Row],[Column5]],1))/1048576,"")</f>
        <v/>
      </c>
      <c r="P779" s="81" t="str">
        <f>IF(ISNUMBER(deployment_raw[[#This Row],[Column20]]), IF(Q779&lt;&gt;0,deployment_raw[[#This Row],[Column20]]/IF(OR($E$2="Deployment",deployment_raw[[#This Row],[Column5]]=0),1,deployment_raw[[#This Row],[Column5]])/1048576/Q779,0),"")</f>
        <v/>
      </c>
      <c r="Q779" s="76" t="str">
        <f>IF(ISNUMBER(deployment_raw[[#This Row],[Column9]]), (deployment_raw[[#This Row],[Column9]] * IF($E$2="Deployment",deployment_raw[[#This Row],[Column5]],1))/1048576,"")</f>
        <v/>
      </c>
      <c r="R779" s="57" t="str">
        <f>IF(ISNUMBER(deployment_raw[[#This Row],[Column10]]), (deployment_raw[[#This Row],[Column10]] * IF($E$2="Deployment",deployment_raw[[#This Row],[Column5]],1)),"")</f>
        <v/>
      </c>
      <c r="S779" s="48" t="str">
        <f>IF(ISNUMBER(deployment_raw[[#This Row],[Column11]]), (deployment_raw[[#This Row],[Column11]] * IF($E$2="Deployment",deployment_raw[[#This Row],[Column5]],1))/1048576,"")</f>
        <v/>
      </c>
      <c r="T779" s="59" t="str">
        <f>IF(ISNUMBER(deployment_raw[[#This Row],[Column8]]),IF(OR(deployment_raw[[#This Row],[Column5]] &lt;&gt; 0,$E$2 &lt;&gt; "Deployment"), MAX(V779, ($T$2 * IF($E$2="Deployment",deployment_raw[[#This Row],[Column5]],1))), 0),"")</f>
        <v/>
      </c>
      <c r="U779" s="50" t="str">
        <f>IF(ISNUMBER(deployment_raw[[#This Row],[Column9]]),IF(OR(deployment_raw[[#This Row],[Column5]] &lt;&gt; 0,$E$2&lt;&gt;"Deployment"), MAX(W779, ($U$2 * IF($E$2="Deployment",deployment_raw[[#This Row],[Column5]],1))), 0),"")</f>
        <v/>
      </c>
      <c r="V779" s="15" t="str">
        <f>IF(ISNUMBER(deployment_raw[[#This Row],[Column12]]), (deployment_raw[[#This Row],[Column12]] * IF($E$2="Deployment",deployment_raw[[#This Row],[Column5]],1)*(1+$V$2)),"")</f>
        <v/>
      </c>
      <c r="W779" s="14" t="str">
        <f>IF(ISNUMBER(deployment_raw[[#This Row],[Column13]]), (deployment_raw[[#This Row],[Column13]] * IF($E$2="Deployment",deployment_raw[[#This Row],[Column5]],1)*(1+$W$2))/1048576,"")</f>
        <v/>
      </c>
    </row>
    <row r="780" spans="1:23" ht="15.75" customHeight="1" x14ac:dyDescent="0.25">
      <c r="A780" s="5" t="str">
        <f>IF(ISNONTEXT(deployment_raw[[#This Row],[Column1]]), "", deployment_raw[[#This Row],[Column1]])</f>
        <v/>
      </c>
      <c r="B780" s="6" t="str">
        <f>IF(ISNONTEXT(deployment_raw[[#This Row],[Column2]]), "", deployment_raw[[#This Row],[Column2]])</f>
        <v/>
      </c>
      <c r="C780" s="6" t="str">
        <f>IF(ISNONTEXT(deployment_raw[[#This Row],[Column3]]), "", deployment_raw[[#This Row],[Column3]])</f>
        <v/>
      </c>
      <c r="D780" s="6" t="str">
        <f>IF(ISNONTEXT(deployment_raw[[#This Row],[Column4]]), "", deployment_raw[[#This Row],[Column4]])</f>
        <v/>
      </c>
      <c r="E780" s="7" t="str">
        <f>IF(ISNUMBER(deployment_raw[[#This Row],[Column5]]), deployment_raw[[#This Row],[Column5]],"")</f>
        <v/>
      </c>
      <c r="F780" s="32" t="str">
        <f>IF(ISNUMBER(deployment_raw[[#This Row],[Column17]]), deployment_raw[[#This Row],[Column17]]/IF(OR($E$2="Deployment",deployment_raw[[#This Row],[Column5]]=0),1,deployment_raw[[#This Row],[Column5]]),"")</f>
        <v/>
      </c>
      <c r="G780" s="42" t="str">
        <f>IF(ISNUMBER(deployment_raw[[#This Row],[Column14]]), deployment_raw[[#This Row],[Column14]]/IF(OR($E$2="Deployment",deployment_raw[[#This Row],[Column5]]=0),1,deployment_raw[[#This Row],[Column5]]),"")</f>
        <v/>
      </c>
      <c r="H780" s="79" t="str">
        <f>IF(ISNUMBER(deployment_raw[[#This Row],[Column19]]), IF(I780&lt;&gt;0,(deployment_raw[[#This Row],[Column19]]/IF(OR($E$2="Deployment",deployment_raw[[#This Row],[Column5]]=0),1,deployment_raw[[#This Row],[Column5]]))/I780,0),"")</f>
        <v/>
      </c>
      <c r="I780" s="69" t="str">
        <f>IF(ISNUMBER(deployment_raw[[#This Row],[Column6]]), (deployment_raw[[#This Row],[Column6]] * IF($E$2="Deployment",deployment_raw[[#This Row],[Column5]],1)),"")</f>
        <v/>
      </c>
      <c r="J780" s="79" t="str">
        <f>IF(ISNUMBER(deployment_raw[[#This Row],[Column19]]), IF(K780&lt;&gt;0,(deployment_raw[[#This Row],[Column19]]/IF(OR($E$2="Deployment",deployment_raw[[#This Row],[Column5]]=0),1,deployment_raw[[#This Row],[Column5]]))/K780,0),"")</f>
        <v/>
      </c>
      <c r="K780" s="72" t="str">
        <f>IF(ISNUMBER(deployment_raw[[#This Row],[Column8]]), (deployment_raw[[#This Row],[Column8]]  * IF($E$2="Deployment",deployment_raw[[#This Row],[Column5]],1)),"")</f>
        <v/>
      </c>
      <c r="L78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8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80" s="81" t="str">
        <f>IF(ISNUMBER(deployment_raw[[#This Row],[Column20]]), IF(O780&lt;&gt;0,deployment_raw[[#This Row],[Column20]]/IF(OR($E$2="Deployment",deployment_raw[[#This Row],[Column5]]=0),1,deployment_raw[[#This Row],[Column5]])/1048576/O780,0),"")</f>
        <v/>
      </c>
      <c r="O780" s="74" t="str">
        <f>IF(ISNUMBER(deployment_raw[[#This Row],[Column7]]), (deployment_raw[[#This Row],[Column7]] * IF($E$2="Deployment",deployment_raw[[#This Row],[Column5]],1))/1048576,"")</f>
        <v/>
      </c>
      <c r="P780" s="81" t="str">
        <f>IF(ISNUMBER(deployment_raw[[#This Row],[Column20]]), IF(Q780&lt;&gt;0,deployment_raw[[#This Row],[Column20]]/IF(OR($E$2="Deployment",deployment_raw[[#This Row],[Column5]]=0),1,deployment_raw[[#This Row],[Column5]])/1048576/Q780,0),"")</f>
        <v/>
      </c>
      <c r="Q780" s="76" t="str">
        <f>IF(ISNUMBER(deployment_raw[[#This Row],[Column9]]), (deployment_raw[[#This Row],[Column9]] * IF($E$2="Deployment",deployment_raw[[#This Row],[Column5]],1))/1048576,"")</f>
        <v/>
      </c>
      <c r="R780" s="57" t="str">
        <f>IF(ISNUMBER(deployment_raw[[#This Row],[Column10]]), (deployment_raw[[#This Row],[Column10]] * IF($E$2="Deployment",deployment_raw[[#This Row],[Column5]],1)),"")</f>
        <v/>
      </c>
      <c r="S780" s="48" t="str">
        <f>IF(ISNUMBER(deployment_raw[[#This Row],[Column11]]), (deployment_raw[[#This Row],[Column11]] * IF($E$2="Deployment",deployment_raw[[#This Row],[Column5]],1))/1048576,"")</f>
        <v/>
      </c>
      <c r="T780" s="59" t="str">
        <f>IF(ISNUMBER(deployment_raw[[#This Row],[Column8]]),IF(OR(deployment_raw[[#This Row],[Column5]] &lt;&gt; 0,$E$2 &lt;&gt; "Deployment"), MAX(V780, ($T$2 * IF($E$2="Deployment",deployment_raw[[#This Row],[Column5]],1))), 0),"")</f>
        <v/>
      </c>
      <c r="U780" s="50" t="str">
        <f>IF(ISNUMBER(deployment_raw[[#This Row],[Column9]]),IF(OR(deployment_raw[[#This Row],[Column5]] &lt;&gt; 0,$E$2&lt;&gt;"Deployment"), MAX(W780, ($U$2 * IF($E$2="Deployment",deployment_raw[[#This Row],[Column5]],1))), 0),"")</f>
        <v/>
      </c>
      <c r="V780" s="15" t="str">
        <f>IF(ISNUMBER(deployment_raw[[#This Row],[Column12]]), (deployment_raw[[#This Row],[Column12]] * IF($E$2="Deployment",deployment_raw[[#This Row],[Column5]],1)*(1+$V$2)),"")</f>
        <v/>
      </c>
      <c r="W780" s="14" t="str">
        <f>IF(ISNUMBER(deployment_raw[[#This Row],[Column13]]), (deployment_raw[[#This Row],[Column13]] * IF($E$2="Deployment",deployment_raw[[#This Row],[Column5]],1)*(1+$W$2))/1048576,"")</f>
        <v/>
      </c>
    </row>
    <row r="781" spans="1:23" ht="15.75" customHeight="1" x14ac:dyDescent="0.25">
      <c r="A781" s="5" t="str">
        <f>IF(ISNONTEXT(deployment_raw[[#This Row],[Column1]]), "", deployment_raw[[#This Row],[Column1]])</f>
        <v/>
      </c>
      <c r="B781" s="6" t="str">
        <f>IF(ISNONTEXT(deployment_raw[[#This Row],[Column2]]), "", deployment_raw[[#This Row],[Column2]])</f>
        <v/>
      </c>
      <c r="C781" s="6" t="str">
        <f>IF(ISNONTEXT(deployment_raw[[#This Row],[Column3]]), "", deployment_raw[[#This Row],[Column3]])</f>
        <v/>
      </c>
      <c r="D781" s="6" t="str">
        <f>IF(ISNONTEXT(deployment_raw[[#This Row],[Column4]]), "", deployment_raw[[#This Row],[Column4]])</f>
        <v/>
      </c>
      <c r="E781" s="7" t="str">
        <f>IF(ISNUMBER(deployment_raw[[#This Row],[Column5]]), deployment_raw[[#This Row],[Column5]],"")</f>
        <v/>
      </c>
      <c r="F781" s="32" t="str">
        <f>IF(ISNUMBER(deployment_raw[[#This Row],[Column17]]), deployment_raw[[#This Row],[Column17]]/IF(OR($E$2="Deployment",deployment_raw[[#This Row],[Column5]]=0),1,deployment_raw[[#This Row],[Column5]]),"")</f>
        <v/>
      </c>
      <c r="G781" s="42" t="str">
        <f>IF(ISNUMBER(deployment_raw[[#This Row],[Column14]]), deployment_raw[[#This Row],[Column14]]/IF(OR($E$2="Deployment",deployment_raw[[#This Row],[Column5]]=0),1,deployment_raw[[#This Row],[Column5]]),"")</f>
        <v/>
      </c>
      <c r="H781" s="79" t="str">
        <f>IF(ISNUMBER(deployment_raw[[#This Row],[Column19]]), IF(I781&lt;&gt;0,(deployment_raw[[#This Row],[Column19]]/IF(OR($E$2="Deployment",deployment_raw[[#This Row],[Column5]]=0),1,deployment_raw[[#This Row],[Column5]]))/I781,0),"")</f>
        <v/>
      </c>
      <c r="I781" s="69" t="str">
        <f>IF(ISNUMBER(deployment_raw[[#This Row],[Column6]]), (deployment_raw[[#This Row],[Column6]] * IF($E$2="Deployment",deployment_raw[[#This Row],[Column5]],1)),"")</f>
        <v/>
      </c>
      <c r="J781" s="79" t="str">
        <f>IF(ISNUMBER(deployment_raw[[#This Row],[Column19]]), IF(K781&lt;&gt;0,(deployment_raw[[#This Row],[Column19]]/IF(OR($E$2="Deployment",deployment_raw[[#This Row],[Column5]]=0),1,deployment_raw[[#This Row],[Column5]]))/K781,0),"")</f>
        <v/>
      </c>
      <c r="K781" s="72" t="str">
        <f>IF(ISNUMBER(deployment_raw[[#This Row],[Column8]]), (deployment_raw[[#This Row],[Column8]]  * IF($E$2="Deployment",deployment_raw[[#This Row],[Column5]],1)),"")</f>
        <v/>
      </c>
      <c r="L78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8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81" s="81" t="str">
        <f>IF(ISNUMBER(deployment_raw[[#This Row],[Column20]]), IF(O781&lt;&gt;0,deployment_raw[[#This Row],[Column20]]/IF(OR($E$2="Deployment",deployment_raw[[#This Row],[Column5]]=0),1,deployment_raw[[#This Row],[Column5]])/1048576/O781,0),"")</f>
        <v/>
      </c>
      <c r="O781" s="74" t="str">
        <f>IF(ISNUMBER(deployment_raw[[#This Row],[Column7]]), (deployment_raw[[#This Row],[Column7]] * IF($E$2="Deployment",deployment_raw[[#This Row],[Column5]],1))/1048576,"")</f>
        <v/>
      </c>
      <c r="P781" s="81" t="str">
        <f>IF(ISNUMBER(deployment_raw[[#This Row],[Column20]]), IF(Q781&lt;&gt;0,deployment_raw[[#This Row],[Column20]]/IF(OR($E$2="Deployment",deployment_raw[[#This Row],[Column5]]=0),1,deployment_raw[[#This Row],[Column5]])/1048576/Q781,0),"")</f>
        <v/>
      </c>
      <c r="Q781" s="76" t="str">
        <f>IF(ISNUMBER(deployment_raw[[#This Row],[Column9]]), (deployment_raw[[#This Row],[Column9]] * IF($E$2="Deployment",deployment_raw[[#This Row],[Column5]],1))/1048576,"")</f>
        <v/>
      </c>
      <c r="R781" s="57" t="str">
        <f>IF(ISNUMBER(deployment_raw[[#This Row],[Column10]]), (deployment_raw[[#This Row],[Column10]] * IF($E$2="Deployment",deployment_raw[[#This Row],[Column5]],1)),"")</f>
        <v/>
      </c>
      <c r="S781" s="48" t="str">
        <f>IF(ISNUMBER(deployment_raw[[#This Row],[Column11]]), (deployment_raw[[#This Row],[Column11]] * IF($E$2="Deployment",deployment_raw[[#This Row],[Column5]],1))/1048576,"")</f>
        <v/>
      </c>
      <c r="T781" s="59" t="str">
        <f>IF(ISNUMBER(deployment_raw[[#This Row],[Column8]]),IF(OR(deployment_raw[[#This Row],[Column5]] &lt;&gt; 0,$E$2 &lt;&gt; "Deployment"), MAX(V781, ($T$2 * IF($E$2="Deployment",deployment_raw[[#This Row],[Column5]],1))), 0),"")</f>
        <v/>
      </c>
      <c r="U781" s="50" t="str">
        <f>IF(ISNUMBER(deployment_raw[[#This Row],[Column9]]),IF(OR(deployment_raw[[#This Row],[Column5]] &lt;&gt; 0,$E$2&lt;&gt;"Deployment"), MAX(W781, ($U$2 * IF($E$2="Deployment",deployment_raw[[#This Row],[Column5]],1))), 0),"")</f>
        <v/>
      </c>
      <c r="V781" s="15" t="str">
        <f>IF(ISNUMBER(deployment_raw[[#This Row],[Column12]]), (deployment_raw[[#This Row],[Column12]] * IF($E$2="Deployment",deployment_raw[[#This Row],[Column5]],1)*(1+$V$2)),"")</f>
        <v/>
      </c>
      <c r="W781" s="14" t="str">
        <f>IF(ISNUMBER(deployment_raw[[#This Row],[Column13]]), (deployment_raw[[#This Row],[Column13]] * IF($E$2="Deployment",deployment_raw[[#This Row],[Column5]],1)*(1+$W$2))/1048576,"")</f>
        <v/>
      </c>
    </row>
    <row r="782" spans="1:23" ht="15.75" customHeight="1" x14ac:dyDescent="0.25">
      <c r="A782" s="5" t="str">
        <f>IF(ISNONTEXT(deployment_raw[[#This Row],[Column1]]), "", deployment_raw[[#This Row],[Column1]])</f>
        <v/>
      </c>
      <c r="B782" s="6" t="str">
        <f>IF(ISNONTEXT(deployment_raw[[#This Row],[Column2]]), "", deployment_raw[[#This Row],[Column2]])</f>
        <v/>
      </c>
      <c r="C782" s="6" t="str">
        <f>IF(ISNONTEXT(deployment_raw[[#This Row],[Column3]]), "", deployment_raw[[#This Row],[Column3]])</f>
        <v/>
      </c>
      <c r="D782" s="6" t="str">
        <f>IF(ISNONTEXT(deployment_raw[[#This Row],[Column4]]), "", deployment_raw[[#This Row],[Column4]])</f>
        <v/>
      </c>
      <c r="E782" s="7" t="str">
        <f>IF(ISNUMBER(deployment_raw[[#This Row],[Column5]]), deployment_raw[[#This Row],[Column5]],"")</f>
        <v/>
      </c>
      <c r="F782" s="32" t="str">
        <f>IF(ISNUMBER(deployment_raw[[#This Row],[Column17]]), deployment_raw[[#This Row],[Column17]]/IF(OR($E$2="Deployment",deployment_raw[[#This Row],[Column5]]=0),1,deployment_raw[[#This Row],[Column5]]),"")</f>
        <v/>
      </c>
      <c r="G782" s="42" t="str">
        <f>IF(ISNUMBER(deployment_raw[[#This Row],[Column14]]), deployment_raw[[#This Row],[Column14]]/IF(OR($E$2="Deployment",deployment_raw[[#This Row],[Column5]]=0),1,deployment_raw[[#This Row],[Column5]]),"")</f>
        <v/>
      </c>
      <c r="H782" s="79" t="str">
        <f>IF(ISNUMBER(deployment_raw[[#This Row],[Column19]]), IF(I782&lt;&gt;0,(deployment_raw[[#This Row],[Column19]]/IF(OR($E$2="Deployment",deployment_raw[[#This Row],[Column5]]=0),1,deployment_raw[[#This Row],[Column5]]))/I782,0),"")</f>
        <v/>
      </c>
      <c r="I782" s="69" t="str">
        <f>IF(ISNUMBER(deployment_raw[[#This Row],[Column6]]), (deployment_raw[[#This Row],[Column6]] * IF($E$2="Deployment",deployment_raw[[#This Row],[Column5]],1)),"")</f>
        <v/>
      </c>
      <c r="J782" s="79" t="str">
        <f>IF(ISNUMBER(deployment_raw[[#This Row],[Column19]]), IF(K782&lt;&gt;0,(deployment_raw[[#This Row],[Column19]]/IF(OR($E$2="Deployment",deployment_raw[[#This Row],[Column5]]=0),1,deployment_raw[[#This Row],[Column5]]))/K782,0),"")</f>
        <v/>
      </c>
      <c r="K782" s="72" t="str">
        <f>IF(ISNUMBER(deployment_raw[[#This Row],[Column8]]), (deployment_raw[[#This Row],[Column8]]  * IF($E$2="Deployment",deployment_raw[[#This Row],[Column5]],1)),"")</f>
        <v/>
      </c>
      <c r="L78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8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82" s="81" t="str">
        <f>IF(ISNUMBER(deployment_raw[[#This Row],[Column20]]), IF(O782&lt;&gt;0,deployment_raw[[#This Row],[Column20]]/IF(OR($E$2="Deployment",deployment_raw[[#This Row],[Column5]]=0),1,deployment_raw[[#This Row],[Column5]])/1048576/O782,0),"")</f>
        <v/>
      </c>
      <c r="O782" s="74" t="str">
        <f>IF(ISNUMBER(deployment_raw[[#This Row],[Column7]]), (deployment_raw[[#This Row],[Column7]] * IF($E$2="Deployment",deployment_raw[[#This Row],[Column5]],1))/1048576,"")</f>
        <v/>
      </c>
      <c r="P782" s="81" t="str">
        <f>IF(ISNUMBER(deployment_raw[[#This Row],[Column20]]), IF(Q782&lt;&gt;0,deployment_raw[[#This Row],[Column20]]/IF(OR($E$2="Deployment",deployment_raw[[#This Row],[Column5]]=0),1,deployment_raw[[#This Row],[Column5]])/1048576/Q782,0),"")</f>
        <v/>
      </c>
      <c r="Q782" s="76" t="str">
        <f>IF(ISNUMBER(deployment_raw[[#This Row],[Column9]]), (deployment_raw[[#This Row],[Column9]] * IF($E$2="Deployment",deployment_raw[[#This Row],[Column5]],1))/1048576,"")</f>
        <v/>
      </c>
      <c r="R782" s="57" t="str">
        <f>IF(ISNUMBER(deployment_raw[[#This Row],[Column10]]), (deployment_raw[[#This Row],[Column10]] * IF($E$2="Deployment",deployment_raw[[#This Row],[Column5]],1)),"")</f>
        <v/>
      </c>
      <c r="S782" s="48" t="str">
        <f>IF(ISNUMBER(deployment_raw[[#This Row],[Column11]]), (deployment_raw[[#This Row],[Column11]] * IF($E$2="Deployment",deployment_raw[[#This Row],[Column5]],1))/1048576,"")</f>
        <v/>
      </c>
      <c r="T782" s="59" t="str">
        <f>IF(ISNUMBER(deployment_raw[[#This Row],[Column8]]),IF(OR(deployment_raw[[#This Row],[Column5]] &lt;&gt; 0,$E$2 &lt;&gt; "Deployment"), MAX(V782, ($T$2 * IF($E$2="Deployment",deployment_raw[[#This Row],[Column5]],1))), 0),"")</f>
        <v/>
      </c>
      <c r="U782" s="50" t="str">
        <f>IF(ISNUMBER(deployment_raw[[#This Row],[Column9]]),IF(OR(deployment_raw[[#This Row],[Column5]] &lt;&gt; 0,$E$2&lt;&gt;"Deployment"), MAX(W782, ($U$2 * IF($E$2="Deployment",deployment_raw[[#This Row],[Column5]],1))), 0),"")</f>
        <v/>
      </c>
      <c r="V782" s="15" t="str">
        <f>IF(ISNUMBER(deployment_raw[[#This Row],[Column12]]), (deployment_raw[[#This Row],[Column12]] * IF($E$2="Deployment",deployment_raw[[#This Row],[Column5]],1)*(1+$V$2)),"")</f>
        <v/>
      </c>
      <c r="W782" s="14" t="str">
        <f>IF(ISNUMBER(deployment_raw[[#This Row],[Column13]]), (deployment_raw[[#This Row],[Column13]] * IF($E$2="Deployment",deployment_raw[[#This Row],[Column5]],1)*(1+$W$2))/1048576,"")</f>
        <v/>
      </c>
    </row>
    <row r="783" spans="1:23" ht="15.75" customHeight="1" x14ac:dyDescent="0.25">
      <c r="A783" s="5" t="str">
        <f>IF(ISNONTEXT(deployment_raw[[#This Row],[Column1]]), "", deployment_raw[[#This Row],[Column1]])</f>
        <v/>
      </c>
      <c r="B783" s="6" t="str">
        <f>IF(ISNONTEXT(deployment_raw[[#This Row],[Column2]]), "", deployment_raw[[#This Row],[Column2]])</f>
        <v/>
      </c>
      <c r="C783" s="6" t="str">
        <f>IF(ISNONTEXT(deployment_raw[[#This Row],[Column3]]), "", deployment_raw[[#This Row],[Column3]])</f>
        <v/>
      </c>
      <c r="D783" s="6" t="str">
        <f>IF(ISNONTEXT(deployment_raw[[#This Row],[Column4]]), "", deployment_raw[[#This Row],[Column4]])</f>
        <v/>
      </c>
      <c r="E783" s="7" t="str">
        <f>IF(ISNUMBER(deployment_raw[[#This Row],[Column5]]), deployment_raw[[#This Row],[Column5]],"")</f>
        <v/>
      </c>
      <c r="F783" s="32" t="str">
        <f>IF(ISNUMBER(deployment_raw[[#This Row],[Column17]]), deployment_raw[[#This Row],[Column17]]/IF(OR($E$2="Deployment",deployment_raw[[#This Row],[Column5]]=0),1,deployment_raw[[#This Row],[Column5]]),"")</f>
        <v/>
      </c>
      <c r="G783" s="42" t="str">
        <f>IF(ISNUMBER(deployment_raw[[#This Row],[Column14]]), deployment_raw[[#This Row],[Column14]]/IF(OR($E$2="Deployment",deployment_raw[[#This Row],[Column5]]=0),1,deployment_raw[[#This Row],[Column5]]),"")</f>
        <v/>
      </c>
      <c r="H783" s="79" t="str">
        <f>IF(ISNUMBER(deployment_raw[[#This Row],[Column19]]), IF(I783&lt;&gt;0,(deployment_raw[[#This Row],[Column19]]/IF(OR($E$2="Deployment",deployment_raw[[#This Row],[Column5]]=0),1,deployment_raw[[#This Row],[Column5]]))/I783,0),"")</f>
        <v/>
      </c>
      <c r="I783" s="69" t="str">
        <f>IF(ISNUMBER(deployment_raw[[#This Row],[Column6]]), (deployment_raw[[#This Row],[Column6]] * IF($E$2="Deployment",deployment_raw[[#This Row],[Column5]],1)),"")</f>
        <v/>
      </c>
      <c r="J783" s="79" t="str">
        <f>IF(ISNUMBER(deployment_raw[[#This Row],[Column19]]), IF(K783&lt;&gt;0,(deployment_raw[[#This Row],[Column19]]/IF(OR($E$2="Deployment",deployment_raw[[#This Row],[Column5]]=0),1,deployment_raw[[#This Row],[Column5]]))/K783,0),"")</f>
        <v/>
      </c>
      <c r="K783" s="72" t="str">
        <f>IF(ISNUMBER(deployment_raw[[#This Row],[Column8]]), (deployment_raw[[#This Row],[Column8]]  * IF($E$2="Deployment",deployment_raw[[#This Row],[Column5]],1)),"")</f>
        <v/>
      </c>
      <c r="L78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8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83" s="81" t="str">
        <f>IF(ISNUMBER(deployment_raw[[#This Row],[Column20]]), IF(O783&lt;&gt;0,deployment_raw[[#This Row],[Column20]]/IF(OR($E$2="Deployment",deployment_raw[[#This Row],[Column5]]=0),1,deployment_raw[[#This Row],[Column5]])/1048576/O783,0),"")</f>
        <v/>
      </c>
      <c r="O783" s="74" t="str">
        <f>IF(ISNUMBER(deployment_raw[[#This Row],[Column7]]), (deployment_raw[[#This Row],[Column7]] * IF($E$2="Deployment",deployment_raw[[#This Row],[Column5]],1))/1048576,"")</f>
        <v/>
      </c>
      <c r="P783" s="81" t="str">
        <f>IF(ISNUMBER(deployment_raw[[#This Row],[Column20]]), IF(Q783&lt;&gt;0,deployment_raw[[#This Row],[Column20]]/IF(OR($E$2="Deployment",deployment_raw[[#This Row],[Column5]]=0),1,deployment_raw[[#This Row],[Column5]])/1048576/Q783,0),"")</f>
        <v/>
      </c>
      <c r="Q783" s="76" t="str">
        <f>IF(ISNUMBER(deployment_raw[[#This Row],[Column9]]), (deployment_raw[[#This Row],[Column9]] * IF($E$2="Deployment",deployment_raw[[#This Row],[Column5]],1))/1048576,"")</f>
        <v/>
      </c>
      <c r="R783" s="57" t="str">
        <f>IF(ISNUMBER(deployment_raw[[#This Row],[Column10]]), (deployment_raw[[#This Row],[Column10]] * IF($E$2="Deployment",deployment_raw[[#This Row],[Column5]],1)),"")</f>
        <v/>
      </c>
      <c r="S783" s="48" t="str">
        <f>IF(ISNUMBER(deployment_raw[[#This Row],[Column11]]), (deployment_raw[[#This Row],[Column11]] * IF($E$2="Deployment",deployment_raw[[#This Row],[Column5]],1))/1048576,"")</f>
        <v/>
      </c>
      <c r="T783" s="59" t="str">
        <f>IF(ISNUMBER(deployment_raw[[#This Row],[Column8]]),IF(OR(deployment_raw[[#This Row],[Column5]] &lt;&gt; 0,$E$2 &lt;&gt; "Deployment"), MAX(V783, ($T$2 * IF($E$2="Deployment",deployment_raw[[#This Row],[Column5]],1))), 0),"")</f>
        <v/>
      </c>
      <c r="U783" s="50" t="str">
        <f>IF(ISNUMBER(deployment_raw[[#This Row],[Column9]]),IF(OR(deployment_raw[[#This Row],[Column5]] &lt;&gt; 0,$E$2&lt;&gt;"Deployment"), MAX(W783, ($U$2 * IF($E$2="Deployment",deployment_raw[[#This Row],[Column5]],1))), 0),"")</f>
        <v/>
      </c>
      <c r="V783" s="15" t="str">
        <f>IF(ISNUMBER(deployment_raw[[#This Row],[Column12]]), (deployment_raw[[#This Row],[Column12]] * IF($E$2="Deployment",deployment_raw[[#This Row],[Column5]],1)*(1+$V$2)),"")</f>
        <v/>
      </c>
      <c r="W783" s="14" t="str">
        <f>IF(ISNUMBER(deployment_raw[[#This Row],[Column13]]), (deployment_raw[[#This Row],[Column13]] * IF($E$2="Deployment",deployment_raw[[#This Row],[Column5]],1)*(1+$W$2))/1048576,"")</f>
        <v/>
      </c>
    </row>
    <row r="784" spans="1:23" ht="15.75" customHeight="1" x14ac:dyDescent="0.25">
      <c r="A784" s="5" t="str">
        <f>IF(ISNONTEXT(deployment_raw[[#This Row],[Column1]]), "", deployment_raw[[#This Row],[Column1]])</f>
        <v/>
      </c>
      <c r="B784" s="6" t="str">
        <f>IF(ISNONTEXT(deployment_raw[[#This Row],[Column2]]), "", deployment_raw[[#This Row],[Column2]])</f>
        <v/>
      </c>
      <c r="C784" s="6" t="str">
        <f>IF(ISNONTEXT(deployment_raw[[#This Row],[Column3]]), "", deployment_raw[[#This Row],[Column3]])</f>
        <v/>
      </c>
      <c r="D784" s="6" t="str">
        <f>IF(ISNONTEXT(deployment_raw[[#This Row],[Column4]]), "", deployment_raw[[#This Row],[Column4]])</f>
        <v/>
      </c>
      <c r="E784" s="7" t="str">
        <f>IF(ISNUMBER(deployment_raw[[#This Row],[Column5]]), deployment_raw[[#This Row],[Column5]],"")</f>
        <v/>
      </c>
      <c r="F784" s="32" t="str">
        <f>IF(ISNUMBER(deployment_raw[[#This Row],[Column17]]), deployment_raw[[#This Row],[Column17]]/IF(OR($E$2="Deployment",deployment_raw[[#This Row],[Column5]]=0),1,deployment_raw[[#This Row],[Column5]]),"")</f>
        <v/>
      </c>
      <c r="G784" s="42" t="str">
        <f>IF(ISNUMBER(deployment_raw[[#This Row],[Column14]]), deployment_raw[[#This Row],[Column14]]/IF(OR($E$2="Deployment",deployment_raw[[#This Row],[Column5]]=0),1,deployment_raw[[#This Row],[Column5]]),"")</f>
        <v/>
      </c>
      <c r="H784" s="79" t="str">
        <f>IF(ISNUMBER(deployment_raw[[#This Row],[Column19]]), IF(I784&lt;&gt;0,(deployment_raw[[#This Row],[Column19]]/IF(OR($E$2="Deployment",deployment_raw[[#This Row],[Column5]]=0),1,deployment_raw[[#This Row],[Column5]]))/I784,0),"")</f>
        <v/>
      </c>
      <c r="I784" s="69" t="str">
        <f>IF(ISNUMBER(deployment_raw[[#This Row],[Column6]]), (deployment_raw[[#This Row],[Column6]] * IF($E$2="Deployment",deployment_raw[[#This Row],[Column5]],1)),"")</f>
        <v/>
      </c>
      <c r="J784" s="79" t="str">
        <f>IF(ISNUMBER(deployment_raw[[#This Row],[Column19]]), IF(K784&lt;&gt;0,(deployment_raw[[#This Row],[Column19]]/IF(OR($E$2="Deployment",deployment_raw[[#This Row],[Column5]]=0),1,deployment_raw[[#This Row],[Column5]]))/K784,0),"")</f>
        <v/>
      </c>
      <c r="K784" s="72" t="str">
        <f>IF(ISNUMBER(deployment_raw[[#This Row],[Column8]]), (deployment_raw[[#This Row],[Column8]]  * IF($E$2="Deployment",deployment_raw[[#This Row],[Column5]],1)),"")</f>
        <v/>
      </c>
      <c r="L78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8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84" s="81" t="str">
        <f>IF(ISNUMBER(deployment_raw[[#This Row],[Column20]]), IF(O784&lt;&gt;0,deployment_raw[[#This Row],[Column20]]/IF(OR($E$2="Deployment",deployment_raw[[#This Row],[Column5]]=0),1,deployment_raw[[#This Row],[Column5]])/1048576/O784,0),"")</f>
        <v/>
      </c>
      <c r="O784" s="74" t="str">
        <f>IF(ISNUMBER(deployment_raw[[#This Row],[Column7]]), (deployment_raw[[#This Row],[Column7]] * IF($E$2="Deployment",deployment_raw[[#This Row],[Column5]],1))/1048576,"")</f>
        <v/>
      </c>
      <c r="P784" s="81" t="str">
        <f>IF(ISNUMBER(deployment_raw[[#This Row],[Column20]]), IF(Q784&lt;&gt;0,deployment_raw[[#This Row],[Column20]]/IF(OR($E$2="Deployment",deployment_raw[[#This Row],[Column5]]=0),1,deployment_raw[[#This Row],[Column5]])/1048576/Q784,0),"")</f>
        <v/>
      </c>
      <c r="Q784" s="76" t="str">
        <f>IF(ISNUMBER(deployment_raw[[#This Row],[Column9]]), (deployment_raw[[#This Row],[Column9]] * IF($E$2="Deployment",deployment_raw[[#This Row],[Column5]],1))/1048576,"")</f>
        <v/>
      </c>
      <c r="R784" s="57" t="str">
        <f>IF(ISNUMBER(deployment_raw[[#This Row],[Column10]]), (deployment_raw[[#This Row],[Column10]] * IF($E$2="Deployment",deployment_raw[[#This Row],[Column5]],1)),"")</f>
        <v/>
      </c>
      <c r="S784" s="48" t="str">
        <f>IF(ISNUMBER(deployment_raw[[#This Row],[Column11]]), (deployment_raw[[#This Row],[Column11]] * IF($E$2="Deployment",deployment_raw[[#This Row],[Column5]],1))/1048576,"")</f>
        <v/>
      </c>
      <c r="T784" s="59" t="str">
        <f>IF(ISNUMBER(deployment_raw[[#This Row],[Column8]]),IF(OR(deployment_raw[[#This Row],[Column5]] &lt;&gt; 0,$E$2 &lt;&gt; "Deployment"), MAX(V784, ($T$2 * IF($E$2="Deployment",deployment_raw[[#This Row],[Column5]],1))), 0),"")</f>
        <v/>
      </c>
      <c r="U784" s="50" t="str">
        <f>IF(ISNUMBER(deployment_raw[[#This Row],[Column9]]),IF(OR(deployment_raw[[#This Row],[Column5]] &lt;&gt; 0,$E$2&lt;&gt;"Deployment"), MAX(W784, ($U$2 * IF($E$2="Deployment",deployment_raw[[#This Row],[Column5]],1))), 0),"")</f>
        <v/>
      </c>
      <c r="V784" s="15" t="str">
        <f>IF(ISNUMBER(deployment_raw[[#This Row],[Column12]]), (deployment_raw[[#This Row],[Column12]] * IF($E$2="Deployment",deployment_raw[[#This Row],[Column5]],1)*(1+$V$2)),"")</f>
        <v/>
      </c>
      <c r="W784" s="14" t="str">
        <f>IF(ISNUMBER(deployment_raw[[#This Row],[Column13]]), (deployment_raw[[#This Row],[Column13]] * IF($E$2="Deployment",deployment_raw[[#This Row],[Column5]],1)*(1+$W$2))/1048576,"")</f>
        <v/>
      </c>
    </row>
    <row r="785" spans="1:23" ht="15.75" customHeight="1" x14ac:dyDescent="0.25">
      <c r="A785" s="5" t="str">
        <f>IF(ISNONTEXT(deployment_raw[[#This Row],[Column1]]), "", deployment_raw[[#This Row],[Column1]])</f>
        <v/>
      </c>
      <c r="B785" s="6" t="str">
        <f>IF(ISNONTEXT(deployment_raw[[#This Row],[Column2]]), "", deployment_raw[[#This Row],[Column2]])</f>
        <v/>
      </c>
      <c r="C785" s="6" t="str">
        <f>IF(ISNONTEXT(deployment_raw[[#This Row],[Column3]]), "", deployment_raw[[#This Row],[Column3]])</f>
        <v/>
      </c>
      <c r="D785" s="6" t="str">
        <f>IF(ISNONTEXT(deployment_raw[[#This Row],[Column4]]), "", deployment_raw[[#This Row],[Column4]])</f>
        <v/>
      </c>
      <c r="E785" s="7" t="str">
        <f>IF(ISNUMBER(deployment_raw[[#This Row],[Column5]]), deployment_raw[[#This Row],[Column5]],"")</f>
        <v/>
      </c>
      <c r="F785" s="32" t="str">
        <f>IF(ISNUMBER(deployment_raw[[#This Row],[Column17]]), deployment_raw[[#This Row],[Column17]]/IF(OR($E$2="Deployment",deployment_raw[[#This Row],[Column5]]=0),1,deployment_raw[[#This Row],[Column5]]),"")</f>
        <v/>
      </c>
      <c r="G785" s="42" t="str">
        <f>IF(ISNUMBER(deployment_raw[[#This Row],[Column14]]), deployment_raw[[#This Row],[Column14]]/IF(OR($E$2="Deployment",deployment_raw[[#This Row],[Column5]]=0),1,deployment_raw[[#This Row],[Column5]]),"")</f>
        <v/>
      </c>
      <c r="H785" s="79" t="str">
        <f>IF(ISNUMBER(deployment_raw[[#This Row],[Column19]]), IF(I785&lt;&gt;0,(deployment_raw[[#This Row],[Column19]]/IF(OR($E$2="Deployment",deployment_raw[[#This Row],[Column5]]=0),1,deployment_raw[[#This Row],[Column5]]))/I785,0),"")</f>
        <v/>
      </c>
      <c r="I785" s="69" t="str">
        <f>IF(ISNUMBER(deployment_raw[[#This Row],[Column6]]), (deployment_raw[[#This Row],[Column6]] * IF($E$2="Deployment",deployment_raw[[#This Row],[Column5]],1)),"")</f>
        <v/>
      </c>
      <c r="J785" s="79" t="str">
        <f>IF(ISNUMBER(deployment_raw[[#This Row],[Column19]]), IF(K785&lt;&gt;0,(deployment_raw[[#This Row],[Column19]]/IF(OR($E$2="Deployment",deployment_raw[[#This Row],[Column5]]=0),1,deployment_raw[[#This Row],[Column5]]))/K785,0),"")</f>
        <v/>
      </c>
      <c r="K785" s="72" t="str">
        <f>IF(ISNUMBER(deployment_raw[[#This Row],[Column8]]), (deployment_raw[[#This Row],[Column8]]  * IF($E$2="Deployment",deployment_raw[[#This Row],[Column5]],1)),"")</f>
        <v/>
      </c>
      <c r="L78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8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85" s="81" t="str">
        <f>IF(ISNUMBER(deployment_raw[[#This Row],[Column20]]), IF(O785&lt;&gt;0,deployment_raw[[#This Row],[Column20]]/IF(OR($E$2="Deployment",deployment_raw[[#This Row],[Column5]]=0),1,deployment_raw[[#This Row],[Column5]])/1048576/O785,0),"")</f>
        <v/>
      </c>
      <c r="O785" s="74" t="str">
        <f>IF(ISNUMBER(deployment_raw[[#This Row],[Column7]]), (deployment_raw[[#This Row],[Column7]] * IF($E$2="Deployment",deployment_raw[[#This Row],[Column5]],1))/1048576,"")</f>
        <v/>
      </c>
      <c r="P785" s="81" t="str">
        <f>IF(ISNUMBER(deployment_raw[[#This Row],[Column20]]), IF(Q785&lt;&gt;0,deployment_raw[[#This Row],[Column20]]/IF(OR($E$2="Deployment",deployment_raw[[#This Row],[Column5]]=0),1,deployment_raw[[#This Row],[Column5]])/1048576/Q785,0),"")</f>
        <v/>
      </c>
      <c r="Q785" s="76" t="str">
        <f>IF(ISNUMBER(deployment_raw[[#This Row],[Column9]]), (deployment_raw[[#This Row],[Column9]] * IF($E$2="Deployment",deployment_raw[[#This Row],[Column5]],1))/1048576,"")</f>
        <v/>
      </c>
      <c r="R785" s="57" t="str">
        <f>IF(ISNUMBER(deployment_raw[[#This Row],[Column10]]), (deployment_raw[[#This Row],[Column10]] * IF($E$2="Deployment",deployment_raw[[#This Row],[Column5]],1)),"")</f>
        <v/>
      </c>
      <c r="S785" s="48" t="str">
        <f>IF(ISNUMBER(deployment_raw[[#This Row],[Column11]]), (deployment_raw[[#This Row],[Column11]] * IF($E$2="Deployment",deployment_raw[[#This Row],[Column5]],1))/1048576,"")</f>
        <v/>
      </c>
      <c r="T785" s="59" t="str">
        <f>IF(ISNUMBER(deployment_raw[[#This Row],[Column8]]),IF(OR(deployment_raw[[#This Row],[Column5]] &lt;&gt; 0,$E$2 &lt;&gt; "Deployment"), MAX(V785, ($T$2 * IF($E$2="Deployment",deployment_raw[[#This Row],[Column5]],1))), 0),"")</f>
        <v/>
      </c>
      <c r="U785" s="50" t="str">
        <f>IF(ISNUMBER(deployment_raw[[#This Row],[Column9]]),IF(OR(deployment_raw[[#This Row],[Column5]] &lt;&gt; 0,$E$2&lt;&gt;"Deployment"), MAX(W785, ($U$2 * IF($E$2="Deployment",deployment_raw[[#This Row],[Column5]],1))), 0),"")</f>
        <v/>
      </c>
      <c r="V785" s="15" t="str">
        <f>IF(ISNUMBER(deployment_raw[[#This Row],[Column12]]), (deployment_raw[[#This Row],[Column12]] * IF($E$2="Deployment",deployment_raw[[#This Row],[Column5]],1)*(1+$V$2)),"")</f>
        <v/>
      </c>
      <c r="W785" s="14" t="str">
        <f>IF(ISNUMBER(deployment_raw[[#This Row],[Column13]]), (deployment_raw[[#This Row],[Column13]] * IF($E$2="Deployment",deployment_raw[[#This Row],[Column5]],1)*(1+$W$2))/1048576,"")</f>
        <v/>
      </c>
    </row>
    <row r="786" spans="1:23" ht="15.75" customHeight="1" x14ac:dyDescent="0.25">
      <c r="A786" s="5" t="str">
        <f>IF(ISNONTEXT(deployment_raw[[#This Row],[Column1]]), "", deployment_raw[[#This Row],[Column1]])</f>
        <v/>
      </c>
      <c r="B786" s="6" t="str">
        <f>IF(ISNONTEXT(deployment_raw[[#This Row],[Column2]]), "", deployment_raw[[#This Row],[Column2]])</f>
        <v/>
      </c>
      <c r="C786" s="6" t="str">
        <f>IF(ISNONTEXT(deployment_raw[[#This Row],[Column3]]), "", deployment_raw[[#This Row],[Column3]])</f>
        <v/>
      </c>
      <c r="D786" s="6" t="str">
        <f>IF(ISNONTEXT(deployment_raw[[#This Row],[Column4]]), "", deployment_raw[[#This Row],[Column4]])</f>
        <v/>
      </c>
      <c r="E786" s="7" t="str">
        <f>IF(ISNUMBER(deployment_raw[[#This Row],[Column5]]), deployment_raw[[#This Row],[Column5]],"")</f>
        <v/>
      </c>
      <c r="F786" s="32" t="str">
        <f>IF(ISNUMBER(deployment_raw[[#This Row],[Column17]]), deployment_raw[[#This Row],[Column17]]/IF(OR($E$2="Deployment",deployment_raw[[#This Row],[Column5]]=0),1,deployment_raw[[#This Row],[Column5]]),"")</f>
        <v/>
      </c>
      <c r="G786" s="42" t="str">
        <f>IF(ISNUMBER(deployment_raw[[#This Row],[Column14]]), deployment_raw[[#This Row],[Column14]]/IF(OR($E$2="Deployment",deployment_raw[[#This Row],[Column5]]=0),1,deployment_raw[[#This Row],[Column5]]),"")</f>
        <v/>
      </c>
      <c r="H786" s="79" t="str">
        <f>IF(ISNUMBER(deployment_raw[[#This Row],[Column19]]), IF(I786&lt;&gt;0,(deployment_raw[[#This Row],[Column19]]/IF(OR($E$2="Deployment",deployment_raw[[#This Row],[Column5]]=0),1,deployment_raw[[#This Row],[Column5]]))/I786,0),"")</f>
        <v/>
      </c>
      <c r="I786" s="69" t="str">
        <f>IF(ISNUMBER(deployment_raw[[#This Row],[Column6]]), (deployment_raw[[#This Row],[Column6]] * IF($E$2="Deployment",deployment_raw[[#This Row],[Column5]],1)),"")</f>
        <v/>
      </c>
      <c r="J786" s="79" t="str">
        <f>IF(ISNUMBER(deployment_raw[[#This Row],[Column19]]), IF(K786&lt;&gt;0,(deployment_raw[[#This Row],[Column19]]/IF(OR($E$2="Deployment",deployment_raw[[#This Row],[Column5]]=0),1,deployment_raw[[#This Row],[Column5]]))/K786,0),"")</f>
        <v/>
      </c>
      <c r="K786" s="72" t="str">
        <f>IF(ISNUMBER(deployment_raw[[#This Row],[Column8]]), (deployment_raw[[#This Row],[Column8]]  * IF($E$2="Deployment",deployment_raw[[#This Row],[Column5]],1)),"")</f>
        <v/>
      </c>
      <c r="L78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8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86" s="81" t="str">
        <f>IF(ISNUMBER(deployment_raw[[#This Row],[Column20]]), IF(O786&lt;&gt;0,deployment_raw[[#This Row],[Column20]]/IF(OR($E$2="Deployment",deployment_raw[[#This Row],[Column5]]=0),1,deployment_raw[[#This Row],[Column5]])/1048576/O786,0),"")</f>
        <v/>
      </c>
      <c r="O786" s="74" t="str">
        <f>IF(ISNUMBER(deployment_raw[[#This Row],[Column7]]), (deployment_raw[[#This Row],[Column7]] * IF($E$2="Deployment",deployment_raw[[#This Row],[Column5]],1))/1048576,"")</f>
        <v/>
      </c>
      <c r="P786" s="81" t="str">
        <f>IF(ISNUMBER(deployment_raw[[#This Row],[Column20]]), IF(Q786&lt;&gt;0,deployment_raw[[#This Row],[Column20]]/IF(OR($E$2="Deployment",deployment_raw[[#This Row],[Column5]]=0),1,deployment_raw[[#This Row],[Column5]])/1048576/Q786,0),"")</f>
        <v/>
      </c>
      <c r="Q786" s="76" t="str">
        <f>IF(ISNUMBER(deployment_raw[[#This Row],[Column9]]), (deployment_raw[[#This Row],[Column9]] * IF($E$2="Deployment",deployment_raw[[#This Row],[Column5]],1))/1048576,"")</f>
        <v/>
      </c>
      <c r="R786" s="57" t="str">
        <f>IF(ISNUMBER(deployment_raw[[#This Row],[Column10]]), (deployment_raw[[#This Row],[Column10]] * IF($E$2="Deployment",deployment_raw[[#This Row],[Column5]],1)),"")</f>
        <v/>
      </c>
      <c r="S786" s="48" t="str">
        <f>IF(ISNUMBER(deployment_raw[[#This Row],[Column11]]), (deployment_raw[[#This Row],[Column11]] * IF($E$2="Deployment",deployment_raw[[#This Row],[Column5]],1))/1048576,"")</f>
        <v/>
      </c>
      <c r="T786" s="59" t="str">
        <f>IF(ISNUMBER(deployment_raw[[#This Row],[Column8]]),IF(OR(deployment_raw[[#This Row],[Column5]] &lt;&gt; 0,$E$2 &lt;&gt; "Deployment"), MAX(V786, ($T$2 * IF($E$2="Deployment",deployment_raw[[#This Row],[Column5]],1))), 0),"")</f>
        <v/>
      </c>
      <c r="U786" s="50" t="str">
        <f>IF(ISNUMBER(deployment_raw[[#This Row],[Column9]]),IF(OR(deployment_raw[[#This Row],[Column5]] &lt;&gt; 0,$E$2&lt;&gt;"Deployment"), MAX(W786, ($U$2 * IF($E$2="Deployment",deployment_raw[[#This Row],[Column5]],1))), 0),"")</f>
        <v/>
      </c>
      <c r="V786" s="15" t="str">
        <f>IF(ISNUMBER(deployment_raw[[#This Row],[Column12]]), (deployment_raw[[#This Row],[Column12]] * IF($E$2="Deployment",deployment_raw[[#This Row],[Column5]],1)*(1+$V$2)),"")</f>
        <v/>
      </c>
      <c r="W786" s="14" t="str">
        <f>IF(ISNUMBER(deployment_raw[[#This Row],[Column13]]), (deployment_raw[[#This Row],[Column13]] * IF($E$2="Deployment",deployment_raw[[#This Row],[Column5]],1)*(1+$W$2))/1048576,"")</f>
        <v/>
      </c>
    </row>
    <row r="787" spans="1:23" ht="15.75" customHeight="1" x14ac:dyDescent="0.25">
      <c r="A787" s="5" t="str">
        <f>IF(ISNONTEXT(deployment_raw[[#This Row],[Column1]]), "", deployment_raw[[#This Row],[Column1]])</f>
        <v/>
      </c>
      <c r="B787" s="6" t="str">
        <f>IF(ISNONTEXT(deployment_raw[[#This Row],[Column2]]), "", deployment_raw[[#This Row],[Column2]])</f>
        <v/>
      </c>
      <c r="C787" s="6" t="str">
        <f>IF(ISNONTEXT(deployment_raw[[#This Row],[Column3]]), "", deployment_raw[[#This Row],[Column3]])</f>
        <v/>
      </c>
      <c r="D787" s="6" t="str">
        <f>IF(ISNONTEXT(deployment_raw[[#This Row],[Column4]]), "", deployment_raw[[#This Row],[Column4]])</f>
        <v/>
      </c>
      <c r="E787" s="7" t="str">
        <f>IF(ISNUMBER(deployment_raw[[#This Row],[Column5]]), deployment_raw[[#This Row],[Column5]],"")</f>
        <v/>
      </c>
      <c r="F787" s="32" t="str">
        <f>IF(ISNUMBER(deployment_raw[[#This Row],[Column17]]), deployment_raw[[#This Row],[Column17]]/IF(OR($E$2="Deployment",deployment_raw[[#This Row],[Column5]]=0),1,deployment_raw[[#This Row],[Column5]]),"")</f>
        <v/>
      </c>
      <c r="G787" s="42" t="str">
        <f>IF(ISNUMBER(deployment_raw[[#This Row],[Column14]]), deployment_raw[[#This Row],[Column14]]/IF(OR($E$2="Deployment",deployment_raw[[#This Row],[Column5]]=0),1,deployment_raw[[#This Row],[Column5]]),"")</f>
        <v/>
      </c>
      <c r="H787" s="79" t="str">
        <f>IF(ISNUMBER(deployment_raw[[#This Row],[Column19]]), IF(I787&lt;&gt;0,(deployment_raw[[#This Row],[Column19]]/IF(OR($E$2="Deployment",deployment_raw[[#This Row],[Column5]]=0),1,deployment_raw[[#This Row],[Column5]]))/I787,0),"")</f>
        <v/>
      </c>
      <c r="I787" s="69" t="str">
        <f>IF(ISNUMBER(deployment_raw[[#This Row],[Column6]]), (deployment_raw[[#This Row],[Column6]] * IF($E$2="Deployment",deployment_raw[[#This Row],[Column5]],1)),"")</f>
        <v/>
      </c>
      <c r="J787" s="79" t="str">
        <f>IF(ISNUMBER(deployment_raw[[#This Row],[Column19]]), IF(K787&lt;&gt;0,(deployment_raw[[#This Row],[Column19]]/IF(OR($E$2="Deployment",deployment_raw[[#This Row],[Column5]]=0),1,deployment_raw[[#This Row],[Column5]]))/K787,0),"")</f>
        <v/>
      </c>
      <c r="K787" s="72" t="str">
        <f>IF(ISNUMBER(deployment_raw[[#This Row],[Column8]]), (deployment_raw[[#This Row],[Column8]]  * IF($E$2="Deployment",deployment_raw[[#This Row],[Column5]],1)),"")</f>
        <v/>
      </c>
      <c r="L78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8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87" s="81" t="str">
        <f>IF(ISNUMBER(deployment_raw[[#This Row],[Column20]]), IF(O787&lt;&gt;0,deployment_raw[[#This Row],[Column20]]/IF(OR($E$2="Deployment",deployment_raw[[#This Row],[Column5]]=0),1,deployment_raw[[#This Row],[Column5]])/1048576/O787,0),"")</f>
        <v/>
      </c>
      <c r="O787" s="74" t="str">
        <f>IF(ISNUMBER(deployment_raw[[#This Row],[Column7]]), (deployment_raw[[#This Row],[Column7]] * IF($E$2="Deployment",deployment_raw[[#This Row],[Column5]],1))/1048576,"")</f>
        <v/>
      </c>
      <c r="P787" s="81" t="str">
        <f>IF(ISNUMBER(deployment_raw[[#This Row],[Column20]]), IF(Q787&lt;&gt;0,deployment_raw[[#This Row],[Column20]]/IF(OR($E$2="Deployment",deployment_raw[[#This Row],[Column5]]=0),1,deployment_raw[[#This Row],[Column5]])/1048576/Q787,0),"")</f>
        <v/>
      </c>
      <c r="Q787" s="76" t="str">
        <f>IF(ISNUMBER(deployment_raw[[#This Row],[Column9]]), (deployment_raw[[#This Row],[Column9]] * IF($E$2="Deployment",deployment_raw[[#This Row],[Column5]],1))/1048576,"")</f>
        <v/>
      </c>
      <c r="R787" s="57" t="str">
        <f>IF(ISNUMBER(deployment_raw[[#This Row],[Column10]]), (deployment_raw[[#This Row],[Column10]] * IF($E$2="Deployment",deployment_raw[[#This Row],[Column5]],1)),"")</f>
        <v/>
      </c>
      <c r="S787" s="48" t="str">
        <f>IF(ISNUMBER(deployment_raw[[#This Row],[Column11]]), (deployment_raw[[#This Row],[Column11]] * IF($E$2="Deployment",deployment_raw[[#This Row],[Column5]],1))/1048576,"")</f>
        <v/>
      </c>
      <c r="T787" s="59" t="str">
        <f>IF(ISNUMBER(deployment_raw[[#This Row],[Column8]]),IF(OR(deployment_raw[[#This Row],[Column5]] &lt;&gt; 0,$E$2 &lt;&gt; "Deployment"), MAX(V787, ($T$2 * IF($E$2="Deployment",deployment_raw[[#This Row],[Column5]],1))), 0),"")</f>
        <v/>
      </c>
      <c r="U787" s="50" t="str">
        <f>IF(ISNUMBER(deployment_raw[[#This Row],[Column9]]),IF(OR(deployment_raw[[#This Row],[Column5]] &lt;&gt; 0,$E$2&lt;&gt;"Deployment"), MAX(W787, ($U$2 * IF($E$2="Deployment",deployment_raw[[#This Row],[Column5]],1))), 0),"")</f>
        <v/>
      </c>
      <c r="V787" s="15" t="str">
        <f>IF(ISNUMBER(deployment_raw[[#This Row],[Column12]]), (deployment_raw[[#This Row],[Column12]] * IF($E$2="Deployment",deployment_raw[[#This Row],[Column5]],1)*(1+$V$2)),"")</f>
        <v/>
      </c>
      <c r="W787" s="14" t="str">
        <f>IF(ISNUMBER(deployment_raw[[#This Row],[Column13]]), (deployment_raw[[#This Row],[Column13]] * IF($E$2="Deployment",deployment_raw[[#This Row],[Column5]],1)*(1+$W$2))/1048576,"")</f>
        <v/>
      </c>
    </row>
    <row r="788" spans="1:23" ht="15.75" customHeight="1" x14ac:dyDescent="0.25">
      <c r="A788" s="5" t="str">
        <f>IF(ISNONTEXT(deployment_raw[[#This Row],[Column1]]), "", deployment_raw[[#This Row],[Column1]])</f>
        <v/>
      </c>
      <c r="B788" s="6" t="str">
        <f>IF(ISNONTEXT(deployment_raw[[#This Row],[Column2]]), "", deployment_raw[[#This Row],[Column2]])</f>
        <v/>
      </c>
      <c r="C788" s="6" t="str">
        <f>IF(ISNONTEXT(deployment_raw[[#This Row],[Column3]]), "", deployment_raw[[#This Row],[Column3]])</f>
        <v/>
      </c>
      <c r="D788" s="6" t="str">
        <f>IF(ISNONTEXT(deployment_raw[[#This Row],[Column4]]), "", deployment_raw[[#This Row],[Column4]])</f>
        <v/>
      </c>
      <c r="E788" s="7" t="str">
        <f>IF(ISNUMBER(deployment_raw[[#This Row],[Column5]]), deployment_raw[[#This Row],[Column5]],"")</f>
        <v/>
      </c>
      <c r="F788" s="32" t="str">
        <f>IF(ISNUMBER(deployment_raw[[#This Row],[Column17]]), deployment_raw[[#This Row],[Column17]]/IF(OR($E$2="Deployment",deployment_raw[[#This Row],[Column5]]=0),1,deployment_raw[[#This Row],[Column5]]),"")</f>
        <v/>
      </c>
      <c r="G788" s="42" t="str">
        <f>IF(ISNUMBER(deployment_raw[[#This Row],[Column14]]), deployment_raw[[#This Row],[Column14]]/IF(OR($E$2="Deployment",deployment_raw[[#This Row],[Column5]]=0),1,deployment_raw[[#This Row],[Column5]]),"")</f>
        <v/>
      </c>
      <c r="H788" s="79" t="str">
        <f>IF(ISNUMBER(deployment_raw[[#This Row],[Column19]]), IF(I788&lt;&gt;0,(deployment_raw[[#This Row],[Column19]]/IF(OR($E$2="Deployment",deployment_raw[[#This Row],[Column5]]=0),1,deployment_raw[[#This Row],[Column5]]))/I788,0),"")</f>
        <v/>
      </c>
      <c r="I788" s="69" t="str">
        <f>IF(ISNUMBER(deployment_raw[[#This Row],[Column6]]), (deployment_raw[[#This Row],[Column6]] * IF($E$2="Deployment",deployment_raw[[#This Row],[Column5]],1)),"")</f>
        <v/>
      </c>
      <c r="J788" s="79" t="str">
        <f>IF(ISNUMBER(deployment_raw[[#This Row],[Column19]]), IF(K788&lt;&gt;0,(deployment_raw[[#This Row],[Column19]]/IF(OR($E$2="Deployment",deployment_raw[[#This Row],[Column5]]=0),1,deployment_raw[[#This Row],[Column5]]))/K788,0),"")</f>
        <v/>
      </c>
      <c r="K788" s="72" t="str">
        <f>IF(ISNUMBER(deployment_raw[[#This Row],[Column8]]), (deployment_raw[[#This Row],[Column8]]  * IF($E$2="Deployment",deployment_raw[[#This Row],[Column5]],1)),"")</f>
        <v/>
      </c>
      <c r="L78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8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88" s="81" t="str">
        <f>IF(ISNUMBER(deployment_raw[[#This Row],[Column20]]), IF(O788&lt;&gt;0,deployment_raw[[#This Row],[Column20]]/IF(OR($E$2="Deployment",deployment_raw[[#This Row],[Column5]]=0),1,deployment_raw[[#This Row],[Column5]])/1048576/O788,0),"")</f>
        <v/>
      </c>
      <c r="O788" s="74" t="str">
        <f>IF(ISNUMBER(deployment_raw[[#This Row],[Column7]]), (deployment_raw[[#This Row],[Column7]] * IF($E$2="Deployment",deployment_raw[[#This Row],[Column5]],1))/1048576,"")</f>
        <v/>
      </c>
      <c r="P788" s="81" t="str">
        <f>IF(ISNUMBER(deployment_raw[[#This Row],[Column20]]), IF(Q788&lt;&gt;0,deployment_raw[[#This Row],[Column20]]/IF(OR($E$2="Deployment",deployment_raw[[#This Row],[Column5]]=0),1,deployment_raw[[#This Row],[Column5]])/1048576/Q788,0),"")</f>
        <v/>
      </c>
      <c r="Q788" s="76" t="str">
        <f>IF(ISNUMBER(deployment_raw[[#This Row],[Column9]]), (deployment_raw[[#This Row],[Column9]] * IF($E$2="Deployment",deployment_raw[[#This Row],[Column5]],1))/1048576,"")</f>
        <v/>
      </c>
      <c r="R788" s="57" t="str">
        <f>IF(ISNUMBER(deployment_raw[[#This Row],[Column10]]), (deployment_raw[[#This Row],[Column10]] * IF($E$2="Deployment",deployment_raw[[#This Row],[Column5]],1)),"")</f>
        <v/>
      </c>
      <c r="S788" s="48" t="str">
        <f>IF(ISNUMBER(deployment_raw[[#This Row],[Column11]]), (deployment_raw[[#This Row],[Column11]] * IF($E$2="Deployment",deployment_raw[[#This Row],[Column5]],1))/1048576,"")</f>
        <v/>
      </c>
      <c r="T788" s="59" t="str">
        <f>IF(ISNUMBER(deployment_raw[[#This Row],[Column8]]),IF(OR(deployment_raw[[#This Row],[Column5]] &lt;&gt; 0,$E$2 &lt;&gt; "Deployment"), MAX(V788, ($T$2 * IF($E$2="Deployment",deployment_raw[[#This Row],[Column5]],1))), 0),"")</f>
        <v/>
      </c>
      <c r="U788" s="50" t="str">
        <f>IF(ISNUMBER(deployment_raw[[#This Row],[Column9]]),IF(OR(deployment_raw[[#This Row],[Column5]] &lt;&gt; 0,$E$2&lt;&gt;"Deployment"), MAX(W788, ($U$2 * IF($E$2="Deployment",deployment_raw[[#This Row],[Column5]],1))), 0),"")</f>
        <v/>
      </c>
      <c r="V788" s="15" t="str">
        <f>IF(ISNUMBER(deployment_raw[[#This Row],[Column12]]), (deployment_raw[[#This Row],[Column12]] * IF($E$2="Deployment",deployment_raw[[#This Row],[Column5]],1)*(1+$V$2)),"")</f>
        <v/>
      </c>
      <c r="W788" s="14" t="str">
        <f>IF(ISNUMBER(deployment_raw[[#This Row],[Column13]]), (deployment_raw[[#This Row],[Column13]] * IF($E$2="Deployment",deployment_raw[[#This Row],[Column5]],1)*(1+$W$2))/1048576,"")</f>
        <v/>
      </c>
    </row>
    <row r="789" spans="1:23" ht="15.75" customHeight="1" x14ac:dyDescent="0.25">
      <c r="A789" s="5" t="str">
        <f>IF(ISNONTEXT(deployment_raw[[#This Row],[Column1]]), "", deployment_raw[[#This Row],[Column1]])</f>
        <v/>
      </c>
      <c r="B789" s="6" t="str">
        <f>IF(ISNONTEXT(deployment_raw[[#This Row],[Column2]]), "", deployment_raw[[#This Row],[Column2]])</f>
        <v/>
      </c>
      <c r="C789" s="6" t="str">
        <f>IF(ISNONTEXT(deployment_raw[[#This Row],[Column3]]), "", deployment_raw[[#This Row],[Column3]])</f>
        <v/>
      </c>
      <c r="D789" s="6" t="str">
        <f>IF(ISNONTEXT(deployment_raw[[#This Row],[Column4]]), "", deployment_raw[[#This Row],[Column4]])</f>
        <v/>
      </c>
      <c r="E789" s="7" t="str">
        <f>IF(ISNUMBER(deployment_raw[[#This Row],[Column5]]), deployment_raw[[#This Row],[Column5]],"")</f>
        <v/>
      </c>
      <c r="F789" s="32" t="str">
        <f>IF(ISNUMBER(deployment_raw[[#This Row],[Column17]]), deployment_raw[[#This Row],[Column17]]/IF(OR($E$2="Deployment",deployment_raw[[#This Row],[Column5]]=0),1,deployment_raw[[#This Row],[Column5]]),"")</f>
        <v/>
      </c>
      <c r="G789" s="42" t="str">
        <f>IF(ISNUMBER(deployment_raw[[#This Row],[Column14]]), deployment_raw[[#This Row],[Column14]]/IF(OR($E$2="Deployment",deployment_raw[[#This Row],[Column5]]=0),1,deployment_raw[[#This Row],[Column5]]),"")</f>
        <v/>
      </c>
      <c r="H789" s="79" t="str">
        <f>IF(ISNUMBER(deployment_raw[[#This Row],[Column19]]), IF(I789&lt;&gt;0,(deployment_raw[[#This Row],[Column19]]/IF(OR($E$2="Deployment",deployment_raw[[#This Row],[Column5]]=0),1,deployment_raw[[#This Row],[Column5]]))/I789,0),"")</f>
        <v/>
      </c>
      <c r="I789" s="69" t="str">
        <f>IF(ISNUMBER(deployment_raw[[#This Row],[Column6]]), (deployment_raw[[#This Row],[Column6]] * IF($E$2="Deployment",deployment_raw[[#This Row],[Column5]],1)),"")</f>
        <v/>
      </c>
      <c r="J789" s="79" t="str">
        <f>IF(ISNUMBER(deployment_raw[[#This Row],[Column19]]), IF(K789&lt;&gt;0,(deployment_raw[[#This Row],[Column19]]/IF(OR($E$2="Deployment",deployment_raw[[#This Row],[Column5]]=0),1,deployment_raw[[#This Row],[Column5]]))/K789,0),"")</f>
        <v/>
      </c>
      <c r="K789" s="72" t="str">
        <f>IF(ISNUMBER(deployment_raw[[#This Row],[Column8]]), (deployment_raw[[#This Row],[Column8]]  * IF($E$2="Deployment",deployment_raw[[#This Row],[Column5]],1)),"")</f>
        <v/>
      </c>
      <c r="L78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8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89" s="81" t="str">
        <f>IF(ISNUMBER(deployment_raw[[#This Row],[Column20]]), IF(O789&lt;&gt;0,deployment_raw[[#This Row],[Column20]]/IF(OR($E$2="Deployment",deployment_raw[[#This Row],[Column5]]=0),1,deployment_raw[[#This Row],[Column5]])/1048576/O789,0),"")</f>
        <v/>
      </c>
      <c r="O789" s="74" t="str">
        <f>IF(ISNUMBER(deployment_raw[[#This Row],[Column7]]), (deployment_raw[[#This Row],[Column7]] * IF($E$2="Deployment",deployment_raw[[#This Row],[Column5]],1))/1048576,"")</f>
        <v/>
      </c>
      <c r="P789" s="81" t="str">
        <f>IF(ISNUMBER(deployment_raw[[#This Row],[Column20]]), IF(Q789&lt;&gt;0,deployment_raw[[#This Row],[Column20]]/IF(OR($E$2="Deployment",deployment_raw[[#This Row],[Column5]]=0),1,deployment_raw[[#This Row],[Column5]])/1048576/Q789,0),"")</f>
        <v/>
      </c>
      <c r="Q789" s="76" t="str">
        <f>IF(ISNUMBER(deployment_raw[[#This Row],[Column9]]), (deployment_raw[[#This Row],[Column9]] * IF($E$2="Deployment",deployment_raw[[#This Row],[Column5]],1))/1048576,"")</f>
        <v/>
      </c>
      <c r="R789" s="57" t="str">
        <f>IF(ISNUMBER(deployment_raw[[#This Row],[Column10]]), (deployment_raw[[#This Row],[Column10]] * IF($E$2="Deployment",deployment_raw[[#This Row],[Column5]],1)),"")</f>
        <v/>
      </c>
      <c r="S789" s="48" t="str">
        <f>IF(ISNUMBER(deployment_raw[[#This Row],[Column11]]), (deployment_raw[[#This Row],[Column11]] * IF($E$2="Deployment",deployment_raw[[#This Row],[Column5]],1))/1048576,"")</f>
        <v/>
      </c>
      <c r="T789" s="59" t="str">
        <f>IF(ISNUMBER(deployment_raw[[#This Row],[Column8]]),IF(OR(deployment_raw[[#This Row],[Column5]] &lt;&gt; 0,$E$2 &lt;&gt; "Deployment"), MAX(V789, ($T$2 * IF($E$2="Deployment",deployment_raw[[#This Row],[Column5]],1))), 0),"")</f>
        <v/>
      </c>
      <c r="U789" s="50" t="str">
        <f>IF(ISNUMBER(deployment_raw[[#This Row],[Column9]]),IF(OR(deployment_raw[[#This Row],[Column5]] &lt;&gt; 0,$E$2&lt;&gt;"Deployment"), MAX(W789, ($U$2 * IF($E$2="Deployment",deployment_raw[[#This Row],[Column5]],1))), 0),"")</f>
        <v/>
      </c>
      <c r="V789" s="15" t="str">
        <f>IF(ISNUMBER(deployment_raw[[#This Row],[Column12]]), (deployment_raw[[#This Row],[Column12]] * IF($E$2="Deployment",deployment_raw[[#This Row],[Column5]],1)*(1+$V$2)),"")</f>
        <v/>
      </c>
      <c r="W789" s="14" t="str">
        <f>IF(ISNUMBER(deployment_raw[[#This Row],[Column13]]), (deployment_raw[[#This Row],[Column13]] * IF($E$2="Deployment",deployment_raw[[#This Row],[Column5]],1)*(1+$W$2))/1048576,"")</f>
        <v/>
      </c>
    </row>
    <row r="790" spans="1:23" ht="15.75" customHeight="1" x14ac:dyDescent="0.25">
      <c r="A790" s="5" t="str">
        <f>IF(ISNONTEXT(deployment_raw[[#This Row],[Column1]]), "", deployment_raw[[#This Row],[Column1]])</f>
        <v/>
      </c>
      <c r="B790" s="6" t="str">
        <f>IF(ISNONTEXT(deployment_raw[[#This Row],[Column2]]), "", deployment_raw[[#This Row],[Column2]])</f>
        <v/>
      </c>
      <c r="C790" s="6" t="str">
        <f>IF(ISNONTEXT(deployment_raw[[#This Row],[Column3]]), "", deployment_raw[[#This Row],[Column3]])</f>
        <v/>
      </c>
      <c r="D790" s="6" t="str">
        <f>IF(ISNONTEXT(deployment_raw[[#This Row],[Column4]]), "", deployment_raw[[#This Row],[Column4]])</f>
        <v/>
      </c>
      <c r="E790" s="7" t="str">
        <f>IF(ISNUMBER(deployment_raw[[#This Row],[Column5]]), deployment_raw[[#This Row],[Column5]],"")</f>
        <v/>
      </c>
      <c r="F790" s="32" t="str">
        <f>IF(ISNUMBER(deployment_raw[[#This Row],[Column17]]), deployment_raw[[#This Row],[Column17]]/IF(OR($E$2="Deployment",deployment_raw[[#This Row],[Column5]]=0),1,deployment_raw[[#This Row],[Column5]]),"")</f>
        <v/>
      </c>
      <c r="G790" s="42" t="str">
        <f>IF(ISNUMBER(deployment_raw[[#This Row],[Column14]]), deployment_raw[[#This Row],[Column14]]/IF(OR($E$2="Deployment",deployment_raw[[#This Row],[Column5]]=0),1,deployment_raw[[#This Row],[Column5]]),"")</f>
        <v/>
      </c>
      <c r="H790" s="79" t="str">
        <f>IF(ISNUMBER(deployment_raw[[#This Row],[Column19]]), IF(I790&lt;&gt;0,(deployment_raw[[#This Row],[Column19]]/IF(OR($E$2="Deployment",deployment_raw[[#This Row],[Column5]]=0),1,deployment_raw[[#This Row],[Column5]]))/I790,0),"")</f>
        <v/>
      </c>
      <c r="I790" s="69" t="str">
        <f>IF(ISNUMBER(deployment_raw[[#This Row],[Column6]]), (deployment_raw[[#This Row],[Column6]] * IF($E$2="Deployment",deployment_raw[[#This Row],[Column5]],1)),"")</f>
        <v/>
      </c>
      <c r="J790" s="79" t="str">
        <f>IF(ISNUMBER(deployment_raw[[#This Row],[Column19]]), IF(K790&lt;&gt;0,(deployment_raw[[#This Row],[Column19]]/IF(OR($E$2="Deployment",deployment_raw[[#This Row],[Column5]]=0),1,deployment_raw[[#This Row],[Column5]]))/K790,0),"")</f>
        <v/>
      </c>
      <c r="K790" s="72" t="str">
        <f>IF(ISNUMBER(deployment_raw[[#This Row],[Column8]]), (deployment_raw[[#This Row],[Column8]]  * IF($E$2="Deployment",deployment_raw[[#This Row],[Column5]],1)),"")</f>
        <v/>
      </c>
      <c r="L79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9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90" s="81" t="str">
        <f>IF(ISNUMBER(deployment_raw[[#This Row],[Column20]]), IF(O790&lt;&gt;0,deployment_raw[[#This Row],[Column20]]/IF(OR($E$2="Deployment",deployment_raw[[#This Row],[Column5]]=0),1,deployment_raw[[#This Row],[Column5]])/1048576/O790,0),"")</f>
        <v/>
      </c>
      <c r="O790" s="74" t="str">
        <f>IF(ISNUMBER(deployment_raw[[#This Row],[Column7]]), (deployment_raw[[#This Row],[Column7]] * IF($E$2="Deployment",deployment_raw[[#This Row],[Column5]],1))/1048576,"")</f>
        <v/>
      </c>
      <c r="P790" s="81" t="str">
        <f>IF(ISNUMBER(deployment_raw[[#This Row],[Column20]]), IF(Q790&lt;&gt;0,deployment_raw[[#This Row],[Column20]]/IF(OR($E$2="Deployment",deployment_raw[[#This Row],[Column5]]=0),1,deployment_raw[[#This Row],[Column5]])/1048576/Q790,0),"")</f>
        <v/>
      </c>
      <c r="Q790" s="76" t="str">
        <f>IF(ISNUMBER(deployment_raw[[#This Row],[Column9]]), (deployment_raw[[#This Row],[Column9]] * IF($E$2="Deployment",deployment_raw[[#This Row],[Column5]],1))/1048576,"")</f>
        <v/>
      </c>
      <c r="R790" s="57" t="str">
        <f>IF(ISNUMBER(deployment_raw[[#This Row],[Column10]]), (deployment_raw[[#This Row],[Column10]] * IF($E$2="Deployment",deployment_raw[[#This Row],[Column5]],1)),"")</f>
        <v/>
      </c>
      <c r="S790" s="48" t="str">
        <f>IF(ISNUMBER(deployment_raw[[#This Row],[Column11]]), (deployment_raw[[#This Row],[Column11]] * IF($E$2="Deployment",deployment_raw[[#This Row],[Column5]],1))/1048576,"")</f>
        <v/>
      </c>
      <c r="T790" s="59" t="str">
        <f>IF(ISNUMBER(deployment_raw[[#This Row],[Column8]]),IF(OR(deployment_raw[[#This Row],[Column5]] &lt;&gt; 0,$E$2 &lt;&gt; "Deployment"), MAX(V790, ($T$2 * IF($E$2="Deployment",deployment_raw[[#This Row],[Column5]],1))), 0),"")</f>
        <v/>
      </c>
      <c r="U790" s="50" t="str">
        <f>IF(ISNUMBER(deployment_raw[[#This Row],[Column9]]),IF(OR(deployment_raw[[#This Row],[Column5]] &lt;&gt; 0,$E$2&lt;&gt;"Deployment"), MAX(W790, ($U$2 * IF($E$2="Deployment",deployment_raw[[#This Row],[Column5]],1))), 0),"")</f>
        <v/>
      </c>
      <c r="V790" s="15" t="str">
        <f>IF(ISNUMBER(deployment_raw[[#This Row],[Column12]]), (deployment_raw[[#This Row],[Column12]] * IF($E$2="Deployment",deployment_raw[[#This Row],[Column5]],1)*(1+$V$2)),"")</f>
        <v/>
      </c>
      <c r="W790" s="14" t="str">
        <f>IF(ISNUMBER(deployment_raw[[#This Row],[Column13]]), (deployment_raw[[#This Row],[Column13]] * IF($E$2="Deployment",deployment_raw[[#This Row],[Column5]],1)*(1+$W$2))/1048576,"")</f>
        <v/>
      </c>
    </row>
    <row r="791" spans="1:23" ht="15.75" customHeight="1" x14ac:dyDescent="0.25">
      <c r="A791" s="5" t="str">
        <f>IF(ISNONTEXT(deployment_raw[[#This Row],[Column1]]), "", deployment_raw[[#This Row],[Column1]])</f>
        <v/>
      </c>
      <c r="B791" s="6" t="str">
        <f>IF(ISNONTEXT(deployment_raw[[#This Row],[Column2]]), "", deployment_raw[[#This Row],[Column2]])</f>
        <v/>
      </c>
      <c r="C791" s="6" t="str">
        <f>IF(ISNONTEXT(deployment_raw[[#This Row],[Column3]]), "", deployment_raw[[#This Row],[Column3]])</f>
        <v/>
      </c>
      <c r="D791" s="6" t="str">
        <f>IF(ISNONTEXT(deployment_raw[[#This Row],[Column4]]), "", deployment_raw[[#This Row],[Column4]])</f>
        <v/>
      </c>
      <c r="E791" s="7" t="str">
        <f>IF(ISNUMBER(deployment_raw[[#This Row],[Column5]]), deployment_raw[[#This Row],[Column5]],"")</f>
        <v/>
      </c>
      <c r="F791" s="32" t="str">
        <f>IF(ISNUMBER(deployment_raw[[#This Row],[Column17]]), deployment_raw[[#This Row],[Column17]]/IF(OR($E$2="Deployment",deployment_raw[[#This Row],[Column5]]=0),1,deployment_raw[[#This Row],[Column5]]),"")</f>
        <v/>
      </c>
      <c r="G791" s="42" t="str">
        <f>IF(ISNUMBER(deployment_raw[[#This Row],[Column14]]), deployment_raw[[#This Row],[Column14]]/IF(OR($E$2="Deployment",deployment_raw[[#This Row],[Column5]]=0),1,deployment_raw[[#This Row],[Column5]]),"")</f>
        <v/>
      </c>
      <c r="H791" s="79" t="str">
        <f>IF(ISNUMBER(deployment_raw[[#This Row],[Column19]]), IF(I791&lt;&gt;0,(deployment_raw[[#This Row],[Column19]]/IF(OR($E$2="Deployment",deployment_raw[[#This Row],[Column5]]=0),1,deployment_raw[[#This Row],[Column5]]))/I791,0),"")</f>
        <v/>
      </c>
      <c r="I791" s="69" t="str">
        <f>IF(ISNUMBER(deployment_raw[[#This Row],[Column6]]), (deployment_raw[[#This Row],[Column6]] * IF($E$2="Deployment",deployment_raw[[#This Row],[Column5]],1)),"")</f>
        <v/>
      </c>
      <c r="J791" s="79" t="str">
        <f>IF(ISNUMBER(deployment_raw[[#This Row],[Column19]]), IF(K791&lt;&gt;0,(deployment_raw[[#This Row],[Column19]]/IF(OR($E$2="Deployment",deployment_raw[[#This Row],[Column5]]=0),1,deployment_raw[[#This Row],[Column5]]))/K791,0),"")</f>
        <v/>
      </c>
      <c r="K791" s="72" t="str">
        <f>IF(ISNUMBER(deployment_raw[[#This Row],[Column8]]), (deployment_raw[[#This Row],[Column8]]  * IF($E$2="Deployment",deployment_raw[[#This Row],[Column5]],1)),"")</f>
        <v/>
      </c>
      <c r="L79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9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91" s="81" t="str">
        <f>IF(ISNUMBER(deployment_raw[[#This Row],[Column20]]), IF(O791&lt;&gt;0,deployment_raw[[#This Row],[Column20]]/IF(OR($E$2="Deployment",deployment_raw[[#This Row],[Column5]]=0),1,deployment_raw[[#This Row],[Column5]])/1048576/O791,0),"")</f>
        <v/>
      </c>
      <c r="O791" s="74" t="str">
        <f>IF(ISNUMBER(deployment_raw[[#This Row],[Column7]]), (deployment_raw[[#This Row],[Column7]] * IF($E$2="Deployment",deployment_raw[[#This Row],[Column5]],1))/1048576,"")</f>
        <v/>
      </c>
      <c r="P791" s="81" t="str">
        <f>IF(ISNUMBER(deployment_raw[[#This Row],[Column20]]), IF(Q791&lt;&gt;0,deployment_raw[[#This Row],[Column20]]/IF(OR($E$2="Deployment",deployment_raw[[#This Row],[Column5]]=0),1,deployment_raw[[#This Row],[Column5]])/1048576/Q791,0),"")</f>
        <v/>
      </c>
      <c r="Q791" s="76" t="str">
        <f>IF(ISNUMBER(deployment_raw[[#This Row],[Column9]]), (deployment_raw[[#This Row],[Column9]] * IF($E$2="Deployment",deployment_raw[[#This Row],[Column5]],1))/1048576,"")</f>
        <v/>
      </c>
      <c r="R791" s="57" t="str">
        <f>IF(ISNUMBER(deployment_raw[[#This Row],[Column10]]), (deployment_raw[[#This Row],[Column10]] * IF($E$2="Deployment",deployment_raw[[#This Row],[Column5]],1)),"")</f>
        <v/>
      </c>
      <c r="S791" s="48" t="str">
        <f>IF(ISNUMBER(deployment_raw[[#This Row],[Column11]]), (deployment_raw[[#This Row],[Column11]] * IF($E$2="Deployment",deployment_raw[[#This Row],[Column5]],1))/1048576,"")</f>
        <v/>
      </c>
      <c r="T791" s="59" t="str">
        <f>IF(ISNUMBER(deployment_raw[[#This Row],[Column8]]),IF(OR(deployment_raw[[#This Row],[Column5]] &lt;&gt; 0,$E$2 &lt;&gt; "Deployment"), MAX(V791, ($T$2 * IF($E$2="Deployment",deployment_raw[[#This Row],[Column5]],1))), 0),"")</f>
        <v/>
      </c>
      <c r="U791" s="50" t="str">
        <f>IF(ISNUMBER(deployment_raw[[#This Row],[Column9]]),IF(OR(deployment_raw[[#This Row],[Column5]] &lt;&gt; 0,$E$2&lt;&gt;"Deployment"), MAX(W791, ($U$2 * IF($E$2="Deployment",deployment_raw[[#This Row],[Column5]],1))), 0),"")</f>
        <v/>
      </c>
      <c r="V791" s="15" t="str">
        <f>IF(ISNUMBER(deployment_raw[[#This Row],[Column12]]), (deployment_raw[[#This Row],[Column12]] * IF($E$2="Deployment",deployment_raw[[#This Row],[Column5]],1)*(1+$V$2)),"")</f>
        <v/>
      </c>
      <c r="W791" s="14" t="str">
        <f>IF(ISNUMBER(deployment_raw[[#This Row],[Column13]]), (deployment_raw[[#This Row],[Column13]] * IF($E$2="Deployment",deployment_raw[[#This Row],[Column5]],1)*(1+$W$2))/1048576,"")</f>
        <v/>
      </c>
    </row>
    <row r="792" spans="1:23" ht="15.75" customHeight="1" x14ac:dyDescent="0.25">
      <c r="A792" s="5" t="str">
        <f>IF(ISNONTEXT(deployment_raw[[#This Row],[Column1]]), "", deployment_raw[[#This Row],[Column1]])</f>
        <v/>
      </c>
      <c r="B792" s="6" t="str">
        <f>IF(ISNONTEXT(deployment_raw[[#This Row],[Column2]]), "", deployment_raw[[#This Row],[Column2]])</f>
        <v/>
      </c>
      <c r="C792" s="6" t="str">
        <f>IF(ISNONTEXT(deployment_raw[[#This Row],[Column3]]), "", deployment_raw[[#This Row],[Column3]])</f>
        <v/>
      </c>
      <c r="D792" s="6" t="str">
        <f>IF(ISNONTEXT(deployment_raw[[#This Row],[Column4]]), "", deployment_raw[[#This Row],[Column4]])</f>
        <v/>
      </c>
      <c r="E792" s="7" t="str">
        <f>IF(ISNUMBER(deployment_raw[[#This Row],[Column5]]), deployment_raw[[#This Row],[Column5]],"")</f>
        <v/>
      </c>
      <c r="F792" s="32" t="str">
        <f>IF(ISNUMBER(deployment_raw[[#This Row],[Column17]]), deployment_raw[[#This Row],[Column17]]/IF(OR($E$2="Deployment",deployment_raw[[#This Row],[Column5]]=0),1,deployment_raw[[#This Row],[Column5]]),"")</f>
        <v/>
      </c>
      <c r="G792" s="42" t="str">
        <f>IF(ISNUMBER(deployment_raw[[#This Row],[Column14]]), deployment_raw[[#This Row],[Column14]]/IF(OR($E$2="Deployment",deployment_raw[[#This Row],[Column5]]=0),1,deployment_raw[[#This Row],[Column5]]),"")</f>
        <v/>
      </c>
      <c r="H792" s="79" t="str">
        <f>IF(ISNUMBER(deployment_raw[[#This Row],[Column19]]), IF(I792&lt;&gt;0,(deployment_raw[[#This Row],[Column19]]/IF(OR($E$2="Deployment",deployment_raw[[#This Row],[Column5]]=0),1,deployment_raw[[#This Row],[Column5]]))/I792,0),"")</f>
        <v/>
      </c>
      <c r="I792" s="69" t="str">
        <f>IF(ISNUMBER(deployment_raw[[#This Row],[Column6]]), (deployment_raw[[#This Row],[Column6]] * IF($E$2="Deployment",deployment_raw[[#This Row],[Column5]],1)),"")</f>
        <v/>
      </c>
      <c r="J792" s="79" t="str">
        <f>IF(ISNUMBER(deployment_raw[[#This Row],[Column19]]), IF(K792&lt;&gt;0,(deployment_raw[[#This Row],[Column19]]/IF(OR($E$2="Deployment",deployment_raw[[#This Row],[Column5]]=0),1,deployment_raw[[#This Row],[Column5]]))/K792,0),"")</f>
        <v/>
      </c>
      <c r="K792" s="72" t="str">
        <f>IF(ISNUMBER(deployment_raw[[#This Row],[Column8]]), (deployment_raw[[#This Row],[Column8]]  * IF($E$2="Deployment",deployment_raw[[#This Row],[Column5]],1)),"")</f>
        <v/>
      </c>
      <c r="L79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9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92" s="81" t="str">
        <f>IF(ISNUMBER(deployment_raw[[#This Row],[Column20]]), IF(O792&lt;&gt;0,deployment_raw[[#This Row],[Column20]]/IF(OR($E$2="Deployment",deployment_raw[[#This Row],[Column5]]=0),1,deployment_raw[[#This Row],[Column5]])/1048576/O792,0),"")</f>
        <v/>
      </c>
      <c r="O792" s="74" t="str">
        <f>IF(ISNUMBER(deployment_raw[[#This Row],[Column7]]), (deployment_raw[[#This Row],[Column7]] * IF($E$2="Deployment",deployment_raw[[#This Row],[Column5]],1))/1048576,"")</f>
        <v/>
      </c>
      <c r="P792" s="81" t="str">
        <f>IF(ISNUMBER(deployment_raw[[#This Row],[Column20]]), IF(Q792&lt;&gt;0,deployment_raw[[#This Row],[Column20]]/IF(OR($E$2="Deployment",deployment_raw[[#This Row],[Column5]]=0),1,deployment_raw[[#This Row],[Column5]])/1048576/Q792,0),"")</f>
        <v/>
      </c>
      <c r="Q792" s="76" t="str">
        <f>IF(ISNUMBER(deployment_raw[[#This Row],[Column9]]), (deployment_raw[[#This Row],[Column9]] * IF($E$2="Deployment",deployment_raw[[#This Row],[Column5]],1))/1048576,"")</f>
        <v/>
      </c>
      <c r="R792" s="57" t="str">
        <f>IF(ISNUMBER(deployment_raw[[#This Row],[Column10]]), (deployment_raw[[#This Row],[Column10]] * IF($E$2="Deployment",deployment_raw[[#This Row],[Column5]],1)),"")</f>
        <v/>
      </c>
      <c r="S792" s="48" t="str">
        <f>IF(ISNUMBER(deployment_raw[[#This Row],[Column11]]), (deployment_raw[[#This Row],[Column11]] * IF($E$2="Deployment",deployment_raw[[#This Row],[Column5]],1))/1048576,"")</f>
        <v/>
      </c>
      <c r="T792" s="59" t="str">
        <f>IF(ISNUMBER(deployment_raw[[#This Row],[Column8]]),IF(OR(deployment_raw[[#This Row],[Column5]] &lt;&gt; 0,$E$2 &lt;&gt; "Deployment"), MAX(V792, ($T$2 * IF($E$2="Deployment",deployment_raw[[#This Row],[Column5]],1))), 0),"")</f>
        <v/>
      </c>
      <c r="U792" s="50" t="str">
        <f>IF(ISNUMBER(deployment_raw[[#This Row],[Column9]]),IF(OR(deployment_raw[[#This Row],[Column5]] &lt;&gt; 0,$E$2&lt;&gt;"Deployment"), MAX(W792, ($U$2 * IF($E$2="Deployment",deployment_raw[[#This Row],[Column5]],1))), 0),"")</f>
        <v/>
      </c>
      <c r="V792" s="15" t="str">
        <f>IF(ISNUMBER(deployment_raw[[#This Row],[Column12]]), (deployment_raw[[#This Row],[Column12]] * IF($E$2="Deployment",deployment_raw[[#This Row],[Column5]],1)*(1+$V$2)),"")</f>
        <v/>
      </c>
      <c r="W792" s="14" t="str">
        <f>IF(ISNUMBER(deployment_raw[[#This Row],[Column13]]), (deployment_raw[[#This Row],[Column13]] * IF($E$2="Deployment",deployment_raw[[#This Row],[Column5]],1)*(1+$W$2))/1048576,"")</f>
        <v/>
      </c>
    </row>
    <row r="793" spans="1:23" ht="15.75" customHeight="1" x14ac:dyDescent="0.25">
      <c r="A793" s="5" t="str">
        <f>IF(ISNONTEXT(deployment_raw[[#This Row],[Column1]]), "", deployment_raw[[#This Row],[Column1]])</f>
        <v/>
      </c>
      <c r="B793" s="6" t="str">
        <f>IF(ISNONTEXT(deployment_raw[[#This Row],[Column2]]), "", deployment_raw[[#This Row],[Column2]])</f>
        <v/>
      </c>
      <c r="C793" s="6" t="str">
        <f>IF(ISNONTEXT(deployment_raw[[#This Row],[Column3]]), "", deployment_raw[[#This Row],[Column3]])</f>
        <v/>
      </c>
      <c r="D793" s="6" t="str">
        <f>IF(ISNONTEXT(deployment_raw[[#This Row],[Column4]]), "", deployment_raw[[#This Row],[Column4]])</f>
        <v/>
      </c>
      <c r="E793" s="7" t="str">
        <f>IF(ISNUMBER(deployment_raw[[#This Row],[Column5]]), deployment_raw[[#This Row],[Column5]],"")</f>
        <v/>
      </c>
      <c r="F793" s="32" t="str">
        <f>IF(ISNUMBER(deployment_raw[[#This Row],[Column17]]), deployment_raw[[#This Row],[Column17]]/IF(OR($E$2="Deployment",deployment_raw[[#This Row],[Column5]]=0),1,deployment_raw[[#This Row],[Column5]]),"")</f>
        <v/>
      </c>
      <c r="G793" s="42" t="str">
        <f>IF(ISNUMBER(deployment_raw[[#This Row],[Column14]]), deployment_raw[[#This Row],[Column14]]/IF(OR($E$2="Deployment",deployment_raw[[#This Row],[Column5]]=0),1,deployment_raw[[#This Row],[Column5]]),"")</f>
        <v/>
      </c>
      <c r="H793" s="79" t="str">
        <f>IF(ISNUMBER(deployment_raw[[#This Row],[Column19]]), IF(I793&lt;&gt;0,(deployment_raw[[#This Row],[Column19]]/IF(OR($E$2="Deployment",deployment_raw[[#This Row],[Column5]]=0),1,deployment_raw[[#This Row],[Column5]]))/I793,0),"")</f>
        <v/>
      </c>
      <c r="I793" s="69" t="str">
        <f>IF(ISNUMBER(deployment_raw[[#This Row],[Column6]]), (deployment_raw[[#This Row],[Column6]] * IF($E$2="Deployment",deployment_raw[[#This Row],[Column5]],1)),"")</f>
        <v/>
      </c>
      <c r="J793" s="79" t="str">
        <f>IF(ISNUMBER(deployment_raw[[#This Row],[Column19]]), IF(K793&lt;&gt;0,(deployment_raw[[#This Row],[Column19]]/IF(OR($E$2="Deployment",deployment_raw[[#This Row],[Column5]]=0),1,deployment_raw[[#This Row],[Column5]]))/K793,0),"")</f>
        <v/>
      </c>
      <c r="K793" s="72" t="str">
        <f>IF(ISNUMBER(deployment_raw[[#This Row],[Column8]]), (deployment_raw[[#This Row],[Column8]]  * IF($E$2="Deployment",deployment_raw[[#This Row],[Column5]],1)),"")</f>
        <v/>
      </c>
      <c r="L79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9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93" s="81" t="str">
        <f>IF(ISNUMBER(deployment_raw[[#This Row],[Column20]]), IF(O793&lt;&gt;0,deployment_raw[[#This Row],[Column20]]/IF(OR($E$2="Deployment",deployment_raw[[#This Row],[Column5]]=0),1,deployment_raw[[#This Row],[Column5]])/1048576/O793,0),"")</f>
        <v/>
      </c>
      <c r="O793" s="74" t="str">
        <f>IF(ISNUMBER(deployment_raw[[#This Row],[Column7]]), (deployment_raw[[#This Row],[Column7]] * IF($E$2="Deployment",deployment_raw[[#This Row],[Column5]],1))/1048576,"")</f>
        <v/>
      </c>
      <c r="P793" s="81" t="str">
        <f>IF(ISNUMBER(deployment_raw[[#This Row],[Column20]]), IF(Q793&lt;&gt;0,deployment_raw[[#This Row],[Column20]]/IF(OR($E$2="Deployment",deployment_raw[[#This Row],[Column5]]=0),1,deployment_raw[[#This Row],[Column5]])/1048576/Q793,0),"")</f>
        <v/>
      </c>
      <c r="Q793" s="76" t="str">
        <f>IF(ISNUMBER(deployment_raw[[#This Row],[Column9]]), (deployment_raw[[#This Row],[Column9]] * IF($E$2="Deployment",deployment_raw[[#This Row],[Column5]],1))/1048576,"")</f>
        <v/>
      </c>
      <c r="R793" s="57" t="str">
        <f>IF(ISNUMBER(deployment_raw[[#This Row],[Column10]]), (deployment_raw[[#This Row],[Column10]] * IF($E$2="Deployment",deployment_raw[[#This Row],[Column5]],1)),"")</f>
        <v/>
      </c>
      <c r="S793" s="48" t="str">
        <f>IF(ISNUMBER(deployment_raw[[#This Row],[Column11]]), (deployment_raw[[#This Row],[Column11]] * IF($E$2="Deployment",deployment_raw[[#This Row],[Column5]],1))/1048576,"")</f>
        <v/>
      </c>
      <c r="T793" s="59" t="str">
        <f>IF(ISNUMBER(deployment_raw[[#This Row],[Column8]]),IF(OR(deployment_raw[[#This Row],[Column5]] &lt;&gt; 0,$E$2 &lt;&gt; "Deployment"), MAX(V793, ($T$2 * IF($E$2="Deployment",deployment_raw[[#This Row],[Column5]],1))), 0),"")</f>
        <v/>
      </c>
      <c r="U793" s="50" t="str">
        <f>IF(ISNUMBER(deployment_raw[[#This Row],[Column9]]),IF(OR(deployment_raw[[#This Row],[Column5]] &lt;&gt; 0,$E$2&lt;&gt;"Deployment"), MAX(W793, ($U$2 * IF($E$2="Deployment",deployment_raw[[#This Row],[Column5]],1))), 0),"")</f>
        <v/>
      </c>
      <c r="V793" s="15" t="str">
        <f>IF(ISNUMBER(deployment_raw[[#This Row],[Column12]]), (deployment_raw[[#This Row],[Column12]] * IF($E$2="Deployment",deployment_raw[[#This Row],[Column5]],1)*(1+$V$2)),"")</f>
        <v/>
      </c>
      <c r="W793" s="14" t="str">
        <f>IF(ISNUMBER(deployment_raw[[#This Row],[Column13]]), (deployment_raw[[#This Row],[Column13]] * IF($E$2="Deployment",deployment_raw[[#This Row],[Column5]],1)*(1+$W$2))/1048576,"")</f>
        <v/>
      </c>
    </row>
    <row r="794" spans="1:23" ht="15.75" customHeight="1" x14ac:dyDescent="0.25">
      <c r="A794" s="5" t="str">
        <f>IF(ISNONTEXT(deployment_raw[[#This Row],[Column1]]), "", deployment_raw[[#This Row],[Column1]])</f>
        <v/>
      </c>
      <c r="B794" s="6" t="str">
        <f>IF(ISNONTEXT(deployment_raw[[#This Row],[Column2]]), "", deployment_raw[[#This Row],[Column2]])</f>
        <v/>
      </c>
      <c r="C794" s="6" t="str">
        <f>IF(ISNONTEXT(deployment_raw[[#This Row],[Column3]]), "", deployment_raw[[#This Row],[Column3]])</f>
        <v/>
      </c>
      <c r="D794" s="6" t="str">
        <f>IF(ISNONTEXT(deployment_raw[[#This Row],[Column4]]), "", deployment_raw[[#This Row],[Column4]])</f>
        <v/>
      </c>
      <c r="E794" s="7" t="str">
        <f>IF(ISNUMBER(deployment_raw[[#This Row],[Column5]]), deployment_raw[[#This Row],[Column5]],"")</f>
        <v/>
      </c>
      <c r="F794" s="32" t="str">
        <f>IF(ISNUMBER(deployment_raw[[#This Row],[Column17]]), deployment_raw[[#This Row],[Column17]]/IF(OR($E$2="Deployment",deployment_raw[[#This Row],[Column5]]=0),1,deployment_raw[[#This Row],[Column5]]),"")</f>
        <v/>
      </c>
      <c r="G794" s="42" t="str">
        <f>IF(ISNUMBER(deployment_raw[[#This Row],[Column14]]), deployment_raw[[#This Row],[Column14]]/IF(OR($E$2="Deployment",deployment_raw[[#This Row],[Column5]]=0),1,deployment_raw[[#This Row],[Column5]]),"")</f>
        <v/>
      </c>
      <c r="H794" s="79" t="str">
        <f>IF(ISNUMBER(deployment_raw[[#This Row],[Column19]]), IF(I794&lt;&gt;0,(deployment_raw[[#This Row],[Column19]]/IF(OR($E$2="Deployment",deployment_raw[[#This Row],[Column5]]=0),1,deployment_raw[[#This Row],[Column5]]))/I794,0),"")</f>
        <v/>
      </c>
      <c r="I794" s="69" t="str">
        <f>IF(ISNUMBER(deployment_raw[[#This Row],[Column6]]), (deployment_raw[[#This Row],[Column6]] * IF($E$2="Deployment",deployment_raw[[#This Row],[Column5]],1)),"")</f>
        <v/>
      </c>
      <c r="J794" s="79" t="str">
        <f>IF(ISNUMBER(deployment_raw[[#This Row],[Column19]]), IF(K794&lt;&gt;0,(deployment_raw[[#This Row],[Column19]]/IF(OR($E$2="Deployment",deployment_raw[[#This Row],[Column5]]=0),1,deployment_raw[[#This Row],[Column5]]))/K794,0),"")</f>
        <v/>
      </c>
      <c r="K794" s="72" t="str">
        <f>IF(ISNUMBER(deployment_raw[[#This Row],[Column8]]), (deployment_raw[[#This Row],[Column8]]  * IF($E$2="Deployment",deployment_raw[[#This Row],[Column5]],1)),"")</f>
        <v/>
      </c>
      <c r="L79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9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94" s="81" t="str">
        <f>IF(ISNUMBER(deployment_raw[[#This Row],[Column20]]), IF(O794&lt;&gt;0,deployment_raw[[#This Row],[Column20]]/IF(OR($E$2="Deployment",deployment_raw[[#This Row],[Column5]]=0),1,deployment_raw[[#This Row],[Column5]])/1048576/O794,0),"")</f>
        <v/>
      </c>
      <c r="O794" s="74" t="str">
        <f>IF(ISNUMBER(deployment_raw[[#This Row],[Column7]]), (deployment_raw[[#This Row],[Column7]] * IF($E$2="Deployment",deployment_raw[[#This Row],[Column5]],1))/1048576,"")</f>
        <v/>
      </c>
      <c r="P794" s="81" t="str">
        <f>IF(ISNUMBER(deployment_raw[[#This Row],[Column20]]), IF(Q794&lt;&gt;0,deployment_raw[[#This Row],[Column20]]/IF(OR($E$2="Deployment",deployment_raw[[#This Row],[Column5]]=0),1,deployment_raw[[#This Row],[Column5]])/1048576/Q794,0),"")</f>
        <v/>
      </c>
      <c r="Q794" s="76" t="str">
        <f>IF(ISNUMBER(deployment_raw[[#This Row],[Column9]]), (deployment_raw[[#This Row],[Column9]] * IF($E$2="Deployment",deployment_raw[[#This Row],[Column5]],1))/1048576,"")</f>
        <v/>
      </c>
      <c r="R794" s="57" t="str">
        <f>IF(ISNUMBER(deployment_raw[[#This Row],[Column10]]), (deployment_raw[[#This Row],[Column10]] * IF($E$2="Deployment",deployment_raw[[#This Row],[Column5]],1)),"")</f>
        <v/>
      </c>
      <c r="S794" s="48" t="str">
        <f>IF(ISNUMBER(deployment_raw[[#This Row],[Column11]]), (deployment_raw[[#This Row],[Column11]] * IF($E$2="Deployment",deployment_raw[[#This Row],[Column5]],1))/1048576,"")</f>
        <v/>
      </c>
      <c r="T794" s="59" t="str">
        <f>IF(ISNUMBER(deployment_raw[[#This Row],[Column8]]),IF(OR(deployment_raw[[#This Row],[Column5]] &lt;&gt; 0,$E$2 &lt;&gt; "Deployment"), MAX(V794, ($T$2 * IF($E$2="Deployment",deployment_raw[[#This Row],[Column5]],1))), 0),"")</f>
        <v/>
      </c>
      <c r="U794" s="50" t="str">
        <f>IF(ISNUMBER(deployment_raw[[#This Row],[Column9]]),IF(OR(deployment_raw[[#This Row],[Column5]] &lt;&gt; 0,$E$2&lt;&gt;"Deployment"), MAX(W794, ($U$2 * IF($E$2="Deployment",deployment_raw[[#This Row],[Column5]],1))), 0),"")</f>
        <v/>
      </c>
      <c r="V794" s="15" t="str">
        <f>IF(ISNUMBER(deployment_raw[[#This Row],[Column12]]), (deployment_raw[[#This Row],[Column12]] * IF($E$2="Deployment",deployment_raw[[#This Row],[Column5]],1)*(1+$V$2)),"")</f>
        <v/>
      </c>
      <c r="W794" s="14" t="str">
        <f>IF(ISNUMBER(deployment_raw[[#This Row],[Column13]]), (deployment_raw[[#This Row],[Column13]] * IF($E$2="Deployment",deployment_raw[[#This Row],[Column5]],1)*(1+$W$2))/1048576,"")</f>
        <v/>
      </c>
    </row>
    <row r="795" spans="1:23" ht="15.75" customHeight="1" x14ac:dyDescent="0.25">
      <c r="A795" s="5" t="str">
        <f>IF(ISNONTEXT(deployment_raw[[#This Row],[Column1]]), "", deployment_raw[[#This Row],[Column1]])</f>
        <v/>
      </c>
      <c r="B795" s="6" t="str">
        <f>IF(ISNONTEXT(deployment_raw[[#This Row],[Column2]]), "", deployment_raw[[#This Row],[Column2]])</f>
        <v/>
      </c>
      <c r="C795" s="6" t="str">
        <f>IF(ISNONTEXT(deployment_raw[[#This Row],[Column3]]), "", deployment_raw[[#This Row],[Column3]])</f>
        <v/>
      </c>
      <c r="D795" s="6" t="str">
        <f>IF(ISNONTEXT(deployment_raw[[#This Row],[Column4]]), "", deployment_raw[[#This Row],[Column4]])</f>
        <v/>
      </c>
      <c r="E795" s="7" t="str">
        <f>IF(ISNUMBER(deployment_raw[[#This Row],[Column5]]), deployment_raw[[#This Row],[Column5]],"")</f>
        <v/>
      </c>
      <c r="F795" s="32" t="str">
        <f>IF(ISNUMBER(deployment_raw[[#This Row],[Column17]]), deployment_raw[[#This Row],[Column17]]/IF(OR($E$2="Deployment",deployment_raw[[#This Row],[Column5]]=0),1,deployment_raw[[#This Row],[Column5]]),"")</f>
        <v/>
      </c>
      <c r="G795" s="42" t="str">
        <f>IF(ISNUMBER(deployment_raw[[#This Row],[Column14]]), deployment_raw[[#This Row],[Column14]]/IF(OR($E$2="Deployment",deployment_raw[[#This Row],[Column5]]=0),1,deployment_raw[[#This Row],[Column5]]),"")</f>
        <v/>
      </c>
      <c r="H795" s="79" t="str">
        <f>IF(ISNUMBER(deployment_raw[[#This Row],[Column19]]), IF(I795&lt;&gt;0,(deployment_raw[[#This Row],[Column19]]/IF(OR($E$2="Deployment",deployment_raw[[#This Row],[Column5]]=0),1,deployment_raw[[#This Row],[Column5]]))/I795,0),"")</f>
        <v/>
      </c>
      <c r="I795" s="69" t="str">
        <f>IF(ISNUMBER(deployment_raw[[#This Row],[Column6]]), (deployment_raw[[#This Row],[Column6]] * IF($E$2="Deployment",deployment_raw[[#This Row],[Column5]],1)),"")</f>
        <v/>
      </c>
      <c r="J795" s="79" t="str">
        <f>IF(ISNUMBER(deployment_raw[[#This Row],[Column19]]), IF(K795&lt;&gt;0,(deployment_raw[[#This Row],[Column19]]/IF(OR($E$2="Deployment",deployment_raw[[#This Row],[Column5]]=0),1,deployment_raw[[#This Row],[Column5]]))/K795,0),"")</f>
        <v/>
      </c>
      <c r="K795" s="72" t="str">
        <f>IF(ISNUMBER(deployment_raw[[#This Row],[Column8]]), (deployment_raw[[#This Row],[Column8]]  * IF($E$2="Deployment",deployment_raw[[#This Row],[Column5]],1)),"")</f>
        <v/>
      </c>
      <c r="L79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9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95" s="81" t="str">
        <f>IF(ISNUMBER(deployment_raw[[#This Row],[Column20]]), IF(O795&lt;&gt;0,deployment_raw[[#This Row],[Column20]]/IF(OR($E$2="Deployment",deployment_raw[[#This Row],[Column5]]=0),1,deployment_raw[[#This Row],[Column5]])/1048576/O795,0),"")</f>
        <v/>
      </c>
      <c r="O795" s="74" t="str">
        <f>IF(ISNUMBER(deployment_raw[[#This Row],[Column7]]), (deployment_raw[[#This Row],[Column7]] * IF($E$2="Deployment",deployment_raw[[#This Row],[Column5]],1))/1048576,"")</f>
        <v/>
      </c>
      <c r="P795" s="81" t="str">
        <f>IF(ISNUMBER(deployment_raw[[#This Row],[Column20]]), IF(Q795&lt;&gt;0,deployment_raw[[#This Row],[Column20]]/IF(OR($E$2="Deployment",deployment_raw[[#This Row],[Column5]]=0),1,deployment_raw[[#This Row],[Column5]])/1048576/Q795,0),"")</f>
        <v/>
      </c>
      <c r="Q795" s="76" t="str">
        <f>IF(ISNUMBER(deployment_raw[[#This Row],[Column9]]), (deployment_raw[[#This Row],[Column9]] * IF($E$2="Deployment",deployment_raw[[#This Row],[Column5]],1))/1048576,"")</f>
        <v/>
      </c>
      <c r="R795" s="57" t="str">
        <f>IF(ISNUMBER(deployment_raw[[#This Row],[Column10]]), (deployment_raw[[#This Row],[Column10]] * IF($E$2="Deployment",deployment_raw[[#This Row],[Column5]],1)),"")</f>
        <v/>
      </c>
      <c r="S795" s="48" t="str">
        <f>IF(ISNUMBER(deployment_raw[[#This Row],[Column11]]), (deployment_raw[[#This Row],[Column11]] * IF($E$2="Deployment",deployment_raw[[#This Row],[Column5]],1))/1048576,"")</f>
        <v/>
      </c>
      <c r="T795" s="59" t="str">
        <f>IF(ISNUMBER(deployment_raw[[#This Row],[Column8]]),IF(OR(deployment_raw[[#This Row],[Column5]] &lt;&gt; 0,$E$2 &lt;&gt; "Deployment"), MAX(V795, ($T$2 * IF($E$2="Deployment",deployment_raw[[#This Row],[Column5]],1))), 0),"")</f>
        <v/>
      </c>
      <c r="U795" s="50" t="str">
        <f>IF(ISNUMBER(deployment_raw[[#This Row],[Column9]]),IF(OR(deployment_raw[[#This Row],[Column5]] &lt;&gt; 0,$E$2&lt;&gt;"Deployment"), MAX(W795, ($U$2 * IF($E$2="Deployment",deployment_raw[[#This Row],[Column5]],1))), 0),"")</f>
        <v/>
      </c>
      <c r="V795" s="15" t="str">
        <f>IF(ISNUMBER(deployment_raw[[#This Row],[Column12]]), (deployment_raw[[#This Row],[Column12]] * IF($E$2="Deployment",deployment_raw[[#This Row],[Column5]],1)*(1+$V$2)),"")</f>
        <v/>
      </c>
      <c r="W795" s="14" t="str">
        <f>IF(ISNUMBER(deployment_raw[[#This Row],[Column13]]), (deployment_raw[[#This Row],[Column13]] * IF($E$2="Deployment",deployment_raw[[#This Row],[Column5]],1)*(1+$W$2))/1048576,"")</f>
        <v/>
      </c>
    </row>
    <row r="796" spans="1:23" ht="15.75" customHeight="1" x14ac:dyDescent="0.25">
      <c r="A796" s="5" t="str">
        <f>IF(ISNONTEXT(deployment_raw[[#This Row],[Column1]]), "", deployment_raw[[#This Row],[Column1]])</f>
        <v/>
      </c>
      <c r="B796" s="6" t="str">
        <f>IF(ISNONTEXT(deployment_raw[[#This Row],[Column2]]), "", deployment_raw[[#This Row],[Column2]])</f>
        <v/>
      </c>
      <c r="C796" s="6" t="str">
        <f>IF(ISNONTEXT(deployment_raw[[#This Row],[Column3]]), "", deployment_raw[[#This Row],[Column3]])</f>
        <v/>
      </c>
      <c r="D796" s="6" t="str">
        <f>IF(ISNONTEXT(deployment_raw[[#This Row],[Column4]]), "", deployment_raw[[#This Row],[Column4]])</f>
        <v/>
      </c>
      <c r="E796" s="7" t="str">
        <f>IF(ISNUMBER(deployment_raw[[#This Row],[Column5]]), deployment_raw[[#This Row],[Column5]],"")</f>
        <v/>
      </c>
      <c r="F796" s="32" t="str">
        <f>IF(ISNUMBER(deployment_raw[[#This Row],[Column17]]), deployment_raw[[#This Row],[Column17]]/IF(OR($E$2="Deployment",deployment_raw[[#This Row],[Column5]]=0),1,deployment_raw[[#This Row],[Column5]]),"")</f>
        <v/>
      </c>
      <c r="G796" s="42" t="str">
        <f>IF(ISNUMBER(deployment_raw[[#This Row],[Column14]]), deployment_raw[[#This Row],[Column14]]/IF(OR($E$2="Deployment",deployment_raw[[#This Row],[Column5]]=0),1,deployment_raw[[#This Row],[Column5]]),"")</f>
        <v/>
      </c>
      <c r="H796" s="79" t="str">
        <f>IF(ISNUMBER(deployment_raw[[#This Row],[Column19]]), IF(I796&lt;&gt;0,(deployment_raw[[#This Row],[Column19]]/IF(OR($E$2="Deployment",deployment_raw[[#This Row],[Column5]]=0),1,deployment_raw[[#This Row],[Column5]]))/I796,0),"")</f>
        <v/>
      </c>
      <c r="I796" s="69" t="str">
        <f>IF(ISNUMBER(deployment_raw[[#This Row],[Column6]]), (deployment_raw[[#This Row],[Column6]] * IF($E$2="Deployment",deployment_raw[[#This Row],[Column5]],1)),"")</f>
        <v/>
      </c>
      <c r="J796" s="79" t="str">
        <f>IF(ISNUMBER(deployment_raw[[#This Row],[Column19]]), IF(K796&lt;&gt;0,(deployment_raw[[#This Row],[Column19]]/IF(OR($E$2="Deployment",deployment_raw[[#This Row],[Column5]]=0),1,deployment_raw[[#This Row],[Column5]]))/K796,0),"")</f>
        <v/>
      </c>
      <c r="K796" s="72" t="str">
        <f>IF(ISNUMBER(deployment_raw[[#This Row],[Column8]]), (deployment_raw[[#This Row],[Column8]]  * IF($E$2="Deployment",deployment_raw[[#This Row],[Column5]],1)),"")</f>
        <v/>
      </c>
      <c r="L79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9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96" s="81" t="str">
        <f>IF(ISNUMBER(deployment_raw[[#This Row],[Column20]]), IF(O796&lt;&gt;0,deployment_raw[[#This Row],[Column20]]/IF(OR($E$2="Deployment",deployment_raw[[#This Row],[Column5]]=0),1,deployment_raw[[#This Row],[Column5]])/1048576/O796,0),"")</f>
        <v/>
      </c>
      <c r="O796" s="74" t="str">
        <f>IF(ISNUMBER(deployment_raw[[#This Row],[Column7]]), (deployment_raw[[#This Row],[Column7]] * IF($E$2="Deployment",deployment_raw[[#This Row],[Column5]],1))/1048576,"")</f>
        <v/>
      </c>
      <c r="P796" s="81" t="str">
        <f>IF(ISNUMBER(deployment_raw[[#This Row],[Column20]]), IF(Q796&lt;&gt;0,deployment_raw[[#This Row],[Column20]]/IF(OR($E$2="Deployment",deployment_raw[[#This Row],[Column5]]=0),1,deployment_raw[[#This Row],[Column5]])/1048576/Q796,0),"")</f>
        <v/>
      </c>
      <c r="Q796" s="76" t="str">
        <f>IF(ISNUMBER(deployment_raw[[#This Row],[Column9]]), (deployment_raw[[#This Row],[Column9]] * IF($E$2="Deployment",deployment_raw[[#This Row],[Column5]],1))/1048576,"")</f>
        <v/>
      </c>
      <c r="R796" s="57" t="str">
        <f>IF(ISNUMBER(deployment_raw[[#This Row],[Column10]]), (deployment_raw[[#This Row],[Column10]] * IF($E$2="Deployment",deployment_raw[[#This Row],[Column5]],1)),"")</f>
        <v/>
      </c>
      <c r="S796" s="48" t="str">
        <f>IF(ISNUMBER(deployment_raw[[#This Row],[Column11]]), (deployment_raw[[#This Row],[Column11]] * IF($E$2="Deployment",deployment_raw[[#This Row],[Column5]],1))/1048576,"")</f>
        <v/>
      </c>
      <c r="T796" s="59" t="str">
        <f>IF(ISNUMBER(deployment_raw[[#This Row],[Column8]]),IF(OR(deployment_raw[[#This Row],[Column5]] &lt;&gt; 0,$E$2 &lt;&gt; "Deployment"), MAX(V796, ($T$2 * IF($E$2="Deployment",deployment_raw[[#This Row],[Column5]],1))), 0),"")</f>
        <v/>
      </c>
      <c r="U796" s="50" t="str">
        <f>IF(ISNUMBER(deployment_raw[[#This Row],[Column9]]),IF(OR(deployment_raw[[#This Row],[Column5]] &lt;&gt; 0,$E$2&lt;&gt;"Deployment"), MAX(W796, ($U$2 * IF($E$2="Deployment",deployment_raw[[#This Row],[Column5]],1))), 0),"")</f>
        <v/>
      </c>
      <c r="V796" s="15" t="str">
        <f>IF(ISNUMBER(deployment_raw[[#This Row],[Column12]]), (deployment_raw[[#This Row],[Column12]] * IF($E$2="Deployment",deployment_raw[[#This Row],[Column5]],1)*(1+$V$2)),"")</f>
        <v/>
      </c>
      <c r="W796" s="14" t="str">
        <f>IF(ISNUMBER(deployment_raw[[#This Row],[Column13]]), (deployment_raw[[#This Row],[Column13]] * IF($E$2="Deployment",deployment_raw[[#This Row],[Column5]],1)*(1+$W$2))/1048576,"")</f>
        <v/>
      </c>
    </row>
    <row r="797" spans="1:23" ht="15.75" customHeight="1" x14ac:dyDescent="0.25">
      <c r="A797" s="5" t="str">
        <f>IF(ISNONTEXT(deployment_raw[[#This Row],[Column1]]), "", deployment_raw[[#This Row],[Column1]])</f>
        <v/>
      </c>
      <c r="B797" s="6" t="str">
        <f>IF(ISNONTEXT(deployment_raw[[#This Row],[Column2]]), "", deployment_raw[[#This Row],[Column2]])</f>
        <v/>
      </c>
      <c r="C797" s="6" t="str">
        <f>IF(ISNONTEXT(deployment_raw[[#This Row],[Column3]]), "", deployment_raw[[#This Row],[Column3]])</f>
        <v/>
      </c>
      <c r="D797" s="6" t="str">
        <f>IF(ISNONTEXT(deployment_raw[[#This Row],[Column4]]), "", deployment_raw[[#This Row],[Column4]])</f>
        <v/>
      </c>
      <c r="E797" s="7" t="str">
        <f>IF(ISNUMBER(deployment_raw[[#This Row],[Column5]]), deployment_raw[[#This Row],[Column5]],"")</f>
        <v/>
      </c>
      <c r="F797" s="32" t="str">
        <f>IF(ISNUMBER(deployment_raw[[#This Row],[Column17]]), deployment_raw[[#This Row],[Column17]]/IF(OR($E$2="Deployment",deployment_raw[[#This Row],[Column5]]=0),1,deployment_raw[[#This Row],[Column5]]),"")</f>
        <v/>
      </c>
      <c r="G797" s="42" t="str">
        <f>IF(ISNUMBER(deployment_raw[[#This Row],[Column14]]), deployment_raw[[#This Row],[Column14]]/IF(OR($E$2="Deployment",deployment_raw[[#This Row],[Column5]]=0),1,deployment_raw[[#This Row],[Column5]]),"")</f>
        <v/>
      </c>
      <c r="H797" s="79" t="str">
        <f>IF(ISNUMBER(deployment_raw[[#This Row],[Column19]]), IF(I797&lt;&gt;0,(deployment_raw[[#This Row],[Column19]]/IF(OR($E$2="Deployment",deployment_raw[[#This Row],[Column5]]=0),1,deployment_raw[[#This Row],[Column5]]))/I797,0),"")</f>
        <v/>
      </c>
      <c r="I797" s="69" t="str">
        <f>IF(ISNUMBER(deployment_raw[[#This Row],[Column6]]), (deployment_raw[[#This Row],[Column6]] * IF($E$2="Deployment",deployment_raw[[#This Row],[Column5]],1)),"")</f>
        <v/>
      </c>
      <c r="J797" s="79" t="str">
        <f>IF(ISNUMBER(deployment_raw[[#This Row],[Column19]]), IF(K797&lt;&gt;0,(deployment_raw[[#This Row],[Column19]]/IF(OR($E$2="Deployment",deployment_raw[[#This Row],[Column5]]=0),1,deployment_raw[[#This Row],[Column5]]))/K797,0),"")</f>
        <v/>
      </c>
      <c r="K797" s="72" t="str">
        <f>IF(ISNUMBER(deployment_raw[[#This Row],[Column8]]), (deployment_raw[[#This Row],[Column8]]  * IF($E$2="Deployment",deployment_raw[[#This Row],[Column5]],1)),"")</f>
        <v/>
      </c>
      <c r="L79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9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97" s="81" t="str">
        <f>IF(ISNUMBER(deployment_raw[[#This Row],[Column20]]), IF(O797&lt;&gt;0,deployment_raw[[#This Row],[Column20]]/IF(OR($E$2="Deployment",deployment_raw[[#This Row],[Column5]]=0),1,deployment_raw[[#This Row],[Column5]])/1048576/O797,0),"")</f>
        <v/>
      </c>
      <c r="O797" s="74" t="str">
        <f>IF(ISNUMBER(deployment_raw[[#This Row],[Column7]]), (deployment_raw[[#This Row],[Column7]] * IF($E$2="Deployment",deployment_raw[[#This Row],[Column5]],1))/1048576,"")</f>
        <v/>
      </c>
      <c r="P797" s="81" t="str">
        <f>IF(ISNUMBER(deployment_raw[[#This Row],[Column20]]), IF(Q797&lt;&gt;0,deployment_raw[[#This Row],[Column20]]/IF(OR($E$2="Deployment",deployment_raw[[#This Row],[Column5]]=0),1,deployment_raw[[#This Row],[Column5]])/1048576/Q797,0),"")</f>
        <v/>
      </c>
      <c r="Q797" s="76" t="str">
        <f>IF(ISNUMBER(deployment_raw[[#This Row],[Column9]]), (deployment_raw[[#This Row],[Column9]] * IF($E$2="Deployment",deployment_raw[[#This Row],[Column5]],1))/1048576,"")</f>
        <v/>
      </c>
      <c r="R797" s="57" t="str">
        <f>IF(ISNUMBER(deployment_raw[[#This Row],[Column10]]), (deployment_raw[[#This Row],[Column10]] * IF($E$2="Deployment",deployment_raw[[#This Row],[Column5]],1)),"")</f>
        <v/>
      </c>
      <c r="S797" s="48" t="str">
        <f>IF(ISNUMBER(deployment_raw[[#This Row],[Column11]]), (deployment_raw[[#This Row],[Column11]] * IF($E$2="Deployment",deployment_raw[[#This Row],[Column5]],1))/1048576,"")</f>
        <v/>
      </c>
      <c r="T797" s="59" t="str">
        <f>IF(ISNUMBER(deployment_raw[[#This Row],[Column8]]),IF(OR(deployment_raw[[#This Row],[Column5]] &lt;&gt; 0,$E$2 &lt;&gt; "Deployment"), MAX(V797, ($T$2 * IF($E$2="Deployment",deployment_raw[[#This Row],[Column5]],1))), 0),"")</f>
        <v/>
      </c>
      <c r="U797" s="50" t="str">
        <f>IF(ISNUMBER(deployment_raw[[#This Row],[Column9]]),IF(OR(deployment_raw[[#This Row],[Column5]] &lt;&gt; 0,$E$2&lt;&gt;"Deployment"), MAX(W797, ($U$2 * IF($E$2="Deployment",deployment_raw[[#This Row],[Column5]],1))), 0),"")</f>
        <v/>
      </c>
      <c r="V797" s="15" t="str">
        <f>IF(ISNUMBER(deployment_raw[[#This Row],[Column12]]), (deployment_raw[[#This Row],[Column12]] * IF($E$2="Deployment",deployment_raw[[#This Row],[Column5]],1)*(1+$V$2)),"")</f>
        <v/>
      </c>
      <c r="W797" s="14" t="str">
        <f>IF(ISNUMBER(deployment_raw[[#This Row],[Column13]]), (deployment_raw[[#This Row],[Column13]] * IF($E$2="Deployment",deployment_raw[[#This Row],[Column5]],1)*(1+$W$2))/1048576,"")</f>
        <v/>
      </c>
    </row>
    <row r="798" spans="1:23" ht="15.75" customHeight="1" x14ac:dyDescent="0.25">
      <c r="A798" s="5" t="str">
        <f>IF(ISNONTEXT(deployment_raw[[#This Row],[Column1]]), "", deployment_raw[[#This Row],[Column1]])</f>
        <v/>
      </c>
      <c r="B798" s="6" t="str">
        <f>IF(ISNONTEXT(deployment_raw[[#This Row],[Column2]]), "", deployment_raw[[#This Row],[Column2]])</f>
        <v/>
      </c>
      <c r="C798" s="6" t="str">
        <f>IF(ISNONTEXT(deployment_raw[[#This Row],[Column3]]), "", deployment_raw[[#This Row],[Column3]])</f>
        <v/>
      </c>
      <c r="D798" s="6" t="str">
        <f>IF(ISNONTEXT(deployment_raw[[#This Row],[Column4]]), "", deployment_raw[[#This Row],[Column4]])</f>
        <v/>
      </c>
      <c r="E798" s="7" t="str">
        <f>IF(ISNUMBER(deployment_raw[[#This Row],[Column5]]), deployment_raw[[#This Row],[Column5]],"")</f>
        <v/>
      </c>
      <c r="F798" s="32" t="str">
        <f>IF(ISNUMBER(deployment_raw[[#This Row],[Column17]]), deployment_raw[[#This Row],[Column17]]/IF(OR($E$2="Deployment",deployment_raw[[#This Row],[Column5]]=0),1,deployment_raw[[#This Row],[Column5]]),"")</f>
        <v/>
      </c>
      <c r="G798" s="42" t="str">
        <f>IF(ISNUMBER(deployment_raw[[#This Row],[Column14]]), deployment_raw[[#This Row],[Column14]]/IF(OR($E$2="Deployment",deployment_raw[[#This Row],[Column5]]=0),1,deployment_raw[[#This Row],[Column5]]),"")</f>
        <v/>
      </c>
      <c r="H798" s="79" t="str">
        <f>IF(ISNUMBER(deployment_raw[[#This Row],[Column19]]), IF(I798&lt;&gt;0,(deployment_raw[[#This Row],[Column19]]/IF(OR($E$2="Deployment",deployment_raw[[#This Row],[Column5]]=0),1,deployment_raw[[#This Row],[Column5]]))/I798,0),"")</f>
        <v/>
      </c>
      <c r="I798" s="69" t="str">
        <f>IF(ISNUMBER(deployment_raw[[#This Row],[Column6]]), (deployment_raw[[#This Row],[Column6]] * IF($E$2="Deployment",deployment_raw[[#This Row],[Column5]],1)),"")</f>
        <v/>
      </c>
      <c r="J798" s="79" t="str">
        <f>IF(ISNUMBER(deployment_raw[[#This Row],[Column19]]), IF(K798&lt;&gt;0,(deployment_raw[[#This Row],[Column19]]/IF(OR($E$2="Deployment",deployment_raw[[#This Row],[Column5]]=0),1,deployment_raw[[#This Row],[Column5]]))/K798,0),"")</f>
        <v/>
      </c>
      <c r="K798" s="72" t="str">
        <f>IF(ISNUMBER(deployment_raw[[#This Row],[Column8]]), (deployment_raw[[#This Row],[Column8]]  * IF($E$2="Deployment",deployment_raw[[#This Row],[Column5]],1)),"")</f>
        <v/>
      </c>
      <c r="L79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9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98" s="81" t="str">
        <f>IF(ISNUMBER(deployment_raw[[#This Row],[Column20]]), IF(O798&lt;&gt;0,deployment_raw[[#This Row],[Column20]]/IF(OR($E$2="Deployment",deployment_raw[[#This Row],[Column5]]=0),1,deployment_raw[[#This Row],[Column5]])/1048576/O798,0),"")</f>
        <v/>
      </c>
      <c r="O798" s="74" t="str">
        <f>IF(ISNUMBER(deployment_raw[[#This Row],[Column7]]), (deployment_raw[[#This Row],[Column7]] * IF($E$2="Deployment",deployment_raw[[#This Row],[Column5]],1))/1048576,"")</f>
        <v/>
      </c>
      <c r="P798" s="81" t="str">
        <f>IF(ISNUMBER(deployment_raw[[#This Row],[Column20]]), IF(Q798&lt;&gt;0,deployment_raw[[#This Row],[Column20]]/IF(OR($E$2="Deployment",deployment_raw[[#This Row],[Column5]]=0),1,deployment_raw[[#This Row],[Column5]])/1048576/Q798,0),"")</f>
        <v/>
      </c>
      <c r="Q798" s="76" t="str">
        <f>IF(ISNUMBER(deployment_raw[[#This Row],[Column9]]), (deployment_raw[[#This Row],[Column9]] * IF($E$2="Deployment",deployment_raw[[#This Row],[Column5]],1))/1048576,"")</f>
        <v/>
      </c>
      <c r="R798" s="57" t="str">
        <f>IF(ISNUMBER(deployment_raw[[#This Row],[Column10]]), (deployment_raw[[#This Row],[Column10]] * IF($E$2="Deployment",deployment_raw[[#This Row],[Column5]],1)),"")</f>
        <v/>
      </c>
      <c r="S798" s="48" t="str">
        <f>IF(ISNUMBER(deployment_raw[[#This Row],[Column11]]), (deployment_raw[[#This Row],[Column11]] * IF($E$2="Deployment",deployment_raw[[#This Row],[Column5]],1))/1048576,"")</f>
        <v/>
      </c>
      <c r="T798" s="59" t="str">
        <f>IF(ISNUMBER(deployment_raw[[#This Row],[Column8]]),IF(OR(deployment_raw[[#This Row],[Column5]] &lt;&gt; 0,$E$2 &lt;&gt; "Deployment"), MAX(V798, ($T$2 * IF($E$2="Deployment",deployment_raw[[#This Row],[Column5]],1))), 0),"")</f>
        <v/>
      </c>
      <c r="U798" s="50" t="str">
        <f>IF(ISNUMBER(deployment_raw[[#This Row],[Column9]]),IF(OR(deployment_raw[[#This Row],[Column5]] &lt;&gt; 0,$E$2&lt;&gt;"Deployment"), MAX(W798, ($U$2 * IF($E$2="Deployment",deployment_raw[[#This Row],[Column5]],1))), 0),"")</f>
        <v/>
      </c>
      <c r="V798" s="15" t="str">
        <f>IF(ISNUMBER(deployment_raw[[#This Row],[Column12]]), (deployment_raw[[#This Row],[Column12]] * IF($E$2="Deployment",deployment_raw[[#This Row],[Column5]],1)*(1+$V$2)),"")</f>
        <v/>
      </c>
      <c r="W798" s="14" t="str">
        <f>IF(ISNUMBER(deployment_raw[[#This Row],[Column13]]), (deployment_raw[[#This Row],[Column13]] * IF($E$2="Deployment",deployment_raw[[#This Row],[Column5]],1)*(1+$W$2))/1048576,"")</f>
        <v/>
      </c>
    </row>
    <row r="799" spans="1:23" ht="15.75" customHeight="1" x14ac:dyDescent="0.25">
      <c r="A799" s="5" t="str">
        <f>IF(ISNONTEXT(deployment_raw[[#This Row],[Column1]]), "", deployment_raw[[#This Row],[Column1]])</f>
        <v/>
      </c>
      <c r="B799" s="6" t="str">
        <f>IF(ISNONTEXT(deployment_raw[[#This Row],[Column2]]), "", deployment_raw[[#This Row],[Column2]])</f>
        <v/>
      </c>
      <c r="C799" s="6" t="str">
        <f>IF(ISNONTEXT(deployment_raw[[#This Row],[Column3]]), "", deployment_raw[[#This Row],[Column3]])</f>
        <v/>
      </c>
      <c r="D799" s="6" t="str">
        <f>IF(ISNONTEXT(deployment_raw[[#This Row],[Column4]]), "", deployment_raw[[#This Row],[Column4]])</f>
        <v/>
      </c>
      <c r="E799" s="7" t="str">
        <f>IF(ISNUMBER(deployment_raw[[#This Row],[Column5]]), deployment_raw[[#This Row],[Column5]],"")</f>
        <v/>
      </c>
      <c r="F799" s="32" t="str">
        <f>IF(ISNUMBER(deployment_raw[[#This Row],[Column17]]), deployment_raw[[#This Row],[Column17]]/IF(OR($E$2="Deployment",deployment_raw[[#This Row],[Column5]]=0),1,deployment_raw[[#This Row],[Column5]]),"")</f>
        <v/>
      </c>
      <c r="G799" s="42" t="str">
        <f>IF(ISNUMBER(deployment_raw[[#This Row],[Column14]]), deployment_raw[[#This Row],[Column14]]/IF(OR($E$2="Deployment",deployment_raw[[#This Row],[Column5]]=0),1,deployment_raw[[#This Row],[Column5]]),"")</f>
        <v/>
      </c>
      <c r="H799" s="79" t="str">
        <f>IF(ISNUMBER(deployment_raw[[#This Row],[Column19]]), IF(I799&lt;&gt;0,(deployment_raw[[#This Row],[Column19]]/IF(OR($E$2="Deployment",deployment_raw[[#This Row],[Column5]]=0),1,deployment_raw[[#This Row],[Column5]]))/I799,0),"")</f>
        <v/>
      </c>
      <c r="I799" s="69" t="str">
        <f>IF(ISNUMBER(deployment_raw[[#This Row],[Column6]]), (deployment_raw[[#This Row],[Column6]] * IF($E$2="Deployment",deployment_raw[[#This Row],[Column5]],1)),"")</f>
        <v/>
      </c>
      <c r="J799" s="79" t="str">
        <f>IF(ISNUMBER(deployment_raw[[#This Row],[Column19]]), IF(K799&lt;&gt;0,(deployment_raw[[#This Row],[Column19]]/IF(OR($E$2="Deployment",deployment_raw[[#This Row],[Column5]]=0),1,deployment_raw[[#This Row],[Column5]]))/K799,0),"")</f>
        <v/>
      </c>
      <c r="K799" s="72" t="str">
        <f>IF(ISNUMBER(deployment_raw[[#This Row],[Column8]]), (deployment_raw[[#This Row],[Column8]]  * IF($E$2="Deployment",deployment_raw[[#This Row],[Column5]],1)),"")</f>
        <v/>
      </c>
      <c r="L79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9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99" s="81" t="str">
        <f>IF(ISNUMBER(deployment_raw[[#This Row],[Column20]]), IF(O799&lt;&gt;0,deployment_raw[[#This Row],[Column20]]/IF(OR($E$2="Deployment",deployment_raw[[#This Row],[Column5]]=0),1,deployment_raw[[#This Row],[Column5]])/1048576/O799,0),"")</f>
        <v/>
      </c>
      <c r="O799" s="74" t="str">
        <f>IF(ISNUMBER(deployment_raw[[#This Row],[Column7]]), (deployment_raw[[#This Row],[Column7]] * IF($E$2="Deployment",deployment_raw[[#This Row],[Column5]],1))/1048576,"")</f>
        <v/>
      </c>
      <c r="P799" s="81" t="str">
        <f>IF(ISNUMBER(deployment_raw[[#This Row],[Column20]]), IF(Q799&lt;&gt;0,deployment_raw[[#This Row],[Column20]]/IF(OR($E$2="Deployment",deployment_raw[[#This Row],[Column5]]=0),1,deployment_raw[[#This Row],[Column5]])/1048576/Q799,0),"")</f>
        <v/>
      </c>
      <c r="Q799" s="76" t="str">
        <f>IF(ISNUMBER(deployment_raw[[#This Row],[Column9]]), (deployment_raw[[#This Row],[Column9]] * IF($E$2="Deployment",deployment_raw[[#This Row],[Column5]],1))/1048576,"")</f>
        <v/>
      </c>
      <c r="R799" s="57" t="str">
        <f>IF(ISNUMBER(deployment_raw[[#This Row],[Column10]]), (deployment_raw[[#This Row],[Column10]] * IF($E$2="Deployment",deployment_raw[[#This Row],[Column5]],1)),"")</f>
        <v/>
      </c>
      <c r="S799" s="48" t="str">
        <f>IF(ISNUMBER(deployment_raw[[#This Row],[Column11]]), (deployment_raw[[#This Row],[Column11]] * IF($E$2="Deployment",deployment_raw[[#This Row],[Column5]],1))/1048576,"")</f>
        <v/>
      </c>
      <c r="T799" s="59" t="str">
        <f>IF(ISNUMBER(deployment_raw[[#This Row],[Column8]]),IF(OR(deployment_raw[[#This Row],[Column5]] &lt;&gt; 0,$E$2 &lt;&gt; "Deployment"), MAX(V799, ($T$2 * IF($E$2="Deployment",deployment_raw[[#This Row],[Column5]],1))), 0),"")</f>
        <v/>
      </c>
      <c r="U799" s="50" t="str">
        <f>IF(ISNUMBER(deployment_raw[[#This Row],[Column9]]),IF(OR(deployment_raw[[#This Row],[Column5]] &lt;&gt; 0,$E$2&lt;&gt;"Deployment"), MAX(W799, ($U$2 * IF($E$2="Deployment",deployment_raw[[#This Row],[Column5]],1))), 0),"")</f>
        <v/>
      </c>
      <c r="V799" s="15" t="str">
        <f>IF(ISNUMBER(deployment_raw[[#This Row],[Column12]]), (deployment_raw[[#This Row],[Column12]] * IF($E$2="Deployment",deployment_raw[[#This Row],[Column5]],1)*(1+$V$2)),"")</f>
        <v/>
      </c>
      <c r="W799" s="14" t="str">
        <f>IF(ISNUMBER(deployment_raw[[#This Row],[Column13]]), (deployment_raw[[#This Row],[Column13]] * IF($E$2="Deployment",deployment_raw[[#This Row],[Column5]],1)*(1+$W$2))/1048576,"")</f>
        <v/>
      </c>
    </row>
    <row r="800" spans="1:23" ht="15.75" customHeight="1" x14ac:dyDescent="0.25">
      <c r="A800" s="5" t="str">
        <f>IF(ISNONTEXT(deployment_raw[[#This Row],[Column1]]), "", deployment_raw[[#This Row],[Column1]])</f>
        <v/>
      </c>
      <c r="B800" s="6" t="str">
        <f>IF(ISNONTEXT(deployment_raw[[#This Row],[Column2]]), "", deployment_raw[[#This Row],[Column2]])</f>
        <v/>
      </c>
      <c r="C800" s="6" t="str">
        <f>IF(ISNONTEXT(deployment_raw[[#This Row],[Column3]]), "", deployment_raw[[#This Row],[Column3]])</f>
        <v/>
      </c>
      <c r="D800" s="6" t="str">
        <f>IF(ISNONTEXT(deployment_raw[[#This Row],[Column4]]), "", deployment_raw[[#This Row],[Column4]])</f>
        <v/>
      </c>
      <c r="E800" s="7" t="str">
        <f>IF(ISNUMBER(deployment_raw[[#This Row],[Column5]]), deployment_raw[[#This Row],[Column5]],"")</f>
        <v/>
      </c>
      <c r="F800" s="32" t="str">
        <f>IF(ISNUMBER(deployment_raw[[#This Row],[Column17]]), deployment_raw[[#This Row],[Column17]]/IF(OR($E$2="Deployment",deployment_raw[[#This Row],[Column5]]=0),1,deployment_raw[[#This Row],[Column5]]),"")</f>
        <v/>
      </c>
      <c r="G800" s="42" t="str">
        <f>IF(ISNUMBER(deployment_raw[[#This Row],[Column14]]), deployment_raw[[#This Row],[Column14]]/IF(OR($E$2="Deployment",deployment_raw[[#This Row],[Column5]]=0),1,deployment_raw[[#This Row],[Column5]]),"")</f>
        <v/>
      </c>
      <c r="H800" s="79" t="str">
        <f>IF(ISNUMBER(deployment_raw[[#This Row],[Column19]]), IF(I800&lt;&gt;0,(deployment_raw[[#This Row],[Column19]]/IF(OR($E$2="Deployment",deployment_raw[[#This Row],[Column5]]=0),1,deployment_raw[[#This Row],[Column5]]))/I800,0),"")</f>
        <v/>
      </c>
      <c r="I800" s="69" t="str">
        <f>IF(ISNUMBER(deployment_raw[[#This Row],[Column6]]), (deployment_raw[[#This Row],[Column6]] * IF($E$2="Deployment",deployment_raw[[#This Row],[Column5]],1)),"")</f>
        <v/>
      </c>
      <c r="J800" s="79" t="str">
        <f>IF(ISNUMBER(deployment_raw[[#This Row],[Column19]]), IF(K800&lt;&gt;0,(deployment_raw[[#This Row],[Column19]]/IF(OR($E$2="Deployment",deployment_raw[[#This Row],[Column5]]=0),1,deployment_raw[[#This Row],[Column5]]))/K800,0),"")</f>
        <v/>
      </c>
      <c r="K800" s="72" t="str">
        <f>IF(ISNUMBER(deployment_raw[[#This Row],[Column8]]), (deployment_raw[[#This Row],[Column8]]  * IF($E$2="Deployment",deployment_raw[[#This Row],[Column5]],1)),"")</f>
        <v/>
      </c>
      <c r="L80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0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00" s="81" t="str">
        <f>IF(ISNUMBER(deployment_raw[[#This Row],[Column20]]), IF(O800&lt;&gt;0,deployment_raw[[#This Row],[Column20]]/IF(OR($E$2="Deployment",deployment_raw[[#This Row],[Column5]]=0),1,deployment_raw[[#This Row],[Column5]])/1048576/O800,0),"")</f>
        <v/>
      </c>
      <c r="O800" s="74" t="str">
        <f>IF(ISNUMBER(deployment_raw[[#This Row],[Column7]]), (deployment_raw[[#This Row],[Column7]] * IF($E$2="Deployment",deployment_raw[[#This Row],[Column5]],1))/1048576,"")</f>
        <v/>
      </c>
      <c r="P800" s="81" t="str">
        <f>IF(ISNUMBER(deployment_raw[[#This Row],[Column20]]), IF(Q800&lt;&gt;0,deployment_raw[[#This Row],[Column20]]/IF(OR($E$2="Deployment",deployment_raw[[#This Row],[Column5]]=0),1,deployment_raw[[#This Row],[Column5]])/1048576/Q800,0),"")</f>
        <v/>
      </c>
      <c r="Q800" s="76" t="str">
        <f>IF(ISNUMBER(deployment_raw[[#This Row],[Column9]]), (deployment_raw[[#This Row],[Column9]] * IF($E$2="Deployment",deployment_raw[[#This Row],[Column5]],1))/1048576,"")</f>
        <v/>
      </c>
      <c r="R800" s="57" t="str">
        <f>IF(ISNUMBER(deployment_raw[[#This Row],[Column10]]), (deployment_raw[[#This Row],[Column10]] * IF($E$2="Deployment",deployment_raw[[#This Row],[Column5]],1)),"")</f>
        <v/>
      </c>
      <c r="S800" s="48" t="str">
        <f>IF(ISNUMBER(deployment_raw[[#This Row],[Column11]]), (deployment_raw[[#This Row],[Column11]] * IF($E$2="Deployment",deployment_raw[[#This Row],[Column5]],1))/1048576,"")</f>
        <v/>
      </c>
      <c r="T800" s="59" t="str">
        <f>IF(ISNUMBER(deployment_raw[[#This Row],[Column8]]),IF(OR(deployment_raw[[#This Row],[Column5]] &lt;&gt; 0,$E$2 &lt;&gt; "Deployment"), MAX(V800, ($T$2 * IF($E$2="Deployment",deployment_raw[[#This Row],[Column5]],1))), 0),"")</f>
        <v/>
      </c>
      <c r="U800" s="50" t="str">
        <f>IF(ISNUMBER(deployment_raw[[#This Row],[Column9]]),IF(OR(deployment_raw[[#This Row],[Column5]] &lt;&gt; 0,$E$2&lt;&gt;"Deployment"), MAX(W800, ($U$2 * IF($E$2="Deployment",deployment_raw[[#This Row],[Column5]],1))), 0),"")</f>
        <v/>
      </c>
      <c r="V800" s="15" t="str">
        <f>IF(ISNUMBER(deployment_raw[[#This Row],[Column12]]), (deployment_raw[[#This Row],[Column12]] * IF($E$2="Deployment",deployment_raw[[#This Row],[Column5]],1)*(1+$V$2)),"")</f>
        <v/>
      </c>
      <c r="W800" s="14" t="str">
        <f>IF(ISNUMBER(deployment_raw[[#This Row],[Column13]]), (deployment_raw[[#This Row],[Column13]] * IF($E$2="Deployment",deployment_raw[[#This Row],[Column5]],1)*(1+$W$2))/1048576,"")</f>
        <v/>
      </c>
    </row>
    <row r="801" spans="1:23" ht="15.75" customHeight="1" x14ac:dyDescent="0.25">
      <c r="A801" s="5" t="str">
        <f>IF(ISNONTEXT(deployment_raw[[#This Row],[Column1]]), "", deployment_raw[[#This Row],[Column1]])</f>
        <v/>
      </c>
      <c r="B801" s="6" t="str">
        <f>IF(ISNONTEXT(deployment_raw[[#This Row],[Column2]]), "", deployment_raw[[#This Row],[Column2]])</f>
        <v/>
      </c>
      <c r="C801" s="6" t="str">
        <f>IF(ISNONTEXT(deployment_raw[[#This Row],[Column3]]), "", deployment_raw[[#This Row],[Column3]])</f>
        <v/>
      </c>
      <c r="D801" s="6" t="str">
        <f>IF(ISNONTEXT(deployment_raw[[#This Row],[Column4]]), "", deployment_raw[[#This Row],[Column4]])</f>
        <v/>
      </c>
      <c r="E801" s="7" t="str">
        <f>IF(ISNUMBER(deployment_raw[[#This Row],[Column5]]), deployment_raw[[#This Row],[Column5]],"")</f>
        <v/>
      </c>
      <c r="F801" s="32" t="str">
        <f>IF(ISNUMBER(deployment_raw[[#This Row],[Column17]]), deployment_raw[[#This Row],[Column17]]/IF(OR($E$2="Deployment",deployment_raw[[#This Row],[Column5]]=0),1,deployment_raw[[#This Row],[Column5]]),"")</f>
        <v/>
      </c>
      <c r="G801" s="42" t="str">
        <f>IF(ISNUMBER(deployment_raw[[#This Row],[Column14]]), deployment_raw[[#This Row],[Column14]]/IF(OR($E$2="Deployment",deployment_raw[[#This Row],[Column5]]=0),1,deployment_raw[[#This Row],[Column5]]),"")</f>
        <v/>
      </c>
      <c r="H801" s="79" t="str">
        <f>IF(ISNUMBER(deployment_raw[[#This Row],[Column19]]), IF(I801&lt;&gt;0,(deployment_raw[[#This Row],[Column19]]/IF(OR($E$2="Deployment",deployment_raw[[#This Row],[Column5]]=0),1,deployment_raw[[#This Row],[Column5]]))/I801,0),"")</f>
        <v/>
      </c>
      <c r="I801" s="69" t="str">
        <f>IF(ISNUMBER(deployment_raw[[#This Row],[Column6]]), (deployment_raw[[#This Row],[Column6]] * IF($E$2="Deployment",deployment_raw[[#This Row],[Column5]],1)),"")</f>
        <v/>
      </c>
      <c r="J801" s="79" t="str">
        <f>IF(ISNUMBER(deployment_raw[[#This Row],[Column19]]), IF(K801&lt;&gt;0,(deployment_raw[[#This Row],[Column19]]/IF(OR($E$2="Deployment",deployment_raw[[#This Row],[Column5]]=0),1,deployment_raw[[#This Row],[Column5]]))/K801,0),"")</f>
        <v/>
      </c>
      <c r="K801" s="72" t="str">
        <f>IF(ISNUMBER(deployment_raw[[#This Row],[Column8]]), (deployment_raw[[#This Row],[Column8]]  * IF($E$2="Deployment",deployment_raw[[#This Row],[Column5]],1)),"")</f>
        <v/>
      </c>
      <c r="L80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0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01" s="81" t="str">
        <f>IF(ISNUMBER(deployment_raw[[#This Row],[Column20]]), IF(O801&lt;&gt;0,deployment_raw[[#This Row],[Column20]]/IF(OR($E$2="Deployment",deployment_raw[[#This Row],[Column5]]=0),1,deployment_raw[[#This Row],[Column5]])/1048576/O801,0),"")</f>
        <v/>
      </c>
      <c r="O801" s="74" t="str">
        <f>IF(ISNUMBER(deployment_raw[[#This Row],[Column7]]), (deployment_raw[[#This Row],[Column7]] * IF($E$2="Deployment",deployment_raw[[#This Row],[Column5]],1))/1048576,"")</f>
        <v/>
      </c>
      <c r="P801" s="81" t="str">
        <f>IF(ISNUMBER(deployment_raw[[#This Row],[Column20]]), IF(Q801&lt;&gt;0,deployment_raw[[#This Row],[Column20]]/IF(OR($E$2="Deployment",deployment_raw[[#This Row],[Column5]]=0),1,deployment_raw[[#This Row],[Column5]])/1048576/Q801,0),"")</f>
        <v/>
      </c>
      <c r="Q801" s="76" t="str">
        <f>IF(ISNUMBER(deployment_raw[[#This Row],[Column9]]), (deployment_raw[[#This Row],[Column9]] * IF($E$2="Deployment",deployment_raw[[#This Row],[Column5]],1))/1048576,"")</f>
        <v/>
      </c>
      <c r="R801" s="57" t="str">
        <f>IF(ISNUMBER(deployment_raw[[#This Row],[Column10]]), (deployment_raw[[#This Row],[Column10]] * IF($E$2="Deployment",deployment_raw[[#This Row],[Column5]],1)),"")</f>
        <v/>
      </c>
      <c r="S801" s="48" t="str">
        <f>IF(ISNUMBER(deployment_raw[[#This Row],[Column11]]), (deployment_raw[[#This Row],[Column11]] * IF($E$2="Deployment",deployment_raw[[#This Row],[Column5]],1))/1048576,"")</f>
        <v/>
      </c>
      <c r="T801" s="59" t="str">
        <f>IF(ISNUMBER(deployment_raw[[#This Row],[Column8]]),IF(OR(deployment_raw[[#This Row],[Column5]] &lt;&gt; 0,$E$2 &lt;&gt; "Deployment"), MAX(V801, ($T$2 * IF($E$2="Deployment",deployment_raw[[#This Row],[Column5]],1))), 0),"")</f>
        <v/>
      </c>
      <c r="U801" s="50" t="str">
        <f>IF(ISNUMBER(deployment_raw[[#This Row],[Column9]]),IF(OR(deployment_raw[[#This Row],[Column5]] &lt;&gt; 0,$E$2&lt;&gt;"Deployment"), MAX(W801, ($U$2 * IF($E$2="Deployment",deployment_raw[[#This Row],[Column5]],1))), 0),"")</f>
        <v/>
      </c>
      <c r="V801" s="15" t="str">
        <f>IF(ISNUMBER(deployment_raw[[#This Row],[Column12]]), (deployment_raw[[#This Row],[Column12]] * IF($E$2="Deployment",deployment_raw[[#This Row],[Column5]],1)*(1+$V$2)),"")</f>
        <v/>
      </c>
      <c r="W801" s="14" t="str">
        <f>IF(ISNUMBER(deployment_raw[[#This Row],[Column13]]), (deployment_raw[[#This Row],[Column13]] * IF($E$2="Deployment",deployment_raw[[#This Row],[Column5]],1)*(1+$W$2))/1048576,"")</f>
        <v/>
      </c>
    </row>
    <row r="802" spans="1:23" ht="15.75" customHeight="1" x14ac:dyDescent="0.25">
      <c r="A802" s="5" t="str">
        <f>IF(ISNONTEXT(deployment_raw[[#This Row],[Column1]]), "", deployment_raw[[#This Row],[Column1]])</f>
        <v/>
      </c>
      <c r="B802" s="6" t="str">
        <f>IF(ISNONTEXT(deployment_raw[[#This Row],[Column2]]), "", deployment_raw[[#This Row],[Column2]])</f>
        <v/>
      </c>
      <c r="C802" s="6" t="str">
        <f>IF(ISNONTEXT(deployment_raw[[#This Row],[Column3]]), "", deployment_raw[[#This Row],[Column3]])</f>
        <v/>
      </c>
      <c r="D802" s="6" t="str">
        <f>IF(ISNONTEXT(deployment_raw[[#This Row],[Column4]]), "", deployment_raw[[#This Row],[Column4]])</f>
        <v/>
      </c>
      <c r="E802" s="7" t="str">
        <f>IF(ISNUMBER(deployment_raw[[#This Row],[Column5]]), deployment_raw[[#This Row],[Column5]],"")</f>
        <v/>
      </c>
      <c r="F802" s="32" t="str">
        <f>IF(ISNUMBER(deployment_raw[[#This Row],[Column17]]), deployment_raw[[#This Row],[Column17]]/IF(OR($E$2="Deployment",deployment_raw[[#This Row],[Column5]]=0),1,deployment_raw[[#This Row],[Column5]]),"")</f>
        <v/>
      </c>
      <c r="G802" s="42" t="str">
        <f>IF(ISNUMBER(deployment_raw[[#This Row],[Column14]]), deployment_raw[[#This Row],[Column14]]/IF(OR($E$2="Deployment",deployment_raw[[#This Row],[Column5]]=0),1,deployment_raw[[#This Row],[Column5]]),"")</f>
        <v/>
      </c>
      <c r="H802" s="79" t="str">
        <f>IF(ISNUMBER(deployment_raw[[#This Row],[Column19]]), IF(I802&lt;&gt;0,(deployment_raw[[#This Row],[Column19]]/IF(OR($E$2="Deployment",deployment_raw[[#This Row],[Column5]]=0),1,deployment_raw[[#This Row],[Column5]]))/I802,0),"")</f>
        <v/>
      </c>
      <c r="I802" s="69" t="str">
        <f>IF(ISNUMBER(deployment_raw[[#This Row],[Column6]]), (deployment_raw[[#This Row],[Column6]] * IF($E$2="Deployment",deployment_raw[[#This Row],[Column5]],1)),"")</f>
        <v/>
      </c>
      <c r="J802" s="79" t="str">
        <f>IF(ISNUMBER(deployment_raw[[#This Row],[Column19]]), IF(K802&lt;&gt;0,(deployment_raw[[#This Row],[Column19]]/IF(OR($E$2="Deployment",deployment_raw[[#This Row],[Column5]]=0),1,deployment_raw[[#This Row],[Column5]]))/K802,0),"")</f>
        <v/>
      </c>
      <c r="K802" s="72" t="str">
        <f>IF(ISNUMBER(deployment_raw[[#This Row],[Column8]]), (deployment_raw[[#This Row],[Column8]]  * IF($E$2="Deployment",deployment_raw[[#This Row],[Column5]],1)),"")</f>
        <v/>
      </c>
      <c r="L80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0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02" s="81" t="str">
        <f>IF(ISNUMBER(deployment_raw[[#This Row],[Column20]]), IF(O802&lt;&gt;0,deployment_raw[[#This Row],[Column20]]/IF(OR($E$2="Deployment",deployment_raw[[#This Row],[Column5]]=0),1,deployment_raw[[#This Row],[Column5]])/1048576/O802,0),"")</f>
        <v/>
      </c>
      <c r="O802" s="74" t="str">
        <f>IF(ISNUMBER(deployment_raw[[#This Row],[Column7]]), (deployment_raw[[#This Row],[Column7]] * IF($E$2="Deployment",deployment_raw[[#This Row],[Column5]],1))/1048576,"")</f>
        <v/>
      </c>
      <c r="P802" s="81" t="str">
        <f>IF(ISNUMBER(deployment_raw[[#This Row],[Column20]]), IF(Q802&lt;&gt;0,deployment_raw[[#This Row],[Column20]]/IF(OR($E$2="Deployment",deployment_raw[[#This Row],[Column5]]=0),1,deployment_raw[[#This Row],[Column5]])/1048576/Q802,0),"")</f>
        <v/>
      </c>
      <c r="Q802" s="76" t="str">
        <f>IF(ISNUMBER(deployment_raw[[#This Row],[Column9]]), (deployment_raw[[#This Row],[Column9]] * IF($E$2="Deployment",deployment_raw[[#This Row],[Column5]],1))/1048576,"")</f>
        <v/>
      </c>
      <c r="R802" s="57" t="str">
        <f>IF(ISNUMBER(deployment_raw[[#This Row],[Column10]]), (deployment_raw[[#This Row],[Column10]] * IF($E$2="Deployment",deployment_raw[[#This Row],[Column5]],1)),"")</f>
        <v/>
      </c>
      <c r="S802" s="48" t="str">
        <f>IF(ISNUMBER(deployment_raw[[#This Row],[Column11]]), (deployment_raw[[#This Row],[Column11]] * IF($E$2="Deployment",deployment_raw[[#This Row],[Column5]],1))/1048576,"")</f>
        <v/>
      </c>
      <c r="T802" s="59" t="str">
        <f>IF(ISNUMBER(deployment_raw[[#This Row],[Column8]]),IF(OR(deployment_raw[[#This Row],[Column5]] &lt;&gt; 0,$E$2 &lt;&gt; "Deployment"), MAX(V802, ($T$2 * IF($E$2="Deployment",deployment_raw[[#This Row],[Column5]],1))), 0),"")</f>
        <v/>
      </c>
      <c r="U802" s="50" t="str">
        <f>IF(ISNUMBER(deployment_raw[[#This Row],[Column9]]),IF(OR(deployment_raw[[#This Row],[Column5]] &lt;&gt; 0,$E$2&lt;&gt;"Deployment"), MAX(W802, ($U$2 * IF($E$2="Deployment",deployment_raw[[#This Row],[Column5]],1))), 0),"")</f>
        <v/>
      </c>
      <c r="V802" s="15" t="str">
        <f>IF(ISNUMBER(deployment_raw[[#This Row],[Column12]]), (deployment_raw[[#This Row],[Column12]] * IF($E$2="Deployment",deployment_raw[[#This Row],[Column5]],1)*(1+$V$2)),"")</f>
        <v/>
      </c>
      <c r="W802" s="14" t="str">
        <f>IF(ISNUMBER(deployment_raw[[#This Row],[Column13]]), (deployment_raw[[#This Row],[Column13]] * IF($E$2="Deployment",deployment_raw[[#This Row],[Column5]],1)*(1+$W$2))/1048576,"")</f>
        <v/>
      </c>
    </row>
    <row r="803" spans="1:23" ht="15.75" customHeight="1" x14ac:dyDescent="0.25">
      <c r="A803" s="5" t="str">
        <f>IF(ISNONTEXT(deployment_raw[[#This Row],[Column1]]), "", deployment_raw[[#This Row],[Column1]])</f>
        <v/>
      </c>
      <c r="B803" s="6" t="str">
        <f>IF(ISNONTEXT(deployment_raw[[#This Row],[Column2]]), "", deployment_raw[[#This Row],[Column2]])</f>
        <v/>
      </c>
      <c r="C803" s="6" t="str">
        <f>IF(ISNONTEXT(deployment_raw[[#This Row],[Column3]]), "", deployment_raw[[#This Row],[Column3]])</f>
        <v/>
      </c>
      <c r="D803" s="6" t="str">
        <f>IF(ISNONTEXT(deployment_raw[[#This Row],[Column4]]), "", deployment_raw[[#This Row],[Column4]])</f>
        <v/>
      </c>
      <c r="E803" s="7" t="str">
        <f>IF(ISNUMBER(deployment_raw[[#This Row],[Column5]]), deployment_raw[[#This Row],[Column5]],"")</f>
        <v/>
      </c>
      <c r="F803" s="32" t="str">
        <f>IF(ISNUMBER(deployment_raw[[#This Row],[Column17]]), deployment_raw[[#This Row],[Column17]]/IF(OR($E$2="Deployment",deployment_raw[[#This Row],[Column5]]=0),1,deployment_raw[[#This Row],[Column5]]),"")</f>
        <v/>
      </c>
      <c r="G803" s="42" t="str">
        <f>IF(ISNUMBER(deployment_raw[[#This Row],[Column14]]), deployment_raw[[#This Row],[Column14]]/IF(OR($E$2="Deployment",deployment_raw[[#This Row],[Column5]]=0),1,deployment_raw[[#This Row],[Column5]]),"")</f>
        <v/>
      </c>
      <c r="H803" s="79" t="str">
        <f>IF(ISNUMBER(deployment_raw[[#This Row],[Column19]]), IF(I803&lt;&gt;0,(deployment_raw[[#This Row],[Column19]]/IF(OR($E$2="Deployment",deployment_raw[[#This Row],[Column5]]=0),1,deployment_raw[[#This Row],[Column5]]))/I803,0),"")</f>
        <v/>
      </c>
      <c r="I803" s="69" t="str">
        <f>IF(ISNUMBER(deployment_raw[[#This Row],[Column6]]), (deployment_raw[[#This Row],[Column6]] * IF($E$2="Deployment",deployment_raw[[#This Row],[Column5]],1)),"")</f>
        <v/>
      </c>
      <c r="J803" s="79" t="str">
        <f>IF(ISNUMBER(deployment_raw[[#This Row],[Column19]]), IF(K803&lt;&gt;0,(deployment_raw[[#This Row],[Column19]]/IF(OR($E$2="Deployment",deployment_raw[[#This Row],[Column5]]=0),1,deployment_raw[[#This Row],[Column5]]))/K803,0),"")</f>
        <v/>
      </c>
      <c r="K803" s="72" t="str">
        <f>IF(ISNUMBER(deployment_raw[[#This Row],[Column8]]), (deployment_raw[[#This Row],[Column8]]  * IF($E$2="Deployment",deployment_raw[[#This Row],[Column5]],1)),"")</f>
        <v/>
      </c>
      <c r="L80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0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03" s="81" t="str">
        <f>IF(ISNUMBER(deployment_raw[[#This Row],[Column20]]), IF(O803&lt;&gt;0,deployment_raw[[#This Row],[Column20]]/IF(OR($E$2="Deployment",deployment_raw[[#This Row],[Column5]]=0),1,deployment_raw[[#This Row],[Column5]])/1048576/O803,0),"")</f>
        <v/>
      </c>
      <c r="O803" s="74" t="str">
        <f>IF(ISNUMBER(deployment_raw[[#This Row],[Column7]]), (deployment_raw[[#This Row],[Column7]] * IF($E$2="Deployment",deployment_raw[[#This Row],[Column5]],1))/1048576,"")</f>
        <v/>
      </c>
      <c r="P803" s="81" t="str">
        <f>IF(ISNUMBER(deployment_raw[[#This Row],[Column20]]), IF(Q803&lt;&gt;0,deployment_raw[[#This Row],[Column20]]/IF(OR($E$2="Deployment",deployment_raw[[#This Row],[Column5]]=0),1,deployment_raw[[#This Row],[Column5]])/1048576/Q803,0),"")</f>
        <v/>
      </c>
      <c r="Q803" s="76" t="str">
        <f>IF(ISNUMBER(deployment_raw[[#This Row],[Column9]]), (deployment_raw[[#This Row],[Column9]] * IF($E$2="Deployment",deployment_raw[[#This Row],[Column5]],1))/1048576,"")</f>
        <v/>
      </c>
      <c r="R803" s="57" t="str">
        <f>IF(ISNUMBER(deployment_raw[[#This Row],[Column10]]), (deployment_raw[[#This Row],[Column10]] * IF($E$2="Deployment",deployment_raw[[#This Row],[Column5]],1)),"")</f>
        <v/>
      </c>
      <c r="S803" s="48" t="str">
        <f>IF(ISNUMBER(deployment_raw[[#This Row],[Column11]]), (deployment_raw[[#This Row],[Column11]] * IF($E$2="Deployment",deployment_raw[[#This Row],[Column5]],1))/1048576,"")</f>
        <v/>
      </c>
      <c r="T803" s="59" t="str">
        <f>IF(ISNUMBER(deployment_raw[[#This Row],[Column8]]),IF(OR(deployment_raw[[#This Row],[Column5]] &lt;&gt; 0,$E$2 &lt;&gt; "Deployment"), MAX(V803, ($T$2 * IF($E$2="Deployment",deployment_raw[[#This Row],[Column5]],1))), 0),"")</f>
        <v/>
      </c>
      <c r="U803" s="50" t="str">
        <f>IF(ISNUMBER(deployment_raw[[#This Row],[Column9]]),IF(OR(deployment_raw[[#This Row],[Column5]] &lt;&gt; 0,$E$2&lt;&gt;"Deployment"), MAX(W803, ($U$2 * IF($E$2="Deployment",deployment_raw[[#This Row],[Column5]],1))), 0),"")</f>
        <v/>
      </c>
      <c r="V803" s="15" t="str">
        <f>IF(ISNUMBER(deployment_raw[[#This Row],[Column12]]), (deployment_raw[[#This Row],[Column12]] * IF($E$2="Deployment",deployment_raw[[#This Row],[Column5]],1)*(1+$V$2)),"")</f>
        <v/>
      </c>
      <c r="W803" s="14" t="str">
        <f>IF(ISNUMBER(deployment_raw[[#This Row],[Column13]]), (deployment_raw[[#This Row],[Column13]] * IF($E$2="Deployment",deployment_raw[[#This Row],[Column5]],1)*(1+$W$2))/1048576,"")</f>
        <v/>
      </c>
    </row>
    <row r="804" spans="1:23" ht="15.75" customHeight="1" x14ac:dyDescent="0.25">
      <c r="A804" s="5" t="str">
        <f>IF(ISNONTEXT(deployment_raw[[#This Row],[Column1]]), "", deployment_raw[[#This Row],[Column1]])</f>
        <v/>
      </c>
      <c r="B804" s="6" t="str">
        <f>IF(ISNONTEXT(deployment_raw[[#This Row],[Column2]]), "", deployment_raw[[#This Row],[Column2]])</f>
        <v/>
      </c>
      <c r="C804" s="6" t="str">
        <f>IF(ISNONTEXT(deployment_raw[[#This Row],[Column3]]), "", deployment_raw[[#This Row],[Column3]])</f>
        <v/>
      </c>
      <c r="D804" s="6" t="str">
        <f>IF(ISNONTEXT(deployment_raw[[#This Row],[Column4]]), "", deployment_raw[[#This Row],[Column4]])</f>
        <v/>
      </c>
      <c r="E804" s="7" t="str">
        <f>IF(ISNUMBER(deployment_raw[[#This Row],[Column5]]), deployment_raw[[#This Row],[Column5]],"")</f>
        <v/>
      </c>
      <c r="F804" s="32" t="str">
        <f>IF(ISNUMBER(deployment_raw[[#This Row],[Column17]]), deployment_raw[[#This Row],[Column17]]/IF(OR($E$2="Deployment",deployment_raw[[#This Row],[Column5]]=0),1,deployment_raw[[#This Row],[Column5]]),"")</f>
        <v/>
      </c>
      <c r="G804" s="42" t="str">
        <f>IF(ISNUMBER(deployment_raw[[#This Row],[Column14]]), deployment_raw[[#This Row],[Column14]]/IF(OR($E$2="Deployment",deployment_raw[[#This Row],[Column5]]=0),1,deployment_raw[[#This Row],[Column5]]),"")</f>
        <v/>
      </c>
      <c r="H804" s="79" t="str">
        <f>IF(ISNUMBER(deployment_raw[[#This Row],[Column19]]), IF(I804&lt;&gt;0,(deployment_raw[[#This Row],[Column19]]/IF(OR($E$2="Deployment",deployment_raw[[#This Row],[Column5]]=0),1,deployment_raw[[#This Row],[Column5]]))/I804,0),"")</f>
        <v/>
      </c>
      <c r="I804" s="69" t="str">
        <f>IF(ISNUMBER(deployment_raw[[#This Row],[Column6]]), (deployment_raw[[#This Row],[Column6]] * IF($E$2="Deployment",deployment_raw[[#This Row],[Column5]],1)),"")</f>
        <v/>
      </c>
      <c r="J804" s="79" t="str">
        <f>IF(ISNUMBER(deployment_raw[[#This Row],[Column19]]), IF(K804&lt;&gt;0,(deployment_raw[[#This Row],[Column19]]/IF(OR($E$2="Deployment",deployment_raw[[#This Row],[Column5]]=0),1,deployment_raw[[#This Row],[Column5]]))/K804,0),"")</f>
        <v/>
      </c>
      <c r="K804" s="72" t="str">
        <f>IF(ISNUMBER(deployment_raw[[#This Row],[Column8]]), (deployment_raw[[#This Row],[Column8]]  * IF($E$2="Deployment",deployment_raw[[#This Row],[Column5]],1)),"")</f>
        <v/>
      </c>
      <c r="L80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0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04" s="81" t="str">
        <f>IF(ISNUMBER(deployment_raw[[#This Row],[Column20]]), IF(O804&lt;&gt;0,deployment_raw[[#This Row],[Column20]]/IF(OR($E$2="Deployment",deployment_raw[[#This Row],[Column5]]=0),1,deployment_raw[[#This Row],[Column5]])/1048576/O804,0),"")</f>
        <v/>
      </c>
      <c r="O804" s="74" t="str">
        <f>IF(ISNUMBER(deployment_raw[[#This Row],[Column7]]), (deployment_raw[[#This Row],[Column7]] * IF($E$2="Deployment",deployment_raw[[#This Row],[Column5]],1))/1048576,"")</f>
        <v/>
      </c>
      <c r="P804" s="81" t="str">
        <f>IF(ISNUMBER(deployment_raw[[#This Row],[Column20]]), IF(Q804&lt;&gt;0,deployment_raw[[#This Row],[Column20]]/IF(OR($E$2="Deployment",deployment_raw[[#This Row],[Column5]]=0),1,deployment_raw[[#This Row],[Column5]])/1048576/Q804,0),"")</f>
        <v/>
      </c>
      <c r="Q804" s="76" t="str">
        <f>IF(ISNUMBER(deployment_raw[[#This Row],[Column9]]), (deployment_raw[[#This Row],[Column9]] * IF($E$2="Deployment",deployment_raw[[#This Row],[Column5]],1))/1048576,"")</f>
        <v/>
      </c>
      <c r="R804" s="57" t="str">
        <f>IF(ISNUMBER(deployment_raw[[#This Row],[Column10]]), (deployment_raw[[#This Row],[Column10]] * IF($E$2="Deployment",deployment_raw[[#This Row],[Column5]],1)),"")</f>
        <v/>
      </c>
      <c r="S804" s="48" t="str">
        <f>IF(ISNUMBER(deployment_raw[[#This Row],[Column11]]), (deployment_raw[[#This Row],[Column11]] * IF($E$2="Deployment",deployment_raw[[#This Row],[Column5]],1))/1048576,"")</f>
        <v/>
      </c>
      <c r="T804" s="59" t="str">
        <f>IF(ISNUMBER(deployment_raw[[#This Row],[Column8]]),IF(OR(deployment_raw[[#This Row],[Column5]] &lt;&gt; 0,$E$2 &lt;&gt; "Deployment"), MAX(V804, ($T$2 * IF($E$2="Deployment",deployment_raw[[#This Row],[Column5]],1))), 0),"")</f>
        <v/>
      </c>
      <c r="U804" s="50" t="str">
        <f>IF(ISNUMBER(deployment_raw[[#This Row],[Column9]]),IF(OR(deployment_raw[[#This Row],[Column5]] &lt;&gt; 0,$E$2&lt;&gt;"Deployment"), MAX(W804, ($U$2 * IF($E$2="Deployment",deployment_raw[[#This Row],[Column5]],1))), 0),"")</f>
        <v/>
      </c>
      <c r="V804" s="15" t="str">
        <f>IF(ISNUMBER(deployment_raw[[#This Row],[Column12]]), (deployment_raw[[#This Row],[Column12]] * IF($E$2="Deployment",deployment_raw[[#This Row],[Column5]],1)*(1+$V$2)),"")</f>
        <v/>
      </c>
      <c r="W804" s="14" t="str">
        <f>IF(ISNUMBER(deployment_raw[[#This Row],[Column13]]), (deployment_raw[[#This Row],[Column13]] * IF($E$2="Deployment",deployment_raw[[#This Row],[Column5]],1)*(1+$W$2))/1048576,"")</f>
        <v/>
      </c>
    </row>
    <row r="805" spans="1:23" ht="15.75" customHeight="1" x14ac:dyDescent="0.25">
      <c r="A805" s="5" t="str">
        <f>IF(ISNONTEXT(deployment_raw[[#This Row],[Column1]]), "", deployment_raw[[#This Row],[Column1]])</f>
        <v/>
      </c>
      <c r="B805" s="6" t="str">
        <f>IF(ISNONTEXT(deployment_raw[[#This Row],[Column2]]), "", deployment_raw[[#This Row],[Column2]])</f>
        <v/>
      </c>
      <c r="C805" s="6" t="str">
        <f>IF(ISNONTEXT(deployment_raw[[#This Row],[Column3]]), "", deployment_raw[[#This Row],[Column3]])</f>
        <v/>
      </c>
      <c r="D805" s="6" t="str">
        <f>IF(ISNONTEXT(deployment_raw[[#This Row],[Column4]]), "", deployment_raw[[#This Row],[Column4]])</f>
        <v/>
      </c>
      <c r="E805" s="7" t="str">
        <f>IF(ISNUMBER(deployment_raw[[#This Row],[Column5]]), deployment_raw[[#This Row],[Column5]],"")</f>
        <v/>
      </c>
      <c r="F805" s="32" t="str">
        <f>IF(ISNUMBER(deployment_raw[[#This Row],[Column17]]), deployment_raw[[#This Row],[Column17]]/IF(OR($E$2="Deployment",deployment_raw[[#This Row],[Column5]]=0),1,deployment_raw[[#This Row],[Column5]]),"")</f>
        <v/>
      </c>
      <c r="G805" s="42" t="str">
        <f>IF(ISNUMBER(deployment_raw[[#This Row],[Column14]]), deployment_raw[[#This Row],[Column14]]/IF(OR($E$2="Deployment",deployment_raw[[#This Row],[Column5]]=0),1,deployment_raw[[#This Row],[Column5]]),"")</f>
        <v/>
      </c>
      <c r="H805" s="79" t="str">
        <f>IF(ISNUMBER(deployment_raw[[#This Row],[Column19]]), IF(I805&lt;&gt;0,(deployment_raw[[#This Row],[Column19]]/IF(OR($E$2="Deployment",deployment_raw[[#This Row],[Column5]]=0),1,deployment_raw[[#This Row],[Column5]]))/I805,0),"")</f>
        <v/>
      </c>
      <c r="I805" s="69" t="str">
        <f>IF(ISNUMBER(deployment_raw[[#This Row],[Column6]]), (deployment_raw[[#This Row],[Column6]] * IF($E$2="Deployment",deployment_raw[[#This Row],[Column5]],1)),"")</f>
        <v/>
      </c>
      <c r="J805" s="79" t="str">
        <f>IF(ISNUMBER(deployment_raw[[#This Row],[Column19]]), IF(K805&lt;&gt;0,(deployment_raw[[#This Row],[Column19]]/IF(OR($E$2="Deployment",deployment_raw[[#This Row],[Column5]]=0),1,deployment_raw[[#This Row],[Column5]]))/K805,0),"")</f>
        <v/>
      </c>
      <c r="K805" s="72" t="str">
        <f>IF(ISNUMBER(deployment_raw[[#This Row],[Column8]]), (deployment_raw[[#This Row],[Column8]]  * IF($E$2="Deployment",deployment_raw[[#This Row],[Column5]],1)),"")</f>
        <v/>
      </c>
      <c r="L80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0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05" s="81" t="str">
        <f>IF(ISNUMBER(deployment_raw[[#This Row],[Column20]]), IF(O805&lt;&gt;0,deployment_raw[[#This Row],[Column20]]/IF(OR($E$2="Deployment",deployment_raw[[#This Row],[Column5]]=0),1,deployment_raw[[#This Row],[Column5]])/1048576/O805,0),"")</f>
        <v/>
      </c>
      <c r="O805" s="74" t="str">
        <f>IF(ISNUMBER(deployment_raw[[#This Row],[Column7]]), (deployment_raw[[#This Row],[Column7]] * IF($E$2="Deployment",deployment_raw[[#This Row],[Column5]],1))/1048576,"")</f>
        <v/>
      </c>
      <c r="P805" s="81" t="str">
        <f>IF(ISNUMBER(deployment_raw[[#This Row],[Column20]]), IF(Q805&lt;&gt;0,deployment_raw[[#This Row],[Column20]]/IF(OR($E$2="Deployment",deployment_raw[[#This Row],[Column5]]=0),1,deployment_raw[[#This Row],[Column5]])/1048576/Q805,0),"")</f>
        <v/>
      </c>
      <c r="Q805" s="76" t="str">
        <f>IF(ISNUMBER(deployment_raw[[#This Row],[Column9]]), (deployment_raw[[#This Row],[Column9]] * IF($E$2="Deployment",deployment_raw[[#This Row],[Column5]],1))/1048576,"")</f>
        <v/>
      </c>
      <c r="R805" s="57" t="str">
        <f>IF(ISNUMBER(deployment_raw[[#This Row],[Column10]]), (deployment_raw[[#This Row],[Column10]] * IF($E$2="Deployment",deployment_raw[[#This Row],[Column5]],1)),"")</f>
        <v/>
      </c>
      <c r="S805" s="48" t="str">
        <f>IF(ISNUMBER(deployment_raw[[#This Row],[Column11]]), (deployment_raw[[#This Row],[Column11]] * IF($E$2="Deployment",deployment_raw[[#This Row],[Column5]],1))/1048576,"")</f>
        <v/>
      </c>
      <c r="T805" s="59" t="str">
        <f>IF(ISNUMBER(deployment_raw[[#This Row],[Column8]]),IF(OR(deployment_raw[[#This Row],[Column5]] &lt;&gt; 0,$E$2 &lt;&gt; "Deployment"), MAX(V805, ($T$2 * IF($E$2="Deployment",deployment_raw[[#This Row],[Column5]],1))), 0),"")</f>
        <v/>
      </c>
      <c r="U805" s="50" t="str">
        <f>IF(ISNUMBER(deployment_raw[[#This Row],[Column9]]),IF(OR(deployment_raw[[#This Row],[Column5]] &lt;&gt; 0,$E$2&lt;&gt;"Deployment"), MAX(W805, ($U$2 * IF($E$2="Deployment",deployment_raw[[#This Row],[Column5]],1))), 0),"")</f>
        <v/>
      </c>
      <c r="V805" s="15" t="str">
        <f>IF(ISNUMBER(deployment_raw[[#This Row],[Column12]]), (deployment_raw[[#This Row],[Column12]] * IF($E$2="Deployment",deployment_raw[[#This Row],[Column5]],1)*(1+$V$2)),"")</f>
        <v/>
      </c>
      <c r="W805" s="14" t="str">
        <f>IF(ISNUMBER(deployment_raw[[#This Row],[Column13]]), (deployment_raw[[#This Row],[Column13]] * IF($E$2="Deployment",deployment_raw[[#This Row],[Column5]],1)*(1+$W$2))/1048576,"")</f>
        <v/>
      </c>
    </row>
    <row r="806" spans="1:23" ht="15.75" customHeight="1" x14ac:dyDescent="0.25">
      <c r="A806" s="5" t="str">
        <f>IF(ISNONTEXT(deployment_raw[[#This Row],[Column1]]), "", deployment_raw[[#This Row],[Column1]])</f>
        <v/>
      </c>
      <c r="B806" s="6" t="str">
        <f>IF(ISNONTEXT(deployment_raw[[#This Row],[Column2]]), "", deployment_raw[[#This Row],[Column2]])</f>
        <v/>
      </c>
      <c r="C806" s="6" t="str">
        <f>IF(ISNONTEXT(deployment_raw[[#This Row],[Column3]]), "", deployment_raw[[#This Row],[Column3]])</f>
        <v/>
      </c>
      <c r="D806" s="6" t="str">
        <f>IF(ISNONTEXT(deployment_raw[[#This Row],[Column4]]), "", deployment_raw[[#This Row],[Column4]])</f>
        <v/>
      </c>
      <c r="E806" s="7" t="str">
        <f>IF(ISNUMBER(deployment_raw[[#This Row],[Column5]]), deployment_raw[[#This Row],[Column5]],"")</f>
        <v/>
      </c>
      <c r="F806" s="32" t="str">
        <f>IF(ISNUMBER(deployment_raw[[#This Row],[Column17]]), deployment_raw[[#This Row],[Column17]]/IF(OR($E$2="Deployment",deployment_raw[[#This Row],[Column5]]=0),1,deployment_raw[[#This Row],[Column5]]),"")</f>
        <v/>
      </c>
      <c r="G806" s="42" t="str">
        <f>IF(ISNUMBER(deployment_raw[[#This Row],[Column14]]), deployment_raw[[#This Row],[Column14]]/IF(OR($E$2="Deployment",deployment_raw[[#This Row],[Column5]]=0),1,deployment_raw[[#This Row],[Column5]]),"")</f>
        <v/>
      </c>
      <c r="H806" s="79" t="str">
        <f>IF(ISNUMBER(deployment_raw[[#This Row],[Column19]]), IF(I806&lt;&gt;0,(deployment_raw[[#This Row],[Column19]]/IF(OR($E$2="Deployment",deployment_raw[[#This Row],[Column5]]=0),1,deployment_raw[[#This Row],[Column5]]))/I806,0),"")</f>
        <v/>
      </c>
      <c r="I806" s="69" t="str">
        <f>IF(ISNUMBER(deployment_raw[[#This Row],[Column6]]), (deployment_raw[[#This Row],[Column6]] * IF($E$2="Deployment",deployment_raw[[#This Row],[Column5]],1)),"")</f>
        <v/>
      </c>
      <c r="J806" s="79" t="str">
        <f>IF(ISNUMBER(deployment_raw[[#This Row],[Column19]]), IF(K806&lt;&gt;0,(deployment_raw[[#This Row],[Column19]]/IF(OR($E$2="Deployment",deployment_raw[[#This Row],[Column5]]=0),1,deployment_raw[[#This Row],[Column5]]))/K806,0),"")</f>
        <v/>
      </c>
      <c r="K806" s="72" t="str">
        <f>IF(ISNUMBER(deployment_raw[[#This Row],[Column8]]), (deployment_raw[[#This Row],[Column8]]  * IF($E$2="Deployment",deployment_raw[[#This Row],[Column5]],1)),"")</f>
        <v/>
      </c>
      <c r="L80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0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06" s="81" t="str">
        <f>IF(ISNUMBER(deployment_raw[[#This Row],[Column20]]), IF(O806&lt;&gt;0,deployment_raw[[#This Row],[Column20]]/IF(OR($E$2="Deployment",deployment_raw[[#This Row],[Column5]]=0),1,deployment_raw[[#This Row],[Column5]])/1048576/O806,0),"")</f>
        <v/>
      </c>
      <c r="O806" s="74" t="str">
        <f>IF(ISNUMBER(deployment_raw[[#This Row],[Column7]]), (deployment_raw[[#This Row],[Column7]] * IF($E$2="Deployment",deployment_raw[[#This Row],[Column5]],1))/1048576,"")</f>
        <v/>
      </c>
      <c r="P806" s="81" t="str">
        <f>IF(ISNUMBER(deployment_raw[[#This Row],[Column20]]), IF(Q806&lt;&gt;0,deployment_raw[[#This Row],[Column20]]/IF(OR($E$2="Deployment",deployment_raw[[#This Row],[Column5]]=0),1,deployment_raw[[#This Row],[Column5]])/1048576/Q806,0),"")</f>
        <v/>
      </c>
      <c r="Q806" s="76" t="str">
        <f>IF(ISNUMBER(deployment_raw[[#This Row],[Column9]]), (deployment_raw[[#This Row],[Column9]] * IF($E$2="Deployment",deployment_raw[[#This Row],[Column5]],1))/1048576,"")</f>
        <v/>
      </c>
      <c r="R806" s="57" t="str">
        <f>IF(ISNUMBER(deployment_raw[[#This Row],[Column10]]), (deployment_raw[[#This Row],[Column10]] * IF($E$2="Deployment",deployment_raw[[#This Row],[Column5]],1)),"")</f>
        <v/>
      </c>
      <c r="S806" s="48" t="str">
        <f>IF(ISNUMBER(deployment_raw[[#This Row],[Column11]]), (deployment_raw[[#This Row],[Column11]] * IF($E$2="Deployment",deployment_raw[[#This Row],[Column5]],1))/1048576,"")</f>
        <v/>
      </c>
      <c r="T806" s="59" t="str">
        <f>IF(ISNUMBER(deployment_raw[[#This Row],[Column8]]),IF(OR(deployment_raw[[#This Row],[Column5]] &lt;&gt; 0,$E$2 &lt;&gt; "Deployment"), MAX(V806, ($T$2 * IF($E$2="Deployment",deployment_raw[[#This Row],[Column5]],1))), 0),"")</f>
        <v/>
      </c>
      <c r="U806" s="50" t="str">
        <f>IF(ISNUMBER(deployment_raw[[#This Row],[Column9]]),IF(OR(deployment_raw[[#This Row],[Column5]] &lt;&gt; 0,$E$2&lt;&gt;"Deployment"), MAX(W806, ($U$2 * IF($E$2="Deployment",deployment_raw[[#This Row],[Column5]],1))), 0),"")</f>
        <v/>
      </c>
      <c r="V806" s="15" t="str">
        <f>IF(ISNUMBER(deployment_raw[[#This Row],[Column12]]), (deployment_raw[[#This Row],[Column12]] * IF($E$2="Deployment",deployment_raw[[#This Row],[Column5]],1)*(1+$V$2)),"")</f>
        <v/>
      </c>
      <c r="W806" s="14" t="str">
        <f>IF(ISNUMBER(deployment_raw[[#This Row],[Column13]]), (deployment_raw[[#This Row],[Column13]] * IF($E$2="Deployment",deployment_raw[[#This Row],[Column5]],1)*(1+$W$2))/1048576,"")</f>
        <v/>
      </c>
    </row>
    <row r="807" spans="1:23" ht="15.75" customHeight="1" x14ac:dyDescent="0.25">
      <c r="A807" s="5" t="str">
        <f>IF(ISNONTEXT(deployment_raw[[#This Row],[Column1]]), "", deployment_raw[[#This Row],[Column1]])</f>
        <v/>
      </c>
      <c r="B807" s="6" t="str">
        <f>IF(ISNONTEXT(deployment_raw[[#This Row],[Column2]]), "", deployment_raw[[#This Row],[Column2]])</f>
        <v/>
      </c>
      <c r="C807" s="6" t="str">
        <f>IF(ISNONTEXT(deployment_raw[[#This Row],[Column3]]), "", deployment_raw[[#This Row],[Column3]])</f>
        <v/>
      </c>
      <c r="D807" s="6" t="str">
        <f>IF(ISNONTEXT(deployment_raw[[#This Row],[Column4]]), "", deployment_raw[[#This Row],[Column4]])</f>
        <v/>
      </c>
      <c r="E807" s="7" t="str">
        <f>IF(ISNUMBER(deployment_raw[[#This Row],[Column5]]), deployment_raw[[#This Row],[Column5]],"")</f>
        <v/>
      </c>
      <c r="F807" s="32" t="str">
        <f>IF(ISNUMBER(deployment_raw[[#This Row],[Column17]]), deployment_raw[[#This Row],[Column17]]/IF(OR($E$2="Deployment",deployment_raw[[#This Row],[Column5]]=0),1,deployment_raw[[#This Row],[Column5]]),"")</f>
        <v/>
      </c>
      <c r="G807" s="42" t="str">
        <f>IF(ISNUMBER(deployment_raw[[#This Row],[Column14]]), deployment_raw[[#This Row],[Column14]]/IF(OR($E$2="Deployment",deployment_raw[[#This Row],[Column5]]=0),1,deployment_raw[[#This Row],[Column5]]),"")</f>
        <v/>
      </c>
      <c r="H807" s="79" t="str">
        <f>IF(ISNUMBER(deployment_raw[[#This Row],[Column19]]), IF(I807&lt;&gt;0,(deployment_raw[[#This Row],[Column19]]/IF(OR($E$2="Deployment",deployment_raw[[#This Row],[Column5]]=0),1,deployment_raw[[#This Row],[Column5]]))/I807,0),"")</f>
        <v/>
      </c>
      <c r="I807" s="69" t="str">
        <f>IF(ISNUMBER(deployment_raw[[#This Row],[Column6]]), (deployment_raw[[#This Row],[Column6]] * IF($E$2="Deployment",deployment_raw[[#This Row],[Column5]],1)),"")</f>
        <v/>
      </c>
      <c r="J807" s="79" t="str">
        <f>IF(ISNUMBER(deployment_raw[[#This Row],[Column19]]), IF(K807&lt;&gt;0,(deployment_raw[[#This Row],[Column19]]/IF(OR($E$2="Deployment",deployment_raw[[#This Row],[Column5]]=0),1,deployment_raw[[#This Row],[Column5]]))/K807,0),"")</f>
        <v/>
      </c>
      <c r="K807" s="72" t="str">
        <f>IF(ISNUMBER(deployment_raw[[#This Row],[Column8]]), (deployment_raw[[#This Row],[Column8]]  * IF($E$2="Deployment",deployment_raw[[#This Row],[Column5]],1)),"")</f>
        <v/>
      </c>
      <c r="L80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0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07" s="81" t="str">
        <f>IF(ISNUMBER(deployment_raw[[#This Row],[Column20]]), IF(O807&lt;&gt;0,deployment_raw[[#This Row],[Column20]]/IF(OR($E$2="Deployment",deployment_raw[[#This Row],[Column5]]=0),1,deployment_raw[[#This Row],[Column5]])/1048576/O807,0),"")</f>
        <v/>
      </c>
      <c r="O807" s="74" t="str">
        <f>IF(ISNUMBER(deployment_raw[[#This Row],[Column7]]), (deployment_raw[[#This Row],[Column7]] * IF($E$2="Deployment",deployment_raw[[#This Row],[Column5]],1))/1048576,"")</f>
        <v/>
      </c>
      <c r="P807" s="81" t="str">
        <f>IF(ISNUMBER(deployment_raw[[#This Row],[Column20]]), IF(Q807&lt;&gt;0,deployment_raw[[#This Row],[Column20]]/IF(OR($E$2="Deployment",deployment_raw[[#This Row],[Column5]]=0),1,deployment_raw[[#This Row],[Column5]])/1048576/Q807,0),"")</f>
        <v/>
      </c>
      <c r="Q807" s="76" t="str">
        <f>IF(ISNUMBER(deployment_raw[[#This Row],[Column9]]), (deployment_raw[[#This Row],[Column9]] * IF($E$2="Deployment",deployment_raw[[#This Row],[Column5]],1))/1048576,"")</f>
        <v/>
      </c>
      <c r="R807" s="57" t="str">
        <f>IF(ISNUMBER(deployment_raw[[#This Row],[Column10]]), (deployment_raw[[#This Row],[Column10]] * IF($E$2="Deployment",deployment_raw[[#This Row],[Column5]],1)),"")</f>
        <v/>
      </c>
      <c r="S807" s="48" t="str">
        <f>IF(ISNUMBER(deployment_raw[[#This Row],[Column11]]), (deployment_raw[[#This Row],[Column11]] * IF($E$2="Deployment",deployment_raw[[#This Row],[Column5]],1))/1048576,"")</f>
        <v/>
      </c>
      <c r="T807" s="59" t="str">
        <f>IF(ISNUMBER(deployment_raw[[#This Row],[Column8]]),IF(OR(deployment_raw[[#This Row],[Column5]] &lt;&gt; 0,$E$2 &lt;&gt; "Deployment"), MAX(V807, ($T$2 * IF($E$2="Deployment",deployment_raw[[#This Row],[Column5]],1))), 0),"")</f>
        <v/>
      </c>
      <c r="U807" s="50" t="str">
        <f>IF(ISNUMBER(deployment_raw[[#This Row],[Column9]]),IF(OR(deployment_raw[[#This Row],[Column5]] &lt;&gt; 0,$E$2&lt;&gt;"Deployment"), MAX(W807, ($U$2 * IF($E$2="Deployment",deployment_raw[[#This Row],[Column5]],1))), 0),"")</f>
        <v/>
      </c>
      <c r="V807" s="15" t="str">
        <f>IF(ISNUMBER(deployment_raw[[#This Row],[Column12]]), (deployment_raw[[#This Row],[Column12]] * IF($E$2="Deployment",deployment_raw[[#This Row],[Column5]],1)*(1+$V$2)),"")</f>
        <v/>
      </c>
      <c r="W807" s="14" t="str">
        <f>IF(ISNUMBER(deployment_raw[[#This Row],[Column13]]), (deployment_raw[[#This Row],[Column13]] * IF($E$2="Deployment",deployment_raw[[#This Row],[Column5]],1)*(1+$W$2))/1048576,"")</f>
        <v/>
      </c>
    </row>
    <row r="808" spans="1:23" ht="15.75" customHeight="1" x14ac:dyDescent="0.25">
      <c r="A808" s="5" t="str">
        <f>IF(ISNONTEXT(deployment_raw[[#This Row],[Column1]]), "", deployment_raw[[#This Row],[Column1]])</f>
        <v/>
      </c>
      <c r="B808" s="6" t="str">
        <f>IF(ISNONTEXT(deployment_raw[[#This Row],[Column2]]), "", deployment_raw[[#This Row],[Column2]])</f>
        <v/>
      </c>
      <c r="C808" s="6" t="str">
        <f>IF(ISNONTEXT(deployment_raw[[#This Row],[Column3]]), "", deployment_raw[[#This Row],[Column3]])</f>
        <v/>
      </c>
      <c r="D808" s="6" t="str">
        <f>IF(ISNONTEXT(deployment_raw[[#This Row],[Column4]]), "", deployment_raw[[#This Row],[Column4]])</f>
        <v/>
      </c>
      <c r="E808" s="7" t="str">
        <f>IF(ISNUMBER(deployment_raw[[#This Row],[Column5]]), deployment_raw[[#This Row],[Column5]],"")</f>
        <v/>
      </c>
      <c r="F808" s="32" t="str">
        <f>IF(ISNUMBER(deployment_raw[[#This Row],[Column17]]), deployment_raw[[#This Row],[Column17]]/IF(OR($E$2="Deployment",deployment_raw[[#This Row],[Column5]]=0),1,deployment_raw[[#This Row],[Column5]]),"")</f>
        <v/>
      </c>
      <c r="G808" s="42" t="str">
        <f>IF(ISNUMBER(deployment_raw[[#This Row],[Column14]]), deployment_raw[[#This Row],[Column14]]/IF(OR($E$2="Deployment",deployment_raw[[#This Row],[Column5]]=0),1,deployment_raw[[#This Row],[Column5]]),"")</f>
        <v/>
      </c>
      <c r="H808" s="79" t="str">
        <f>IF(ISNUMBER(deployment_raw[[#This Row],[Column19]]), IF(I808&lt;&gt;0,(deployment_raw[[#This Row],[Column19]]/IF(OR($E$2="Deployment",deployment_raw[[#This Row],[Column5]]=0),1,deployment_raw[[#This Row],[Column5]]))/I808,0),"")</f>
        <v/>
      </c>
      <c r="I808" s="69" t="str">
        <f>IF(ISNUMBER(deployment_raw[[#This Row],[Column6]]), (deployment_raw[[#This Row],[Column6]] * IF($E$2="Deployment",deployment_raw[[#This Row],[Column5]],1)),"")</f>
        <v/>
      </c>
      <c r="J808" s="79" t="str">
        <f>IF(ISNUMBER(deployment_raw[[#This Row],[Column19]]), IF(K808&lt;&gt;0,(deployment_raw[[#This Row],[Column19]]/IF(OR($E$2="Deployment",deployment_raw[[#This Row],[Column5]]=0),1,deployment_raw[[#This Row],[Column5]]))/K808,0),"")</f>
        <v/>
      </c>
      <c r="K808" s="72" t="str">
        <f>IF(ISNUMBER(deployment_raw[[#This Row],[Column8]]), (deployment_raw[[#This Row],[Column8]]  * IF($E$2="Deployment",deployment_raw[[#This Row],[Column5]],1)),"")</f>
        <v/>
      </c>
      <c r="L80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0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08" s="81" t="str">
        <f>IF(ISNUMBER(deployment_raw[[#This Row],[Column20]]), IF(O808&lt;&gt;0,deployment_raw[[#This Row],[Column20]]/IF(OR($E$2="Deployment",deployment_raw[[#This Row],[Column5]]=0),1,deployment_raw[[#This Row],[Column5]])/1048576/O808,0),"")</f>
        <v/>
      </c>
      <c r="O808" s="74" t="str">
        <f>IF(ISNUMBER(deployment_raw[[#This Row],[Column7]]), (deployment_raw[[#This Row],[Column7]] * IF($E$2="Deployment",deployment_raw[[#This Row],[Column5]],1))/1048576,"")</f>
        <v/>
      </c>
      <c r="P808" s="81" t="str">
        <f>IF(ISNUMBER(deployment_raw[[#This Row],[Column20]]), IF(Q808&lt;&gt;0,deployment_raw[[#This Row],[Column20]]/IF(OR($E$2="Deployment",deployment_raw[[#This Row],[Column5]]=0),1,deployment_raw[[#This Row],[Column5]])/1048576/Q808,0),"")</f>
        <v/>
      </c>
      <c r="Q808" s="76" t="str">
        <f>IF(ISNUMBER(deployment_raw[[#This Row],[Column9]]), (deployment_raw[[#This Row],[Column9]] * IF($E$2="Deployment",deployment_raw[[#This Row],[Column5]],1))/1048576,"")</f>
        <v/>
      </c>
      <c r="R808" s="57" t="str">
        <f>IF(ISNUMBER(deployment_raw[[#This Row],[Column10]]), (deployment_raw[[#This Row],[Column10]] * IF($E$2="Deployment",deployment_raw[[#This Row],[Column5]],1)),"")</f>
        <v/>
      </c>
      <c r="S808" s="48" t="str">
        <f>IF(ISNUMBER(deployment_raw[[#This Row],[Column11]]), (deployment_raw[[#This Row],[Column11]] * IF($E$2="Deployment",deployment_raw[[#This Row],[Column5]],1))/1048576,"")</f>
        <v/>
      </c>
      <c r="T808" s="59" t="str">
        <f>IF(ISNUMBER(deployment_raw[[#This Row],[Column8]]),IF(OR(deployment_raw[[#This Row],[Column5]] &lt;&gt; 0,$E$2 &lt;&gt; "Deployment"), MAX(V808, ($T$2 * IF($E$2="Deployment",deployment_raw[[#This Row],[Column5]],1))), 0),"")</f>
        <v/>
      </c>
      <c r="U808" s="50" t="str">
        <f>IF(ISNUMBER(deployment_raw[[#This Row],[Column9]]),IF(OR(deployment_raw[[#This Row],[Column5]] &lt;&gt; 0,$E$2&lt;&gt;"Deployment"), MAX(W808, ($U$2 * IF($E$2="Deployment",deployment_raw[[#This Row],[Column5]],1))), 0),"")</f>
        <v/>
      </c>
      <c r="V808" s="15" t="str">
        <f>IF(ISNUMBER(deployment_raw[[#This Row],[Column12]]), (deployment_raw[[#This Row],[Column12]] * IF($E$2="Deployment",deployment_raw[[#This Row],[Column5]],1)*(1+$V$2)),"")</f>
        <v/>
      </c>
      <c r="W808" s="14" t="str">
        <f>IF(ISNUMBER(deployment_raw[[#This Row],[Column13]]), (deployment_raw[[#This Row],[Column13]] * IF($E$2="Deployment",deployment_raw[[#This Row],[Column5]],1)*(1+$W$2))/1048576,"")</f>
        <v/>
      </c>
    </row>
    <row r="809" spans="1:23" ht="15.75" customHeight="1" x14ac:dyDescent="0.25">
      <c r="A809" s="5" t="str">
        <f>IF(ISNONTEXT(deployment_raw[[#This Row],[Column1]]), "", deployment_raw[[#This Row],[Column1]])</f>
        <v/>
      </c>
      <c r="B809" s="6" t="str">
        <f>IF(ISNONTEXT(deployment_raw[[#This Row],[Column2]]), "", deployment_raw[[#This Row],[Column2]])</f>
        <v/>
      </c>
      <c r="C809" s="6" t="str">
        <f>IF(ISNONTEXT(deployment_raw[[#This Row],[Column3]]), "", deployment_raw[[#This Row],[Column3]])</f>
        <v/>
      </c>
      <c r="D809" s="6" t="str">
        <f>IF(ISNONTEXT(deployment_raw[[#This Row],[Column4]]), "", deployment_raw[[#This Row],[Column4]])</f>
        <v/>
      </c>
      <c r="E809" s="7" t="str">
        <f>IF(ISNUMBER(deployment_raw[[#This Row],[Column5]]), deployment_raw[[#This Row],[Column5]],"")</f>
        <v/>
      </c>
      <c r="F809" s="32" t="str">
        <f>IF(ISNUMBER(deployment_raw[[#This Row],[Column17]]), deployment_raw[[#This Row],[Column17]]/IF(OR($E$2="Deployment",deployment_raw[[#This Row],[Column5]]=0),1,deployment_raw[[#This Row],[Column5]]),"")</f>
        <v/>
      </c>
      <c r="G809" s="42" t="str">
        <f>IF(ISNUMBER(deployment_raw[[#This Row],[Column14]]), deployment_raw[[#This Row],[Column14]]/IF(OR($E$2="Deployment",deployment_raw[[#This Row],[Column5]]=0),1,deployment_raw[[#This Row],[Column5]]),"")</f>
        <v/>
      </c>
      <c r="H809" s="79" t="str">
        <f>IF(ISNUMBER(deployment_raw[[#This Row],[Column19]]), IF(I809&lt;&gt;0,(deployment_raw[[#This Row],[Column19]]/IF(OR($E$2="Deployment",deployment_raw[[#This Row],[Column5]]=0),1,deployment_raw[[#This Row],[Column5]]))/I809,0),"")</f>
        <v/>
      </c>
      <c r="I809" s="69" t="str">
        <f>IF(ISNUMBER(deployment_raw[[#This Row],[Column6]]), (deployment_raw[[#This Row],[Column6]] * IF($E$2="Deployment",deployment_raw[[#This Row],[Column5]],1)),"")</f>
        <v/>
      </c>
      <c r="J809" s="79" t="str">
        <f>IF(ISNUMBER(deployment_raw[[#This Row],[Column19]]), IF(K809&lt;&gt;0,(deployment_raw[[#This Row],[Column19]]/IF(OR($E$2="Deployment",deployment_raw[[#This Row],[Column5]]=0),1,deployment_raw[[#This Row],[Column5]]))/K809,0),"")</f>
        <v/>
      </c>
      <c r="K809" s="72" t="str">
        <f>IF(ISNUMBER(deployment_raw[[#This Row],[Column8]]), (deployment_raw[[#This Row],[Column8]]  * IF($E$2="Deployment",deployment_raw[[#This Row],[Column5]],1)),"")</f>
        <v/>
      </c>
      <c r="L80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0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09" s="81" t="str">
        <f>IF(ISNUMBER(deployment_raw[[#This Row],[Column20]]), IF(O809&lt;&gt;0,deployment_raw[[#This Row],[Column20]]/IF(OR($E$2="Deployment",deployment_raw[[#This Row],[Column5]]=0),1,deployment_raw[[#This Row],[Column5]])/1048576/O809,0),"")</f>
        <v/>
      </c>
      <c r="O809" s="74" t="str">
        <f>IF(ISNUMBER(deployment_raw[[#This Row],[Column7]]), (deployment_raw[[#This Row],[Column7]] * IF($E$2="Deployment",deployment_raw[[#This Row],[Column5]],1))/1048576,"")</f>
        <v/>
      </c>
      <c r="P809" s="81" t="str">
        <f>IF(ISNUMBER(deployment_raw[[#This Row],[Column20]]), IF(Q809&lt;&gt;0,deployment_raw[[#This Row],[Column20]]/IF(OR($E$2="Deployment",deployment_raw[[#This Row],[Column5]]=0),1,deployment_raw[[#This Row],[Column5]])/1048576/Q809,0),"")</f>
        <v/>
      </c>
      <c r="Q809" s="76" t="str">
        <f>IF(ISNUMBER(deployment_raw[[#This Row],[Column9]]), (deployment_raw[[#This Row],[Column9]] * IF($E$2="Deployment",deployment_raw[[#This Row],[Column5]],1))/1048576,"")</f>
        <v/>
      </c>
      <c r="R809" s="57" t="str">
        <f>IF(ISNUMBER(deployment_raw[[#This Row],[Column10]]), (deployment_raw[[#This Row],[Column10]] * IF($E$2="Deployment",deployment_raw[[#This Row],[Column5]],1)),"")</f>
        <v/>
      </c>
      <c r="S809" s="48" t="str">
        <f>IF(ISNUMBER(deployment_raw[[#This Row],[Column11]]), (deployment_raw[[#This Row],[Column11]] * IF($E$2="Deployment",deployment_raw[[#This Row],[Column5]],1))/1048576,"")</f>
        <v/>
      </c>
      <c r="T809" s="59" t="str">
        <f>IF(ISNUMBER(deployment_raw[[#This Row],[Column8]]),IF(OR(deployment_raw[[#This Row],[Column5]] &lt;&gt; 0,$E$2 &lt;&gt; "Deployment"), MAX(V809, ($T$2 * IF($E$2="Deployment",deployment_raw[[#This Row],[Column5]],1))), 0),"")</f>
        <v/>
      </c>
      <c r="U809" s="50" t="str">
        <f>IF(ISNUMBER(deployment_raw[[#This Row],[Column9]]),IF(OR(deployment_raw[[#This Row],[Column5]] &lt;&gt; 0,$E$2&lt;&gt;"Deployment"), MAX(W809, ($U$2 * IF($E$2="Deployment",deployment_raw[[#This Row],[Column5]],1))), 0),"")</f>
        <v/>
      </c>
      <c r="V809" s="15" t="str">
        <f>IF(ISNUMBER(deployment_raw[[#This Row],[Column12]]), (deployment_raw[[#This Row],[Column12]] * IF($E$2="Deployment",deployment_raw[[#This Row],[Column5]],1)*(1+$V$2)),"")</f>
        <v/>
      </c>
      <c r="W809" s="14" t="str">
        <f>IF(ISNUMBER(deployment_raw[[#This Row],[Column13]]), (deployment_raw[[#This Row],[Column13]] * IF($E$2="Deployment",deployment_raw[[#This Row],[Column5]],1)*(1+$W$2))/1048576,"")</f>
        <v/>
      </c>
    </row>
    <row r="810" spans="1:23" ht="15.75" customHeight="1" x14ac:dyDescent="0.25">
      <c r="A810" s="5" t="str">
        <f>IF(ISNONTEXT(deployment_raw[[#This Row],[Column1]]), "", deployment_raw[[#This Row],[Column1]])</f>
        <v/>
      </c>
      <c r="B810" s="6" t="str">
        <f>IF(ISNONTEXT(deployment_raw[[#This Row],[Column2]]), "", deployment_raw[[#This Row],[Column2]])</f>
        <v/>
      </c>
      <c r="C810" s="6" t="str">
        <f>IF(ISNONTEXT(deployment_raw[[#This Row],[Column3]]), "", deployment_raw[[#This Row],[Column3]])</f>
        <v/>
      </c>
      <c r="D810" s="6" t="str">
        <f>IF(ISNONTEXT(deployment_raw[[#This Row],[Column4]]), "", deployment_raw[[#This Row],[Column4]])</f>
        <v/>
      </c>
      <c r="E810" s="7" t="str">
        <f>IF(ISNUMBER(deployment_raw[[#This Row],[Column5]]), deployment_raw[[#This Row],[Column5]],"")</f>
        <v/>
      </c>
      <c r="F810" s="32" t="str">
        <f>IF(ISNUMBER(deployment_raw[[#This Row],[Column17]]), deployment_raw[[#This Row],[Column17]]/IF(OR($E$2="Deployment",deployment_raw[[#This Row],[Column5]]=0),1,deployment_raw[[#This Row],[Column5]]),"")</f>
        <v/>
      </c>
      <c r="G810" s="42" t="str">
        <f>IF(ISNUMBER(deployment_raw[[#This Row],[Column14]]), deployment_raw[[#This Row],[Column14]]/IF(OR($E$2="Deployment",deployment_raw[[#This Row],[Column5]]=0),1,deployment_raw[[#This Row],[Column5]]),"")</f>
        <v/>
      </c>
      <c r="H810" s="79" t="str">
        <f>IF(ISNUMBER(deployment_raw[[#This Row],[Column19]]), IF(I810&lt;&gt;0,(deployment_raw[[#This Row],[Column19]]/IF(OR($E$2="Deployment",deployment_raw[[#This Row],[Column5]]=0),1,deployment_raw[[#This Row],[Column5]]))/I810,0),"")</f>
        <v/>
      </c>
      <c r="I810" s="69" t="str">
        <f>IF(ISNUMBER(deployment_raw[[#This Row],[Column6]]), (deployment_raw[[#This Row],[Column6]] * IF($E$2="Deployment",deployment_raw[[#This Row],[Column5]],1)),"")</f>
        <v/>
      </c>
      <c r="J810" s="79" t="str">
        <f>IF(ISNUMBER(deployment_raw[[#This Row],[Column19]]), IF(K810&lt;&gt;0,(deployment_raw[[#This Row],[Column19]]/IF(OR($E$2="Deployment",deployment_raw[[#This Row],[Column5]]=0),1,deployment_raw[[#This Row],[Column5]]))/K810,0),"")</f>
        <v/>
      </c>
      <c r="K810" s="72" t="str">
        <f>IF(ISNUMBER(deployment_raw[[#This Row],[Column8]]), (deployment_raw[[#This Row],[Column8]]  * IF($E$2="Deployment",deployment_raw[[#This Row],[Column5]],1)),"")</f>
        <v/>
      </c>
      <c r="L81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1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10" s="81" t="str">
        <f>IF(ISNUMBER(deployment_raw[[#This Row],[Column20]]), IF(O810&lt;&gt;0,deployment_raw[[#This Row],[Column20]]/IF(OR($E$2="Deployment",deployment_raw[[#This Row],[Column5]]=0),1,deployment_raw[[#This Row],[Column5]])/1048576/O810,0),"")</f>
        <v/>
      </c>
      <c r="O810" s="74" t="str">
        <f>IF(ISNUMBER(deployment_raw[[#This Row],[Column7]]), (deployment_raw[[#This Row],[Column7]] * IF($E$2="Deployment",deployment_raw[[#This Row],[Column5]],1))/1048576,"")</f>
        <v/>
      </c>
      <c r="P810" s="81" t="str">
        <f>IF(ISNUMBER(deployment_raw[[#This Row],[Column20]]), IF(Q810&lt;&gt;0,deployment_raw[[#This Row],[Column20]]/IF(OR($E$2="Deployment",deployment_raw[[#This Row],[Column5]]=0),1,deployment_raw[[#This Row],[Column5]])/1048576/Q810,0),"")</f>
        <v/>
      </c>
      <c r="Q810" s="76" t="str">
        <f>IF(ISNUMBER(deployment_raw[[#This Row],[Column9]]), (deployment_raw[[#This Row],[Column9]] * IF($E$2="Deployment",deployment_raw[[#This Row],[Column5]],1))/1048576,"")</f>
        <v/>
      </c>
      <c r="R810" s="57" t="str">
        <f>IF(ISNUMBER(deployment_raw[[#This Row],[Column10]]), (deployment_raw[[#This Row],[Column10]] * IF($E$2="Deployment",deployment_raw[[#This Row],[Column5]],1)),"")</f>
        <v/>
      </c>
      <c r="S810" s="48" t="str">
        <f>IF(ISNUMBER(deployment_raw[[#This Row],[Column11]]), (deployment_raw[[#This Row],[Column11]] * IF($E$2="Deployment",deployment_raw[[#This Row],[Column5]],1))/1048576,"")</f>
        <v/>
      </c>
      <c r="T810" s="59" t="str">
        <f>IF(ISNUMBER(deployment_raw[[#This Row],[Column8]]),IF(OR(deployment_raw[[#This Row],[Column5]] &lt;&gt; 0,$E$2 &lt;&gt; "Deployment"), MAX(V810, ($T$2 * IF($E$2="Deployment",deployment_raw[[#This Row],[Column5]],1))), 0),"")</f>
        <v/>
      </c>
      <c r="U810" s="50" t="str">
        <f>IF(ISNUMBER(deployment_raw[[#This Row],[Column9]]),IF(OR(deployment_raw[[#This Row],[Column5]] &lt;&gt; 0,$E$2&lt;&gt;"Deployment"), MAX(W810, ($U$2 * IF($E$2="Deployment",deployment_raw[[#This Row],[Column5]],1))), 0),"")</f>
        <v/>
      </c>
      <c r="V810" s="15" t="str">
        <f>IF(ISNUMBER(deployment_raw[[#This Row],[Column12]]), (deployment_raw[[#This Row],[Column12]] * IF($E$2="Deployment",deployment_raw[[#This Row],[Column5]],1)*(1+$V$2)),"")</f>
        <v/>
      </c>
      <c r="W810" s="14" t="str">
        <f>IF(ISNUMBER(deployment_raw[[#This Row],[Column13]]), (deployment_raw[[#This Row],[Column13]] * IF($E$2="Deployment",deployment_raw[[#This Row],[Column5]],1)*(1+$W$2))/1048576,"")</f>
        <v/>
      </c>
    </row>
    <row r="811" spans="1:23" ht="15.75" customHeight="1" x14ac:dyDescent="0.25">
      <c r="A811" s="5" t="str">
        <f>IF(ISNONTEXT(deployment_raw[[#This Row],[Column1]]), "", deployment_raw[[#This Row],[Column1]])</f>
        <v/>
      </c>
      <c r="B811" s="6" t="str">
        <f>IF(ISNONTEXT(deployment_raw[[#This Row],[Column2]]), "", deployment_raw[[#This Row],[Column2]])</f>
        <v/>
      </c>
      <c r="C811" s="6" t="str">
        <f>IF(ISNONTEXT(deployment_raw[[#This Row],[Column3]]), "", deployment_raw[[#This Row],[Column3]])</f>
        <v/>
      </c>
      <c r="D811" s="6" t="str">
        <f>IF(ISNONTEXT(deployment_raw[[#This Row],[Column4]]), "", deployment_raw[[#This Row],[Column4]])</f>
        <v/>
      </c>
      <c r="E811" s="7" t="str">
        <f>IF(ISNUMBER(deployment_raw[[#This Row],[Column5]]), deployment_raw[[#This Row],[Column5]],"")</f>
        <v/>
      </c>
      <c r="F811" s="32" t="str">
        <f>IF(ISNUMBER(deployment_raw[[#This Row],[Column17]]), deployment_raw[[#This Row],[Column17]]/IF(OR($E$2="Deployment",deployment_raw[[#This Row],[Column5]]=0),1,deployment_raw[[#This Row],[Column5]]),"")</f>
        <v/>
      </c>
      <c r="G811" s="42" t="str">
        <f>IF(ISNUMBER(deployment_raw[[#This Row],[Column14]]), deployment_raw[[#This Row],[Column14]]/IF(OR($E$2="Deployment",deployment_raw[[#This Row],[Column5]]=0),1,deployment_raw[[#This Row],[Column5]]),"")</f>
        <v/>
      </c>
      <c r="H811" s="79" t="str">
        <f>IF(ISNUMBER(deployment_raw[[#This Row],[Column19]]), IF(I811&lt;&gt;0,(deployment_raw[[#This Row],[Column19]]/IF(OR($E$2="Deployment",deployment_raw[[#This Row],[Column5]]=0),1,deployment_raw[[#This Row],[Column5]]))/I811,0),"")</f>
        <v/>
      </c>
      <c r="I811" s="69" t="str">
        <f>IF(ISNUMBER(deployment_raw[[#This Row],[Column6]]), (deployment_raw[[#This Row],[Column6]] * IF($E$2="Deployment",deployment_raw[[#This Row],[Column5]],1)),"")</f>
        <v/>
      </c>
      <c r="J811" s="79" t="str">
        <f>IF(ISNUMBER(deployment_raw[[#This Row],[Column19]]), IF(K811&lt;&gt;0,(deployment_raw[[#This Row],[Column19]]/IF(OR($E$2="Deployment",deployment_raw[[#This Row],[Column5]]=0),1,deployment_raw[[#This Row],[Column5]]))/K811,0),"")</f>
        <v/>
      </c>
      <c r="K811" s="72" t="str">
        <f>IF(ISNUMBER(deployment_raw[[#This Row],[Column8]]), (deployment_raw[[#This Row],[Column8]]  * IF($E$2="Deployment",deployment_raw[[#This Row],[Column5]],1)),"")</f>
        <v/>
      </c>
      <c r="L81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1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11" s="81" t="str">
        <f>IF(ISNUMBER(deployment_raw[[#This Row],[Column20]]), IF(O811&lt;&gt;0,deployment_raw[[#This Row],[Column20]]/IF(OR($E$2="Deployment",deployment_raw[[#This Row],[Column5]]=0),1,deployment_raw[[#This Row],[Column5]])/1048576/O811,0),"")</f>
        <v/>
      </c>
      <c r="O811" s="74" t="str">
        <f>IF(ISNUMBER(deployment_raw[[#This Row],[Column7]]), (deployment_raw[[#This Row],[Column7]] * IF($E$2="Deployment",deployment_raw[[#This Row],[Column5]],1))/1048576,"")</f>
        <v/>
      </c>
      <c r="P811" s="81" t="str">
        <f>IF(ISNUMBER(deployment_raw[[#This Row],[Column20]]), IF(Q811&lt;&gt;0,deployment_raw[[#This Row],[Column20]]/IF(OR($E$2="Deployment",deployment_raw[[#This Row],[Column5]]=0),1,deployment_raw[[#This Row],[Column5]])/1048576/Q811,0),"")</f>
        <v/>
      </c>
      <c r="Q811" s="76" t="str">
        <f>IF(ISNUMBER(deployment_raw[[#This Row],[Column9]]), (deployment_raw[[#This Row],[Column9]] * IF($E$2="Deployment",deployment_raw[[#This Row],[Column5]],1))/1048576,"")</f>
        <v/>
      </c>
      <c r="R811" s="57" t="str">
        <f>IF(ISNUMBER(deployment_raw[[#This Row],[Column10]]), (deployment_raw[[#This Row],[Column10]] * IF($E$2="Deployment",deployment_raw[[#This Row],[Column5]],1)),"")</f>
        <v/>
      </c>
      <c r="S811" s="48" t="str">
        <f>IF(ISNUMBER(deployment_raw[[#This Row],[Column11]]), (deployment_raw[[#This Row],[Column11]] * IF($E$2="Deployment",deployment_raw[[#This Row],[Column5]],1))/1048576,"")</f>
        <v/>
      </c>
      <c r="T811" s="59" t="str">
        <f>IF(ISNUMBER(deployment_raw[[#This Row],[Column8]]),IF(OR(deployment_raw[[#This Row],[Column5]] &lt;&gt; 0,$E$2 &lt;&gt; "Deployment"), MAX(V811, ($T$2 * IF($E$2="Deployment",deployment_raw[[#This Row],[Column5]],1))), 0),"")</f>
        <v/>
      </c>
      <c r="U811" s="50" t="str">
        <f>IF(ISNUMBER(deployment_raw[[#This Row],[Column9]]),IF(OR(deployment_raw[[#This Row],[Column5]] &lt;&gt; 0,$E$2&lt;&gt;"Deployment"), MAX(W811, ($U$2 * IF($E$2="Deployment",deployment_raw[[#This Row],[Column5]],1))), 0),"")</f>
        <v/>
      </c>
      <c r="V811" s="15" t="str">
        <f>IF(ISNUMBER(deployment_raw[[#This Row],[Column12]]), (deployment_raw[[#This Row],[Column12]] * IF($E$2="Deployment",deployment_raw[[#This Row],[Column5]],1)*(1+$V$2)),"")</f>
        <v/>
      </c>
      <c r="W811" s="14" t="str">
        <f>IF(ISNUMBER(deployment_raw[[#This Row],[Column13]]), (deployment_raw[[#This Row],[Column13]] * IF($E$2="Deployment",deployment_raw[[#This Row],[Column5]],1)*(1+$W$2))/1048576,"")</f>
        <v/>
      </c>
    </row>
    <row r="812" spans="1:23" ht="15.75" customHeight="1" x14ac:dyDescent="0.25">
      <c r="A812" s="5" t="str">
        <f>IF(ISNONTEXT(deployment_raw[[#This Row],[Column1]]), "", deployment_raw[[#This Row],[Column1]])</f>
        <v/>
      </c>
      <c r="B812" s="6" t="str">
        <f>IF(ISNONTEXT(deployment_raw[[#This Row],[Column2]]), "", deployment_raw[[#This Row],[Column2]])</f>
        <v/>
      </c>
      <c r="C812" s="6" t="str">
        <f>IF(ISNONTEXT(deployment_raw[[#This Row],[Column3]]), "", deployment_raw[[#This Row],[Column3]])</f>
        <v/>
      </c>
      <c r="D812" s="6" t="str">
        <f>IF(ISNONTEXT(deployment_raw[[#This Row],[Column4]]), "", deployment_raw[[#This Row],[Column4]])</f>
        <v/>
      </c>
      <c r="E812" s="7" t="str">
        <f>IF(ISNUMBER(deployment_raw[[#This Row],[Column5]]), deployment_raw[[#This Row],[Column5]],"")</f>
        <v/>
      </c>
      <c r="F812" s="32" t="str">
        <f>IF(ISNUMBER(deployment_raw[[#This Row],[Column17]]), deployment_raw[[#This Row],[Column17]]/IF(OR($E$2="Deployment",deployment_raw[[#This Row],[Column5]]=0),1,deployment_raw[[#This Row],[Column5]]),"")</f>
        <v/>
      </c>
      <c r="G812" s="42" t="str">
        <f>IF(ISNUMBER(deployment_raw[[#This Row],[Column14]]), deployment_raw[[#This Row],[Column14]]/IF(OR($E$2="Deployment",deployment_raw[[#This Row],[Column5]]=0),1,deployment_raw[[#This Row],[Column5]]),"")</f>
        <v/>
      </c>
      <c r="H812" s="79" t="str">
        <f>IF(ISNUMBER(deployment_raw[[#This Row],[Column19]]), IF(I812&lt;&gt;0,(deployment_raw[[#This Row],[Column19]]/IF(OR($E$2="Deployment",deployment_raw[[#This Row],[Column5]]=0),1,deployment_raw[[#This Row],[Column5]]))/I812,0),"")</f>
        <v/>
      </c>
      <c r="I812" s="69" t="str">
        <f>IF(ISNUMBER(deployment_raw[[#This Row],[Column6]]), (deployment_raw[[#This Row],[Column6]] * IF($E$2="Deployment",deployment_raw[[#This Row],[Column5]],1)),"")</f>
        <v/>
      </c>
      <c r="J812" s="79" t="str">
        <f>IF(ISNUMBER(deployment_raw[[#This Row],[Column19]]), IF(K812&lt;&gt;0,(deployment_raw[[#This Row],[Column19]]/IF(OR($E$2="Deployment",deployment_raw[[#This Row],[Column5]]=0),1,deployment_raw[[#This Row],[Column5]]))/K812,0),"")</f>
        <v/>
      </c>
      <c r="K812" s="72" t="str">
        <f>IF(ISNUMBER(deployment_raw[[#This Row],[Column8]]), (deployment_raw[[#This Row],[Column8]]  * IF($E$2="Deployment",deployment_raw[[#This Row],[Column5]],1)),"")</f>
        <v/>
      </c>
      <c r="L81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1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12" s="81" t="str">
        <f>IF(ISNUMBER(deployment_raw[[#This Row],[Column20]]), IF(O812&lt;&gt;0,deployment_raw[[#This Row],[Column20]]/IF(OR($E$2="Deployment",deployment_raw[[#This Row],[Column5]]=0),1,deployment_raw[[#This Row],[Column5]])/1048576/O812,0),"")</f>
        <v/>
      </c>
      <c r="O812" s="74" t="str">
        <f>IF(ISNUMBER(deployment_raw[[#This Row],[Column7]]), (deployment_raw[[#This Row],[Column7]] * IF($E$2="Deployment",deployment_raw[[#This Row],[Column5]],1))/1048576,"")</f>
        <v/>
      </c>
      <c r="P812" s="81" t="str">
        <f>IF(ISNUMBER(deployment_raw[[#This Row],[Column20]]), IF(Q812&lt;&gt;0,deployment_raw[[#This Row],[Column20]]/IF(OR($E$2="Deployment",deployment_raw[[#This Row],[Column5]]=0),1,deployment_raw[[#This Row],[Column5]])/1048576/Q812,0),"")</f>
        <v/>
      </c>
      <c r="Q812" s="76" t="str">
        <f>IF(ISNUMBER(deployment_raw[[#This Row],[Column9]]), (deployment_raw[[#This Row],[Column9]] * IF($E$2="Deployment",deployment_raw[[#This Row],[Column5]],1))/1048576,"")</f>
        <v/>
      </c>
      <c r="R812" s="57" t="str">
        <f>IF(ISNUMBER(deployment_raw[[#This Row],[Column10]]), (deployment_raw[[#This Row],[Column10]] * IF($E$2="Deployment",deployment_raw[[#This Row],[Column5]],1)),"")</f>
        <v/>
      </c>
      <c r="S812" s="48" t="str">
        <f>IF(ISNUMBER(deployment_raw[[#This Row],[Column11]]), (deployment_raw[[#This Row],[Column11]] * IF($E$2="Deployment",deployment_raw[[#This Row],[Column5]],1))/1048576,"")</f>
        <v/>
      </c>
      <c r="T812" s="59" t="str">
        <f>IF(ISNUMBER(deployment_raw[[#This Row],[Column8]]),IF(OR(deployment_raw[[#This Row],[Column5]] &lt;&gt; 0,$E$2 &lt;&gt; "Deployment"), MAX(V812, ($T$2 * IF($E$2="Deployment",deployment_raw[[#This Row],[Column5]],1))), 0),"")</f>
        <v/>
      </c>
      <c r="U812" s="50" t="str">
        <f>IF(ISNUMBER(deployment_raw[[#This Row],[Column9]]),IF(OR(deployment_raw[[#This Row],[Column5]] &lt;&gt; 0,$E$2&lt;&gt;"Deployment"), MAX(W812, ($U$2 * IF($E$2="Deployment",deployment_raw[[#This Row],[Column5]],1))), 0),"")</f>
        <v/>
      </c>
      <c r="V812" s="15" t="str">
        <f>IF(ISNUMBER(deployment_raw[[#This Row],[Column12]]), (deployment_raw[[#This Row],[Column12]] * IF($E$2="Deployment",deployment_raw[[#This Row],[Column5]],1)*(1+$V$2)),"")</f>
        <v/>
      </c>
      <c r="W812" s="14" t="str">
        <f>IF(ISNUMBER(deployment_raw[[#This Row],[Column13]]), (deployment_raw[[#This Row],[Column13]] * IF($E$2="Deployment",deployment_raw[[#This Row],[Column5]],1)*(1+$W$2))/1048576,"")</f>
        <v/>
      </c>
    </row>
    <row r="813" spans="1:23" ht="15.75" customHeight="1" x14ac:dyDescent="0.25">
      <c r="A813" s="5" t="str">
        <f>IF(ISNONTEXT(deployment_raw[[#This Row],[Column1]]), "", deployment_raw[[#This Row],[Column1]])</f>
        <v/>
      </c>
      <c r="B813" s="6" t="str">
        <f>IF(ISNONTEXT(deployment_raw[[#This Row],[Column2]]), "", deployment_raw[[#This Row],[Column2]])</f>
        <v/>
      </c>
      <c r="C813" s="6" t="str">
        <f>IF(ISNONTEXT(deployment_raw[[#This Row],[Column3]]), "", deployment_raw[[#This Row],[Column3]])</f>
        <v/>
      </c>
      <c r="D813" s="6" t="str">
        <f>IF(ISNONTEXT(deployment_raw[[#This Row],[Column4]]), "", deployment_raw[[#This Row],[Column4]])</f>
        <v/>
      </c>
      <c r="E813" s="7" t="str">
        <f>IF(ISNUMBER(deployment_raw[[#This Row],[Column5]]), deployment_raw[[#This Row],[Column5]],"")</f>
        <v/>
      </c>
      <c r="F813" s="32" t="str">
        <f>IF(ISNUMBER(deployment_raw[[#This Row],[Column17]]), deployment_raw[[#This Row],[Column17]]/IF(OR($E$2="Deployment",deployment_raw[[#This Row],[Column5]]=0),1,deployment_raw[[#This Row],[Column5]]),"")</f>
        <v/>
      </c>
      <c r="G813" s="42" t="str">
        <f>IF(ISNUMBER(deployment_raw[[#This Row],[Column14]]), deployment_raw[[#This Row],[Column14]]/IF(OR($E$2="Deployment",deployment_raw[[#This Row],[Column5]]=0),1,deployment_raw[[#This Row],[Column5]]),"")</f>
        <v/>
      </c>
      <c r="H813" s="79" t="str">
        <f>IF(ISNUMBER(deployment_raw[[#This Row],[Column19]]), IF(I813&lt;&gt;0,(deployment_raw[[#This Row],[Column19]]/IF(OR($E$2="Deployment",deployment_raw[[#This Row],[Column5]]=0),1,deployment_raw[[#This Row],[Column5]]))/I813,0),"")</f>
        <v/>
      </c>
      <c r="I813" s="69" t="str">
        <f>IF(ISNUMBER(deployment_raw[[#This Row],[Column6]]), (deployment_raw[[#This Row],[Column6]] * IF($E$2="Deployment",deployment_raw[[#This Row],[Column5]],1)),"")</f>
        <v/>
      </c>
      <c r="J813" s="79" t="str">
        <f>IF(ISNUMBER(deployment_raw[[#This Row],[Column19]]), IF(K813&lt;&gt;0,(deployment_raw[[#This Row],[Column19]]/IF(OR($E$2="Deployment",deployment_raw[[#This Row],[Column5]]=0),1,deployment_raw[[#This Row],[Column5]]))/K813,0),"")</f>
        <v/>
      </c>
      <c r="K813" s="72" t="str">
        <f>IF(ISNUMBER(deployment_raw[[#This Row],[Column8]]), (deployment_raw[[#This Row],[Column8]]  * IF($E$2="Deployment",deployment_raw[[#This Row],[Column5]],1)),"")</f>
        <v/>
      </c>
      <c r="L81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1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13" s="81" t="str">
        <f>IF(ISNUMBER(deployment_raw[[#This Row],[Column20]]), IF(O813&lt;&gt;0,deployment_raw[[#This Row],[Column20]]/IF(OR($E$2="Deployment",deployment_raw[[#This Row],[Column5]]=0),1,deployment_raw[[#This Row],[Column5]])/1048576/O813,0),"")</f>
        <v/>
      </c>
      <c r="O813" s="74" t="str">
        <f>IF(ISNUMBER(deployment_raw[[#This Row],[Column7]]), (deployment_raw[[#This Row],[Column7]] * IF($E$2="Deployment",deployment_raw[[#This Row],[Column5]],1))/1048576,"")</f>
        <v/>
      </c>
      <c r="P813" s="81" t="str">
        <f>IF(ISNUMBER(deployment_raw[[#This Row],[Column20]]), IF(Q813&lt;&gt;0,deployment_raw[[#This Row],[Column20]]/IF(OR($E$2="Deployment",deployment_raw[[#This Row],[Column5]]=0),1,deployment_raw[[#This Row],[Column5]])/1048576/Q813,0),"")</f>
        <v/>
      </c>
      <c r="Q813" s="76" t="str">
        <f>IF(ISNUMBER(deployment_raw[[#This Row],[Column9]]), (deployment_raw[[#This Row],[Column9]] * IF($E$2="Deployment",deployment_raw[[#This Row],[Column5]],1))/1048576,"")</f>
        <v/>
      </c>
      <c r="R813" s="57" t="str">
        <f>IF(ISNUMBER(deployment_raw[[#This Row],[Column10]]), (deployment_raw[[#This Row],[Column10]] * IF($E$2="Deployment",deployment_raw[[#This Row],[Column5]],1)),"")</f>
        <v/>
      </c>
      <c r="S813" s="48" t="str">
        <f>IF(ISNUMBER(deployment_raw[[#This Row],[Column11]]), (deployment_raw[[#This Row],[Column11]] * IF($E$2="Deployment",deployment_raw[[#This Row],[Column5]],1))/1048576,"")</f>
        <v/>
      </c>
      <c r="T813" s="59" t="str">
        <f>IF(ISNUMBER(deployment_raw[[#This Row],[Column8]]),IF(OR(deployment_raw[[#This Row],[Column5]] &lt;&gt; 0,$E$2 &lt;&gt; "Deployment"), MAX(V813, ($T$2 * IF($E$2="Deployment",deployment_raw[[#This Row],[Column5]],1))), 0),"")</f>
        <v/>
      </c>
      <c r="U813" s="50" t="str">
        <f>IF(ISNUMBER(deployment_raw[[#This Row],[Column9]]),IF(OR(deployment_raw[[#This Row],[Column5]] &lt;&gt; 0,$E$2&lt;&gt;"Deployment"), MAX(W813, ($U$2 * IF($E$2="Deployment",deployment_raw[[#This Row],[Column5]],1))), 0),"")</f>
        <v/>
      </c>
      <c r="V813" s="15" t="str">
        <f>IF(ISNUMBER(deployment_raw[[#This Row],[Column12]]), (deployment_raw[[#This Row],[Column12]] * IF($E$2="Deployment",deployment_raw[[#This Row],[Column5]],1)*(1+$V$2)),"")</f>
        <v/>
      </c>
      <c r="W813" s="14" t="str">
        <f>IF(ISNUMBER(deployment_raw[[#This Row],[Column13]]), (deployment_raw[[#This Row],[Column13]] * IF($E$2="Deployment",deployment_raw[[#This Row],[Column5]],1)*(1+$W$2))/1048576,"")</f>
        <v/>
      </c>
    </row>
    <row r="814" spans="1:23" ht="15.75" customHeight="1" x14ac:dyDescent="0.25">
      <c r="A814" s="5" t="str">
        <f>IF(ISNONTEXT(deployment_raw[[#This Row],[Column1]]), "", deployment_raw[[#This Row],[Column1]])</f>
        <v/>
      </c>
      <c r="B814" s="6" t="str">
        <f>IF(ISNONTEXT(deployment_raw[[#This Row],[Column2]]), "", deployment_raw[[#This Row],[Column2]])</f>
        <v/>
      </c>
      <c r="C814" s="6" t="str">
        <f>IF(ISNONTEXT(deployment_raw[[#This Row],[Column3]]), "", deployment_raw[[#This Row],[Column3]])</f>
        <v/>
      </c>
      <c r="D814" s="6" t="str">
        <f>IF(ISNONTEXT(deployment_raw[[#This Row],[Column4]]), "", deployment_raw[[#This Row],[Column4]])</f>
        <v/>
      </c>
      <c r="E814" s="7" t="str">
        <f>IF(ISNUMBER(deployment_raw[[#This Row],[Column5]]), deployment_raw[[#This Row],[Column5]],"")</f>
        <v/>
      </c>
      <c r="F814" s="32" t="str">
        <f>IF(ISNUMBER(deployment_raw[[#This Row],[Column17]]), deployment_raw[[#This Row],[Column17]]/IF(OR($E$2="Deployment",deployment_raw[[#This Row],[Column5]]=0),1,deployment_raw[[#This Row],[Column5]]),"")</f>
        <v/>
      </c>
      <c r="G814" s="42" t="str">
        <f>IF(ISNUMBER(deployment_raw[[#This Row],[Column14]]), deployment_raw[[#This Row],[Column14]]/IF(OR($E$2="Deployment",deployment_raw[[#This Row],[Column5]]=0),1,deployment_raw[[#This Row],[Column5]]),"")</f>
        <v/>
      </c>
      <c r="H814" s="79" t="str">
        <f>IF(ISNUMBER(deployment_raw[[#This Row],[Column19]]), IF(I814&lt;&gt;0,(deployment_raw[[#This Row],[Column19]]/IF(OR($E$2="Deployment",deployment_raw[[#This Row],[Column5]]=0),1,deployment_raw[[#This Row],[Column5]]))/I814,0),"")</f>
        <v/>
      </c>
      <c r="I814" s="69" t="str">
        <f>IF(ISNUMBER(deployment_raw[[#This Row],[Column6]]), (deployment_raw[[#This Row],[Column6]] * IF($E$2="Deployment",deployment_raw[[#This Row],[Column5]],1)),"")</f>
        <v/>
      </c>
      <c r="J814" s="79" t="str">
        <f>IF(ISNUMBER(deployment_raw[[#This Row],[Column19]]), IF(K814&lt;&gt;0,(deployment_raw[[#This Row],[Column19]]/IF(OR($E$2="Deployment",deployment_raw[[#This Row],[Column5]]=0),1,deployment_raw[[#This Row],[Column5]]))/K814,0),"")</f>
        <v/>
      </c>
      <c r="K814" s="72" t="str">
        <f>IF(ISNUMBER(deployment_raw[[#This Row],[Column8]]), (deployment_raw[[#This Row],[Column8]]  * IF($E$2="Deployment",deployment_raw[[#This Row],[Column5]],1)),"")</f>
        <v/>
      </c>
      <c r="L81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1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14" s="81" t="str">
        <f>IF(ISNUMBER(deployment_raw[[#This Row],[Column20]]), IF(O814&lt;&gt;0,deployment_raw[[#This Row],[Column20]]/IF(OR($E$2="Deployment",deployment_raw[[#This Row],[Column5]]=0),1,deployment_raw[[#This Row],[Column5]])/1048576/O814,0),"")</f>
        <v/>
      </c>
      <c r="O814" s="74" t="str">
        <f>IF(ISNUMBER(deployment_raw[[#This Row],[Column7]]), (deployment_raw[[#This Row],[Column7]] * IF($E$2="Deployment",deployment_raw[[#This Row],[Column5]],1))/1048576,"")</f>
        <v/>
      </c>
      <c r="P814" s="81" t="str">
        <f>IF(ISNUMBER(deployment_raw[[#This Row],[Column20]]), IF(Q814&lt;&gt;0,deployment_raw[[#This Row],[Column20]]/IF(OR($E$2="Deployment",deployment_raw[[#This Row],[Column5]]=0),1,deployment_raw[[#This Row],[Column5]])/1048576/Q814,0),"")</f>
        <v/>
      </c>
      <c r="Q814" s="76" t="str">
        <f>IF(ISNUMBER(deployment_raw[[#This Row],[Column9]]), (deployment_raw[[#This Row],[Column9]] * IF($E$2="Deployment",deployment_raw[[#This Row],[Column5]],1))/1048576,"")</f>
        <v/>
      </c>
      <c r="R814" s="57" t="str">
        <f>IF(ISNUMBER(deployment_raw[[#This Row],[Column10]]), (deployment_raw[[#This Row],[Column10]] * IF($E$2="Deployment",deployment_raw[[#This Row],[Column5]],1)),"")</f>
        <v/>
      </c>
      <c r="S814" s="48" t="str">
        <f>IF(ISNUMBER(deployment_raw[[#This Row],[Column11]]), (deployment_raw[[#This Row],[Column11]] * IF($E$2="Deployment",deployment_raw[[#This Row],[Column5]],1))/1048576,"")</f>
        <v/>
      </c>
      <c r="T814" s="59" t="str">
        <f>IF(ISNUMBER(deployment_raw[[#This Row],[Column8]]),IF(OR(deployment_raw[[#This Row],[Column5]] &lt;&gt; 0,$E$2 &lt;&gt; "Deployment"), MAX(V814, ($T$2 * IF($E$2="Deployment",deployment_raw[[#This Row],[Column5]],1))), 0),"")</f>
        <v/>
      </c>
      <c r="U814" s="50" t="str">
        <f>IF(ISNUMBER(deployment_raw[[#This Row],[Column9]]),IF(OR(deployment_raw[[#This Row],[Column5]] &lt;&gt; 0,$E$2&lt;&gt;"Deployment"), MAX(W814, ($U$2 * IF($E$2="Deployment",deployment_raw[[#This Row],[Column5]],1))), 0),"")</f>
        <v/>
      </c>
      <c r="V814" s="15" t="str">
        <f>IF(ISNUMBER(deployment_raw[[#This Row],[Column12]]), (deployment_raw[[#This Row],[Column12]] * IF($E$2="Deployment",deployment_raw[[#This Row],[Column5]],1)*(1+$V$2)),"")</f>
        <v/>
      </c>
      <c r="W814" s="14" t="str">
        <f>IF(ISNUMBER(deployment_raw[[#This Row],[Column13]]), (deployment_raw[[#This Row],[Column13]] * IF($E$2="Deployment",deployment_raw[[#This Row],[Column5]],1)*(1+$W$2))/1048576,"")</f>
        <v/>
      </c>
    </row>
    <row r="815" spans="1:23" ht="15.75" customHeight="1" x14ac:dyDescent="0.25">
      <c r="A815" s="5" t="str">
        <f>IF(ISNONTEXT(deployment_raw[[#This Row],[Column1]]), "", deployment_raw[[#This Row],[Column1]])</f>
        <v/>
      </c>
      <c r="B815" s="6" t="str">
        <f>IF(ISNONTEXT(deployment_raw[[#This Row],[Column2]]), "", deployment_raw[[#This Row],[Column2]])</f>
        <v/>
      </c>
      <c r="C815" s="6" t="str">
        <f>IF(ISNONTEXT(deployment_raw[[#This Row],[Column3]]), "", deployment_raw[[#This Row],[Column3]])</f>
        <v/>
      </c>
      <c r="D815" s="6" t="str">
        <f>IF(ISNONTEXT(deployment_raw[[#This Row],[Column4]]), "", deployment_raw[[#This Row],[Column4]])</f>
        <v/>
      </c>
      <c r="E815" s="7" t="str">
        <f>IF(ISNUMBER(deployment_raw[[#This Row],[Column5]]), deployment_raw[[#This Row],[Column5]],"")</f>
        <v/>
      </c>
      <c r="F815" s="32" t="str">
        <f>IF(ISNUMBER(deployment_raw[[#This Row],[Column17]]), deployment_raw[[#This Row],[Column17]]/IF(OR($E$2="Deployment",deployment_raw[[#This Row],[Column5]]=0),1,deployment_raw[[#This Row],[Column5]]),"")</f>
        <v/>
      </c>
      <c r="G815" s="42" t="str">
        <f>IF(ISNUMBER(deployment_raw[[#This Row],[Column14]]), deployment_raw[[#This Row],[Column14]]/IF(OR($E$2="Deployment",deployment_raw[[#This Row],[Column5]]=0),1,deployment_raw[[#This Row],[Column5]]),"")</f>
        <v/>
      </c>
      <c r="H815" s="79" t="str">
        <f>IF(ISNUMBER(deployment_raw[[#This Row],[Column19]]), IF(I815&lt;&gt;0,(deployment_raw[[#This Row],[Column19]]/IF(OR($E$2="Deployment",deployment_raw[[#This Row],[Column5]]=0),1,deployment_raw[[#This Row],[Column5]]))/I815,0),"")</f>
        <v/>
      </c>
      <c r="I815" s="69" t="str">
        <f>IF(ISNUMBER(deployment_raw[[#This Row],[Column6]]), (deployment_raw[[#This Row],[Column6]] * IF($E$2="Deployment",deployment_raw[[#This Row],[Column5]],1)),"")</f>
        <v/>
      </c>
      <c r="J815" s="79" t="str">
        <f>IF(ISNUMBER(deployment_raw[[#This Row],[Column19]]), IF(K815&lt;&gt;0,(deployment_raw[[#This Row],[Column19]]/IF(OR($E$2="Deployment",deployment_raw[[#This Row],[Column5]]=0),1,deployment_raw[[#This Row],[Column5]]))/K815,0),"")</f>
        <v/>
      </c>
      <c r="K815" s="72" t="str">
        <f>IF(ISNUMBER(deployment_raw[[#This Row],[Column8]]), (deployment_raw[[#This Row],[Column8]]  * IF($E$2="Deployment",deployment_raw[[#This Row],[Column5]],1)),"")</f>
        <v/>
      </c>
      <c r="L81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1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15" s="81" t="str">
        <f>IF(ISNUMBER(deployment_raw[[#This Row],[Column20]]), IF(O815&lt;&gt;0,deployment_raw[[#This Row],[Column20]]/IF(OR($E$2="Deployment",deployment_raw[[#This Row],[Column5]]=0),1,deployment_raw[[#This Row],[Column5]])/1048576/O815,0),"")</f>
        <v/>
      </c>
      <c r="O815" s="74" t="str">
        <f>IF(ISNUMBER(deployment_raw[[#This Row],[Column7]]), (deployment_raw[[#This Row],[Column7]] * IF($E$2="Deployment",deployment_raw[[#This Row],[Column5]],1))/1048576,"")</f>
        <v/>
      </c>
      <c r="P815" s="81" t="str">
        <f>IF(ISNUMBER(deployment_raw[[#This Row],[Column20]]), IF(Q815&lt;&gt;0,deployment_raw[[#This Row],[Column20]]/IF(OR($E$2="Deployment",deployment_raw[[#This Row],[Column5]]=0),1,deployment_raw[[#This Row],[Column5]])/1048576/Q815,0),"")</f>
        <v/>
      </c>
      <c r="Q815" s="76" t="str">
        <f>IF(ISNUMBER(deployment_raw[[#This Row],[Column9]]), (deployment_raw[[#This Row],[Column9]] * IF($E$2="Deployment",deployment_raw[[#This Row],[Column5]],1))/1048576,"")</f>
        <v/>
      </c>
      <c r="R815" s="57" t="str">
        <f>IF(ISNUMBER(deployment_raw[[#This Row],[Column10]]), (deployment_raw[[#This Row],[Column10]] * IF($E$2="Deployment",deployment_raw[[#This Row],[Column5]],1)),"")</f>
        <v/>
      </c>
      <c r="S815" s="48" t="str">
        <f>IF(ISNUMBER(deployment_raw[[#This Row],[Column11]]), (deployment_raw[[#This Row],[Column11]] * IF($E$2="Deployment",deployment_raw[[#This Row],[Column5]],1))/1048576,"")</f>
        <v/>
      </c>
      <c r="T815" s="59" t="str">
        <f>IF(ISNUMBER(deployment_raw[[#This Row],[Column8]]),IF(OR(deployment_raw[[#This Row],[Column5]] &lt;&gt; 0,$E$2 &lt;&gt; "Deployment"), MAX(V815, ($T$2 * IF($E$2="Deployment",deployment_raw[[#This Row],[Column5]],1))), 0),"")</f>
        <v/>
      </c>
      <c r="U815" s="50" t="str">
        <f>IF(ISNUMBER(deployment_raw[[#This Row],[Column9]]),IF(OR(deployment_raw[[#This Row],[Column5]] &lt;&gt; 0,$E$2&lt;&gt;"Deployment"), MAX(W815, ($U$2 * IF($E$2="Deployment",deployment_raw[[#This Row],[Column5]],1))), 0),"")</f>
        <v/>
      </c>
      <c r="V815" s="15" t="str">
        <f>IF(ISNUMBER(deployment_raw[[#This Row],[Column12]]), (deployment_raw[[#This Row],[Column12]] * IF($E$2="Deployment",deployment_raw[[#This Row],[Column5]],1)*(1+$V$2)),"")</f>
        <v/>
      </c>
      <c r="W815" s="14" t="str">
        <f>IF(ISNUMBER(deployment_raw[[#This Row],[Column13]]), (deployment_raw[[#This Row],[Column13]] * IF($E$2="Deployment",deployment_raw[[#This Row],[Column5]],1)*(1+$W$2))/1048576,"")</f>
        <v/>
      </c>
    </row>
    <row r="816" spans="1:23" ht="15.75" customHeight="1" x14ac:dyDescent="0.25">
      <c r="A816" s="5" t="str">
        <f>IF(ISNONTEXT(deployment_raw[[#This Row],[Column1]]), "", deployment_raw[[#This Row],[Column1]])</f>
        <v/>
      </c>
      <c r="B816" s="6" t="str">
        <f>IF(ISNONTEXT(deployment_raw[[#This Row],[Column2]]), "", deployment_raw[[#This Row],[Column2]])</f>
        <v/>
      </c>
      <c r="C816" s="6" t="str">
        <f>IF(ISNONTEXT(deployment_raw[[#This Row],[Column3]]), "", deployment_raw[[#This Row],[Column3]])</f>
        <v/>
      </c>
      <c r="D816" s="6" t="str">
        <f>IF(ISNONTEXT(deployment_raw[[#This Row],[Column4]]), "", deployment_raw[[#This Row],[Column4]])</f>
        <v/>
      </c>
      <c r="E816" s="7" t="str">
        <f>IF(ISNUMBER(deployment_raw[[#This Row],[Column5]]), deployment_raw[[#This Row],[Column5]],"")</f>
        <v/>
      </c>
      <c r="F816" s="32" t="str">
        <f>IF(ISNUMBER(deployment_raw[[#This Row],[Column17]]), deployment_raw[[#This Row],[Column17]]/IF(OR($E$2="Deployment",deployment_raw[[#This Row],[Column5]]=0),1,deployment_raw[[#This Row],[Column5]]),"")</f>
        <v/>
      </c>
      <c r="G816" s="42" t="str">
        <f>IF(ISNUMBER(deployment_raw[[#This Row],[Column14]]), deployment_raw[[#This Row],[Column14]]/IF(OR($E$2="Deployment",deployment_raw[[#This Row],[Column5]]=0),1,deployment_raw[[#This Row],[Column5]]),"")</f>
        <v/>
      </c>
      <c r="H816" s="79" t="str">
        <f>IF(ISNUMBER(deployment_raw[[#This Row],[Column19]]), IF(I816&lt;&gt;0,(deployment_raw[[#This Row],[Column19]]/IF(OR($E$2="Deployment",deployment_raw[[#This Row],[Column5]]=0),1,deployment_raw[[#This Row],[Column5]]))/I816,0),"")</f>
        <v/>
      </c>
      <c r="I816" s="69" t="str">
        <f>IF(ISNUMBER(deployment_raw[[#This Row],[Column6]]), (deployment_raw[[#This Row],[Column6]] * IF($E$2="Deployment",deployment_raw[[#This Row],[Column5]],1)),"")</f>
        <v/>
      </c>
      <c r="J816" s="79" t="str">
        <f>IF(ISNUMBER(deployment_raw[[#This Row],[Column19]]), IF(K816&lt;&gt;0,(deployment_raw[[#This Row],[Column19]]/IF(OR($E$2="Deployment",deployment_raw[[#This Row],[Column5]]=0),1,deployment_raw[[#This Row],[Column5]]))/K816,0),"")</f>
        <v/>
      </c>
      <c r="K816" s="72" t="str">
        <f>IF(ISNUMBER(deployment_raw[[#This Row],[Column8]]), (deployment_raw[[#This Row],[Column8]]  * IF($E$2="Deployment",deployment_raw[[#This Row],[Column5]],1)),"")</f>
        <v/>
      </c>
      <c r="L81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1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16" s="81" t="str">
        <f>IF(ISNUMBER(deployment_raw[[#This Row],[Column20]]), IF(O816&lt;&gt;0,deployment_raw[[#This Row],[Column20]]/IF(OR($E$2="Deployment",deployment_raw[[#This Row],[Column5]]=0),1,deployment_raw[[#This Row],[Column5]])/1048576/O816,0),"")</f>
        <v/>
      </c>
      <c r="O816" s="74" t="str">
        <f>IF(ISNUMBER(deployment_raw[[#This Row],[Column7]]), (deployment_raw[[#This Row],[Column7]] * IF($E$2="Deployment",deployment_raw[[#This Row],[Column5]],1))/1048576,"")</f>
        <v/>
      </c>
      <c r="P816" s="81" t="str">
        <f>IF(ISNUMBER(deployment_raw[[#This Row],[Column20]]), IF(Q816&lt;&gt;0,deployment_raw[[#This Row],[Column20]]/IF(OR($E$2="Deployment",deployment_raw[[#This Row],[Column5]]=0),1,deployment_raw[[#This Row],[Column5]])/1048576/Q816,0),"")</f>
        <v/>
      </c>
      <c r="Q816" s="76" t="str">
        <f>IF(ISNUMBER(deployment_raw[[#This Row],[Column9]]), (deployment_raw[[#This Row],[Column9]] * IF($E$2="Deployment",deployment_raw[[#This Row],[Column5]],1))/1048576,"")</f>
        <v/>
      </c>
      <c r="R816" s="57" t="str">
        <f>IF(ISNUMBER(deployment_raw[[#This Row],[Column10]]), (deployment_raw[[#This Row],[Column10]] * IF($E$2="Deployment",deployment_raw[[#This Row],[Column5]],1)),"")</f>
        <v/>
      </c>
      <c r="S816" s="48" t="str">
        <f>IF(ISNUMBER(deployment_raw[[#This Row],[Column11]]), (deployment_raw[[#This Row],[Column11]] * IF($E$2="Deployment",deployment_raw[[#This Row],[Column5]],1))/1048576,"")</f>
        <v/>
      </c>
      <c r="T816" s="59" t="str">
        <f>IF(ISNUMBER(deployment_raw[[#This Row],[Column8]]),IF(OR(deployment_raw[[#This Row],[Column5]] &lt;&gt; 0,$E$2 &lt;&gt; "Deployment"), MAX(V816, ($T$2 * IF($E$2="Deployment",deployment_raw[[#This Row],[Column5]],1))), 0),"")</f>
        <v/>
      </c>
      <c r="U816" s="50" t="str">
        <f>IF(ISNUMBER(deployment_raw[[#This Row],[Column9]]),IF(OR(deployment_raw[[#This Row],[Column5]] &lt;&gt; 0,$E$2&lt;&gt;"Deployment"), MAX(W816, ($U$2 * IF($E$2="Deployment",deployment_raw[[#This Row],[Column5]],1))), 0),"")</f>
        <v/>
      </c>
      <c r="V816" s="15" t="str">
        <f>IF(ISNUMBER(deployment_raw[[#This Row],[Column12]]), (deployment_raw[[#This Row],[Column12]] * IF($E$2="Deployment",deployment_raw[[#This Row],[Column5]],1)*(1+$V$2)),"")</f>
        <v/>
      </c>
      <c r="W816" s="14" t="str">
        <f>IF(ISNUMBER(deployment_raw[[#This Row],[Column13]]), (deployment_raw[[#This Row],[Column13]] * IF($E$2="Deployment",deployment_raw[[#This Row],[Column5]],1)*(1+$W$2))/1048576,"")</f>
        <v/>
      </c>
    </row>
    <row r="817" spans="1:23" ht="15.75" customHeight="1" x14ac:dyDescent="0.25">
      <c r="A817" s="5" t="str">
        <f>IF(ISNONTEXT(deployment_raw[[#This Row],[Column1]]), "", deployment_raw[[#This Row],[Column1]])</f>
        <v/>
      </c>
      <c r="B817" s="6" t="str">
        <f>IF(ISNONTEXT(deployment_raw[[#This Row],[Column2]]), "", deployment_raw[[#This Row],[Column2]])</f>
        <v/>
      </c>
      <c r="C817" s="6" t="str">
        <f>IF(ISNONTEXT(deployment_raw[[#This Row],[Column3]]), "", deployment_raw[[#This Row],[Column3]])</f>
        <v/>
      </c>
      <c r="D817" s="6" t="str">
        <f>IF(ISNONTEXT(deployment_raw[[#This Row],[Column4]]), "", deployment_raw[[#This Row],[Column4]])</f>
        <v/>
      </c>
      <c r="E817" s="7" t="str">
        <f>IF(ISNUMBER(deployment_raw[[#This Row],[Column5]]), deployment_raw[[#This Row],[Column5]],"")</f>
        <v/>
      </c>
      <c r="F817" s="32" t="str">
        <f>IF(ISNUMBER(deployment_raw[[#This Row],[Column17]]), deployment_raw[[#This Row],[Column17]]/IF(OR($E$2="Deployment",deployment_raw[[#This Row],[Column5]]=0),1,deployment_raw[[#This Row],[Column5]]),"")</f>
        <v/>
      </c>
      <c r="G817" s="42" t="str">
        <f>IF(ISNUMBER(deployment_raw[[#This Row],[Column14]]), deployment_raw[[#This Row],[Column14]]/IF(OR($E$2="Deployment",deployment_raw[[#This Row],[Column5]]=0),1,deployment_raw[[#This Row],[Column5]]),"")</f>
        <v/>
      </c>
      <c r="H817" s="79" t="str">
        <f>IF(ISNUMBER(deployment_raw[[#This Row],[Column19]]), IF(I817&lt;&gt;0,(deployment_raw[[#This Row],[Column19]]/IF(OR($E$2="Deployment",deployment_raw[[#This Row],[Column5]]=0),1,deployment_raw[[#This Row],[Column5]]))/I817,0),"")</f>
        <v/>
      </c>
      <c r="I817" s="69" t="str">
        <f>IF(ISNUMBER(deployment_raw[[#This Row],[Column6]]), (deployment_raw[[#This Row],[Column6]] * IF($E$2="Deployment",deployment_raw[[#This Row],[Column5]],1)),"")</f>
        <v/>
      </c>
      <c r="J817" s="79" t="str">
        <f>IF(ISNUMBER(deployment_raw[[#This Row],[Column19]]), IF(K817&lt;&gt;0,(deployment_raw[[#This Row],[Column19]]/IF(OR($E$2="Deployment",deployment_raw[[#This Row],[Column5]]=0),1,deployment_raw[[#This Row],[Column5]]))/K817,0),"")</f>
        <v/>
      </c>
      <c r="K817" s="72" t="str">
        <f>IF(ISNUMBER(deployment_raw[[#This Row],[Column8]]), (deployment_raw[[#This Row],[Column8]]  * IF($E$2="Deployment",deployment_raw[[#This Row],[Column5]],1)),"")</f>
        <v/>
      </c>
      <c r="L81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1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17" s="81" t="str">
        <f>IF(ISNUMBER(deployment_raw[[#This Row],[Column20]]), IF(O817&lt;&gt;0,deployment_raw[[#This Row],[Column20]]/IF(OR($E$2="Deployment",deployment_raw[[#This Row],[Column5]]=0),1,deployment_raw[[#This Row],[Column5]])/1048576/O817,0),"")</f>
        <v/>
      </c>
      <c r="O817" s="74" t="str">
        <f>IF(ISNUMBER(deployment_raw[[#This Row],[Column7]]), (deployment_raw[[#This Row],[Column7]] * IF($E$2="Deployment",deployment_raw[[#This Row],[Column5]],1))/1048576,"")</f>
        <v/>
      </c>
      <c r="P817" s="81" t="str">
        <f>IF(ISNUMBER(deployment_raw[[#This Row],[Column20]]), IF(Q817&lt;&gt;0,deployment_raw[[#This Row],[Column20]]/IF(OR($E$2="Deployment",deployment_raw[[#This Row],[Column5]]=0),1,deployment_raw[[#This Row],[Column5]])/1048576/Q817,0),"")</f>
        <v/>
      </c>
      <c r="Q817" s="76" t="str">
        <f>IF(ISNUMBER(deployment_raw[[#This Row],[Column9]]), (deployment_raw[[#This Row],[Column9]] * IF($E$2="Deployment",deployment_raw[[#This Row],[Column5]],1))/1048576,"")</f>
        <v/>
      </c>
      <c r="R817" s="57" t="str">
        <f>IF(ISNUMBER(deployment_raw[[#This Row],[Column10]]), (deployment_raw[[#This Row],[Column10]] * IF($E$2="Deployment",deployment_raw[[#This Row],[Column5]],1)),"")</f>
        <v/>
      </c>
      <c r="S817" s="48" t="str">
        <f>IF(ISNUMBER(deployment_raw[[#This Row],[Column11]]), (deployment_raw[[#This Row],[Column11]] * IF($E$2="Deployment",deployment_raw[[#This Row],[Column5]],1))/1048576,"")</f>
        <v/>
      </c>
      <c r="T817" s="59" t="str">
        <f>IF(ISNUMBER(deployment_raw[[#This Row],[Column8]]),IF(OR(deployment_raw[[#This Row],[Column5]] &lt;&gt; 0,$E$2 &lt;&gt; "Deployment"), MAX(V817, ($T$2 * IF($E$2="Deployment",deployment_raw[[#This Row],[Column5]],1))), 0),"")</f>
        <v/>
      </c>
      <c r="U817" s="50" t="str">
        <f>IF(ISNUMBER(deployment_raw[[#This Row],[Column9]]),IF(OR(deployment_raw[[#This Row],[Column5]] &lt;&gt; 0,$E$2&lt;&gt;"Deployment"), MAX(W817, ($U$2 * IF($E$2="Deployment",deployment_raw[[#This Row],[Column5]],1))), 0),"")</f>
        <v/>
      </c>
      <c r="V817" s="15" t="str">
        <f>IF(ISNUMBER(deployment_raw[[#This Row],[Column12]]), (deployment_raw[[#This Row],[Column12]] * IF($E$2="Deployment",deployment_raw[[#This Row],[Column5]],1)*(1+$V$2)),"")</f>
        <v/>
      </c>
      <c r="W817" s="14" t="str">
        <f>IF(ISNUMBER(deployment_raw[[#This Row],[Column13]]), (deployment_raw[[#This Row],[Column13]] * IF($E$2="Deployment",deployment_raw[[#This Row],[Column5]],1)*(1+$W$2))/1048576,"")</f>
        <v/>
      </c>
    </row>
    <row r="818" spans="1:23" ht="15.75" customHeight="1" x14ac:dyDescent="0.25">
      <c r="A818" s="5" t="str">
        <f>IF(ISNONTEXT(deployment_raw[[#This Row],[Column1]]), "", deployment_raw[[#This Row],[Column1]])</f>
        <v/>
      </c>
      <c r="B818" s="6" t="str">
        <f>IF(ISNONTEXT(deployment_raw[[#This Row],[Column2]]), "", deployment_raw[[#This Row],[Column2]])</f>
        <v/>
      </c>
      <c r="C818" s="6" t="str">
        <f>IF(ISNONTEXT(deployment_raw[[#This Row],[Column3]]), "", deployment_raw[[#This Row],[Column3]])</f>
        <v/>
      </c>
      <c r="D818" s="6" t="str">
        <f>IF(ISNONTEXT(deployment_raw[[#This Row],[Column4]]), "", deployment_raw[[#This Row],[Column4]])</f>
        <v/>
      </c>
      <c r="E818" s="7" t="str">
        <f>IF(ISNUMBER(deployment_raw[[#This Row],[Column5]]), deployment_raw[[#This Row],[Column5]],"")</f>
        <v/>
      </c>
      <c r="F818" s="32" t="str">
        <f>IF(ISNUMBER(deployment_raw[[#This Row],[Column17]]), deployment_raw[[#This Row],[Column17]]/IF(OR($E$2="Deployment",deployment_raw[[#This Row],[Column5]]=0),1,deployment_raw[[#This Row],[Column5]]),"")</f>
        <v/>
      </c>
      <c r="G818" s="42" t="str">
        <f>IF(ISNUMBER(deployment_raw[[#This Row],[Column14]]), deployment_raw[[#This Row],[Column14]]/IF(OR($E$2="Deployment",deployment_raw[[#This Row],[Column5]]=0),1,deployment_raw[[#This Row],[Column5]]),"")</f>
        <v/>
      </c>
      <c r="H818" s="79" t="str">
        <f>IF(ISNUMBER(deployment_raw[[#This Row],[Column19]]), IF(I818&lt;&gt;0,(deployment_raw[[#This Row],[Column19]]/IF(OR($E$2="Deployment",deployment_raw[[#This Row],[Column5]]=0),1,deployment_raw[[#This Row],[Column5]]))/I818,0),"")</f>
        <v/>
      </c>
      <c r="I818" s="69" t="str">
        <f>IF(ISNUMBER(deployment_raw[[#This Row],[Column6]]), (deployment_raw[[#This Row],[Column6]] * IF($E$2="Deployment",deployment_raw[[#This Row],[Column5]],1)),"")</f>
        <v/>
      </c>
      <c r="J818" s="79" t="str">
        <f>IF(ISNUMBER(deployment_raw[[#This Row],[Column19]]), IF(K818&lt;&gt;0,(deployment_raw[[#This Row],[Column19]]/IF(OR($E$2="Deployment",deployment_raw[[#This Row],[Column5]]=0),1,deployment_raw[[#This Row],[Column5]]))/K818,0),"")</f>
        <v/>
      </c>
      <c r="K818" s="72" t="str">
        <f>IF(ISNUMBER(deployment_raw[[#This Row],[Column8]]), (deployment_raw[[#This Row],[Column8]]  * IF($E$2="Deployment",deployment_raw[[#This Row],[Column5]],1)),"")</f>
        <v/>
      </c>
      <c r="L81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1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18" s="81" t="str">
        <f>IF(ISNUMBER(deployment_raw[[#This Row],[Column20]]), IF(O818&lt;&gt;0,deployment_raw[[#This Row],[Column20]]/IF(OR($E$2="Deployment",deployment_raw[[#This Row],[Column5]]=0),1,deployment_raw[[#This Row],[Column5]])/1048576/O818,0),"")</f>
        <v/>
      </c>
      <c r="O818" s="74" t="str">
        <f>IF(ISNUMBER(deployment_raw[[#This Row],[Column7]]), (deployment_raw[[#This Row],[Column7]] * IF($E$2="Deployment",deployment_raw[[#This Row],[Column5]],1))/1048576,"")</f>
        <v/>
      </c>
      <c r="P818" s="81" t="str">
        <f>IF(ISNUMBER(deployment_raw[[#This Row],[Column20]]), IF(Q818&lt;&gt;0,deployment_raw[[#This Row],[Column20]]/IF(OR($E$2="Deployment",deployment_raw[[#This Row],[Column5]]=0),1,deployment_raw[[#This Row],[Column5]])/1048576/Q818,0),"")</f>
        <v/>
      </c>
      <c r="Q818" s="76" t="str">
        <f>IF(ISNUMBER(deployment_raw[[#This Row],[Column9]]), (deployment_raw[[#This Row],[Column9]] * IF($E$2="Deployment",deployment_raw[[#This Row],[Column5]],1))/1048576,"")</f>
        <v/>
      </c>
      <c r="R818" s="57" t="str">
        <f>IF(ISNUMBER(deployment_raw[[#This Row],[Column10]]), (deployment_raw[[#This Row],[Column10]] * IF($E$2="Deployment",deployment_raw[[#This Row],[Column5]],1)),"")</f>
        <v/>
      </c>
      <c r="S818" s="48" t="str">
        <f>IF(ISNUMBER(deployment_raw[[#This Row],[Column11]]), (deployment_raw[[#This Row],[Column11]] * IF($E$2="Deployment",deployment_raw[[#This Row],[Column5]],1))/1048576,"")</f>
        <v/>
      </c>
      <c r="T818" s="59" t="str">
        <f>IF(ISNUMBER(deployment_raw[[#This Row],[Column8]]),IF(OR(deployment_raw[[#This Row],[Column5]] &lt;&gt; 0,$E$2 &lt;&gt; "Deployment"), MAX(V818, ($T$2 * IF($E$2="Deployment",deployment_raw[[#This Row],[Column5]],1))), 0),"")</f>
        <v/>
      </c>
      <c r="U818" s="50" t="str">
        <f>IF(ISNUMBER(deployment_raw[[#This Row],[Column9]]),IF(OR(deployment_raw[[#This Row],[Column5]] &lt;&gt; 0,$E$2&lt;&gt;"Deployment"), MAX(W818, ($U$2 * IF($E$2="Deployment",deployment_raw[[#This Row],[Column5]],1))), 0),"")</f>
        <v/>
      </c>
      <c r="V818" s="15" t="str">
        <f>IF(ISNUMBER(deployment_raw[[#This Row],[Column12]]), (deployment_raw[[#This Row],[Column12]] * IF($E$2="Deployment",deployment_raw[[#This Row],[Column5]],1)*(1+$V$2)),"")</f>
        <v/>
      </c>
      <c r="W818" s="14" t="str">
        <f>IF(ISNUMBER(deployment_raw[[#This Row],[Column13]]), (deployment_raw[[#This Row],[Column13]] * IF($E$2="Deployment",deployment_raw[[#This Row],[Column5]],1)*(1+$W$2))/1048576,"")</f>
        <v/>
      </c>
    </row>
    <row r="819" spans="1:23" ht="15.75" customHeight="1" x14ac:dyDescent="0.25">
      <c r="A819" s="5" t="str">
        <f>IF(ISNONTEXT(deployment_raw[[#This Row],[Column1]]), "", deployment_raw[[#This Row],[Column1]])</f>
        <v/>
      </c>
      <c r="B819" s="6" t="str">
        <f>IF(ISNONTEXT(deployment_raw[[#This Row],[Column2]]), "", deployment_raw[[#This Row],[Column2]])</f>
        <v/>
      </c>
      <c r="C819" s="6" t="str">
        <f>IF(ISNONTEXT(deployment_raw[[#This Row],[Column3]]), "", deployment_raw[[#This Row],[Column3]])</f>
        <v/>
      </c>
      <c r="D819" s="6" t="str">
        <f>IF(ISNONTEXT(deployment_raw[[#This Row],[Column4]]), "", deployment_raw[[#This Row],[Column4]])</f>
        <v/>
      </c>
      <c r="E819" s="7" t="str">
        <f>IF(ISNUMBER(deployment_raw[[#This Row],[Column5]]), deployment_raw[[#This Row],[Column5]],"")</f>
        <v/>
      </c>
      <c r="F819" s="32" t="str">
        <f>IF(ISNUMBER(deployment_raw[[#This Row],[Column17]]), deployment_raw[[#This Row],[Column17]]/IF(OR($E$2="Deployment",deployment_raw[[#This Row],[Column5]]=0),1,deployment_raw[[#This Row],[Column5]]),"")</f>
        <v/>
      </c>
      <c r="G819" s="42" t="str">
        <f>IF(ISNUMBER(deployment_raw[[#This Row],[Column14]]), deployment_raw[[#This Row],[Column14]]/IF(OR($E$2="Deployment",deployment_raw[[#This Row],[Column5]]=0),1,deployment_raw[[#This Row],[Column5]]),"")</f>
        <v/>
      </c>
      <c r="H819" s="79" t="str">
        <f>IF(ISNUMBER(deployment_raw[[#This Row],[Column19]]), IF(I819&lt;&gt;0,(deployment_raw[[#This Row],[Column19]]/IF(OR($E$2="Deployment",deployment_raw[[#This Row],[Column5]]=0),1,deployment_raw[[#This Row],[Column5]]))/I819,0),"")</f>
        <v/>
      </c>
      <c r="I819" s="69" t="str">
        <f>IF(ISNUMBER(deployment_raw[[#This Row],[Column6]]), (deployment_raw[[#This Row],[Column6]] * IF($E$2="Deployment",deployment_raw[[#This Row],[Column5]],1)),"")</f>
        <v/>
      </c>
      <c r="J819" s="79" t="str">
        <f>IF(ISNUMBER(deployment_raw[[#This Row],[Column19]]), IF(K819&lt;&gt;0,(deployment_raw[[#This Row],[Column19]]/IF(OR($E$2="Deployment",deployment_raw[[#This Row],[Column5]]=0),1,deployment_raw[[#This Row],[Column5]]))/K819,0),"")</f>
        <v/>
      </c>
      <c r="K819" s="72" t="str">
        <f>IF(ISNUMBER(deployment_raw[[#This Row],[Column8]]), (deployment_raw[[#This Row],[Column8]]  * IF($E$2="Deployment",deployment_raw[[#This Row],[Column5]],1)),"")</f>
        <v/>
      </c>
      <c r="L81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1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19" s="81" t="str">
        <f>IF(ISNUMBER(deployment_raw[[#This Row],[Column20]]), IF(O819&lt;&gt;0,deployment_raw[[#This Row],[Column20]]/IF(OR($E$2="Deployment",deployment_raw[[#This Row],[Column5]]=0),1,deployment_raw[[#This Row],[Column5]])/1048576/O819,0),"")</f>
        <v/>
      </c>
      <c r="O819" s="74" t="str">
        <f>IF(ISNUMBER(deployment_raw[[#This Row],[Column7]]), (deployment_raw[[#This Row],[Column7]] * IF($E$2="Deployment",deployment_raw[[#This Row],[Column5]],1))/1048576,"")</f>
        <v/>
      </c>
      <c r="P819" s="81" t="str">
        <f>IF(ISNUMBER(deployment_raw[[#This Row],[Column20]]), IF(Q819&lt;&gt;0,deployment_raw[[#This Row],[Column20]]/IF(OR($E$2="Deployment",deployment_raw[[#This Row],[Column5]]=0),1,deployment_raw[[#This Row],[Column5]])/1048576/Q819,0),"")</f>
        <v/>
      </c>
      <c r="Q819" s="76" t="str">
        <f>IF(ISNUMBER(deployment_raw[[#This Row],[Column9]]), (deployment_raw[[#This Row],[Column9]] * IF($E$2="Deployment",deployment_raw[[#This Row],[Column5]],1))/1048576,"")</f>
        <v/>
      </c>
      <c r="R819" s="57" t="str">
        <f>IF(ISNUMBER(deployment_raw[[#This Row],[Column10]]), (deployment_raw[[#This Row],[Column10]] * IF($E$2="Deployment",deployment_raw[[#This Row],[Column5]],1)),"")</f>
        <v/>
      </c>
      <c r="S819" s="48" t="str">
        <f>IF(ISNUMBER(deployment_raw[[#This Row],[Column11]]), (deployment_raw[[#This Row],[Column11]] * IF($E$2="Deployment",deployment_raw[[#This Row],[Column5]],1))/1048576,"")</f>
        <v/>
      </c>
      <c r="T819" s="59" t="str">
        <f>IF(ISNUMBER(deployment_raw[[#This Row],[Column8]]),IF(OR(deployment_raw[[#This Row],[Column5]] &lt;&gt; 0,$E$2 &lt;&gt; "Deployment"), MAX(V819, ($T$2 * IF($E$2="Deployment",deployment_raw[[#This Row],[Column5]],1))), 0),"")</f>
        <v/>
      </c>
      <c r="U819" s="50" t="str">
        <f>IF(ISNUMBER(deployment_raw[[#This Row],[Column9]]),IF(OR(deployment_raw[[#This Row],[Column5]] &lt;&gt; 0,$E$2&lt;&gt;"Deployment"), MAX(W819, ($U$2 * IF($E$2="Deployment",deployment_raw[[#This Row],[Column5]],1))), 0),"")</f>
        <v/>
      </c>
      <c r="V819" s="15" t="str">
        <f>IF(ISNUMBER(deployment_raw[[#This Row],[Column12]]), (deployment_raw[[#This Row],[Column12]] * IF($E$2="Deployment",deployment_raw[[#This Row],[Column5]],1)*(1+$V$2)),"")</f>
        <v/>
      </c>
      <c r="W819" s="14" t="str">
        <f>IF(ISNUMBER(deployment_raw[[#This Row],[Column13]]), (deployment_raw[[#This Row],[Column13]] * IF($E$2="Deployment",deployment_raw[[#This Row],[Column5]],1)*(1+$W$2))/1048576,"")</f>
        <v/>
      </c>
    </row>
    <row r="820" spans="1:23" ht="15.75" customHeight="1" x14ac:dyDescent="0.25">
      <c r="A820" s="5" t="str">
        <f>IF(ISNONTEXT(deployment_raw[[#This Row],[Column1]]), "", deployment_raw[[#This Row],[Column1]])</f>
        <v/>
      </c>
      <c r="B820" s="6" t="str">
        <f>IF(ISNONTEXT(deployment_raw[[#This Row],[Column2]]), "", deployment_raw[[#This Row],[Column2]])</f>
        <v/>
      </c>
      <c r="C820" s="6" t="str">
        <f>IF(ISNONTEXT(deployment_raw[[#This Row],[Column3]]), "", deployment_raw[[#This Row],[Column3]])</f>
        <v/>
      </c>
      <c r="D820" s="6" t="str">
        <f>IF(ISNONTEXT(deployment_raw[[#This Row],[Column4]]), "", deployment_raw[[#This Row],[Column4]])</f>
        <v/>
      </c>
      <c r="E820" s="7" t="str">
        <f>IF(ISNUMBER(deployment_raw[[#This Row],[Column5]]), deployment_raw[[#This Row],[Column5]],"")</f>
        <v/>
      </c>
      <c r="F820" s="32" t="str">
        <f>IF(ISNUMBER(deployment_raw[[#This Row],[Column17]]), deployment_raw[[#This Row],[Column17]]/IF(OR($E$2="Deployment",deployment_raw[[#This Row],[Column5]]=0),1,deployment_raw[[#This Row],[Column5]]),"")</f>
        <v/>
      </c>
      <c r="G820" s="42" t="str">
        <f>IF(ISNUMBER(deployment_raw[[#This Row],[Column14]]), deployment_raw[[#This Row],[Column14]]/IF(OR($E$2="Deployment",deployment_raw[[#This Row],[Column5]]=0),1,deployment_raw[[#This Row],[Column5]]),"")</f>
        <v/>
      </c>
      <c r="H820" s="79" t="str">
        <f>IF(ISNUMBER(deployment_raw[[#This Row],[Column19]]), IF(I820&lt;&gt;0,(deployment_raw[[#This Row],[Column19]]/IF(OR($E$2="Deployment",deployment_raw[[#This Row],[Column5]]=0),1,deployment_raw[[#This Row],[Column5]]))/I820,0),"")</f>
        <v/>
      </c>
      <c r="I820" s="69" t="str">
        <f>IF(ISNUMBER(deployment_raw[[#This Row],[Column6]]), (deployment_raw[[#This Row],[Column6]] * IF($E$2="Deployment",deployment_raw[[#This Row],[Column5]],1)),"")</f>
        <v/>
      </c>
      <c r="J820" s="79" t="str">
        <f>IF(ISNUMBER(deployment_raw[[#This Row],[Column19]]), IF(K820&lt;&gt;0,(deployment_raw[[#This Row],[Column19]]/IF(OR($E$2="Deployment",deployment_raw[[#This Row],[Column5]]=0),1,deployment_raw[[#This Row],[Column5]]))/K820,0),"")</f>
        <v/>
      </c>
      <c r="K820" s="72" t="str">
        <f>IF(ISNUMBER(deployment_raw[[#This Row],[Column8]]), (deployment_raw[[#This Row],[Column8]]  * IF($E$2="Deployment",deployment_raw[[#This Row],[Column5]],1)),"")</f>
        <v/>
      </c>
      <c r="L82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2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20" s="81" t="str">
        <f>IF(ISNUMBER(deployment_raw[[#This Row],[Column20]]), IF(O820&lt;&gt;0,deployment_raw[[#This Row],[Column20]]/IF(OR($E$2="Deployment",deployment_raw[[#This Row],[Column5]]=0),1,deployment_raw[[#This Row],[Column5]])/1048576/O820,0),"")</f>
        <v/>
      </c>
      <c r="O820" s="74" t="str">
        <f>IF(ISNUMBER(deployment_raw[[#This Row],[Column7]]), (deployment_raw[[#This Row],[Column7]] * IF($E$2="Deployment",deployment_raw[[#This Row],[Column5]],1))/1048576,"")</f>
        <v/>
      </c>
      <c r="P820" s="81" t="str">
        <f>IF(ISNUMBER(deployment_raw[[#This Row],[Column20]]), IF(Q820&lt;&gt;0,deployment_raw[[#This Row],[Column20]]/IF(OR($E$2="Deployment",deployment_raw[[#This Row],[Column5]]=0),1,deployment_raw[[#This Row],[Column5]])/1048576/Q820,0),"")</f>
        <v/>
      </c>
      <c r="Q820" s="76" t="str">
        <f>IF(ISNUMBER(deployment_raw[[#This Row],[Column9]]), (deployment_raw[[#This Row],[Column9]] * IF($E$2="Deployment",deployment_raw[[#This Row],[Column5]],1))/1048576,"")</f>
        <v/>
      </c>
      <c r="R820" s="57" t="str">
        <f>IF(ISNUMBER(deployment_raw[[#This Row],[Column10]]), (deployment_raw[[#This Row],[Column10]] * IF($E$2="Deployment",deployment_raw[[#This Row],[Column5]],1)),"")</f>
        <v/>
      </c>
      <c r="S820" s="48" t="str">
        <f>IF(ISNUMBER(deployment_raw[[#This Row],[Column11]]), (deployment_raw[[#This Row],[Column11]] * IF($E$2="Deployment",deployment_raw[[#This Row],[Column5]],1))/1048576,"")</f>
        <v/>
      </c>
      <c r="T820" s="59" t="str">
        <f>IF(ISNUMBER(deployment_raw[[#This Row],[Column8]]),IF(OR(deployment_raw[[#This Row],[Column5]] &lt;&gt; 0,$E$2 &lt;&gt; "Deployment"), MAX(V820, ($T$2 * IF($E$2="Deployment",deployment_raw[[#This Row],[Column5]],1))), 0),"")</f>
        <v/>
      </c>
      <c r="U820" s="50" t="str">
        <f>IF(ISNUMBER(deployment_raw[[#This Row],[Column9]]),IF(OR(deployment_raw[[#This Row],[Column5]] &lt;&gt; 0,$E$2&lt;&gt;"Deployment"), MAX(W820, ($U$2 * IF($E$2="Deployment",deployment_raw[[#This Row],[Column5]],1))), 0),"")</f>
        <v/>
      </c>
      <c r="V820" s="15" t="str">
        <f>IF(ISNUMBER(deployment_raw[[#This Row],[Column12]]), (deployment_raw[[#This Row],[Column12]] * IF($E$2="Deployment",deployment_raw[[#This Row],[Column5]],1)*(1+$V$2)),"")</f>
        <v/>
      </c>
      <c r="W820" s="14" t="str">
        <f>IF(ISNUMBER(deployment_raw[[#This Row],[Column13]]), (deployment_raw[[#This Row],[Column13]] * IF($E$2="Deployment",deployment_raw[[#This Row],[Column5]],1)*(1+$W$2))/1048576,"")</f>
        <v/>
      </c>
    </row>
    <row r="821" spans="1:23" ht="15.75" customHeight="1" x14ac:dyDescent="0.25">
      <c r="A821" s="5" t="str">
        <f>IF(ISNONTEXT(deployment_raw[[#This Row],[Column1]]), "", deployment_raw[[#This Row],[Column1]])</f>
        <v/>
      </c>
      <c r="B821" s="6" t="str">
        <f>IF(ISNONTEXT(deployment_raw[[#This Row],[Column2]]), "", deployment_raw[[#This Row],[Column2]])</f>
        <v/>
      </c>
      <c r="C821" s="6" t="str">
        <f>IF(ISNONTEXT(deployment_raw[[#This Row],[Column3]]), "", deployment_raw[[#This Row],[Column3]])</f>
        <v/>
      </c>
      <c r="D821" s="6" t="str">
        <f>IF(ISNONTEXT(deployment_raw[[#This Row],[Column4]]), "", deployment_raw[[#This Row],[Column4]])</f>
        <v/>
      </c>
      <c r="E821" s="7" t="str">
        <f>IF(ISNUMBER(deployment_raw[[#This Row],[Column5]]), deployment_raw[[#This Row],[Column5]],"")</f>
        <v/>
      </c>
      <c r="F821" s="32" t="str">
        <f>IF(ISNUMBER(deployment_raw[[#This Row],[Column17]]), deployment_raw[[#This Row],[Column17]]/IF(OR($E$2="Deployment",deployment_raw[[#This Row],[Column5]]=0),1,deployment_raw[[#This Row],[Column5]]),"")</f>
        <v/>
      </c>
      <c r="G821" s="42" t="str">
        <f>IF(ISNUMBER(deployment_raw[[#This Row],[Column14]]), deployment_raw[[#This Row],[Column14]]/IF(OR($E$2="Deployment",deployment_raw[[#This Row],[Column5]]=0),1,deployment_raw[[#This Row],[Column5]]),"")</f>
        <v/>
      </c>
      <c r="H821" s="79" t="str">
        <f>IF(ISNUMBER(deployment_raw[[#This Row],[Column19]]), IF(I821&lt;&gt;0,(deployment_raw[[#This Row],[Column19]]/IF(OR($E$2="Deployment",deployment_raw[[#This Row],[Column5]]=0),1,deployment_raw[[#This Row],[Column5]]))/I821,0),"")</f>
        <v/>
      </c>
      <c r="I821" s="69" t="str">
        <f>IF(ISNUMBER(deployment_raw[[#This Row],[Column6]]), (deployment_raw[[#This Row],[Column6]] * IF($E$2="Deployment",deployment_raw[[#This Row],[Column5]],1)),"")</f>
        <v/>
      </c>
      <c r="J821" s="79" t="str">
        <f>IF(ISNUMBER(deployment_raw[[#This Row],[Column19]]), IF(K821&lt;&gt;0,(deployment_raw[[#This Row],[Column19]]/IF(OR($E$2="Deployment",deployment_raw[[#This Row],[Column5]]=0),1,deployment_raw[[#This Row],[Column5]]))/K821,0),"")</f>
        <v/>
      </c>
      <c r="K821" s="72" t="str">
        <f>IF(ISNUMBER(deployment_raw[[#This Row],[Column8]]), (deployment_raw[[#This Row],[Column8]]  * IF($E$2="Deployment",deployment_raw[[#This Row],[Column5]],1)),"")</f>
        <v/>
      </c>
      <c r="L82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2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21" s="81" t="str">
        <f>IF(ISNUMBER(deployment_raw[[#This Row],[Column20]]), IF(O821&lt;&gt;0,deployment_raw[[#This Row],[Column20]]/IF(OR($E$2="Deployment",deployment_raw[[#This Row],[Column5]]=0),1,deployment_raw[[#This Row],[Column5]])/1048576/O821,0),"")</f>
        <v/>
      </c>
      <c r="O821" s="74" t="str">
        <f>IF(ISNUMBER(deployment_raw[[#This Row],[Column7]]), (deployment_raw[[#This Row],[Column7]] * IF($E$2="Deployment",deployment_raw[[#This Row],[Column5]],1))/1048576,"")</f>
        <v/>
      </c>
      <c r="P821" s="81" t="str">
        <f>IF(ISNUMBER(deployment_raw[[#This Row],[Column20]]), IF(Q821&lt;&gt;0,deployment_raw[[#This Row],[Column20]]/IF(OR($E$2="Deployment",deployment_raw[[#This Row],[Column5]]=0),1,deployment_raw[[#This Row],[Column5]])/1048576/Q821,0),"")</f>
        <v/>
      </c>
      <c r="Q821" s="76" t="str">
        <f>IF(ISNUMBER(deployment_raw[[#This Row],[Column9]]), (deployment_raw[[#This Row],[Column9]] * IF($E$2="Deployment",deployment_raw[[#This Row],[Column5]],1))/1048576,"")</f>
        <v/>
      </c>
      <c r="R821" s="57" t="str">
        <f>IF(ISNUMBER(deployment_raw[[#This Row],[Column10]]), (deployment_raw[[#This Row],[Column10]] * IF($E$2="Deployment",deployment_raw[[#This Row],[Column5]],1)),"")</f>
        <v/>
      </c>
      <c r="S821" s="48" t="str">
        <f>IF(ISNUMBER(deployment_raw[[#This Row],[Column11]]), (deployment_raw[[#This Row],[Column11]] * IF($E$2="Deployment",deployment_raw[[#This Row],[Column5]],1))/1048576,"")</f>
        <v/>
      </c>
      <c r="T821" s="59" t="str">
        <f>IF(ISNUMBER(deployment_raw[[#This Row],[Column8]]),IF(OR(deployment_raw[[#This Row],[Column5]] &lt;&gt; 0,$E$2 &lt;&gt; "Deployment"), MAX(V821, ($T$2 * IF($E$2="Deployment",deployment_raw[[#This Row],[Column5]],1))), 0),"")</f>
        <v/>
      </c>
      <c r="U821" s="50" t="str">
        <f>IF(ISNUMBER(deployment_raw[[#This Row],[Column9]]),IF(OR(deployment_raw[[#This Row],[Column5]] &lt;&gt; 0,$E$2&lt;&gt;"Deployment"), MAX(W821, ($U$2 * IF($E$2="Deployment",deployment_raw[[#This Row],[Column5]],1))), 0),"")</f>
        <v/>
      </c>
      <c r="V821" s="15" t="str">
        <f>IF(ISNUMBER(deployment_raw[[#This Row],[Column12]]), (deployment_raw[[#This Row],[Column12]] * IF($E$2="Deployment",deployment_raw[[#This Row],[Column5]],1)*(1+$V$2)),"")</f>
        <v/>
      </c>
      <c r="W821" s="14" t="str">
        <f>IF(ISNUMBER(deployment_raw[[#This Row],[Column13]]), (deployment_raw[[#This Row],[Column13]] * IF($E$2="Deployment",deployment_raw[[#This Row],[Column5]],1)*(1+$W$2))/1048576,"")</f>
        <v/>
      </c>
    </row>
    <row r="822" spans="1:23" ht="15.75" customHeight="1" x14ac:dyDescent="0.25">
      <c r="A822" s="5" t="str">
        <f>IF(ISNONTEXT(deployment_raw[[#This Row],[Column1]]), "", deployment_raw[[#This Row],[Column1]])</f>
        <v/>
      </c>
      <c r="B822" s="6" t="str">
        <f>IF(ISNONTEXT(deployment_raw[[#This Row],[Column2]]), "", deployment_raw[[#This Row],[Column2]])</f>
        <v/>
      </c>
      <c r="C822" s="6" t="str">
        <f>IF(ISNONTEXT(deployment_raw[[#This Row],[Column3]]), "", deployment_raw[[#This Row],[Column3]])</f>
        <v/>
      </c>
      <c r="D822" s="6" t="str">
        <f>IF(ISNONTEXT(deployment_raw[[#This Row],[Column4]]), "", deployment_raw[[#This Row],[Column4]])</f>
        <v/>
      </c>
      <c r="E822" s="7" t="str">
        <f>IF(ISNUMBER(deployment_raw[[#This Row],[Column5]]), deployment_raw[[#This Row],[Column5]],"")</f>
        <v/>
      </c>
      <c r="F822" s="32" t="str">
        <f>IF(ISNUMBER(deployment_raw[[#This Row],[Column17]]), deployment_raw[[#This Row],[Column17]]/IF(OR($E$2="Deployment",deployment_raw[[#This Row],[Column5]]=0),1,deployment_raw[[#This Row],[Column5]]),"")</f>
        <v/>
      </c>
      <c r="G822" s="42" t="str">
        <f>IF(ISNUMBER(deployment_raw[[#This Row],[Column14]]), deployment_raw[[#This Row],[Column14]]/IF(OR($E$2="Deployment",deployment_raw[[#This Row],[Column5]]=0),1,deployment_raw[[#This Row],[Column5]]),"")</f>
        <v/>
      </c>
      <c r="H822" s="79" t="str">
        <f>IF(ISNUMBER(deployment_raw[[#This Row],[Column19]]), IF(I822&lt;&gt;0,(deployment_raw[[#This Row],[Column19]]/IF(OR($E$2="Deployment",deployment_raw[[#This Row],[Column5]]=0),1,deployment_raw[[#This Row],[Column5]]))/I822,0),"")</f>
        <v/>
      </c>
      <c r="I822" s="69" t="str">
        <f>IF(ISNUMBER(deployment_raw[[#This Row],[Column6]]), (deployment_raw[[#This Row],[Column6]] * IF($E$2="Deployment",deployment_raw[[#This Row],[Column5]],1)),"")</f>
        <v/>
      </c>
      <c r="J822" s="79" t="str">
        <f>IF(ISNUMBER(deployment_raw[[#This Row],[Column19]]), IF(K822&lt;&gt;0,(deployment_raw[[#This Row],[Column19]]/IF(OR($E$2="Deployment",deployment_raw[[#This Row],[Column5]]=0),1,deployment_raw[[#This Row],[Column5]]))/K822,0),"")</f>
        <v/>
      </c>
      <c r="K822" s="72" t="str">
        <f>IF(ISNUMBER(deployment_raw[[#This Row],[Column8]]), (deployment_raw[[#This Row],[Column8]]  * IF($E$2="Deployment",deployment_raw[[#This Row],[Column5]],1)),"")</f>
        <v/>
      </c>
      <c r="L82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2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22" s="81" t="str">
        <f>IF(ISNUMBER(deployment_raw[[#This Row],[Column20]]), IF(O822&lt;&gt;0,deployment_raw[[#This Row],[Column20]]/IF(OR($E$2="Deployment",deployment_raw[[#This Row],[Column5]]=0),1,deployment_raw[[#This Row],[Column5]])/1048576/O822,0),"")</f>
        <v/>
      </c>
      <c r="O822" s="74" t="str">
        <f>IF(ISNUMBER(deployment_raw[[#This Row],[Column7]]), (deployment_raw[[#This Row],[Column7]] * IF($E$2="Deployment",deployment_raw[[#This Row],[Column5]],1))/1048576,"")</f>
        <v/>
      </c>
      <c r="P822" s="81" t="str">
        <f>IF(ISNUMBER(deployment_raw[[#This Row],[Column20]]), IF(Q822&lt;&gt;0,deployment_raw[[#This Row],[Column20]]/IF(OR($E$2="Deployment",deployment_raw[[#This Row],[Column5]]=0),1,deployment_raw[[#This Row],[Column5]])/1048576/Q822,0),"")</f>
        <v/>
      </c>
      <c r="Q822" s="76" t="str">
        <f>IF(ISNUMBER(deployment_raw[[#This Row],[Column9]]), (deployment_raw[[#This Row],[Column9]] * IF($E$2="Deployment",deployment_raw[[#This Row],[Column5]],1))/1048576,"")</f>
        <v/>
      </c>
      <c r="R822" s="57" t="str">
        <f>IF(ISNUMBER(deployment_raw[[#This Row],[Column10]]), (deployment_raw[[#This Row],[Column10]] * IF($E$2="Deployment",deployment_raw[[#This Row],[Column5]],1)),"")</f>
        <v/>
      </c>
      <c r="S822" s="48" t="str">
        <f>IF(ISNUMBER(deployment_raw[[#This Row],[Column11]]), (deployment_raw[[#This Row],[Column11]] * IF($E$2="Deployment",deployment_raw[[#This Row],[Column5]],1))/1048576,"")</f>
        <v/>
      </c>
      <c r="T822" s="59" t="str">
        <f>IF(ISNUMBER(deployment_raw[[#This Row],[Column8]]),IF(OR(deployment_raw[[#This Row],[Column5]] &lt;&gt; 0,$E$2 &lt;&gt; "Deployment"), MAX(V822, ($T$2 * IF($E$2="Deployment",deployment_raw[[#This Row],[Column5]],1))), 0),"")</f>
        <v/>
      </c>
      <c r="U822" s="50" t="str">
        <f>IF(ISNUMBER(deployment_raw[[#This Row],[Column9]]),IF(OR(deployment_raw[[#This Row],[Column5]] &lt;&gt; 0,$E$2&lt;&gt;"Deployment"), MAX(W822, ($U$2 * IF($E$2="Deployment",deployment_raw[[#This Row],[Column5]],1))), 0),"")</f>
        <v/>
      </c>
      <c r="V822" s="15" t="str">
        <f>IF(ISNUMBER(deployment_raw[[#This Row],[Column12]]), (deployment_raw[[#This Row],[Column12]] * IF($E$2="Deployment",deployment_raw[[#This Row],[Column5]],1)*(1+$V$2)),"")</f>
        <v/>
      </c>
      <c r="W822" s="14" t="str">
        <f>IF(ISNUMBER(deployment_raw[[#This Row],[Column13]]), (deployment_raw[[#This Row],[Column13]] * IF($E$2="Deployment",deployment_raw[[#This Row],[Column5]],1)*(1+$W$2))/1048576,"")</f>
        <v/>
      </c>
    </row>
    <row r="823" spans="1:23" ht="15.75" customHeight="1" x14ac:dyDescent="0.25">
      <c r="A823" s="5" t="str">
        <f>IF(ISNONTEXT(deployment_raw[[#This Row],[Column1]]), "", deployment_raw[[#This Row],[Column1]])</f>
        <v/>
      </c>
      <c r="B823" s="6" t="str">
        <f>IF(ISNONTEXT(deployment_raw[[#This Row],[Column2]]), "", deployment_raw[[#This Row],[Column2]])</f>
        <v/>
      </c>
      <c r="C823" s="6" t="str">
        <f>IF(ISNONTEXT(deployment_raw[[#This Row],[Column3]]), "", deployment_raw[[#This Row],[Column3]])</f>
        <v/>
      </c>
      <c r="D823" s="6" t="str">
        <f>IF(ISNONTEXT(deployment_raw[[#This Row],[Column4]]), "", deployment_raw[[#This Row],[Column4]])</f>
        <v/>
      </c>
      <c r="E823" s="7" t="str">
        <f>IF(ISNUMBER(deployment_raw[[#This Row],[Column5]]), deployment_raw[[#This Row],[Column5]],"")</f>
        <v/>
      </c>
      <c r="F823" s="32" t="str">
        <f>IF(ISNUMBER(deployment_raw[[#This Row],[Column17]]), deployment_raw[[#This Row],[Column17]]/IF(OR($E$2="Deployment",deployment_raw[[#This Row],[Column5]]=0),1,deployment_raw[[#This Row],[Column5]]),"")</f>
        <v/>
      </c>
      <c r="G823" s="42" t="str">
        <f>IF(ISNUMBER(deployment_raw[[#This Row],[Column14]]), deployment_raw[[#This Row],[Column14]]/IF(OR($E$2="Deployment",deployment_raw[[#This Row],[Column5]]=0),1,deployment_raw[[#This Row],[Column5]]),"")</f>
        <v/>
      </c>
      <c r="H823" s="79" t="str">
        <f>IF(ISNUMBER(deployment_raw[[#This Row],[Column19]]), IF(I823&lt;&gt;0,(deployment_raw[[#This Row],[Column19]]/IF(OR($E$2="Deployment",deployment_raw[[#This Row],[Column5]]=0),1,deployment_raw[[#This Row],[Column5]]))/I823,0),"")</f>
        <v/>
      </c>
      <c r="I823" s="69" t="str">
        <f>IF(ISNUMBER(deployment_raw[[#This Row],[Column6]]), (deployment_raw[[#This Row],[Column6]] * IF($E$2="Deployment",deployment_raw[[#This Row],[Column5]],1)),"")</f>
        <v/>
      </c>
      <c r="J823" s="79" t="str">
        <f>IF(ISNUMBER(deployment_raw[[#This Row],[Column19]]), IF(K823&lt;&gt;0,(deployment_raw[[#This Row],[Column19]]/IF(OR($E$2="Deployment",deployment_raw[[#This Row],[Column5]]=0),1,deployment_raw[[#This Row],[Column5]]))/K823,0),"")</f>
        <v/>
      </c>
      <c r="K823" s="72" t="str">
        <f>IF(ISNUMBER(deployment_raw[[#This Row],[Column8]]), (deployment_raw[[#This Row],[Column8]]  * IF($E$2="Deployment",deployment_raw[[#This Row],[Column5]],1)),"")</f>
        <v/>
      </c>
      <c r="L82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2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23" s="81" t="str">
        <f>IF(ISNUMBER(deployment_raw[[#This Row],[Column20]]), IF(O823&lt;&gt;0,deployment_raw[[#This Row],[Column20]]/IF(OR($E$2="Deployment",deployment_raw[[#This Row],[Column5]]=0),1,deployment_raw[[#This Row],[Column5]])/1048576/O823,0),"")</f>
        <v/>
      </c>
      <c r="O823" s="74" t="str">
        <f>IF(ISNUMBER(deployment_raw[[#This Row],[Column7]]), (deployment_raw[[#This Row],[Column7]] * IF($E$2="Deployment",deployment_raw[[#This Row],[Column5]],1))/1048576,"")</f>
        <v/>
      </c>
      <c r="P823" s="81" t="str">
        <f>IF(ISNUMBER(deployment_raw[[#This Row],[Column20]]), IF(Q823&lt;&gt;0,deployment_raw[[#This Row],[Column20]]/IF(OR($E$2="Deployment",deployment_raw[[#This Row],[Column5]]=0),1,deployment_raw[[#This Row],[Column5]])/1048576/Q823,0),"")</f>
        <v/>
      </c>
      <c r="Q823" s="76" t="str">
        <f>IF(ISNUMBER(deployment_raw[[#This Row],[Column9]]), (deployment_raw[[#This Row],[Column9]] * IF($E$2="Deployment",deployment_raw[[#This Row],[Column5]],1))/1048576,"")</f>
        <v/>
      </c>
      <c r="R823" s="57" t="str">
        <f>IF(ISNUMBER(deployment_raw[[#This Row],[Column10]]), (deployment_raw[[#This Row],[Column10]] * IF($E$2="Deployment",deployment_raw[[#This Row],[Column5]],1)),"")</f>
        <v/>
      </c>
      <c r="S823" s="48" t="str">
        <f>IF(ISNUMBER(deployment_raw[[#This Row],[Column11]]), (deployment_raw[[#This Row],[Column11]] * IF($E$2="Deployment",deployment_raw[[#This Row],[Column5]],1))/1048576,"")</f>
        <v/>
      </c>
      <c r="T823" s="59" t="str">
        <f>IF(ISNUMBER(deployment_raw[[#This Row],[Column8]]),IF(OR(deployment_raw[[#This Row],[Column5]] &lt;&gt; 0,$E$2 &lt;&gt; "Deployment"), MAX(V823, ($T$2 * IF($E$2="Deployment",deployment_raw[[#This Row],[Column5]],1))), 0),"")</f>
        <v/>
      </c>
      <c r="U823" s="50" t="str">
        <f>IF(ISNUMBER(deployment_raw[[#This Row],[Column9]]),IF(OR(deployment_raw[[#This Row],[Column5]] &lt;&gt; 0,$E$2&lt;&gt;"Deployment"), MAX(W823, ($U$2 * IF($E$2="Deployment",deployment_raw[[#This Row],[Column5]],1))), 0),"")</f>
        <v/>
      </c>
      <c r="V823" s="15" t="str">
        <f>IF(ISNUMBER(deployment_raw[[#This Row],[Column12]]), (deployment_raw[[#This Row],[Column12]] * IF($E$2="Deployment",deployment_raw[[#This Row],[Column5]],1)*(1+$V$2)),"")</f>
        <v/>
      </c>
      <c r="W823" s="14" t="str">
        <f>IF(ISNUMBER(deployment_raw[[#This Row],[Column13]]), (deployment_raw[[#This Row],[Column13]] * IF($E$2="Deployment",deployment_raw[[#This Row],[Column5]],1)*(1+$W$2))/1048576,"")</f>
        <v/>
      </c>
    </row>
    <row r="824" spans="1:23" ht="15.75" customHeight="1" x14ac:dyDescent="0.25">
      <c r="A824" s="5" t="str">
        <f>IF(ISNONTEXT(deployment_raw[[#This Row],[Column1]]), "", deployment_raw[[#This Row],[Column1]])</f>
        <v/>
      </c>
      <c r="B824" s="6" t="str">
        <f>IF(ISNONTEXT(deployment_raw[[#This Row],[Column2]]), "", deployment_raw[[#This Row],[Column2]])</f>
        <v/>
      </c>
      <c r="C824" s="6" t="str">
        <f>IF(ISNONTEXT(deployment_raw[[#This Row],[Column3]]), "", deployment_raw[[#This Row],[Column3]])</f>
        <v/>
      </c>
      <c r="D824" s="6" t="str">
        <f>IF(ISNONTEXT(deployment_raw[[#This Row],[Column4]]), "", deployment_raw[[#This Row],[Column4]])</f>
        <v/>
      </c>
      <c r="E824" s="7" t="str">
        <f>IF(ISNUMBER(deployment_raw[[#This Row],[Column5]]), deployment_raw[[#This Row],[Column5]],"")</f>
        <v/>
      </c>
      <c r="F824" s="32" t="str">
        <f>IF(ISNUMBER(deployment_raw[[#This Row],[Column17]]), deployment_raw[[#This Row],[Column17]]/IF(OR($E$2="Deployment",deployment_raw[[#This Row],[Column5]]=0),1,deployment_raw[[#This Row],[Column5]]),"")</f>
        <v/>
      </c>
      <c r="G824" s="42" t="str">
        <f>IF(ISNUMBER(deployment_raw[[#This Row],[Column14]]), deployment_raw[[#This Row],[Column14]]/IF(OR($E$2="Deployment",deployment_raw[[#This Row],[Column5]]=0),1,deployment_raw[[#This Row],[Column5]]),"")</f>
        <v/>
      </c>
      <c r="H824" s="79" t="str">
        <f>IF(ISNUMBER(deployment_raw[[#This Row],[Column19]]), IF(I824&lt;&gt;0,(deployment_raw[[#This Row],[Column19]]/IF(OR($E$2="Deployment",deployment_raw[[#This Row],[Column5]]=0),1,deployment_raw[[#This Row],[Column5]]))/I824,0),"")</f>
        <v/>
      </c>
      <c r="I824" s="69" t="str">
        <f>IF(ISNUMBER(deployment_raw[[#This Row],[Column6]]), (deployment_raw[[#This Row],[Column6]] * IF($E$2="Deployment",deployment_raw[[#This Row],[Column5]],1)),"")</f>
        <v/>
      </c>
      <c r="J824" s="79" t="str">
        <f>IF(ISNUMBER(deployment_raw[[#This Row],[Column19]]), IF(K824&lt;&gt;0,(deployment_raw[[#This Row],[Column19]]/IF(OR($E$2="Deployment",deployment_raw[[#This Row],[Column5]]=0),1,deployment_raw[[#This Row],[Column5]]))/K824,0),"")</f>
        <v/>
      </c>
      <c r="K824" s="72" t="str">
        <f>IF(ISNUMBER(deployment_raw[[#This Row],[Column8]]), (deployment_raw[[#This Row],[Column8]]  * IF($E$2="Deployment",deployment_raw[[#This Row],[Column5]],1)),"")</f>
        <v/>
      </c>
      <c r="L82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2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24" s="81" t="str">
        <f>IF(ISNUMBER(deployment_raw[[#This Row],[Column20]]), IF(O824&lt;&gt;0,deployment_raw[[#This Row],[Column20]]/IF(OR($E$2="Deployment",deployment_raw[[#This Row],[Column5]]=0),1,deployment_raw[[#This Row],[Column5]])/1048576/O824,0),"")</f>
        <v/>
      </c>
      <c r="O824" s="74" t="str">
        <f>IF(ISNUMBER(deployment_raw[[#This Row],[Column7]]), (deployment_raw[[#This Row],[Column7]] * IF($E$2="Deployment",deployment_raw[[#This Row],[Column5]],1))/1048576,"")</f>
        <v/>
      </c>
      <c r="P824" s="81" t="str">
        <f>IF(ISNUMBER(deployment_raw[[#This Row],[Column20]]), IF(Q824&lt;&gt;0,deployment_raw[[#This Row],[Column20]]/IF(OR($E$2="Deployment",deployment_raw[[#This Row],[Column5]]=0),1,deployment_raw[[#This Row],[Column5]])/1048576/Q824,0),"")</f>
        <v/>
      </c>
      <c r="Q824" s="76" t="str">
        <f>IF(ISNUMBER(deployment_raw[[#This Row],[Column9]]), (deployment_raw[[#This Row],[Column9]] * IF($E$2="Deployment",deployment_raw[[#This Row],[Column5]],1))/1048576,"")</f>
        <v/>
      </c>
      <c r="R824" s="57" t="str">
        <f>IF(ISNUMBER(deployment_raw[[#This Row],[Column10]]), (deployment_raw[[#This Row],[Column10]] * IF($E$2="Deployment",deployment_raw[[#This Row],[Column5]],1)),"")</f>
        <v/>
      </c>
      <c r="S824" s="48" t="str">
        <f>IF(ISNUMBER(deployment_raw[[#This Row],[Column11]]), (deployment_raw[[#This Row],[Column11]] * IF($E$2="Deployment",deployment_raw[[#This Row],[Column5]],1))/1048576,"")</f>
        <v/>
      </c>
      <c r="T824" s="59" t="str">
        <f>IF(ISNUMBER(deployment_raw[[#This Row],[Column8]]),IF(OR(deployment_raw[[#This Row],[Column5]] &lt;&gt; 0,$E$2 &lt;&gt; "Deployment"), MAX(V824, ($T$2 * IF($E$2="Deployment",deployment_raw[[#This Row],[Column5]],1))), 0),"")</f>
        <v/>
      </c>
      <c r="U824" s="50" t="str">
        <f>IF(ISNUMBER(deployment_raw[[#This Row],[Column9]]),IF(OR(deployment_raw[[#This Row],[Column5]] &lt;&gt; 0,$E$2&lt;&gt;"Deployment"), MAX(W824, ($U$2 * IF($E$2="Deployment",deployment_raw[[#This Row],[Column5]],1))), 0),"")</f>
        <v/>
      </c>
      <c r="V824" s="15" t="str">
        <f>IF(ISNUMBER(deployment_raw[[#This Row],[Column12]]), (deployment_raw[[#This Row],[Column12]] * IF($E$2="Deployment",deployment_raw[[#This Row],[Column5]],1)*(1+$V$2)),"")</f>
        <v/>
      </c>
      <c r="W824" s="14" t="str">
        <f>IF(ISNUMBER(deployment_raw[[#This Row],[Column13]]), (deployment_raw[[#This Row],[Column13]] * IF($E$2="Deployment",deployment_raw[[#This Row],[Column5]],1)*(1+$W$2))/1048576,"")</f>
        <v/>
      </c>
    </row>
    <row r="825" spans="1:23" ht="15.75" customHeight="1" x14ac:dyDescent="0.25">
      <c r="A825" s="5" t="str">
        <f>IF(ISNONTEXT(deployment_raw[[#This Row],[Column1]]), "", deployment_raw[[#This Row],[Column1]])</f>
        <v/>
      </c>
      <c r="B825" s="6" t="str">
        <f>IF(ISNONTEXT(deployment_raw[[#This Row],[Column2]]), "", deployment_raw[[#This Row],[Column2]])</f>
        <v/>
      </c>
      <c r="C825" s="6" t="str">
        <f>IF(ISNONTEXT(deployment_raw[[#This Row],[Column3]]), "", deployment_raw[[#This Row],[Column3]])</f>
        <v/>
      </c>
      <c r="D825" s="6" t="str">
        <f>IF(ISNONTEXT(deployment_raw[[#This Row],[Column4]]), "", deployment_raw[[#This Row],[Column4]])</f>
        <v/>
      </c>
      <c r="E825" s="7" t="str">
        <f>IF(ISNUMBER(deployment_raw[[#This Row],[Column5]]), deployment_raw[[#This Row],[Column5]],"")</f>
        <v/>
      </c>
      <c r="F825" s="32" t="str">
        <f>IF(ISNUMBER(deployment_raw[[#This Row],[Column17]]), deployment_raw[[#This Row],[Column17]]/IF(OR($E$2="Deployment",deployment_raw[[#This Row],[Column5]]=0),1,deployment_raw[[#This Row],[Column5]]),"")</f>
        <v/>
      </c>
      <c r="G825" s="42" t="str">
        <f>IF(ISNUMBER(deployment_raw[[#This Row],[Column14]]), deployment_raw[[#This Row],[Column14]]/IF(OR($E$2="Deployment",deployment_raw[[#This Row],[Column5]]=0),1,deployment_raw[[#This Row],[Column5]]),"")</f>
        <v/>
      </c>
      <c r="H825" s="79" t="str">
        <f>IF(ISNUMBER(deployment_raw[[#This Row],[Column19]]), IF(I825&lt;&gt;0,(deployment_raw[[#This Row],[Column19]]/IF(OR($E$2="Deployment",deployment_raw[[#This Row],[Column5]]=0),1,deployment_raw[[#This Row],[Column5]]))/I825,0),"")</f>
        <v/>
      </c>
      <c r="I825" s="69" t="str">
        <f>IF(ISNUMBER(deployment_raw[[#This Row],[Column6]]), (deployment_raw[[#This Row],[Column6]] * IF($E$2="Deployment",deployment_raw[[#This Row],[Column5]],1)),"")</f>
        <v/>
      </c>
      <c r="J825" s="79" t="str">
        <f>IF(ISNUMBER(deployment_raw[[#This Row],[Column19]]), IF(K825&lt;&gt;0,(deployment_raw[[#This Row],[Column19]]/IF(OR($E$2="Deployment",deployment_raw[[#This Row],[Column5]]=0),1,deployment_raw[[#This Row],[Column5]]))/K825,0),"")</f>
        <v/>
      </c>
      <c r="K825" s="72" t="str">
        <f>IF(ISNUMBER(deployment_raw[[#This Row],[Column8]]), (deployment_raw[[#This Row],[Column8]]  * IF($E$2="Deployment",deployment_raw[[#This Row],[Column5]],1)),"")</f>
        <v/>
      </c>
      <c r="L82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2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25" s="81" t="str">
        <f>IF(ISNUMBER(deployment_raw[[#This Row],[Column20]]), IF(O825&lt;&gt;0,deployment_raw[[#This Row],[Column20]]/IF(OR($E$2="Deployment",deployment_raw[[#This Row],[Column5]]=0),1,deployment_raw[[#This Row],[Column5]])/1048576/O825,0),"")</f>
        <v/>
      </c>
      <c r="O825" s="74" t="str">
        <f>IF(ISNUMBER(deployment_raw[[#This Row],[Column7]]), (deployment_raw[[#This Row],[Column7]] * IF($E$2="Deployment",deployment_raw[[#This Row],[Column5]],1))/1048576,"")</f>
        <v/>
      </c>
      <c r="P825" s="81" t="str">
        <f>IF(ISNUMBER(deployment_raw[[#This Row],[Column20]]), IF(Q825&lt;&gt;0,deployment_raw[[#This Row],[Column20]]/IF(OR($E$2="Deployment",deployment_raw[[#This Row],[Column5]]=0),1,deployment_raw[[#This Row],[Column5]])/1048576/Q825,0),"")</f>
        <v/>
      </c>
      <c r="Q825" s="76" t="str">
        <f>IF(ISNUMBER(deployment_raw[[#This Row],[Column9]]), (deployment_raw[[#This Row],[Column9]] * IF($E$2="Deployment",deployment_raw[[#This Row],[Column5]],1))/1048576,"")</f>
        <v/>
      </c>
      <c r="R825" s="57" t="str">
        <f>IF(ISNUMBER(deployment_raw[[#This Row],[Column10]]), (deployment_raw[[#This Row],[Column10]] * IF($E$2="Deployment",deployment_raw[[#This Row],[Column5]],1)),"")</f>
        <v/>
      </c>
      <c r="S825" s="48" t="str">
        <f>IF(ISNUMBER(deployment_raw[[#This Row],[Column11]]), (deployment_raw[[#This Row],[Column11]] * IF($E$2="Deployment",deployment_raw[[#This Row],[Column5]],1))/1048576,"")</f>
        <v/>
      </c>
      <c r="T825" s="59" t="str">
        <f>IF(ISNUMBER(deployment_raw[[#This Row],[Column8]]),IF(OR(deployment_raw[[#This Row],[Column5]] &lt;&gt; 0,$E$2 &lt;&gt; "Deployment"), MAX(V825, ($T$2 * IF($E$2="Deployment",deployment_raw[[#This Row],[Column5]],1))), 0),"")</f>
        <v/>
      </c>
      <c r="U825" s="50" t="str">
        <f>IF(ISNUMBER(deployment_raw[[#This Row],[Column9]]),IF(OR(deployment_raw[[#This Row],[Column5]] &lt;&gt; 0,$E$2&lt;&gt;"Deployment"), MAX(W825, ($U$2 * IF($E$2="Deployment",deployment_raw[[#This Row],[Column5]],1))), 0),"")</f>
        <v/>
      </c>
      <c r="V825" s="15" t="str">
        <f>IF(ISNUMBER(deployment_raw[[#This Row],[Column12]]), (deployment_raw[[#This Row],[Column12]] * IF($E$2="Deployment",deployment_raw[[#This Row],[Column5]],1)*(1+$V$2)),"")</f>
        <v/>
      </c>
      <c r="W825" s="14" t="str">
        <f>IF(ISNUMBER(deployment_raw[[#This Row],[Column13]]), (deployment_raw[[#This Row],[Column13]] * IF($E$2="Deployment",deployment_raw[[#This Row],[Column5]],1)*(1+$W$2))/1048576,"")</f>
        <v/>
      </c>
    </row>
    <row r="826" spans="1:23" ht="15.75" customHeight="1" x14ac:dyDescent="0.25">
      <c r="A826" s="5" t="str">
        <f>IF(ISNONTEXT(deployment_raw[[#This Row],[Column1]]), "", deployment_raw[[#This Row],[Column1]])</f>
        <v/>
      </c>
      <c r="B826" s="6" t="str">
        <f>IF(ISNONTEXT(deployment_raw[[#This Row],[Column2]]), "", deployment_raw[[#This Row],[Column2]])</f>
        <v/>
      </c>
      <c r="C826" s="6" t="str">
        <f>IF(ISNONTEXT(deployment_raw[[#This Row],[Column3]]), "", deployment_raw[[#This Row],[Column3]])</f>
        <v/>
      </c>
      <c r="D826" s="6" t="str">
        <f>IF(ISNONTEXT(deployment_raw[[#This Row],[Column4]]), "", deployment_raw[[#This Row],[Column4]])</f>
        <v/>
      </c>
      <c r="E826" s="7" t="str">
        <f>IF(ISNUMBER(deployment_raw[[#This Row],[Column5]]), deployment_raw[[#This Row],[Column5]],"")</f>
        <v/>
      </c>
      <c r="F826" s="32" t="str">
        <f>IF(ISNUMBER(deployment_raw[[#This Row],[Column17]]), deployment_raw[[#This Row],[Column17]]/IF(OR($E$2="Deployment",deployment_raw[[#This Row],[Column5]]=0),1,deployment_raw[[#This Row],[Column5]]),"")</f>
        <v/>
      </c>
      <c r="G826" s="42" t="str">
        <f>IF(ISNUMBER(deployment_raw[[#This Row],[Column14]]), deployment_raw[[#This Row],[Column14]]/IF(OR($E$2="Deployment",deployment_raw[[#This Row],[Column5]]=0),1,deployment_raw[[#This Row],[Column5]]),"")</f>
        <v/>
      </c>
      <c r="H826" s="79" t="str">
        <f>IF(ISNUMBER(deployment_raw[[#This Row],[Column19]]), IF(I826&lt;&gt;0,(deployment_raw[[#This Row],[Column19]]/IF(OR($E$2="Deployment",deployment_raw[[#This Row],[Column5]]=0),1,deployment_raw[[#This Row],[Column5]]))/I826,0),"")</f>
        <v/>
      </c>
      <c r="I826" s="69" t="str">
        <f>IF(ISNUMBER(deployment_raw[[#This Row],[Column6]]), (deployment_raw[[#This Row],[Column6]] * IF($E$2="Deployment",deployment_raw[[#This Row],[Column5]],1)),"")</f>
        <v/>
      </c>
      <c r="J826" s="79" t="str">
        <f>IF(ISNUMBER(deployment_raw[[#This Row],[Column19]]), IF(K826&lt;&gt;0,(deployment_raw[[#This Row],[Column19]]/IF(OR($E$2="Deployment",deployment_raw[[#This Row],[Column5]]=0),1,deployment_raw[[#This Row],[Column5]]))/K826,0),"")</f>
        <v/>
      </c>
      <c r="K826" s="72" t="str">
        <f>IF(ISNUMBER(deployment_raw[[#This Row],[Column8]]), (deployment_raw[[#This Row],[Column8]]  * IF($E$2="Deployment",deployment_raw[[#This Row],[Column5]],1)),"")</f>
        <v/>
      </c>
      <c r="L82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2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26" s="81" t="str">
        <f>IF(ISNUMBER(deployment_raw[[#This Row],[Column20]]), IF(O826&lt;&gt;0,deployment_raw[[#This Row],[Column20]]/IF(OR($E$2="Deployment",deployment_raw[[#This Row],[Column5]]=0),1,deployment_raw[[#This Row],[Column5]])/1048576/O826,0),"")</f>
        <v/>
      </c>
      <c r="O826" s="74" t="str">
        <f>IF(ISNUMBER(deployment_raw[[#This Row],[Column7]]), (deployment_raw[[#This Row],[Column7]] * IF($E$2="Deployment",deployment_raw[[#This Row],[Column5]],1))/1048576,"")</f>
        <v/>
      </c>
      <c r="P826" s="81" t="str">
        <f>IF(ISNUMBER(deployment_raw[[#This Row],[Column20]]), IF(Q826&lt;&gt;0,deployment_raw[[#This Row],[Column20]]/IF(OR($E$2="Deployment",deployment_raw[[#This Row],[Column5]]=0),1,deployment_raw[[#This Row],[Column5]])/1048576/Q826,0),"")</f>
        <v/>
      </c>
      <c r="Q826" s="76" t="str">
        <f>IF(ISNUMBER(deployment_raw[[#This Row],[Column9]]), (deployment_raw[[#This Row],[Column9]] * IF($E$2="Deployment",deployment_raw[[#This Row],[Column5]],1))/1048576,"")</f>
        <v/>
      </c>
      <c r="R826" s="57" t="str">
        <f>IF(ISNUMBER(deployment_raw[[#This Row],[Column10]]), (deployment_raw[[#This Row],[Column10]] * IF($E$2="Deployment",deployment_raw[[#This Row],[Column5]],1)),"")</f>
        <v/>
      </c>
      <c r="S826" s="48" t="str">
        <f>IF(ISNUMBER(deployment_raw[[#This Row],[Column11]]), (deployment_raw[[#This Row],[Column11]] * IF($E$2="Deployment",deployment_raw[[#This Row],[Column5]],1))/1048576,"")</f>
        <v/>
      </c>
      <c r="T826" s="59" t="str">
        <f>IF(ISNUMBER(deployment_raw[[#This Row],[Column8]]),IF(OR(deployment_raw[[#This Row],[Column5]] &lt;&gt; 0,$E$2 &lt;&gt; "Deployment"), MAX(V826, ($T$2 * IF($E$2="Deployment",deployment_raw[[#This Row],[Column5]],1))), 0),"")</f>
        <v/>
      </c>
      <c r="U826" s="50" t="str">
        <f>IF(ISNUMBER(deployment_raw[[#This Row],[Column9]]),IF(OR(deployment_raw[[#This Row],[Column5]] &lt;&gt; 0,$E$2&lt;&gt;"Deployment"), MAX(W826, ($U$2 * IF($E$2="Deployment",deployment_raw[[#This Row],[Column5]],1))), 0),"")</f>
        <v/>
      </c>
      <c r="V826" s="15" t="str">
        <f>IF(ISNUMBER(deployment_raw[[#This Row],[Column12]]), (deployment_raw[[#This Row],[Column12]] * IF($E$2="Deployment",deployment_raw[[#This Row],[Column5]],1)*(1+$V$2)),"")</f>
        <v/>
      </c>
      <c r="W826" s="14" t="str">
        <f>IF(ISNUMBER(deployment_raw[[#This Row],[Column13]]), (deployment_raw[[#This Row],[Column13]] * IF($E$2="Deployment",deployment_raw[[#This Row],[Column5]],1)*(1+$W$2))/1048576,"")</f>
        <v/>
      </c>
    </row>
    <row r="827" spans="1:23" ht="15.75" customHeight="1" x14ac:dyDescent="0.25">
      <c r="A827" s="5" t="str">
        <f>IF(ISNONTEXT(deployment_raw[[#This Row],[Column1]]), "", deployment_raw[[#This Row],[Column1]])</f>
        <v/>
      </c>
      <c r="B827" s="6" t="str">
        <f>IF(ISNONTEXT(deployment_raw[[#This Row],[Column2]]), "", deployment_raw[[#This Row],[Column2]])</f>
        <v/>
      </c>
      <c r="C827" s="6" t="str">
        <f>IF(ISNONTEXT(deployment_raw[[#This Row],[Column3]]), "", deployment_raw[[#This Row],[Column3]])</f>
        <v/>
      </c>
      <c r="D827" s="6" t="str">
        <f>IF(ISNONTEXT(deployment_raw[[#This Row],[Column4]]), "", deployment_raw[[#This Row],[Column4]])</f>
        <v/>
      </c>
      <c r="E827" s="7" t="str">
        <f>IF(ISNUMBER(deployment_raw[[#This Row],[Column5]]), deployment_raw[[#This Row],[Column5]],"")</f>
        <v/>
      </c>
      <c r="F827" s="32" t="str">
        <f>IF(ISNUMBER(deployment_raw[[#This Row],[Column17]]), deployment_raw[[#This Row],[Column17]]/IF(OR($E$2="Deployment",deployment_raw[[#This Row],[Column5]]=0),1,deployment_raw[[#This Row],[Column5]]),"")</f>
        <v/>
      </c>
      <c r="G827" s="42" t="str">
        <f>IF(ISNUMBER(deployment_raw[[#This Row],[Column14]]), deployment_raw[[#This Row],[Column14]]/IF(OR($E$2="Deployment",deployment_raw[[#This Row],[Column5]]=0),1,deployment_raw[[#This Row],[Column5]]),"")</f>
        <v/>
      </c>
      <c r="H827" s="79" t="str">
        <f>IF(ISNUMBER(deployment_raw[[#This Row],[Column19]]), IF(I827&lt;&gt;0,(deployment_raw[[#This Row],[Column19]]/IF(OR($E$2="Deployment",deployment_raw[[#This Row],[Column5]]=0),1,deployment_raw[[#This Row],[Column5]]))/I827,0),"")</f>
        <v/>
      </c>
      <c r="I827" s="69" t="str">
        <f>IF(ISNUMBER(deployment_raw[[#This Row],[Column6]]), (deployment_raw[[#This Row],[Column6]] * IF($E$2="Deployment",deployment_raw[[#This Row],[Column5]],1)),"")</f>
        <v/>
      </c>
      <c r="J827" s="79" t="str">
        <f>IF(ISNUMBER(deployment_raw[[#This Row],[Column19]]), IF(K827&lt;&gt;0,(deployment_raw[[#This Row],[Column19]]/IF(OR($E$2="Deployment",deployment_raw[[#This Row],[Column5]]=0),1,deployment_raw[[#This Row],[Column5]]))/K827,0),"")</f>
        <v/>
      </c>
      <c r="K827" s="72" t="str">
        <f>IF(ISNUMBER(deployment_raw[[#This Row],[Column8]]), (deployment_raw[[#This Row],[Column8]]  * IF($E$2="Deployment",deployment_raw[[#This Row],[Column5]],1)),"")</f>
        <v/>
      </c>
      <c r="L82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2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27" s="81" t="str">
        <f>IF(ISNUMBER(deployment_raw[[#This Row],[Column20]]), IF(O827&lt;&gt;0,deployment_raw[[#This Row],[Column20]]/IF(OR($E$2="Deployment",deployment_raw[[#This Row],[Column5]]=0),1,deployment_raw[[#This Row],[Column5]])/1048576/O827,0),"")</f>
        <v/>
      </c>
      <c r="O827" s="74" t="str">
        <f>IF(ISNUMBER(deployment_raw[[#This Row],[Column7]]), (deployment_raw[[#This Row],[Column7]] * IF($E$2="Deployment",deployment_raw[[#This Row],[Column5]],1))/1048576,"")</f>
        <v/>
      </c>
      <c r="P827" s="81" t="str">
        <f>IF(ISNUMBER(deployment_raw[[#This Row],[Column20]]), IF(Q827&lt;&gt;0,deployment_raw[[#This Row],[Column20]]/IF(OR($E$2="Deployment",deployment_raw[[#This Row],[Column5]]=0),1,deployment_raw[[#This Row],[Column5]])/1048576/Q827,0),"")</f>
        <v/>
      </c>
      <c r="Q827" s="76" t="str">
        <f>IF(ISNUMBER(deployment_raw[[#This Row],[Column9]]), (deployment_raw[[#This Row],[Column9]] * IF($E$2="Deployment",deployment_raw[[#This Row],[Column5]],1))/1048576,"")</f>
        <v/>
      </c>
      <c r="R827" s="57" t="str">
        <f>IF(ISNUMBER(deployment_raw[[#This Row],[Column10]]), (deployment_raw[[#This Row],[Column10]] * IF($E$2="Deployment",deployment_raw[[#This Row],[Column5]],1)),"")</f>
        <v/>
      </c>
      <c r="S827" s="48" t="str">
        <f>IF(ISNUMBER(deployment_raw[[#This Row],[Column11]]), (deployment_raw[[#This Row],[Column11]] * IF($E$2="Deployment",deployment_raw[[#This Row],[Column5]],1))/1048576,"")</f>
        <v/>
      </c>
      <c r="T827" s="59" t="str">
        <f>IF(ISNUMBER(deployment_raw[[#This Row],[Column8]]),IF(OR(deployment_raw[[#This Row],[Column5]] &lt;&gt; 0,$E$2 &lt;&gt; "Deployment"), MAX(V827, ($T$2 * IF($E$2="Deployment",deployment_raw[[#This Row],[Column5]],1))), 0),"")</f>
        <v/>
      </c>
      <c r="U827" s="50" t="str">
        <f>IF(ISNUMBER(deployment_raw[[#This Row],[Column9]]),IF(OR(deployment_raw[[#This Row],[Column5]] &lt;&gt; 0,$E$2&lt;&gt;"Deployment"), MAX(W827, ($U$2 * IF($E$2="Deployment",deployment_raw[[#This Row],[Column5]],1))), 0),"")</f>
        <v/>
      </c>
      <c r="V827" s="15" t="str">
        <f>IF(ISNUMBER(deployment_raw[[#This Row],[Column12]]), (deployment_raw[[#This Row],[Column12]] * IF($E$2="Deployment",deployment_raw[[#This Row],[Column5]],1)*(1+$V$2)),"")</f>
        <v/>
      </c>
      <c r="W827" s="14" t="str">
        <f>IF(ISNUMBER(deployment_raw[[#This Row],[Column13]]), (deployment_raw[[#This Row],[Column13]] * IF($E$2="Deployment",deployment_raw[[#This Row],[Column5]],1)*(1+$W$2))/1048576,"")</f>
        <v/>
      </c>
    </row>
    <row r="828" spans="1:23" ht="15.75" customHeight="1" x14ac:dyDescent="0.25">
      <c r="A828" s="5" t="str">
        <f>IF(ISNONTEXT(deployment_raw[[#This Row],[Column1]]), "", deployment_raw[[#This Row],[Column1]])</f>
        <v/>
      </c>
      <c r="B828" s="6" t="str">
        <f>IF(ISNONTEXT(deployment_raw[[#This Row],[Column2]]), "", deployment_raw[[#This Row],[Column2]])</f>
        <v/>
      </c>
      <c r="C828" s="6" t="str">
        <f>IF(ISNONTEXT(deployment_raw[[#This Row],[Column3]]), "", deployment_raw[[#This Row],[Column3]])</f>
        <v/>
      </c>
      <c r="D828" s="6" t="str">
        <f>IF(ISNONTEXT(deployment_raw[[#This Row],[Column4]]), "", deployment_raw[[#This Row],[Column4]])</f>
        <v/>
      </c>
      <c r="E828" s="7" t="str">
        <f>IF(ISNUMBER(deployment_raw[[#This Row],[Column5]]), deployment_raw[[#This Row],[Column5]],"")</f>
        <v/>
      </c>
      <c r="F828" s="32" t="str">
        <f>IF(ISNUMBER(deployment_raw[[#This Row],[Column17]]), deployment_raw[[#This Row],[Column17]]/IF(OR($E$2="Deployment",deployment_raw[[#This Row],[Column5]]=0),1,deployment_raw[[#This Row],[Column5]]),"")</f>
        <v/>
      </c>
      <c r="G828" s="42" t="str">
        <f>IF(ISNUMBER(deployment_raw[[#This Row],[Column14]]), deployment_raw[[#This Row],[Column14]]/IF(OR($E$2="Deployment",deployment_raw[[#This Row],[Column5]]=0),1,deployment_raw[[#This Row],[Column5]]),"")</f>
        <v/>
      </c>
      <c r="H828" s="79" t="str">
        <f>IF(ISNUMBER(deployment_raw[[#This Row],[Column19]]), IF(I828&lt;&gt;0,(deployment_raw[[#This Row],[Column19]]/IF(OR($E$2="Deployment",deployment_raw[[#This Row],[Column5]]=0),1,deployment_raw[[#This Row],[Column5]]))/I828,0),"")</f>
        <v/>
      </c>
      <c r="I828" s="69" t="str">
        <f>IF(ISNUMBER(deployment_raw[[#This Row],[Column6]]), (deployment_raw[[#This Row],[Column6]] * IF($E$2="Deployment",deployment_raw[[#This Row],[Column5]],1)),"")</f>
        <v/>
      </c>
      <c r="J828" s="79" t="str">
        <f>IF(ISNUMBER(deployment_raw[[#This Row],[Column19]]), IF(K828&lt;&gt;0,(deployment_raw[[#This Row],[Column19]]/IF(OR($E$2="Deployment",deployment_raw[[#This Row],[Column5]]=0),1,deployment_raw[[#This Row],[Column5]]))/K828,0),"")</f>
        <v/>
      </c>
      <c r="K828" s="72" t="str">
        <f>IF(ISNUMBER(deployment_raw[[#This Row],[Column8]]), (deployment_raw[[#This Row],[Column8]]  * IF($E$2="Deployment",deployment_raw[[#This Row],[Column5]],1)),"")</f>
        <v/>
      </c>
      <c r="L82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2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28" s="81" t="str">
        <f>IF(ISNUMBER(deployment_raw[[#This Row],[Column20]]), IF(O828&lt;&gt;0,deployment_raw[[#This Row],[Column20]]/IF(OR($E$2="Deployment",deployment_raw[[#This Row],[Column5]]=0),1,deployment_raw[[#This Row],[Column5]])/1048576/O828,0),"")</f>
        <v/>
      </c>
      <c r="O828" s="74" t="str">
        <f>IF(ISNUMBER(deployment_raw[[#This Row],[Column7]]), (deployment_raw[[#This Row],[Column7]] * IF($E$2="Deployment",deployment_raw[[#This Row],[Column5]],1))/1048576,"")</f>
        <v/>
      </c>
      <c r="P828" s="81" t="str">
        <f>IF(ISNUMBER(deployment_raw[[#This Row],[Column20]]), IF(Q828&lt;&gt;0,deployment_raw[[#This Row],[Column20]]/IF(OR($E$2="Deployment",deployment_raw[[#This Row],[Column5]]=0),1,deployment_raw[[#This Row],[Column5]])/1048576/Q828,0),"")</f>
        <v/>
      </c>
      <c r="Q828" s="76" t="str">
        <f>IF(ISNUMBER(deployment_raw[[#This Row],[Column9]]), (deployment_raw[[#This Row],[Column9]] * IF($E$2="Deployment",deployment_raw[[#This Row],[Column5]],1))/1048576,"")</f>
        <v/>
      </c>
      <c r="R828" s="57" t="str">
        <f>IF(ISNUMBER(deployment_raw[[#This Row],[Column10]]), (deployment_raw[[#This Row],[Column10]] * IF($E$2="Deployment",deployment_raw[[#This Row],[Column5]],1)),"")</f>
        <v/>
      </c>
      <c r="S828" s="48" t="str">
        <f>IF(ISNUMBER(deployment_raw[[#This Row],[Column11]]), (deployment_raw[[#This Row],[Column11]] * IF($E$2="Deployment",deployment_raw[[#This Row],[Column5]],1))/1048576,"")</f>
        <v/>
      </c>
      <c r="T828" s="59" t="str">
        <f>IF(ISNUMBER(deployment_raw[[#This Row],[Column8]]),IF(OR(deployment_raw[[#This Row],[Column5]] &lt;&gt; 0,$E$2 &lt;&gt; "Deployment"), MAX(V828, ($T$2 * IF($E$2="Deployment",deployment_raw[[#This Row],[Column5]],1))), 0),"")</f>
        <v/>
      </c>
      <c r="U828" s="50" t="str">
        <f>IF(ISNUMBER(deployment_raw[[#This Row],[Column9]]),IF(OR(deployment_raw[[#This Row],[Column5]] &lt;&gt; 0,$E$2&lt;&gt;"Deployment"), MAX(W828, ($U$2 * IF($E$2="Deployment",deployment_raw[[#This Row],[Column5]],1))), 0),"")</f>
        <v/>
      </c>
      <c r="V828" s="15" t="str">
        <f>IF(ISNUMBER(deployment_raw[[#This Row],[Column12]]), (deployment_raw[[#This Row],[Column12]] * IF($E$2="Deployment",deployment_raw[[#This Row],[Column5]],1)*(1+$V$2)),"")</f>
        <v/>
      </c>
      <c r="W828" s="14" t="str">
        <f>IF(ISNUMBER(deployment_raw[[#This Row],[Column13]]), (deployment_raw[[#This Row],[Column13]] * IF($E$2="Deployment",deployment_raw[[#This Row],[Column5]],1)*(1+$W$2))/1048576,"")</f>
        <v/>
      </c>
    </row>
    <row r="829" spans="1:23" ht="15.75" customHeight="1" x14ac:dyDescent="0.25">
      <c r="A829" s="5" t="str">
        <f>IF(ISNONTEXT(deployment_raw[[#This Row],[Column1]]), "", deployment_raw[[#This Row],[Column1]])</f>
        <v/>
      </c>
      <c r="B829" s="6" t="str">
        <f>IF(ISNONTEXT(deployment_raw[[#This Row],[Column2]]), "", deployment_raw[[#This Row],[Column2]])</f>
        <v/>
      </c>
      <c r="C829" s="6" t="str">
        <f>IF(ISNONTEXT(deployment_raw[[#This Row],[Column3]]), "", deployment_raw[[#This Row],[Column3]])</f>
        <v/>
      </c>
      <c r="D829" s="6" t="str">
        <f>IF(ISNONTEXT(deployment_raw[[#This Row],[Column4]]), "", deployment_raw[[#This Row],[Column4]])</f>
        <v/>
      </c>
      <c r="E829" s="7" t="str">
        <f>IF(ISNUMBER(deployment_raw[[#This Row],[Column5]]), deployment_raw[[#This Row],[Column5]],"")</f>
        <v/>
      </c>
      <c r="F829" s="32" t="str">
        <f>IF(ISNUMBER(deployment_raw[[#This Row],[Column17]]), deployment_raw[[#This Row],[Column17]]/IF(OR($E$2="Deployment",deployment_raw[[#This Row],[Column5]]=0),1,deployment_raw[[#This Row],[Column5]]),"")</f>
        <v/>
      </c>
      <c r="G829" s="42" t="str">
        <f>IF(ISNUMBER(deployment_raw[[#This Row],[Column14]]), deployment_raw[[#This Row],[Column14]]/IF(OR($E$2="Deployment",deployment_raw[[#This Row],[Column5]]=0),1,deployment_raw[[#This Row],[Column5]]),"")</f>
        <v/>
      </c>
      <c r="H829" s="79" t="str">
        <f>IF(ISNUMBER(deployment_raw[[#This Row],[Column19]]), IF(I829&lt;&gt;0,(deployment_raw[[#This Row],[Column19]]/IF(OR($E$2="Deployment",deployment_raw[[#This Row],[Column5]]=0),1,deployment_raw[[#This Row],[Column5]]))/I829,0),"")</f>
        <v/>
      </c>
      <c r="I829" s="69" t="str">
        <f>IF(ISNUMBER(deployment_raw[[#This Row],[Column6]]), (deployment_raw[[#This Row],[Column6]] * IF($E$2="Deployment",deployment_raw[[#This Row],[Column5]],1)),"")</f>
        <v/>
      </c>
      <c r="J829" s="79" t="str">
        <f>IF(ISNUMBER(deployment_raw[[#This Row],[Column19]]), IF(K829&lt;&gt;0,(deployment_raw[[#This Row],[Column19]]/IF(OR($E$2="Deployment",deployment_raw[[#This Row],[Column5]]=0),1,deployment_raw[[#This Row],[Column5]]))/K829,0),"")</f>
        <v/>
      </c>
      <c r="K829" s="72" t="str">
        <f>IF(ISNUMBER(deployment_raw[[#This Row],[Column8]]), (deployment_raw[[#This Row],[Column8]]  * IF($E$2="Deployment",deployment_raw[[#This Row],[Column5]],1)),"")</f>
        <v/>
      </c>
      <c r="L82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2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29" s="81" t="str">
        <f>IF(ISNUMBER(deployment_raw[[#This Row],[Column20]]), IF(O829&lt;&gt;0,deployment_raw[[#This Row],[Column20]]/IF(OR($E$2="Deployment",deployment_raw[[#This Row],[Column5]]=0),1,deployment_raw[[#This Row],[Column5]])/1048576/O829,0),"")</f>
        <v/>
      </c>
      <c r="O829" s="74" t="str">
        <f>IF(ISNUMBER(deployment_raw[[#This Row],[Column7]]), (deployment_raw[[#This Row],[Column7]] * IF($E$2="Deployment",deployment_raw[[#This Row],[Column5]],1))/1048576,"")</f>
        <v/>
      </c>
      <c r="P829" s="81" t="str">
        <f>IF(ISNUMBER(deployment_raw[[#This Row],[Column20]]), IF(Q829&lt;&gt;0,deployment_raw[[#This Row],[Column20]]/IF(OR($E$2="Deployment",deployment_raw[[#This Row],[Column5]]=0),1,deployment_raw[[#This Row],[Column5]])/1048576/Q829,0),"")</f>
        <v/>
      </c>
      <c r="Q829" s="76" t="str">
        <f>IF(ISNUMBER(deployment_raw[[#This Row],[Column9]]), (deployment_raw[[#This Row],[Column9]] * IF($E$2="Deployment",deployment_raw[[#This Row],[Column5]],1))/1048576,"")</f>
        <v/>
      </c>
      <c r="R829" s="57" t="str">
        <f>IF(ISNUMBER(deployment_raw[[#This Row],[Column10]]), (deployment_raw[[#This Row],[Column10]] * IF($E$2="Deployment",deployment_raw[[#This Row],[Column5]],1)),"")</f>
        <v/>
      </c>
      <c r="S829" s="48" t="str">
        <f>IF(ISNUMBER(deployment_raw[[#This Row],[Column11]]), (deployment_raw[[#This Row],[Column11]] * IF($E$2="Deployment",deployment_raw[[#This Row],[Column5]],1))/1048576,"")</f>
        <v/>
      </c>
      <c r="T829" s="59" t="str">
        <f>IF(ISNUMBER(deployment_raw[[#This Row],[Column8]]),IF(OR(deployment_raw[[#This Row],[Column5]] &lt;&gt; 0,$E$2 &lt;&gt; "Deployment"), MAX(V829, ($T$2 * IF($E$2="Deployment",deployment_raw[[#This Row],[Column5]],1))), 0),"")</f>
        <v/>
      </c>
      <c r="U829" s="50" t="str">
        <f>IF(ISNUMBER(deployment_raw[[#This Row],[Column9]]),IF(OR(deployment_raw[[#This Row],[Column5]] &lt;&gt; 0,$E$2&lt;&gt;"Deployment"), MAX(W829, ($U$2 * IF($E$2="Deployment",deployment_raw[[#This Row],[Column5]],1))), 0),"")</f>
        <v/>
      </c>
      <c r="V829" s="15" t="str">
        <f>IF(ISNUMBER(deployment_raw[[#This Row],[Column12]]), (deployment_raw[[#This Row],[Column12]] * IF($E$2="Deployment",deployment_raw[[#This Row],[Column5]],1)*(1+$V$2)),"")</f>
        <v/>
      </c>
      <c r="W829" s="14" t="str">
        <f>IF(ISNUMBER(deployment_raw[[#This Row],[Column13]]), (deployment_raw[[#This Row],[Column13]] * IF($E$2="Deployment",deployment_raw[[#This Row],[Column5]],1)*(1+$W$2))/1048576,"")</f>
        <v/>
      </c>
    </row>
    <row r="830" spans="1:23" ht="15.75" customHeight="1" x14ac:dyDescent="0.25">
      <c r="A830" s="5" t="str">
        <f>IF(ISNONTEXT(deployment_raw[[#This Row],[Column1]]), "", deployment_raw[[#This Row],[Column1]])</f>
        <v/>
      </c>
      <c r="B830" s="6" t="str">
        <f>IF(ISNONTEXT(deployment_raw[[#This Row],[Column2]]), "", deployment_raw[[#This Row],[Column2]])</f>
        <v/>
      </c>
      <c r="C830" s="6" t="str">
        <f>IF(ISNONTEXT(deployment_raw[[#This Row],[Column3]]), "", deployment_raw[[#This Row],[Column3]])</f>
        <v/>
      </c>
      <c r="D830" s="6" t="str">
        <f>IF(ISNONTEXT(deployment_raw[[#This Row],[Column4]]), "", deployment_raw[[#This Row],[Column4]])</f>
        <v/>
      </c>
      <c r="E830" s="7" t="str">
        <f>IF(ISNUMBER(deployment_raw[[#This Row],[Column5]]), deployment_raw[[#This Row],[Column5]],"")</f>
        <v/>
      </c>
      <c r="F830" s="32" t="str">
        <f>IF(ISNUMBER(deployment_raw[[#This Row],[Column17]]), deployment_raw[[#This Row],[Column17]]/IF(OR($E$2="Deployment",deployment_raw[[#This Row],[Column5]]=0),1,deployment_raw[[#This Row],[Column5]]),"")</f>
        <v/>
      </c>
      <c r="G830" s="42" t="str">
        <f>IF(ISNUMBER(deployment_raw[[#This Row],[Column14]]), deployment_raw[[#This Row],[Column14]]/IF(OR($E$2="Deployment",deployment_raw[[#This Row],[Column5]]=0),1,deployment_raw[[#This Row],[Column5]]),"")</f>
        <v/>
      </c>
      <c r="H830" s="79" t="str">
        <f>IF(ISNUMBER(deployment_raw[[#This Row],[Column19]]), IF(I830&lt;&gt;0,(deployment_raw[[#This Row],[Column19]]/IF(OR($E$2="Deployment",deployment_raw[[#This Row],[Column5]]=0),1,deployment_raw[[#This Row],[Column5]]))/I830,0),"")</f>
        <v/>
      </c>
      <c r="I830" s="69" t="str">
        <f>IF(ISNUMBER(deployment_raw[[#This Row],[Column6]]), (deployment_raw[[#This Row],[Column6]] * IF($E$2="Deployment",deployment_raw[[#This Row],[Column5]],1)),"")</f>
        <v/>
      </c>
      <c r="J830" s="79" t="str">
        <f>IF(ISNUMBER(deployment_raw[[#This Row],[Column19]]), IF(K830&lt;&gt;0,(deployment_raw[[#This Row],[Column19]]/IF(OR($E$2="Deployment",deployment_raw[[#This Row],[Column5]]=0),1,deployment_raw[[#This Row],[Column5]]))/K830,0),"")</f>
        <v/>
      </c>
      <c r="K830" s="72" t="str">
        <f>IF(ISNUMBER(deployment_raw[[#This Row],[Column8]]), (deployment_raw[[#This Row],[Column8]]  * IF($E$2="Deployment",deployment_raw[[#This Row],[Column5]],1)),"")</f>
        <v/>
      </c>
      <c r="L83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3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30" s="81" t="str">
        <f>IF(ISNUMBER(deployment_raw[[#This Row],[Column20]]), IF(O830&lt;&gt;0,deployment_raw[[#This Row],[Column20]]/IF(OR($E$2="Deployment",deployment_raw[[#This Row],[Column5]]=0),1,deployment_raw[[#This Row],[Column5]])/1048576/O830,0),"")</f>
        <v/>
      </c>
      <c r="O830" s="74" t="str">
        <f>IF(ISNUMBER(deployment_raw[[#This Row],[Column7]]), (deployment_raw[[#This Row],[Column7]] * IF($E$2="Deployment",deployment_raw[[#This Row],[Column5]],1))/1048576,"")</f>
        <v/>
      </c>
      <c r="P830" s="81" t="str">
        <f>IF(ISNUMBER(deployment_raw[[#This Row],[Column20]]), IF(Q830&lt;&gt;0,deployment_raw[[#This Row],[Column20]]/IF(OR($E$2="Deployment",deployment_raw[[#This Row],[Column5]]=0),1,deployment_raw[[#This Row],[Column5]])/1048576/Q830,0),"")</f>
        <v/>
      </c>
      <c r="Q830" s="76" t="str">
        <f>IF(ISNUMBER(deployment_raw[[#This Row],[Column9]]), (deployment_raw[[#This Row],[Column9]] * IF($E$2="Deployment",deployment_raw[[#This Row],[Column5]],1))/1048576,"")</f>
        <v/>
      </c>
      <c r="R830" s="57" t="str">
        <f>IF(ISNUMBER(deployment_raw[[#This Row],[Column10]]), (deployment_raw[[#This Row],[Column10]] * IF($E$2="Deployment",deployment_raw[[#This Row],[Column5]],1)),"")</f>
        <v/>
      </c>
      <c r="S830" s="48" t="str">
        <f>IF(ISNUMBER(deployment_raw[[#This Row],[Column11]]), (deployment_raw[[#This Row],[Column11]] * IF($E$2="Deployment",deployment_raw[[#This Row],[Column5]],1))/1048576,"")</f>
        <v/>
      </c>
      <c r="T830" s="59" t="str">
        <f>IF(ISNUMBER(deployment_raw[[#This Row],[Column8]]),IF(OR(deployment_raw[[#This Row],[Column5]] &lt;&gt; 0,$E$2 &lt;&gt; "Deployment"), MAX(V830, ($T$2 * IF($E$2="Deployment",deployment_raw[[#This Row],[Column5]],1))), 0),"")</f>
        <v/>
      </c>
      <c r="U830" s="50" t="str">
        <f>IF(ISNUMBER(deployment_raw[[#This Row],[Column9]]),IF(OR(deployment_raw[[#This Row],[Column5]] &lt;&gt; 0,$E$2&lt;&gt;"Deployment"), MAX(W830, ($U$2 * IF($E$2="Deployment",deployment_raw[[#This Row],[Column5]],1))), 0),"")</f>
        <v/>
      </c>
      <c r="V830" s="15" t="str">
        <f>IF(ISNUMBER(deployment_raw[[#This Row],[Column12]]), (deployment_raw[[#This Row],[Column12]] * IF($E$2="Deployment",deployment_raw[[#This Row],[Column5]],1)*(1+$V$2)),"")</f>
        <v/>
      </c>
      <c r="W830" s="14" t="str">
        <f>IF(ISNUMBER(deployment_raw[[#This Row],[Column13]]), (deployment_raw[[#This Row],[Column13]] * IF($E$2="Deployment",deployment_raw[[#This Row],[Column5]],1)*(1+$W$2))/1048576,"")</f>
        <v/>
      </c>
    </row>
    <row r="831" spans="1:23" ht="15.75" customHeight="1" x14ac:dyDescent="0.25">
      <c r="A831" s="5" t="str">
        <f>IF(ISNONTEXT(deployment_raw[[#This Row],[Column1]]), "", deployment_raw[[#This Row],[Column1]])</f>
        <v/>
      </c>
      <c r="B831" s="6" t="str">
        <f>IF(ISNONTEXT(deployment_raw[[#This Row],[Column2]]), "", deployment_raw[[#This Row],[Column2]])</f>
        <v/>
      </c>
      <c r="C831" s="6" t="str">
        <f>IF(ISNONTEXT(deployment_raw[[#This Row],[Column3]]), "", deployment_raw[[#This Row],[Column3]])</f>
        <v/>
      </c>
      <c r="D831" s="6" t="str">
        <f>IF(ISNONTEXT(deployment_raw[[#This Row],[Column4]]), "", deployment_raw[[#This Row],[Column4]])</f>
        <v/>
      </c>
      <c r="E831" s="7" t="str">
        <f>IF(ISNUMBER(deployment_raw[[#This Row],[Column5]]), deployment_raw[[#This Row],[Column5]],"")</f>
        <v/>
      </c>
      <c r="F831" s="32" t="str">
        <f>IF(ISNUMBER(deployment_raw[[#This Row],[Column17]]), deployment_raw[[#This Row],[Column17]]/IF(OR($E$2="Deployment",deployment_raw[[#This Row],[Column5]]=0),1,deployment_raw[[#This Row],[Column5]]),"")</f>
        <v/>
      </c>
      <c r="G831" s="42" t="str">
        <f>IF(ISNUMBER(deployment_raw[[#This Row],[Column14]]), deployment_raw[[#This Row],[Column14]]/IF(OR($E$2="Deployment",deployment_raw[[#This Row],[Column5]]=0),1,deployment_raw[[#This Row],[Column5]]),"")</f>
        <v/>
      </c>
      <c r="H831" s="79" t="str">
        <f>IF(ISNUMBER(deployment_raw[[#This Row],[Column19]]), IF(I831&lt;&gt;0,(deployment_raw[[#This Row],[Column19]]/IF(OR($E$2="Deployment",deployment_raw[[#This Row],[Column5]]=0),1,deployment_raw[[#This Row],[Column5]]))/I831,0),"")</f>
        <v/>
      </c>
      <c r="I831" s="69" t="str">
        <f>IF(ISNUMBER(deployment_raw[[#This Row],[Column6]]), (deployment_raw[[#This Row],[Column6]] * IF($E$2="Deployment",deployment_raw[[#This Row],[Column5]],1)),"")</f>
        <v/>
      </c>
      <c r="J831" s="79" t="str">
        <f>IF(ISNUMBER(deployment_raw[[#This Row],[Column19]]), IF(K831&lt;&gt;0,(deployment_raw[[#This Row],[Column19]]/IF(OR($E$2="Deployment",deployment_raw[[#This Row],[Column5]]=0),1,deployment_raw[[#This Row],[Column5]]))/K831,0),"")</f>
        <v/>
      </c>
      <c r="K831" s="72" t="str">
        <f>IF(ISNUMBER(deployment_raw[[#This Row],[Column8]]), (deployment_raw[[#This Row],[Column8]]  * IF($E$2="Deployment",deployment_raw[[#This Row],[Column5]],1)),"")</f>
        <v/>
      </c>
      <c r="L83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3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31" s="81" t="str">
        <f>IF(ISNUMBER(deployment_raw[[#This Row],[Column20]]), IF(O831&lt;&gt;0,deployment_raw[[#This Row],[Column20]]/IF(OR($E$2="Deployment",deployment_raw[[#This Row],[Column5]]=0),1,deployment_raw[[#This Row],[Column5]])/1048576/O831,0),"")</f>
        <v/>
      </c>
      <c r="O831" s="74" t="str">
        <f>IF(ISNUMBER(deployment_raw[[#This Row],[Column7]]), (deployment_raw[[#This Row],[Column7]] * IF($E$2="Deployment",deployment_raw[[#This Row],[Column5]],1))/1048576,"")</f>
        <v/>
      </c>
      <c r="P831" s="81" t="str">
        <f>IF(ISNUMBER(deployment_raw[[#This Row],[Column20]]), IF(Q831&lt;&gt;0,deployment_raw[[#This Row],[Column20]]/IF(OR($E$2="Deployment",deployment_raw[[#This Row],[Column5]]=0),1,deployment_raw[[#This Row],[Column5]])/1048576/Q831,0),"")</f>
        <v/>
      </c>
      <c r="Q831" s="76" t="str">
        <f>IF(ISNUMBER(deployment_raw[[#This Row],[Column9]]), (deployment_raw[[#This Row],[Column9]] * IF($E$2="Deployment",deployment_raw[[#This Row],[Column5]],1))/1048576,"")</f>
        <v/>
      </c>
      <c r="R831" s="57" t="str">
        <f>IF(ISNUMBER(deployment_raw[[#This Row],[Column10]]), (deployment_raw[[#This Row],[Column10]] * IF($E$2="Deployment",deployment_raw[[#This Row],[Column5]],1)),"")</f>
        <v/>
      </c>
      <c r="S831" s="48" t="str">
        <f>IF(ISNUMBER(deployment_raw[[#This Row],[Column11]]), (deployment_raw[[#This Row],[Column11]] * IF($E$2="Deployment",deployment_raw[[#This Row],[Column5]],1))/1048576,"")</f>
        <v/>
      </c>
      <c r="T831" s="59" t="str">
        <f>IF(ISNUMBER(deployment_raw[[#This Row],[Column8]]),IF(OR(deployment_raw[[#This Row],[Column5]] &lt;&gt; 0,$E$2 &lt;&gt; "Deployment"), MAX(V831, ($T$2 * IF($E$2="Deployment",deployment_raw[[#This Row],[Column5]],1))), 0),"")</f>
        <v/>
      </c>
      <c r="U831" s="50" t="str">
        <f>IF(ISNUMBER(deployment_raw[[#This Row],[Column9]]),IF(OR(deployment_raw[[#This Row],[Column5]] &lt;&gt; 0,$E$2&lt;&gt;"Deployment"), MAX(W831, ($U$2 * IF($E$2="Deployment",deployment_raw[[#This Row],[Column5]],1))), 0),"")</f>
        <v/>
      </c>
      <c r="V831" s="15" t="str">
        <f>IF(ISNUMBER(deployment_raw[[#This Row],[Column12]]), (deployment_raw[[#This Row],[Column12]] * IF($E$2="Deployment",deployment_raw[[#This Row],[Column5]],1)*(1+$V$2)),"")</f>
        <v/>
      </c>
      <c r="W831" s="14" t="str">
        <f>IF(ISNUMBER(deployment_raw[[#This Row],[Column13]]), (deployment_raw[[#This Row],[Column13]] * IF($E$2="Deployment",deployment_raw[[#This Row],[Column5]],1)*(1+$W$2))/1048576,"")</f>
        <v/>
      </c>
    </row>
    <row r="832" spans="1:23" ht="15.75" customHeight="1" x14ac:dyDescent="0.25">
      <c r="A832" s="5" t="str">
        <f>IF(ISNONTEXT(deployment_raw[[#This Row],[Column1]]), "", deployment_raw[[#This Row],[Column1]])</f>
        <v/>
      </c>
      <c r="B832" s="6" t="str">
        <f>IF(ISNONTEXT(deployment_raw[[#This Row],[Column2]]), "", deployment_raw[[#This Row],[Column2]])</f>
        <v/>
      </c>
      <c r="C832" s="6" t="str">
        <f>IF(ISNONTEXT(deployment_raw[[#This Row],[Column3]]), "", deployment_raw[[#This Row],[Column3]])</f>
        <v/>
      </c>
      <c r="D832" s="6" t="str">
        <f>IF(ISNONTEXT(deployment_raw[[#This Row],[Column4]]), "", deployment_raw[[#This Row],[Column4]])</f>
        <v/>
      </c>
      <c r="E832" s="7" t="str">
        <f>IF(ISNUMBER(deployment_raw[[#This Row],[Column5]]), deployment_raw[[#This Row],[Column5]],"")</f>
        <v/>
      </c>
      <c r="F832" s="32" t="str">
        <f>IF(ISNUMBER(deployment_raw[[#This Row],[Column17]]), deployment_raw[[#This Row],[Column17]]/IF(OR($E$2="Deployment",deployment_raw[[#This Row],[Column5]]=0),1,deployment_raw[[#This Row],[Column5]]),"")</f>
        <v/>
      </c>
      <c r="G832" s="42" t="str">
        <f>IF(ISNUMBER(deployment_raw[[#This Row],[Column14]]), deployment_raw[[#This Row],[Column14]]/IF(OR($E$2="Deployment",deployment_raw[[#This Row],[Column5]]=0),1,deployment_raw[[#This Row],[Column5]]),"")</f>
        <v/>
      </c>
      <c r="H832" s="79" t="str">
        <f>IF(ISNUMBER(deployment_raw[[#This Row],[Column19]]), IF(I832&lt;&gt;0,(deployment_raw[[#This Row],[Column19]]/IF(OR($E$2="Deployment",deployment_raw[[#This Row],[Column5]]=0),1,deployment_raw[[#This Row],[Column5]]))/I832,0),"")</f>
        <v/>
      </c>
      <c r="I832" s="69" t="str">
        <f>IF(ISNUMBER(deployment_raw[[#This Row],[Column6]]), (deployment_raw[[#This Row],[Column6]] * IF($E$2="Deployment",deployment_raw[[#This Row],[Column5]],1)),"")</f>
        <v/>
      </c>
      <c r="J832" s="79" t="str">
        <f>IF(ISNUMBER(deployment_raw[[#This Row],[Column19]]), IF(K832&lt;&gt;0,(deployment_raw[[#This Row],[Column19]]/IF(OR($E$2="Deployment",deployment_raw[[#This Row],[Column5]]=0),1,deployment_raw[[#This Row],[Column5]]))/K832,0),"")</f>
        <v/>
      </c>
      <c r="K832" s="72" t="str">
        <f>IF(ISNUMBER(deployment_raw[[#This Row],[Column8]]), (deployment_raw[[#This Row],[Column8]]  * IF($E$2="Deployment",deployment_raw[[#This Row],[Column5]],1)),"")</f>
        <v/>
      </c>
      <c r="L83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3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32" s="81" t="str">
        <f>IF(ISNUMBER(deployment_raw[[#This Row],[Column20]]), IF(O832&lt;&gt;0,deployment_raw[[#This Row],[Column20]]/IF(OR($E$2="Deployment",deployment_raw[[#This Row],[Column5]]=0),1,deployment_raw[[#This Row],[Column5]])/1048576/O832,0),"")</f>
        <v/>
      </c>
      <c r="O832" s="74" t="str">
        <f>IF(ISNUMBER(deployment_raw[[#This Row],[Column7]]), (deployment_raw[[#This Row],[Column7]] * IF($E$2="Deployment",deployment_raw[[#This Row],[Column5]],1))/1048576,"")</f>
        <v/>
      </c>
      <c r="P832" s="81" t="str">
        <f>IF(ISNUMBER(deployment_raw[[#This Row],[Column20]]), IF(Q832&lt;&gt;0,deployment_raw[[#This Row],[Column20]]/IF(OR($E$2="Deployment",deployment_raw[[#This Row],[Column5]]=0),1,deployment_raw[[#This Row],[Column5]])/1048576/Q832,0),"")</f>
        <v/>
      </c>
      <c r="Q832" s="76" t="str">
        <f>IF(ISNUMBER(deployment_raw[[#This Row],[Column9]]), (deployment_raw[[#This Row],[Column9]] * IF($E$2="Deployment",deployment_raw[[#This Row],[Column5]],1))/1048576,"")</f>
        <v/>
      </c>
      <c r="R832" s="57" t="str">
        <f>IF(ISNUMBER(deployment_raw[[#This Row],[Column10]]), (deployment_raw[[#This Row],[Column10]] * IF($E$2="Deployment",deployment_raw[[#This Row],[Column5]],1)),"")</f>
        <v/>
      </c>
      <c r="S832" s="48" t="str">
        <f>IF(ISNUMBER(deployment_raw[[#This Row],[Column11]]), (deployment_raw[[#This Row],[Column11]] * IF($E$2="Deployment",deployment_raw[[#This Row],[Column5]],1))/1048576,"")</f>
        <v/>
      </c>
      <c r="T832" s="59" t="str">
        <f>IF(ISNUMBER(deployment_raw[[#This Row],[Column8]]),IF(OR(deployment_raw[[#This Row],[Column5]] &lt;&gt; 0,$E$2 &lt;&gt; "Deployment"), MAX(V832, ($T$2 * IF($E$2="Deployment",deployment_raw[[#This Row],[Column5]],1))), 0),"")</f>
        <v/>
      </c>
      <c r="U832" s="50" t="str">
        <f>IF(ISNUMBER(deployment_raw[[#This Row],[Column9]]),IF(OR(deployment_raw[[#This Row],[Column5]] &lt;&gt; 0,$E$2&lt;&gt;"Deployment"), MAX(W832, ($U$2 * IF($E$2="Deployment",deployment_raw[[#This Row],[Column5]],1))), 0),"")</f>
        <v/>
      </c>
      <c r="V832" s="15" t="str">
        <f>IF(ISNUMBER(deployment_raw[[#This Row],[Column12]]), (deployment_raw[[#This Row],[Column12]] * IF($E$2="Deployment",deployment_raw[[#This Row],[Column5]],1)*(1+$V$2)),"")</f>
        <v/>
      </c>
      <c r="W832" s="14" t="str">
        <f>IF(ISNUMBER(deployment_raw[[#This Row],[Column13]]), (deployment_raw[[#This Row],[Column13]] * IF($E$2="Deployment",deployment_raw[[#This Row],[Column5]],1)*(1+$W$2))/1048576,"")</f>
        <v/>
      </c>
    </row>
    <row r="833" spans="1:23" ht="15.75" customHeight="1" x14ac:dyDescent="0.25">
      <c r="A833" s="5" t="str">
        <f>IF(ISNONTEXT(deployment_raw[[#This Row],[Column1]]), "", deployment_raw[[#This Row],[Column1]])</f>
        <v/>
      </c>
      <c r="B833" s="6" t="str">
        <f>IF(ISNONTEXT(deployment_raw[[#This Row],[Column2]]), "", deployment_raw[[#This Row],[Column2]])</f>
        <v/>
      </c>
      <c r="C833" s="6" t="str">
        <f>IF(ISNONTEXT(deployment_raw[[#This Row],[Column3]]), "", deployment_raw[[#This Row],[Column3]])</f>
        <v/>
      </c>
      <c r="D833" s="6" t="str">
        <f>IF(ISNONTEXT(deployment_raw[[#This Row],[Column4]]), "", deployment_raw[[#This Row],[Column4]])</f>
        <v/>
      </c>
      <c r="E833" s="7" t="str">
        <f>IF(ISNUMBER(deployment_raw[[#This Row],[Column5]]), deployment_raw[[#This Row],[Column5]],"")</f>
        <v/>
      </c>
      <c r="F833" s="32" t="str">
        <f>IF(ISNUMBER(deployment_raw[[#This Row],[Column17]]), deployment_raw[[#This Row],[Column17]]/IF(OR($E$2="Deployment",deployment_raw[[#This Row],[Column5]]=0),1,deployment_raw[[#This Row],[Column5]]),"")</f>
        <v/>
      </c>
      <c r="G833" s="42" t="str">
        <f>IF(ISNUMBER(deployment_raw[[#This Row],[Column14]]), deployment_raw[[#This Row],[Column14]]/IF(OR($E$2="Deployment",deployment_raw[[#This Row],[Column5]]=0),1,deployment_raw[[#This Row],[Column5]]),"")</f>
        <v/>
      </c>
      <c r="H833" s="79" t="str">
        <f>IF(ISNUMBER(deployment_raw[[#This Row],[Column19]]), IF(I833&lt;&gt;0,(deployment_raw[[#This Row],[Column19]]/IF(OR($E$2="Deployment",deployment_raw[[#This Row],[Column5]]=0),1,deployment_raw[[#This Row],[Column5]]))/I833,0),"")</f>
        <v/>
      </c>
      <c r="I833" s="69" t="str">
        <f>IF(ISNUMBER(deployment_raw[[#This Row],[Column6]]), (deployment_raw[[#This Row],[Column6]] * IF($E$2="Deployment",deployment_raw[[#This Row],[Column5]],1)),"")</f>
        <v/>
      </c>
      <c r="J833" s="79" t="str">
        <f>IF(ISNUMBER(deployment_raw[[#This Row],[Column19]]), IF(K833&lt;&gt;0,(deployment_raw[[#This Row],[Column19]]/IF(OR($E$2="Deployment",deployment_raw[[#This Row],[Column5]]=0),1,deployment_raw[[#This Row],[Column5]]))/K833,0),"")</f>
        <v/>
      </c>
      <c r="K833" s="72" t="str">
        <f>IF(ISNUMBER(deployment_raw[[#This Row],[Column8]]), (deployment_raw[[#This Row],[Column8]]  * IF($E$2="Deployment",deployment_raw[[#This Row],[Column5]],1)),"")</f>
        <v/>
      </c>
      <c r="L83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3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33" s="81" t="str">
        <f>IF(ISNUMBER(deployment_raw[[#This Row],[Column20]]), IF(O833&lt;&gt;0,deployment_raw[[#This Row],[Column20]]/IF(OR($E$2="Deployment",deployment_raw[[#This Row],[Column5]]=0),1,deployment_raw[[#This Row],[Column5]])/1048576/O833,0),"")</f>
        <v/>
      </c>
      <c r="O833" s="74" t="str">
        <f>IF(ISNUMBER(deployment_raw[[#This Row],[Column7]]), (deployment_raw[[#This Row],[Column7]] * IF($E$2="Deployment",deployment_raw[[#This Row],[Column5]],1))/1048576,"")</f>
        <v/>
      </c>
      <c r="P833" s="81" t="str">
        <f>IF(ISNUMBER(deployment_raw[[#This Row],[Column20]]), IF(Q833&lt;&gt;0,deployment_raw[[#This Row],[Column20]]/IF(OR($E$2="Deployment",deployment_raw[[#This Row],[Column5]]=0),1,deployment_raw[[#This Row],[Column5]])/1048576/Q833,0),"")</f>
        <v/>
      </c>
      <c r="Q833" s="76" t="str">
        <f>IF(ISNUMBER(deployment_raw[[#This Row],[Column9]]), (deployment_raw[[#This Row],[Column9]] * IF($E$2="Deployment",deployment_raw[[#This Row],[Column5]],1))/1048576,"")</f>
        <v/>
      </c>
      <c r="R833" s="57" t="str">
        <f>IF(ISNUMBER(deployment_raw[[#This Row],[Column10]]), (deployment_raw[[#This Row],[Column10]] * IF($E$2="Deployment",deployment_raw[[#This Row],[Column5]],1)),"")</f>
        <v/>
      </c>
      <c r="S833" s="48" t="str">
        <f>IF(ISNUMBER(deployment_raw[[#This Row],[Column11]]), (deployment_raw[[#This Row],[Column11]] * IF($E$2="Deployment",deployment_raw[[#This Row],[Column5]],1))/1048576,"")</f>
        <v/>
      </c>
      <c r="T833" s="59" t="str">
        <f>IF(ISNUMBER(deployment_raw[[#This Row],[Column8]]),IF(OR(deployment_raw[[#This Row],[Column5]] &lt;&gt; 0,$E$2 &lt;&gt; "Deployment"), MAX(V833, ($T$2 * IF($E$2="Deployment",deployment_raw[[#This Row],[Column5]],1))), 0),"")</f>
        <v/>
      </c>
      <c r="U833" s="50" t="str">
        <f>IF(ISNUMBER(deployment_raw[[#This Row],[Column9]]),IF(OR(deployment_raw[[#This Row],[Column5]] &lt;&gt; 0,$E$2&lt;&gt;"Deployment"), MAX(W833, ($U$2 * IF($E$2="Deployment",deployment_raw[[#This Row],[Column5]],1))), 0),"")</f>
        <v/>
      </c>
      <c r="V833" s="15" t="str">
        <f>IF(ISNUMBER(deployment_raw[[#This Row],[Column12]]), (deployment_raw[[#This Row],[Column12]] * IF($E$2="Deployment",deployment_raw[[#This Row],[Column5]],1)*(1+$V$2)),"")</f>
        <v/>
      </c>
      <c r="W833" s="14" t="str">
        <f>IF(ISNUMBER(deployment_raw[[#This Row],[Column13]]), (deployment_raw[[#This Row],[Column13]] * IF($E$2="Deployment",deployment_raw[[#This Row],[Column5]],1)*(1+$W$2))/1048576,"")</f>
        <v/>
      </c>
    </row>
    <row r="834" spans="1:23" ht="15.75" customHeight="1" x14ac:dyDescent="0.25">
      <c r="A834" s="5" t="str">
        <f>IF(ISNONTEXT(deployment_raw[[#This Row],[Column1]]), "", deployment_raw[[#This Row],[Column1]])</f>
        <v/>
      </c>
      <c r="B834" s="6" t="str">
        <f>IF(ISNONTEXT(deployment_raw[[#This Row],[Column2]]), "", deployment_raw[[#This Row],[Column2]])</f>
        <v/>
      </c>
      <c r="C834" s="6" t="str">
        <f>IF(ISNONTEXT(deployment_raw[[#This Row],[Column3]]), "", deployment_raw[[#This Row],[Column3]])</f>
        <v/>
      </c>
      <c r="D834" s="6" t="str">
        <f>IF(ISNONTEXT(deployment_raw[[#This Row],[Column4]]), "", deployment_raw[[#This Row],[Column4]])</f>
        <v/>
      </c>
      <c r="E834" s="7" t="str">
        <f>IF(ISNUMBER(deployment_raw[[#This Row],[Column5]]), deployment_raw[[#This Row],[Column5]],"")</f>
        <v/>
      </c>
      <c r="F834" s="32" t="str">
        <f>IF(ISNUMBER(deployment_raw[[#This Row],[Column17]]), deployment_raw[[#This Row],[Column17]]/IF(OR($E$2="Deployment",deployment_raw[[#This Row],[Column5]]=0),1,deployment_raw[[#This Row],[Column5]]),"")</f>
        <v/>
      </c>
      <c r="G834" s="42" t="str">
        <f>IF(ISNUMBER(deployment_raw[[#This Row],[Column14]]), deployment_raw[[#This Row],[Column14]]/IF(OR($E$2="Deployment",deployment_raw[[#This Row],[Column5]]=0),1,deployment_raw[[#This Row],[Column5]]),"")</f>
        <v/>
      </c>
      <c r="H834" s="79" t="str">
        <f>IF(ISNUMBER(deployment_raw[[#This Row],[Column19]]), IF(I834&lt;&gt;0,(deployment_raw[[#This Row],[Column19]]/IF(OR($E$2="Deployment",deployment_raw[[#This Row],[Column5]]=0),1,deployment_raw[[#This Row],[Column5]]))/I834,0),"")</f>
        <v/>
      </c>
      <c r="I834" s="69" t="str">
        <f>IF(ISNUMBER(deployment_raw[[#This Row],[Column6]]), (deployment_raw[[#This Row],[Column6]] * IF($E$2="Deployment",deployment_raw[[#This Row],[Column5]],1)),"")</f>
        <v/>
      </c>
      <c r="J834" s="79" t="str">
        <f>IF(ISNUMBER(deployment_raw[[#This Row],[Column19]]), IF(K834&lt;&gt;0,(deployment_raw[[#This Row],[Column19]]/IF(OR($E$2="Deployment",deployment_raw[[#This Row],[Column5]]=0),1,deployment_raw[[#This Row],[Column5]]))/K834,0),"")</f>
        <v/>
      </c>
      <c r="K834" s="72" t="str">
        <f>IF(ISNUMBER(deployment_raw[[#This Row],[Column8]]), (deployment_raw[[#This Row],[Column8]]  * IF($E$2="Deployment",deployment_raw[[#This Row],[Column5]],1)),"")</f>
        <v/>
      </c>
      <c r="L83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3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34" s="81" t="str">
        <f>IF(ISNUMBER(deployment_raw[[#This Row],[Column20]]), IF(O834&lt;&gt;0,deployment_raw[[#This Row],[Column20]]/IF(OR($E$2="Deployment",deployment_raw[[#This Row],[Column5]]=0),1,deployment_raw[[#This Row],[Column5]])/1048576/O834,0),"")</f>
        <v/>
      </c>
      <c r="O834" s="74" t="str">
        <f>IF(ISNUMBER(deployment_raw[[#This Row],[Column7]]), (deployment_raw[[#This Row],[Column7]] * IF($E$2="Deployment",deployment_raw[[#This Row],[Column5]],1))/1048576,"")</f>
        <v/>
      </c>
      <c r="P834" s="81" t="str">
        <f>IF(ISNUMBER(deployment_raw[[#This Row],[Column20]]), IF(Q834&lt;&gt;0,deployment_raw[[#This Row],[Column20]]/IF(OR($E$2="Deployment",deployment_raw[[#This Row],[Column5]]=0),1,deployment_raw[[#This Row],[Column5]])/1048576/Q834,0),"")</f>
        <v/>
      </c>
      <c r="Q834" s="76" t="str">
        <f>IF(ISNUMBER(deployment_raw[[#This Row],[Column9]]), (deployment_raw[[#This Row],[Column9]] * IF($E$2="Deployment",deployment_raw[[#This Row],[Column5]],1))/1048576,"")</f>
        <v/>
      </c>
      <c r="R834" s="57" t="str">
        <f>IF(ISNUMBER(deployment_raw[[#This Row],[Column10]]), (deployment_raw[[#This Row],[Column10]] * IF($E$2="Deployment",deployment_raw[[#This Row],[Column5]],1)),"")</f>
        <v/>
      </c>
      <c r="S834" s="48" t="str">
        <f>IF(ISNUMBER(deployment_raw[[#This Row],[Column11]]), (deployment_raw[[#This Row],[Column11]] * IF($E$2="Deployment",deployment_raw[[#This Row],[Column5]],1))/1048576,"")</f>
        <v/>
      </c>
      <c r="T834" s="59" t="str">
        <f>IF(ISNUMBER(deployment_raw[[#This Row],[Column8]]),IF(OR(deployment_raw[[#This Row],[Column5]] &lt;&gt; 0,$E$2 &lt;&gt; "Deployment"), MAX(V834, ($T$2 * IF($E$2="Deployment",deployment_raw[[#This Row],[Column5]],1))), 0),"")</f>
        <v/>
      </c>
      <c r="U834" s="50" t="str">
        <f>IF(ISNUMBER(deployment_raw[[#This Row],[Column9]]),IF(OR(deployment_raw[[#This Row],[Column5]] &lt;&gt; 0,$E$2&lt;&gt;"Deployment"), MAX(W834, ($U$2 * IF($E$2="Deployment",deployment_raw[[#This Row],[Column5]],1))), 0),"")</f>
        <v/>
      </c>
      <c r="V834" s="15" t="str">
        <f>IF(ISNUMBER(deployment_raw[[#This Row],[Column12]]), (deployment_raw[[#This Row],[Column12]] * IF($E$2="Deployment",deployment_raw[[#This Row],[Column5]],1)*(1+$V$2)),"")</f>
        <v/>
      </c>
      <c r="W834" s="14" t="str">
        <f>IF(ISNUMBER(deployment_raw[[#This Row],[Column13]]), (deployment_raw[[#This Row],[Column13]] * IF($E$2="Deployment",deployment_raw[[#This Row],[Column5]],1)*(1+$W$2))/1048576,"")</f>
        <v/>
      </c>
    </row>
    <row r="835" spans="1:23" ht="15.75" customHeight="1" x14ac:dyDescent="0.25">
      <c r="A835" s="5" t="str">
        <f>IF(ISNONTEXT(deployment_raw[[#This Row],[Column1]]), "", deployment_raw[[#This Row],[Column1]])</f>
        <v/>
      </c>
      <c r="B835" s="6" t="str">
        <f>IF(ISNONTEXT(deployment_raw[[#This Row],[Column2]]), "", deployment_raw[[#This Row],[Column2]])</f>
        <v/>
      </c>
      <c r="C835" s="6" t="str">
        <f>IF(ISNONTEXT(deployment_raw[[#This Row],[Column3]]), "", deployment_raw[[#This Row],[Column3]])</f>
        <v/>
      </c>
      <c r="D835" s="6" t="str">
        <f>IF(ISNONTEXT(deployment_raw[[#This Row],[Column4]]), "", deployment_raw[[#This Row],[Column4]])</f>
        <v/>
      </c>
      <c r="E835" s="7" t="str">
        <f>IF(ISNUMBER(deployment_raw[[#This Row],[Column5]]), deployment_raw[[#This Row],[Column5]],"")</f>
        <v/>
      </c>
      <c r="F835" s="32" t="str">
        <f>IF(ISNUMBER(deployment_raw[[#This Row],[Column17]]), deployment_raw[[#This Row],[Column17]]/IF(OR($E$2="Deployment",deployment_raw[[#This Row],[Column5]]=0),1,deployment_raw[[#This Row],[Column5]]),"")</f>
        <v/>
      </c>
      <c r="G835" s="42" t="str">
        <f>IF(ISNUMBER(deployment_raw[[#This Row],[Column14]]), deployment_raw[[#This Row],[Column14]]/IF(OR($E$2="Deployment",deployment_raw[[#This Row],[Column5]]=0),1,deployment_raw[[#This Row],[Column5]]),"")</f>
        <v/>
      </c>
      <c r="H835" s="79" t="str">
        <f>IF(ISNUMBER(deployment_raw[[#This Row],[Column19]]), IF(I835&lt;&gt;0,(deployment_raw[[#This Row],[Column19]]/IF(OR($E$2="Deployment",deployment_raw[[#This Row],[Column5]]=0),1,deployment_raw[[#This Row],[Column5]]))/I835,0),"")</f>
        <v/>
      </c>
      <c r="I835" s="69" t="str">
        <f>IF(ISNUMBER(deployment_raw[[#This Row],[Column6]]), (deployment_raw[[#This Row],[Column6]] * IF($E$2="Deployment",deployment_raw[[#This Row],[Column5]],1)),"")</f>
        <v/>
      </c>
      <c r="J835" s="79" t="str">
        <f>IF(ISNUMBER(deployment_raw[[#This Row],[Column19]]), IF(K835&lt;&gt;0,(deployment_raw[[#This Row],[Column19]]/IF(OR($E$2="Deployment",deployment_raw[[#This Row],[Column5]]=0),1,deployment_raw[[#This Row],[Column5]]))/K835,0),"")</f>
        <v/>
      </c>
      <c r="K835" s="72" t="str">
        <f>IF(ISNUMBER(deployment_raw[[#This Row],[Column8]]), (deployment_raw[[#This Row],[Column8]]  * IF($E$2="Deployment",deployment_raw[[#This Row],[Column5]],1)),"")</f>
        <v/>
      </c>
      <c r="L83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3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35" s="81" t="str">
        <f>IF(ISNUMBER(deployment_raw[[#This Row],[Column20]]), IF(O835&lt;&gt;0,deployment_raw[[#This Row],[Column20]]/IF(OR($E$2="Deployment",deployment_raw[[#This Row],[Column5]]=0),1,deployment_raw[[#This Row],[Column5]])/1048576/O835,0),"")</f>
        <v/>
      </c>
      <c r="O835" s="74" t="str">
        <f>IF(ISNUMBER(deployment_raw[[#This Row],[Column7]]), (deployment_raw[[#This Row],[Column7]] * IF($E$2="Deployment",deployment_raw[[#This Row],[Column5]],1))/1048576,"")</f>
        <v/>
      </c>
      <c r="P835" s="81" t="str">
        <f>IF(ISNUMBER(deployment_raw[[#This Row],[Column20]]), IF(Q835&lt;&gt;0,deployment_raw[[#This Row],[Column20]]/IF(OR($E$2="Deployment",deployment_raw[[#This Row],[Column5]]=0),1,deployment_raw[[#This Row],[Column5]])/1048576/Q835,0),"")</f>
        <v/>
      </c>
      <c r="Q835" s="76" t="str">
        <f>IF(ISNUMBER(deployment_raw[[#This Row],[Column9]]), (deployment_raw[[#This Row],[Column9]] * IF($E$2="Deployment",deployment_raw[[#This Row],[Column5]],1))/1048576,"")</f>
        <v/>
      </c>
      <c r="R835" s="57" t="str">
        <f>IF(ISNUMBER(deployment_raw[[#This Row],[Column10]]), (deployment_raw[[#This Row],[Column10]] * IF($E$2="Deployment",deployment_raw[[#This Row],[Column5]],1)),"")</f>
        <v/>
      </c>
      <c r="S835" s="48" t="str">
        <f>IF(ISNUMBER(deployment_raw[[#This Row],[Column11]]), (deployment_raw[[#This Row],[Column11]] * IF($E$2="Deployment",deployment_raw[[#This Row],[Column5]],1))/1048576,"")</f>
        <v/>
      </c>
      <c r="T835" s="59" t="str">
        <f>IF(ISNUMBER(deployment_raw[[#This Row],[Column8]]),IF(OR(deployment_raw[[#This Row],[Column5]] &lt;&gt; 0,$E$2 &lt;&gt; "Deployment"), MAX(V835, ($T$2 * IF($E$2="Deployment",deployment_raw[[#This Row],[Column5]],1))), 0),"")</f>
        <v/>
      </c>
      <c r="U835" s="50" t="str">
        <f>IF(ISNUMBER(deployment_raw[[#This Row],[Column9]]),IF(OR(deployment_raw[[#This Row],[Column5]] &lt;&gt; 0,$E$2&lt;&gt;"Deployment"), MAX(W835, ($U$2 * IF($E$2="Deployment",deployment_raw[[#This Row],[Column5]],1))), 0),"")</f>
        <v/>
      </c>
      <c r="V835" s="15" t="str">
        <f>IF(ISNUMBER(deployment_raw[[#This Row],[Column12]]), (deployment_raw[[#This Row],[Column12]] * IF($E$2="Deployment",deployment_raw[[#This Row],[Column5]],1)*(1+$V$2)),"")</f>
        <v/>
      </c>
      <c r="W835" s="14" t="str">
        <f>IF(ISNUMBER(deployment_raw[[#This Row],[Column13]]), (deployment_raw[[#This Row],[Column13]] * IF($E$2="Deployment",deployment_raw[[#This Row],[Column5]],1)*(1+$W$2))/1048576,"")</f>
        <v/>
      </c>
    </row>
    <row r="836" spans="1:23" ht="15.75" customHeight="1" x14ac:dyDescent="0.25">
      <c r="A836" s="5" t="str">
        <f>IF(ISNONTEXT(deployment_raw[[#This Row],[Column1]]), "", deployment_raw[[#This Row],[Column1]])</f>
        <v/>
      </c>
      <c r="B836" s="6" t="str">
        <f>IF(ISNONTEXT(deployment_raw[[#This Row],[Column2]]), "", deployment_raw[[#This Row],[Column2]])</f>
        <v/>
      </c>
      <c r="C836" s="6" t="str">
        <f>IF(ISNONTEXT(deployment_raw[[#This Row],[Column3]]), "", deployment_raw[[#This Row],[Column3]])</f>
        <v/>
      </c>
      <c r="D836" s="6" t="str">
        <f>IF(ISNONTEXT(deployment_raw[[#This Row],[Column4]]), "", deployment_raw[[#This Row],[Column4]])</f>
        <v/>
      </c>
      <c r="E836" s="7" t="str">
        <f>IF(ISNUMBER(deployment_raw[[#This Row],[Column5]]), deployment_raw[[#This Row],[Column5]],"")</f>
        <v/>
      </c>
      <c r="F836" s="32" t="str">
        <f>IF(ISNUMBER(deployment_raw[[#This Row],[Column17]]), deployment_raw[[#This Row],[Column17]]/IF(OR($E$2="Deployment",deployment_raw[[#This Row],[Column5]]=0),1,deployment_raw[[#This Row],[Column5]]),"")</f>
        <v/>
      </c>
      <c r="G836" s="42" t="str">
        <f>IF(ISNUMBER(deployment_raw[[#This Row],[Column14]]), deployment_raw[[#This Row],[Column14]]/IF(OR($E$2="Deployment",deployment_raw[[#This Row],[Column5]]=0),1,deployment_raw[[#This Row],[Column5]]),"")</f>
        <v/>
      </c>
      <c r="H836" s="79" t="str">
        <f>IF(ISNUMBER(deployment_raw[[#This Row],[Column19]]), IF(I836&lt;&gt;0,(deployment_raw[[#This Row],[Column19]]/IF(OR($E$2="Deployment",deployment_raw[[#This Row],[Column5]]=0),1,deployment_raw[[#This Row],[Column5]]))/I836,0),"")</f>
        <v/>
      </c>
      <c r="I836" s="69" t="str">
        <f>IF(ISNUMBER(deployment_raw[[#This Row],[Column6]]), (deployment_raw[[#This Row],[Column6]] * IF($E$2="Deployment",deployment_raw[[#This Row],[Column5]],1)),"")</f>
        <v/>
      </c>
      <c r="J836" s="79" t="str">
        <f>IF(ISNUMBER(deployment_raw[[#This Row],[Column19]]), IF(K836&lt;&gt;0,(deployment_raw[[#This Row],[Column19]]/IF(OR($E$2="Deployment",deployment_raw[[#This Row],[Column5]]=0),1,deployment_raw[[#This Row],[Column5]]))/K836,0),"")</f>
        <v/>
      </c>
      <c r="K836" s="72" t="str">
        <f>IF(ISNUMBER(deployment_raw[[#This Row],[Column8]]), (deployment_raw[[#This Row],[Column8]]  * IF($E$2="Deployment",deployment_raw[[#This Row],[Column5]],1)),"")</f>
        <v/>
      </c>
      <c r="L83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3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36" s="81" t="str">
        <f>IF(ISNUMBER(deployment_raw[[#This Row],[Column20]]), IF(O836&lt;&gt;0,deployment_raw[[#This Row],[Column20]]/IF(OR($E$2="Deployment",deployment_raw[[#This Row],[Column5]]=0),1,deployment_raw[[#This Row],[Column5]])/1048576/O836,0),"")</f>
        <v/>
      </c>
      <c r="O836" s="74" t="str">
        <f>IF(ISNUMBER(deployment_raw[[#This Row],[Column7]]), (deployment_raw[[#This Row],[Column7]] * IF($E$2="Deployment",deployment_raw[[#This Row],[Column5]],1))/1048576,"")</f>
        <v/>
      </c>
      <c r="P836" s="81" t="str">
        <f>IF(ISNUMBER(deployment_raw[[#This Row],[Column20]]), IF(Q836&lt;&gt;0,deployment_raw[[#This Row],[Column20]]/IF(OR($E$2="Deployment",deployment_raw[[#This Row],[Column5]]=0),1,deployment_raw[[#This Row],[Column5]])/1048576/Q836,0),"")</f>
        <v/>
      </c>
      <c r="Q836" s="76" t="str">
        <f>IF(ISNUMBER(deployment_raw[[#This Row],[Column9]]), (deployment_raw[[#This Row],[Column9]] * IF($E$2="Deployment",deployment_raw[[#This Row],[Column5]],1))/1048576,"")</f>
        <v/>
      </c>
      <c r="R836" s="57" t="str">
        <f>IF(ISNUMBER(deployment_raw[[#This Row],[Column10]]), (deployment_raw[[#This Row],[Column10]] * IF($E$2="Deployment",deployment_raw[[#This Row],[Column5]],1)),"")</f>
        <v/>
      </c>
      <c r="S836" s="48" t="str">
        <f>IF(ISNUMBER(deployment_raw[[#This Row],[Column11]]), (deployment_raw[[#This Row],[Column11]] * IF($E$2="Deployment",deployment_raw[[#This Row],[Column5]],1))/1048576,"")</f>
        <v/>
      </c>
      <c r="T836" s="59" t="str">
        <f>IF(ISNUMBER(deployment_raw[[#This Row],[Column8]]),IF(OR(deployment_raw[[#This Row],[Column5]] &lt;&gt; 0,$E$2 &lt;&gt; "Deployment"), MAX(V836, ($T$2 * IF($E$2="Deployment",deployment_raw[[#This Row],[Column5]],1))), 0),"")</f>
        <v/>
      </c>
      <c r="U836" s="50" t="str">
        <f>IF(ISNUMBER(deployment_raw[[#This Row],[Column9]]),IF(OR(deployment_raw[[#This Row],[Column5]] &lt;&gt; 0,$E$2&lt;&gt;"Deployment"), MAX(W836, ($U$2 * IF($E$2="Deployment",deployment_raw[[#This Row],[Column5]],1))), 0),"")</f>
        <v/>
      </c>
      <c r="V836" s="15" t="str">
        <f>IF(ISNUMBER(deployment_raw[[#This Row],[Column12]]), (deployment_raw[[#This Row],[Column12]] * IF($E$2="Deployment",deployment_raw[[#This Row],[Column5]],1)*(1+$V$2)),"")</f>
        <v/>
      </c>
      <c r="W836" s="14" t="str">
        <f>IF(ISNUMBER(deployment_raw[[#This Row],[Column13]]), (deployment_raw[[#This Row],[Column13]] * IF($E$2="Deployment",deployment_raw[[#This Row],[Column5]],1)*(1+$W$2))/1048576,"")</f>
        <v/>
      </c>
    </row>
    <row r="837" spans="1:23" ht="15.75" customHeight="1" x14ac:dyDescent="0.25">
      <c r="A837" s="5" t="str">
        <f>IF(ISNONTEXT(deployment_raw[[#This Row],[Column1]]), "", deployment_raw[[#This Row],[Column1]])</f>
        <v/>
      </c>
      <c r="B837" s="6" t="str">
        <f>IF(ISNONTEXT(deployment_raw[[#This Row],[Column2]]), "", deployment_raw[[#This Row],[Column2]])</f>
        <v/>
      </c>
      <c r="C837" s="6" t="str">
        <f>IF(ISNONTEXT(deployment_raw[[#This Row],[Column3]]), "", deployment_raw[[#This Row],[Column3]])</f>
        <v/>
      </c>
      <c r="D837" s="6" t="str">
        <f>IF(ISNONTEXT(deployment_raw[[#This Row],[Column4]]), "", deployment_raw[[#This Row],[Column4]])</f>
        <v/>
      </c>
      <c r="E837" s="7" t="str">
        <f>IF(ISNUMBER(deployment_raw[[#This Row],[Column5]]), deployment_raw[[#This Row],[Column5]],"")</f>
        <v/>
      </c>
      <c r="F837" s="32" t="str">
        <f>IF(ISNUMBER(deployment_raw[[#This Row],[Column17]]), deployment_raw[[#This Row],[Column17]]/IF(OR($E$2="Deployment",deployment_raw[[#This Row],[Column5]]=0),1,deployment_raw[[#This Row],[Column5]]),"")</f>
        <v/>
      </c>
      <c r="G837" s="42" t="str">
        <f>IF(ISNUMBER(deployment_raw[[#This Row],[Column14]]), deployment_raw[[#This Row],[Column14]]/IF(OR($E$2="Deployment",deployment_raw[[#This Row],[Column5]]=0),1,deployment_raw[[#This Row],[Column5]]),"")</f>
        <v/>
      </c>
      <c r="H837" s="79" t="str">
        <f>IF(ISNUMBER(deployment_raw[[#This Row],[Column19]]), IF(I837&lt;&gt;0,(deployment_raw[[#This Row],[Column19]]/IF(OR($E$2="Deployment",deployment_raw[[#This Row],[Column5]]=0),1,deployment_raw[[#This Row],[Column5]]))/I837,0),"")</f>
        <v/>
      </c>
      <c r="I837" s="69" t="str">
        <f>IF(ISNUMBER(deployment_raw[[#This Row],[Column6]]), (deployment_raw[[#This Row],[Column6]] * IF($E$2="Deployment",deployment_raw[[#This Row],[Column5]],1)),"")</f>
        <v/>
      </c>
      <c r="J837" s="79" t="str">
        <f>IF(ISNUMBER(deployment_raw[[#This Row],[Column19]]), IF(K837&lt;&gt;0,(deployment_raw[[#This Row],[Column19]]/IF(OR($E$2="Deployment",deployment_raw[[#This Row],[Column5]]=0),1,deployment_raw[[#This Row],[Column5]]))/K837,0),"")</f>
        <v/>
      </c>
      <c r="K837" s="72" t="str">
        <f>IF(ISNUMBER(deployment_raw[[#This Row],[Column8]]), (deployment_raw[[#This Row],[Column8]]  * IF($E$2="Deployment",deployment_raw[[#This Row],[Column5]],1)),"")</f>
        <v/>
      </c>
      <c r="L83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3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37" s="81" t="str">
        <f>IF(ISNUMBER(deployment_raw[[#This Row],[Column20]]), IF(O837&lt;&gt;0,deployment_raw[[#This Row],[Column20]]/IF(OR($E$2="Deployment",deployment_raw[[#This Row],[Column5]]=0),1,deployment_raw[[#This Row],[Column5]])/1048576/O837,0),"")</f>
        <v/>
      </c>
      <c r="O837" s="74" t="str">
        <f>IF(ISNUMBER(deployment_raw[[#This Row],[Column7]]), (deployment_raw[[#This Row],[Column7]] * IF($E$2="Deployment",deployment_raw[[#This Row],[Column5]],1))/1048576,"")</f>
        <v/>
      </c>
      <c r="P837" s="81" t="str">
        <f>IF(ISNUMBER(deployment_raw[[#This Row],[Column20]]), IF(Q837&lt;&gt;0,deployment_raw[[#This Row],[Column20]]/IF(OR($E$2="Deployment",deployment_raw[[#This Row],[Column5]]=0),1,deployment_raw[[#This Row],[Column5]])/1048576/Q837,0),"")</f>
        <v/>
      </c>
      <c r="Q837" s="76" t="str">
        <f>IF(ISNUMBER(deployment_raw[[#This Row],[Column9]]), (deployment_raw[[#This Row],[Column9]] * IF($E$2="Deployment",deployment_raw[[#This Row],[Column5]],1))/1048576,"")</f>
        <v/>
      </c>
      <c r="R837" s="57" t="str">
        <f>IF(ISNUMBER(deployment_raw[[#This Row],[Column10]]), (deployment_raw[[#This Row],[Column10]] * IF($E$2="Deployment",deployment_raw[[#This Row],[Column5]],1)),"")</f>
        <v/>
      </c>
      <c r="S837" s="48" t="str">
        <f>IF(ISNUMBER(deployment_raw[[#This Row],[Column11]]), (deployment_raw[[#This Row],[Column11]] * IF($E$2="Deployment",deployment_raw[[#This Row],[Column5]],1))/1048576,"")</f>
        <v/>
      </c>
      <c r="T837" s="59" t="str">
        <f>IF(ISNUMBER(deployment_raw[[#This Row],[Column8]]),IF(OR(deployment_raw[[#This Row],[Column5]] &lt;&gt; 0,$E$2 &lt;&gt; "Deployment"), MAX(V837, ($T$2 * IF($E$2="Deployment",deployment_raw[[#This Row],[Column5]],1))), 0),"")</f>
        <v/>
      </c>
      <c r="U837" s="50" t="str">
        <f>IF(ISNUMBER(deployment_raw[[#This Row],[Column9]]),IF(OR(deployment_raw[[#This Row],[Column5]] &lt;&gt; 0,$E$2&lt;&gt;"Deployment"), MAX(W837, ($U$2 * IF($E$2="Deployment",deployment_raw[[#This Row],[Column5]],1))), 0),"")</f>
        <v/>
      </c>
      <c r="V837" s="15" t="str">
        <f>IF(ISNUMBER(deployment_raw[[#This Row],[Column12]]), (deployment_raw[[#This Row],[Column12]] * IF($E$2="Deployment",deployment_raw[[#This Row],[Column5]],1)*(1+$V$2)),"")</f>
        <v/>
      </c>
      <c r="W837" s="14" t="str">
        <f>IF(ISNUMBER(deployment_raw[[#This Row],[Column13]]), (deployment_raw[[#This Row],[Column13]] * IF($E$2="Deployment",deployment_raw[[#This Row],[Column5]],1)*(1+$W$2))/1048576,"")</f>
        <v/>
      </c>
    </row>
    <row r="838" spans="1:23" ht="15.75" customHeight="1" x14ac:dyDescent="0.25">
      <c r="A838" s="5" t="str">
        <f>IF(ISNONTEXT(deployment_raw[[#This Row],[Column1]]), "", deployment_raw[[#This Row],[Column1]])</f>
        <v/>
      </c>
      <c r="B838" s="6" t="str">
        <f>IF(ISNONTEXT(deployment_raw[[#This Row],[Column2]]), "", deployment_raw[[#This Row],[Column2]])</f>
        <v/>
      </c>
      <c r="C838" s="6" t="str">
        <f>IF(ISNONTEXT(deployment_raw[[#This Row],[Column3]]), "", deployment_raw[[#This Row],[Column3]])</f>
        <v/>
      </c>
      <c r="D838" s="6" t="str">
        <f>IF(ISNONTEXT(deployment_raw[[#This Row],[Column4]]), "", deployment_raw[[#This Row],[Column4]])</f>
        <v/>
      </c>
      <c r="E838" s="7" t="str">
        <f>IF(ISNUMBER(deployment_raw[[#This Row],[Column5]]), deployment_raw[[#This Row],[Column5]],"")</f>
        <v/>
      </c>
      <c r="F838" s="32" t="str">
        <f>IF(ISNUMBER(deployment_raw[[#This Row],[Column17]]), deployment_raw[[#This Row],[Column17]]/IF(OR($E$2="Deployment",deployment_raw[[#This Row],[Column5]]=0),1,deployment_raw[[#This Row],[Column5]]),"")</f>
        <v/>
      </c>
      <c r="G838" s="42" t="str">
        <f>IF(ISNUMBER(deployment_raw[[#This Row],[Column14]]), deployment_raw[[#This Row],[Column14]]/IF(OR($E$2="Deployment",deployment_raw[[#This Row],[Column5]]=0),1,deployment_raw[[#This Row],[Column5]]),"")</f>
        <v/>
      </c>
      <c r="H838" s="79" t="str">
        <f>IF(ISNUMBER(deployment_raw[[#This Row],[Column19]]), IF(I838&lt;&gt;0,(deployment_raw[[#This Row],[Column19]]/IF(OR($E$2="Deployment",deployment_raw[[#This Row],[Column5]]=0),1,deployment_raw[[#This Row],[Column5]]))/I838,0),"")</f>
        <v/>
      </c>
      <c r="I838" s="69" t="str">
        <f>IF(ISNUMBER(deployment_raw[[#This Row],[Column6]]), (deployment_raw[[#This Row],[Column6]] * IF($E$2="Deployment",deployment_raw[[#This Row],[Column5]],1)),"")</f>
        <v/>
      </c>
      <c r="J838" s="79" t="str">
        <f>IF(ISNUMBER(deployment_raw[[#This Row],[Column19]]), IF(K838&lt;&gt;0,(deployment_raw[[#This Row],[Column19]]/IF(OR($E$2="Deployment",deployment_raw[[#This Row],[Column5]]=0),1,deployment_raw[[#This Row],[Column5]]))/K838,0),"")</f>
        <v/>
      </c>
      <c r="K838" s="72" t="str">
        <f>IF(ISNUMBER(deployment_raw[[#This Row],[Column8]]), (deployment_raw[[#This Row],[Column8]]  * IF($E$2="Deployment",deployment_raw[[#This Row],[Column5]],1)),"")</f>
        <v/>
      </c>
      <c r="L83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3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38" s="81" t="str">
        <f>IF(ISNUMBER(deployment_raw[[#This Row],[Column20]]), IF(O838&lt;&gt;0,deployment_raw[[#This Row],[Column20]]/IF(OR($E$2="Deployment",deployment_raw[[#This Row],[Column5]]=0),1,deployment_raw[[#This Row],[Column5]])/1048576/O838,0),"")</f>
        <v/>
      </c>
      <c r="O838" s="74" t="str">
        <f>IF(ISNUMBER(deployment_raw[[#This Row],[Column7]]), (deployment_raw[[#This Row],[Column7]] * IF($E$2="Deployment",deployment_raw[[#This Row],[Column5]],1))/1048576,"")</f>
        <v/>
      </c>
      <c r="P838" s="81" t="str">
        <f>IF(ISNUMBER(deployment_raw[[#This Row],[Column20]]), IF(Q838&lt;&gt;0,deployment_raw[[#This Row],[Column20]]/IF(OR($E$2="Deployment",deployment_raw[[#This Row],[Column5]]=0),1,deployment_raw[[#This Row],[Column5]])/1048576/Q838,0),"")</f>
        <v/>
      </c>
      <c r="Q838" s="76" t="str">
        <f>IF(ISNUMBER(deployment_raw[[#This Row],[Column9]]), (deployment_raw[[#This Row],[Column9]] * IF($E$2="Deployment",deployment_raw[[#This Row],[Column5]],1))/1048576,"")</f>
        <v/>
      </c>
      <c r="R838" s="57" t="str">
        <f>IF(ISNUMBER(deployment_raw[[#This Row],[Column10]]), (deployment_raw[[#This Row],[Column10]] * IF($E$2="Deployment",deployment_raw[[#This Row],[Column5]],1)),"")</f>
        <v/>
      </c>
      <c r="S838" s="48" t="str">
        <f>IF(ISNUMBER(deployment_raw[[#This Row],[Column11]]), (deployment_raw[[#This Row],[Column11]] * IF($E$2="Deployment",deployment_raw[[#This Row],[Column5]],1))/1048576,"")</f>
        <v/>
      </c>
      <c r="T838" s="59" t="str">
        <f>IF(ISNUMBER(deployment_raw[[#This Row],[Column8]]),IF(OR(deployment_raw[[#This Row],[Column5]] &lt;&gt; 0,$E$2 &lt;&gt; "Deployment"), MAX(V838, ($T$2 * IF($E$2="Deployment",deployment_raw[[#This Row],[Column5]],1))), 0),"")</f>
        <v/>
      </c>
      <c r="U838" s="50" t="str">
        <f>IF(ISNUMBER(deployment_raw[[#This Row],[Column9]]),IF(OR(deployment_raw[[#This Row],[Column5]] &lt;&gt; 0,$E$2&lt;&gt;"Deployment"), MAX(W838, ($U$2 * IF($E$2="Deployment",deployment_raw[[#This Row],[Column5]],1))), 0),"")</f>
        <v/>
      </c>
      <c r="V838" s="15" t="str">
        <f>IF(ISNUMBER(deployment_raw[[#This Row],[Column12]]), (deployment_raw[[#This Row],[Column12]] * IF($E$2="Deployment",deployment_raw[[#This Row],[Column5]],1)*(1+$V$2)),"")</f>
        <v/>
      </c>
      <c r="W838" s="14" t="str">
        <f>IF(ISNUMBER(deployment_raw[[#This Row],[Column13]]), (deployment_raw[[#This Row],[Column13]] * IF($E$2="Deployment",deployment_raw[[#This Row],[Column5]],1)*(1+$W$2))/1048576,"")</f>
        <v/>
      </c>
    </row>
    <row r="839" spans="1:23" ht="15.75" customHeight="1" x14ac:dyDescent="0.25">
      <c r="A839" s="5" t="str">
        <f>IF(ISNONTEXT(deployment_raw[[#This Row],[Column1]]), "", deployment_raw[[#This Row],[Column1]])</f>
        <v/>
      </c>
      <c r="B839" s="6" t="str">
        <f>IF(ISNONTEXT(deployment_raw[[#This Row],[Column2]]), "", deployment_raw[[#This Row],[Column2]])</f>
        <v/>
      </c>
      <c r="C839" s="6" t="str">
        <f>IF(ISNONTEXT(deployment_raw[[#This Row],[Column3]]), "", deployment_raw[[#This Row],[Column3]])</f>
        <v/>
      </c>
      <c r="D839" s="6" t="str">
        <f>IF(ISNONTEXT(deployment_raw[[#This Row],[Column4]]), "", deployment_raw[[#This Row],[Column4]])</f>
        <v/>
      </c>
      <c r="E839" s="7" t="str">
        <f>IF(ISNUMBER(deployment_raw[[#This Row],[Column5]]), deployment_raw[[#This Row],[Column5]],"")</f>
        <v/>
      </c>
      <c r="F839" s="32" t="str">
        <f>IF(ISNUMBER(deployment_raw[[#This Row],[Column17]]), deployment_raw[[#This Row],[Column17]]/IF(OR($E$2="Deployment",deployment_raw[[#This Row],[Column5]]=0),1,deployment_raw[[#This Row],[Column5]]),"")</f>
        <v/>
      </c>
      <c r="G839" s="42" t="str">
        <f>IF(ISNUMBER(deployment_raw[[#This Row],[Column14]]), deployment_raw[[#This Row],[Column14]]/IF(OR($E$2="Deployment",deployment_raw[[#This Row],[Column5]]=0),1,deployment_raw[[#This Row],[Column5]]),"")</f>
        <v/>
      </c>
      <c r="H839" s="79" t="str">
        <f>IF(ISNUMBER(deployment_raw[[#This Row],[Column19]]), IF(I839&lt;&gt;0,(deployment_raw[[#This Row],[Column19]]/IF(OR($E$2="Deployment",deployment_raw[[#This Row],[Column5]]=0),1,deployment_raw[[#This Row],[Column5]]))/I839,0),"")</f>
        <v/>
      </c>
      <c r="I839" s="69" t="str">
        <f>IF(ISNUMBER(deployment_raw[[#This Row],[Column6]]), (deployment_raw[[#This Row],[Column6]] * IF($E$2="Deployment",deployment_raw[[#This Row],[Column5]],1)),"")</f>
        <v/>
      </c>
      <c r="J839" s="79" t="str">
        <f>IF(ISNUMBER(deployment_raw[[#This Row],[Column19]]), IF(K839&lt;&gt;0,(deployment_raw[[#This Row],[Column19]]/IF(OR($E$2="Deployment",deployment_raw[[#This Row],[Column5]]=0),1,deployment_raw[[#This Row],[Column5]]))/K839,0),"")</f>
        <v/>
      </c>
      <c r="K839" s="72" t="str">
        <f>IF(ISNUMBER(deployment_raw[[#This Row],[Column8]]), (deployment_raw[[#This Row],[Column8]]  * IF($E$2="Deployment",deployment_raw[[#This Row],[Column5]],1)),"")</f>
        <v/>
      </c>
      <c r="L83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3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39" s="81" t="str">
        <f>IF(ISNUMBER(deployment_raw[[#This Row],[Column20]]), IF(O839&lt;&gt;0,deployment_raw[[#This Row],[Column20]]/IF(OR($E$2="Deployment",deployment_raw[[#This Row],[Column5]]=0),1,deployment_raw[[#This Row],[Column5]])/1048576/O839,0),"")</f>
        <v/>
      </c>
      <c r="O839" s="74" t="str">
        <f>IF(ISNUMBER(deployment_raw[[#This Row],[Column7]]), (deployment_raw[[#This Row],[Column7]] * IF($E$2="Deployment",deployment_raw[[#This Row],[Column5]],1))/1048576,"")</f>
        <v/>
      </c>
      <c r="P839" s="81" t="str">
        <f>IF(ISNUMBER(deployment_raw[[#This Row],[Column20]]), IF(Q839&lt;&gt;0,deployment_raw[[#This Row],[Column20]]/IF(OR($E$2="Deployment",deployment_raw[[#This Row],[Column5]]=0),1,deployment_raw[[#This Row],[Column5]])/1048576/Q839,0),"")</f>
        <v/>
      </c>
      <c r="Q839" s="76" t="str">
        <f>IF(ISNUMBER(deployment_raw[[#This Row],[Column9]]), (deployment_raw[[#This Row],[Column9]] * IF($E$2="Deployment",deployment_raw[[#This Row],[Column5]],1))/1048576,"")</f>
        <v/>
      </c>
      <c r="R839" s="57" t="str">
        <f>IF(ISNUMBER(deployment_raw[[#This Row],[Column10]]), (deployment_raw[[#This Row],[Column10]] * IF($E$2="Deployment",deployment_raw[[#This Row],[Column5]],1)),"")</f>
        <v/>
      </c>
      <c r="S839" s="48" t="str">
        <f>IF(ISNUMBER(deployment_raw[[#This Row],[Column11]]), (deployment_raw[[#This Row],[Column11]] * IF($E$2="Deployment",deployment_raw[[#This Row],[Column5]],1))/1048576,"")</f>
        <v/>
      </c>
      <c r="T839" s="59" t="str">
        <f>IF(ISNUMBER(deployment_raw[[#This Row],[Column8]]),IF(OR(deployment_raw[[#This Row],[Column5]] &lt;&gt; 0,$E$2 &lt;&gt; "Deployment"), MAX(V839, ($T$2 * IF($E$2="Deployment",deployment_raw[[#This Row],[Column5]],1))), 0),"")</f>
        <v/>
      </c>
      <c r="U839" s="50" t="str">
        <f>IF(ISNUMBER(deployment_raw[[#This Row],[Column9]]),IF(OR(deployment_raw[[#This Row],[Column5]] &lt;&gt; 0,$E$2&lt;&gt;"Deployment"), MAX(W839, ($U$2 * IF($E$2="Deployment",deployment_raw[[#This Row],[Column5]],1))), 0),"")</f>
        <v/>
      </c>
      <c r="V839" s="15" t="str">
        <f>IF(ISNUMBER(deployment_raw[[#This Row],[Column12]]), (deployment_raw[[#This Row],[Column12]] * IF($E$2="Deployment",deployment_raw[[#This Row],[Column5]],1)*(1+$V$2)),"")</f>
        <v/>
      </c>
      <c r="W839" s="14" t="str">
        <f>IF(ISNUMBER(deployment_raw[[#This Row],[Column13]]), (deployment_raw[[#This Row],[Column13]] * IF($E$2="Deployment",deployment_raw[[#This Row],[Column5]],1)*(1+$W$2))/1048576,"")</f>
        <v/>
      </c>
    </row>
    <row r="840" spans="1:23" ht="15.75" customHeight="1" x14ac:dyDescent="0.25">
      <c r="A840" s="5" t="str">
        <f>IF(ISNONTEXT(deployment_raw[[#This Row],[Column1]]), "", deployment_raw[[#This Row],[Column1]])</f>
        <v/>
      </c>
      <c r="B840" s="6" t="str">
        <f>IF(ISNONTEXT(deployment_raw[[#This Row],[Column2]]), "", deployment_raw[[#This Row],[Column2]])</f>
        <v/>
      </c>
      <c r="C840" s="6" t="str">
        <f>IF(ISNONTEXT(deployment_raw[[#This Row],[Column3]]), "", deployment_raw[[#This Row],[Column3]])</f>
        <v/>
      </c>
      <c r="D840" s="6" t="str">
        <f>IF(ISNONTEXT(deployment_raw[[#This Row],[Column4]]), "", deployment_raw[[#This Row],[Column4]])</f>
        <v/>
      </c>
      <c r="E840" s="7" t="str">
        <f>IF(ISNUMBER(deployment_raw[[#This Row],[Column5]]), deployment_raw[[#This Row],[Column5]],"")</f>
        <v/>
      </c>
      <c r="F840" s="32" t="str">
        <f>IF(ISNUMBER(deployment_raw[[#This Row],[Column17]]), deployment_raw[[#This Row],[Column17]]/IF(OR($E$2="Deployment",deployment_raw[[#This Row],[Column5]]=0),1,deployment_raw[[#This Row],[Column5]]),"")</f>
        <v/>
      </c>
      <c r="G840" s="42" t="str">
        <f>IF(ISNUMBER(deployment_raw[[#This Row],[Column14]]), deployment_raw[[#This Row],[Column14]]/IF(OR($E$2="Deployment",deployment_raw[[#This Row],[Column5]]=0),1,deployment_raw[[#This Row],[Column5]]),"")</f>
        <v/>
      </c>
      <c r="H840" s="79" t="str">
        <f>IF(ISNUMBER(deployment_raw[[#This Row],[Column19]]), IF(I840&lt;&gt;0,(deployment_raw[[#This Row],[Column19]]/IF(OR($E$2="Deployment",deployment_raw[[#This Row],[Column5]]=0),1,deployment_raw[[#This Row],[Column5]]))/I840,0),"")</f>
        <v/>
      </c>
      <c r="I840" s="69" t="str">
        <f>IF(ISNUMBER(deployment_raw[[#This Row],[Column6]]), (deployment_raw[[#This Row],[Column6]] * IF($E$2="Deployment",deployment_raw[[#This Row],[Column5]],1)),"")</f>
        <v/>
      </c>
      <c r="J840" s="79" t="str">
        <f>IF(ISNUMBER(deployment_raw[[#This Row],[Column19]]), IF(K840&lt;&gt;0,(deployment_raw[[#This Row],[Column19]]/IF(OR($E$2="Deployment",deployment_raw[[#This Row],[Column5]]=0),1,deployment_raw[[#This Row],[Column5]]))/K840,0),"")</f>
        <v/>
      </c>
      <c r="K840" s="72" t="str">
        <f>IF(ISNUMBER(deployment_raw[[#This Row],[Column8]]), (deployment_raw[[#This Row],[Column8]]  * IF($E$2="Deployment",deployment_raw[[#This Row],[Column5]],1)),"")</f>
        <v/>
      </c>
      <c r="L84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4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40" s="81" t="str">
        <f>IF(ISNUMBER(deployment_raw[[#This Row],[Column20]]), IF(O840&lt;&gt;0,deployment_raw[[#This Row],[Column20]]/IF(OR($E$2="Deployment",deployment_raw[[#This Row],[Column5]]=0),1,deployment_raw[[#This Row],[Column5]])/1048576/O840,0),"")</f>
        <v/>
      </c>
      <c r="O840" s="74" t="str">
        <f>IF(ISNUMBER(deployment_raw[[#This Row],[Column7]]), (deployment_raw[[#This Row],[Column7]] * IF($E$2="Deployment",deployment_raw[[#This Row],[Column5]],1))/1048576,"")</f>
        <v/>
      </c>
      <c r="P840" s="81" t="str">
        <f>IF(ISNUMBER(deployment_raw[[#This Row],[Column20]]), IF(Q840&lt;&gt;0,deployment_raw[[#This Row],[Column20]]/IF(OR($E$2="Deployment",deployment_raw[[#This Row],[Column5]]=0),1,deployment_raw[[#This Row],[Column5]])/1048576/Q840,0),"")</f>
        <v/>
      </c>
      <c r="Q840" s="76" t="str">
        <f>IF(ISNUMBER(deployment_raw[[#This Row],[Column9]]), (deployment_raw[[#This Row],[Column9]] * IF($E$2="Deployment",deployment_raw[[#This Row],[Column5]],1))/1048576,"")</f>
        <v/>
      </c>
      <c r="R840" s="57" t="str">
        <f>IF(ISNUMBER(deployment_raw[[#This Row],[Column10]]), (deployment_raw[[#This Row],[Column10]] * IF($E$2="Deployment",deployment_raw[[#This Row],[Column5]],1)),"")</f>
        <v/>
      </c>
      <c r="S840" s="48" t="str">
        <f>IF(ISNUMBER(deployment_raw[[#This Row],[Column11]]), (deployment_raw[[#This Row],[Column11]] * IF($E$2="Deployment",deployment_raw[[#This Row],[Column5]],1))/1048576,"")</f>
        <v/>
      </c>
      <c r="T840" s="59" t="str">
        <f>IF(ISNUMBER(deployment_raw[[#This Row],[Column8]]),IF(OR(deployment_raw[[#This Row],[Column5]] &lt;&gt; 0,$E$2 &lt;&gt; "Deployment"), MAX(V840, ($T$2 * IF($E$2="Deployment",deployment_raw[[#This Row],[Column5]],1))), 0),"")</f>
        <v/>
      </c>
      <c r="U840" s="50" t="str">
        <f>IF(ISNUMBER(deployment_raw[[#This Row],[Column9]]),IF(OR(deployment_raw[[#This Row],[Column5]] &lt;&gt; 0,$E$2&lt;&gt;"Deployment"), MAX(W840, ($U$2 * IF($E$2="Deployment",deployment_raw[[#This Row],[Column5]],1))), 0),"")</f>
        <v/>
      </c>
      <c r="V840" s="15" t="str">
        <f>IF(ISNUMBER(deployment_raw[[#This Row],[Column12]]), (deployment_raw[[#This Row],[Column12]] * IF($E$2="Deployment",deployment_raw[[#This Row],[Column5]],1)*(1+$V$2)),"")</f>
        <v/>
      </c>
      <c r="W840" s="14" t="str">
        <f>IF(ISNUMBER(deployment_raw[[#This Row],[Column13]]), (deployment_raw[[#This Row],[Column13]] * IF($E$2="Deployment",deployment_raw[[#This Row],[Column5]],1)*(1+$W$2))/1048576,"")</f>
        <v/>
      </c>
    </row>
    <row r="841" spans="1:23" ht="15.75" customHeight="1" x14ac:dyDescent="0.25">
      <c r="A841" s="5" t="str">
        <f>IF(ISNONTEXT(deployment_raw[[#This Row],[Column1]]), "", deployment_raw[[#This Row],[Column1]])</f>
        <v/>
      </c>
      <c r="B841" s="6" t="str">
        <f>IF(ISNONTEXT(deployment_raw[[#This Row],[Column2]]), "", deployment_raw[[#This Row],[Column2]])</f>
        <v/>
      </c>
      <c r="C841" s="6" t="str">
        <f>IF(ISNONTEXT(deployment_raw[[#This Row],[Column3]]), "", deployment_raw[[#This Row],[Column3]])</f>
        <v/>
      </c>
      <c r="D841" s="6" t="str">
        <f>IF(ISNONTEXT(deployment_raw[[#This Row],[Column4]]), "", deployment_raw[[#This Row],[Column4]])</f>
        <v/>
      </c>
      <c r="E841" s="7" t="str">
        <f>IF(ISNUMBER(deployment_raw[[#This Row],[Column5]]), deployment_raw[[#This Row],[Column5]],"")</f>
        <v/>
      </c>
      <c r="F841" s="32" t="str">
        <f>IF(ISNUMBER(deployment_raw[[#This Row],[Column17]]), deployment_raw[[#This Row],[Column17]]/IF(OR($E$2="Deployment",deployment_raw[[#This Row],[Column5]]=0),1,deployment_raw[[#This Row],[Column5]]),"")</f>
        <v/>
      </c>
      <c r="G841" s="42" t="str">
        <f>IF(ISNUMBER(deployment_raw[[#This Row],[Column14]]), deployment_raw[[#This Row],[Column14]]/IF(OR($E$2="Deployment",deployment_raw[[#This Row],[Column5]]=0),1,deployment_raw[[#This Row],[Column5]]),"")</f>
        <v/>
      </c>
      <c r="H841" s="79" t="str">
        <f>IF(ISNUMBER(deployment_raw[[#This Row],[Column19]]), IF(I841&lt;&gt;0,(deployment_raw[[#This Row],[Column19]]/IF(OR($E$2="Deployment",deployment_raw[[#This Row],[Column5]]=0),1,deployment_raw[[#This Row],[Column5]]))/I841,0),"")</f>
        <v/>
      </c>
      <c r="I841" s="69" t="str">
        <f>IF(ISNUMBER(deployment_raw[[#This Row],[Column6]]), (deployment_raw[[#This Row],[Column6]] * IF($E$2="Deployment",deployment_raw[[#This Row],[Column5]],1)),"")</f>
        <v/>
      </c>
      <c r="J841" s="79" t="str">
        <f>IF(ISNUMBER(deployment_raw[[#This Row],[Column19]]), IF(K841&lt;&gt;0,(deployment_raw[[#This Row],[Column19]]/IF(OR($E$2="Deployment",deployment_raw[[#This Row],[Column5]]=0),1,deployment_raw[[#This Row],[Column5]]))/K841,0),"")</f>
        <v/>
      </c>
      <c r="K841" s="72" t="str">
        <f>IF(ISNUMBER(deployment_raw[[#This Row],[Column8]]), (deployment_raw[[#This Row],[Column8]]  * IF($E$2="Deployment",deployment_raw[[#This Row],[Column5]],1)),"")</f>
        <v/>
      </c>
      <c r="L84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4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41" s="81" t="str">
        <f>IF(ISNUMBER(deployment_raw[[#This Row],[Column20]]), IF(O841&lt;&gt;0,deployment_raw[[#This Row],[Column20]]/IF(OR($E$2="Deployment",deployment_raw[[#This Row],[Column5]]=0),1,deployment_raw[[#This Row],[Column5]])/1048576/O841,0),"")</f>
        <v/>
      </c>
      <c r="O841" s="74" t="str">
        <f>IF(ISNUMBER(deployment_raw[[#This Row],[Column7]]), (deployment_raw[[#This Row],[Column7]] * IF($E$2="Deployment",deployment_raw[[#This Row],[Column5]],1))/1048576,"")</f>
        <v/>
      </c>
      <c r="P841" s="81" t="str">
        <f>IF(ISNUMBER(deployment_raw[[#This Row],[Column20]]), IF(Q841&lt;&gt;0,deployment_raw[[#This Row],[Column20]]/IF(OR($E$2="Deployment",deployment_raw[[#This Row],[Column5]]=0),1,deployment_raw[[#This Row],[Column5]])/1048576/Q841,0),"")</f>
        <v/>
      </c>
      <c r="Q841" s="76" t="str">
        <f>IF(ISNUMBER(deployment_raw[[#This Row],[Column9]]), (deployment_raw[[#This Row],[Column9]] * IF($E$2="Deployment",deployment_raw[[#This Row],[Column5]],1))/1048576,"")</f>
        <v/>
      </c>
      <c r="R841" s="57" t="str">
        <f>IF(ISNUMBER(deployment_raw[[#This Row],[Column10]]), (deployment_raw[[#This Row],[Column10]] * IF($E$2="Deployment",deployment_raw[[#This Row],[Column5]],1)),"")</f>
        <v/>
      </c>
      <c r="S841" s="48" t="str">
        <f>IF(ISNUMBER(deployment_raw[[#This Row],[Column11]]), (deployment_raw[[#This Row],[Column11]] * IF($E$2="Deployment",deployment_raw[[#This Row],[Column5]],1))/1048576,"")</f>
        <v/>
      </c>
      <c r="T841" s="59" t="str">
        <f>IF(ISNUMBER(deployment_raw[[#This Row],[Column8]]),IF(OR(deployment_raw[[#This Row],[Column5]] &lt;&gt; 0,$E$2 &lt;&gt; "Deployment"), MAX(V841, ($T$2 * IF($E$2="Deployment",deployment_raw[[#This Row],[Column5]],1))), 0),"")</f>
        <v/>
      </c>
      <c r="U841" s="50" t="str">
        <f>IF(ISNUMBER(deployment_raw[[#This Row],[Column9]]),IF(OR(deployment_raw[[#This Row],[Column5]] &lt;&gt; 0,$E$2&lt;&gt;"Deployment"), MAX(W841, ($U$2 * IF($E$2="Deployment",deployment_raw[[#This Row],[Column5]],1))), 0),"")</f>
        <v/>
      </c>
      <c r="V841" s="15" t="str">
        <f>IF(ISNUMBER(deployment_raw[[#This Row],[Column12]]), (deployment_raw[[#This Row],[Column12]] * IF($E$2="Deployment",deployment_raw[[#This Row],[Column5]],1)*(1+$V$2)),"")</f>
        <v/>
      </c>
      <c r="W841" s="14" t="str">
        <f>IF(ISNUMBER(deployment_raw[[#This Row],[Column13]]), (deployment_raw[[#This Row],[Column13]] * IF($E$2="Deployment",deployment_raw[[#This Row],[Column5]],1)*(1+$W$2))/1048576,"")</f>
        <v/>
      </c>
    </row>
    <row r="842" spans="1:23" ht="15.75" customHeight="1" x14ac:dyDescent="0.25">
      <c r="A842" s="5" t="str">
        <f>IF(ISNONTEXT(deployment_raw[[#This Row],[Column1]]), "", deployment_raw[[#This Row],[Column1]])</f>
        <v/>
      </c>
      <c r="B842" s="6" t="str">
        <f>IF(ISNONTEXT(deployment_raw[[#This Row],[Column2]]), "", deployment_raw[[#This Row],[Column2]])</f>
        <v/>
      </c>
      <c r="C842" s="6" t="str">
        <f>IF(ISNONTEXT(deployment_raw[[#This Row],[Column3]]), "", deployment_raw[[#This Row],[Column3]])</f>
        <v/>
      </c>
      <c r="D842" s="6" t="str">
        <f>IF(ISNONTEXT(deployment_raw[[#This Row],[Column4]]), "", deployment_raw[[#This Row],[Column4]])</f>
        <v/>
      </c>
      <c r="E842" s="7" t="str">
        <f>IF(ISNUMBER(deployment_raw[[#This Row],[Column5]]), deployment_raw[[#This Row],[Column5]],"")</f>
        <v/>
      </c>
      <c r="F842" s="32" t="str">
        <f>IF(ISNUMBER(deployment_raw[[#This Row],[Column17]]), deployment_raw[[#This Row],[Column17]]/IF(OR($E$2="Deployment",deployment_raw[[#This Row],[Column5]]=0),1,deployment_raw[[#This Row],[Column5]]),"")</f>
        <v/>
      </c>
      <c r="G842" s="42" t="str">
        <f>IF(ISNUMBER(deployment_raw[[#This Row],[Column14]]), deployment_raw[[#This Row],[Column14]]/IF(OR($E$2="Deployment",deployment_raw[[#This Row],[Column5]]=0),1,deployment_raw[[#This Row],[Column5]]),"")</f>
        <v/>
      </c>
      <c r="H842" s="79" t="str">
        <f>IF(ISNUMBER(deployment_raw[[#This Row],[Column19]]), IF(I842&lt;&gt;0,(deployment_raw[[#This Row],[Column19]]/IF(OR($E$2="Deployment",deployment_raw[[#This Row],[Column5]]=0),1,deployment_raw[[#This Row],[Column5]]))/I842,0),"")</f>
        <v/>
      </c>
      <c r="I842" s="69" t="str">
        <f>IF(ISNUMBER(deployment_raw[[#This Row],[Column6]]), (deployment_raw[[#This Row],[Column6]] * IF($E$2="Deployment",deployment_raw[[#This Row],[Column5]],1)),"")</f>
        <v/>
      </c>
      <c r="J842" s="79" t="str">
        <f>IF(ISNUMBER(deployment_raw[[#This Row],[Column19]]), IF(K842&lt;&gt;0,(deployment_raw[[#This Row],[Column19]]/IF(OR($E$2="Deployment",deployment_raw[[#This Row],[Column5]]=0),1,deployment_raw[[#This Row],[Column5]]))/K842,0),"")</f>
        <v/>
      </c>
      <c r="K842" s="72" t="str">
        <f>IF(ISNUMBER(deployment_raw[[#This Row],[Column8]]), (deployment_raw[[#This Row],[Column8]]  * IF($E$2="Deployment",deployment_raw[[#This Row],[Column5]],1)),"")</f>
        <v/>
      </c>
      <c r="L84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4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42" s="81" t="str">
        <f>IF(ISNUMBER(deployment_raw[[#This Row],[Column20]]), IF(O842&lt;&gt;0,deployment_raw[[#This Row],[Column20]]/IF(OR($E$2="Deployment",deployment_raw[[#This Row],[Column5]]=0),1,deployment_raw[[#This Row],[Column5]])/1048576/O842,0),"")</f>
        <v/>
      </c>
      <c r="O842" s="74" t="str">
        <f>IF(ISNUMBER(deployment_raw[[#This Row],[Column7]]), (deployment_raw[[#This Row],[Column7]] * IF($E$2="Deployment",deployment_raw[[#This Row],[Column5]],1))/1048576,"")</f>
        <v/>
      </c>
      <c r="P842" s="81" t="str">
        <f>IF(ISNUMBER(deployment_raw[[#This Row],[Column20]]), IF(Q842&lt;&gt;0,deployment_raw[[#This Row],[Column20]]/IF(OR($E$2="Deployment",deployment_raw[[#This Row],[Column5]]=0),1,deployment_raw[[#This Row],[Column5]])/1048576/Q842,0),"")</f>
        <v/>
      </c>
      <c r="Q842" s="76" t="str">
        <f>IF(ISNUMBER(deployment_raw[[#This Row],[Column9]]), (deployment_raw[[#This Row],[Column9]] * IF($E$2="Deployment",deployment_raw[[#This Row],[Column5]],1))/1048576,"")</f>
        <v/>
      </c>
      <c r="R842" s="57" t="str">
        <f>IF(ISNUMBER(deployment_raw[[#This Row],[Column10]]), (deployment_raw[[#This Row],[Column10]] * IF($E$2="Deployment",deployment_raw[[#This Row],[Column5]],1)),"")</f>
        <v/>
      </c>
      <c r="S842" s="48" t="str">
        <f>IF(ISNUMBER(deployment_raw[[#This Row],[Column11]]), (deployment_raw[[#This Row],[Column11]] * IF($E$2="Deployment",deployment_raw[[#This Row],[Column5]],1))/1048576,"")</f>
        <v/>
      </c>
      <c r="T842" s="59" t="str">
        <f>IF(ISNUMBER(deployment_raw[[#This Row],[Column8]]),IF(OR(deployment_raw[[#This Row],[Column5]] &lt;&gt; 0,$E$2 &lt;&gt; "Deployment"), MAX(V842, ($T$2 * IF($E$2="Deployment",deployment_raw[[#This Row],[Column5]],1))), 0),"")</f>
        <v/>
      </c>
      <c r="U842" s="50" t="str">
        <f>IF(ISNUMBER(deployment_raw[[#This Row],[Column9]]),IF(OR(deployment_raw[[#This Row],[Column5]] &lt;&gt; 0,$E$2&lt;&gt;"Deployment"), MAX(W842, ($U$2 * IF($E$2="Deployment",deployment_raw[[#This Row],[Column5]],1))), 0),"")</f>
        <v/>
      </c>
      <c r="V842" s="15" t="str">
        <f>IF(ISNUMBER(deployment_raw[[#This Row],[Column12]]), (deployment_raw[[#This Row],[Column12]] * IF($E$2="Deployment",deployment_raw[[#This Row],[Column5]],1)*(1+$V$2)),"")</f>
        <v/>
      </c>
      <c r="W842" s="14" t="str">
        <f>IF(ISNUMBER(deployment_raw[[#This Row],[Column13]]), (deployment_raw[[#This Row],[Column13]] * IF($E$2="Deployment",deployment_raw[[#This Row],[Column5]],1)*(1+$W$2))/1048576,"")</f>
        <v/>
      </c>
    </row>
    <row r="843" spans="1:23" ht="15.75" customHeight="1" x14ac:dyDescent="0.25">
      <c r="A843" s="5" t="str">
        <f>IF(ISNONTEXT(deployment_raw[[#This Row],[Column1]]), "", deployment_raw[[#This Row],[Column1]])</f>
        <v/>
      </c>
      <c r="B843" s="6" t="str">
        <f>IF(ISNONTEXT(deployment_raw[[#This Row],[Column2]]), "", deployment_raw[[#This Row],[Column2]])</f>
        <v/>
      </c>
      <c r="C843" s="6" t="str">
        <f>IF(ISNONTEXT(deployment_raw[[#This Row],[Column3]]), "", deployment_raw[[#This Row],[Column3]])</f>
        <v/>
      </c>
      <c r="D843" s="6" t="str">
        <f>IF(ISNONTEXT(deployment_raw[[#This Row],[Column4]]), "", deployment_raw[[#This Row],[Column4]])</f>
        <v/>
      </c>
      <c r="E843" s="7" t="str">
        <f>IF(ISNUMBER(deployment_raw[[#This Row],[Column5]]), deployment_raw[[#This Row],[Column5]],"")</f>
        <v/>
      </c>
      <c r="F843" s="32" t="str">
        <f>IF(ISNUMBER(deployment_raw[[#This Row],[Column17]]), deployment_raw[[#This Row],[Column17]]/IF(OR($E$2="Deployment",deployment_raw[[#This Row],[Column5]]=0),1,deployment_raw[[#This Row],[Column5]]),"")</f>
        <v/>
      </c>
      <c r="G843" s="42" t="str">
        <f>IF(ISNUMBER(deployment_raw[[#This Row],[Column14]]), deployment_raw[[#This Row],[Column14]]/IF(OR($E$2="Deployment",deployment_raw[[#This Row],[Column5]]=0),1,deployment_raw[[#This Row],[Column5]]),"")</f>
        <v/>
      </c>
      <c r="H843" s="79" t="str">
        <f>IF(ISNUMBER(deployment_raw[[#This Row],[Column19]]), IF(I843&lt;&gt;0,(deployment_raw[[#This Row],[Column19]]/IF(OR($E$2="Deployment",deployment_raw[[#This Row],[Column5]]=0),1,deployment_raw[[#This Row],[Column5]]))/I843,0),"")</f>
        <v/>
      </c>
      <c r="I843" s="69" t="str">
        <f>IF(ISNUMBER(deployment_raw[[#This Row],[Column6]]), (deployment_raw[[#This Row],[Column6]] * IF($E$2="Deployment",deployment_raw[[#This Row],[Column5]],1)),"")</f>
        <v/>
      </c>
      <c r="J843" s="79" t="str">
        <f>IF(ISNUMBER(deployment_raw[[#This Row],[Column19]]), IF(K843&lt;&gt;0,(deployment_raw[[#This Row],[Column19]]/IF(OR($E$2="Deployment",deployment_raw[[#This Row],[Column5]]=0),1,deployment_raw[[#This Row],[Column5]]))/K843,0),"")</f>
        <v/>
      </c>
      <c r="K843" s="72" t="str">
        <f>IF(ISNUMBER(deployment_raw[[#This Row],[Column8]]), (deployment_raw[[#This Row],[Column8]]  * IF($E$2="Deployment",deployment_raw[[#This Row],[Column5]],1)),"")</f>
        <v/>
      </c>
      <c r="L84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4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43" s="81" t="str">
        <f>IF(ISNUMBER(deployment_raw[[#This Row],[Column20]]), IF(O843&lt;&gt;0,deployment_raw[[#This Row],[Column20]]/IF(OR($E$2="Deployment",deployment_raw[[#This Row],[Column5]]=0),1,deployment_raw[[#This Row],[Column5]])/1048576/O843,0),"")</f>
        <v/>
      </c>
      <c r="O843" s="74" t="str">
        <f>IF(ISNUMBER(deployment_raw[[#This Row],[Column7]]), (deployment_raw[[#This Row],[Column7]] * IF($E$2="Deployment",deployment_raw[[#This Row],[Column5]],1))/1048576,"")</f>
        <v/>
      </c>
      <c r="P843" s="81" t="str">
        <f>IF(ISNUMBER(deployment_raw[[#This Row],[Column20]]), IF(Q843&lt;&gt;0,deployment_raw[[#This Row],[Column20]]/IF(OR($E$2="Deployment",deployment_raw[[#This Row],[Column5]]=0),1,deployment_raw[[#This Row],[Column5]])/1048576/Q843,0),"")</f>
        <v/>
      </c>
      <c r="Q843" s="76" t="str">
        <f>IF(ISNUMBER(deployment_raw[[#This Row],[Column9]]), (deployment_raw[[#This Row],[Column9]] * IF($E$2="Deployment",deployment_raw[[#This Row],[Column5]],1))/1048576,"")</f>
        <v/>
      </c>
      <c r="R843" s="57" t="str">
        <f>IF(ISNUMBER(deployment_raw[[#This Row],[Column10]]), (deployment_raw[[#This Row],[Column10]] * IF($E$2="Deployment",deployment_raw[[#This Row],[Column5]],1)),"")</f>
        <v/>
      </c>
      <c r="S843" s="48" t="str">
        <f>IF(ISNUMBER(deployment_raw[[#This Row],[Column11]]), (deployment_raw[[#This Row],[Column11]] * IF($E$2="Deployment",deployment_raw[[#This Row],[Column5]],1))/1048576,"")</f>
        <v/>
      </c>
      <c r="T843" s="59" t="str">
        <f>IF(ISNUMBER(deployment_raw[[#This Row],[Column8]]),IF(OR(deployment_raw[[#This Row],[Column5]] &lt;&gt; 0,$E$2 &lt;&gt; "Deployment"), MAX(V843, ($T$2 * IF($E$2="Deployment",deployment_raw[[#This Row],[Column5]],1))), 0),"")</f>
        <v/>
      </c>
      <c r="U843" s="50" t="str">
        <f>IF(ISNUMBER(deployment_raw[[#This Row],[Column9]]),IF(OR(deployment_raw[[#This Row],[Column5]] &lt;&gt; 0,$E$2&lt;&gt;"Deployment"), MAX(W843, ($U$2 * IF($E$2="Deployment",deployment_raw[[#This Row],[Column5]],1))), 0),"")</f>
        <v/>
      </c>
      <c r="V843" s="15" t="str">
        <f>IF(ISNUMBER(deployment_raw[[#This Row],[Column12]]), (deployment_raw[[#This Row],[Column12]] * IF($E$2="Deployment",deployment_raw[[#This Row],[Column5]],1)*(1+$V$2)),"")</f>
        <v/>
      </c>
      <c r="W843" s="14" t="str">
        <f>IF(ISNUMBER(deployment_raw[[#This Row],[Column13]]), (deployment_raw[[#This Row],[Column13]] * IF($E$2="Deployment",deployment_raw[[#This Row],[Column5]],1)*(1+$W$2))/1048576,"")</f>
        <v/>
      </c>
    </row>
    <row r="844" spans="1:23" ht="15.75" customHeight="1" x14ac:dyDescent="0.25">
      <c r="A844" s="5" t="str">
        <f>IF(ISNONTEXT(deployment_raw[[#This Row],[Column1]]), "", deployment_raw[[#This Row],[Column1]])</f>
        <v/>
      </c>
      <c r="B844" s="6" t="str">
        <f>IF(ISNONTEXT(deployment_raw[[#This Row],[Column2]]), "", deployment_raw[[#This Row],[Column2]])</f>
        <v/>
      </c>
      <c r="C844" s="6" t="str">
        <f>IF(ISNONTEXT(deployment_raw[[#This Row],[Column3]]), "", deployment_raw[[#This Row],[Column3]])</f>
        <v/>
      </c>
      <c r="D844" s="6" t="str">
        <f>IF(ISNONTEXT(deployment_raw[[#This Row],[Column4]]), "", deployment_raw[[#This Row],[Column4]])</f>
        <v/>
      </c>
      <c r="E844" s="7" t="str">
        <f>IF(ISNUMBER(deployment_raw[[#This Row],[Column5]]), deployment_raw[[#This Row],[Column5]],"")</f>
        <v/>
      </c>
      <c r="F844" s="32" t="str">
        <f>IF(ISNUMBER(deployment_raw[[#This Row],[Column17]]), deployment_raw[[#This Row],[Column17]]/IF(OR($E$2="Deployment",deployment_raw[[#This Row],[Column5]]=0),1,deployment_raw[[#This Row],[Column5]]),"")</f>
        <v/>
      </c>
      <c r="G844" s="42" t="str">
        <f>IF(ISNUMBER(deployment_raw[[#This Row],[Column14]]), deployment_raw[[#This Row],[Column14]]/IF(OR($E$2="Deployment",deployment_raw[[#This Row],[Column5]]=0),1,deployment_raw[[#This Row],[Column5]]),"")</f>
        <v/>
      </c>
      <c r="H844" s="79" t="str">
        <f>IF(ISNUMBER(deployment_raw[[#This Row],[Column19]]), IF(I844&lt;&gt;0,(deployment_raw[[#This Row],[Column19]]/IF(OR($E$2="Deployment",deployment_raw[[#This Row],[Column5]]=0),1,deployment_raw[[#This Row],[Column5]]))/I844,0),"")</f>
        <v/>
      </c>
      <c r="I844" s="69" t="str">
        <f>IF(ISNUMBER(deployment_raw[[#This Row],[Column6]]), (deployment_raw[[#This Row],[Column6]] * IF($E$2="Deployment",deployment_raw[[#This Row],[Column5]],1)),"")</f>
        <v/>
      </c>
      <c r="J844" s="79" t="str">
        <f>IF(ISNUMBER(deployment_raw[[#This Row],[Column19]]), IF(K844&lt;&gt;0,(deployment_raw[[#This Row],[Column19]]/IF(OR($E$2="Deployment",deployment_raw[[#This Row],[Column5]]=0),1,deployment_raw[[#This Row],[Column5]]))/K844,0),"")</f>
        <v/>
      </c>
      <c r="K844" s="72" t="str">
        <f>IF(ISNUMBER(deployment_raw[[#This Row],[Column8]]), (deployment_raw[[#This Row],[Column8]]  * IF($E$2="Deployment",deployment_raw[[#This Row],[Column5]],1)),"")</f>
        <v/>
      </c>
      <c r="L84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4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44" s="81" t="str">
        <f>IF(ISNUMBER(deployment_raw[[#This Row],[Column20]]), IF(O844&lt;&gt;0,deployment_raw[[#This Row],[Column20]]/IF(OR($E$2="Deployment",deployment_raw[[#This Row],[Column5]]=0),1,deployment_raw[[#This Row],[Column5]])/1048576/O844,0),"")</f>
        <v/>
      </c>
      <c r="O844" s="74" t="str">
        <f>IF(ISNUMBER(deployment_raw[[#This Row],[Column7]]), (deployment_raw[[#This Row],[Column7]] * IF($E$2="Deployment",deployment_raw[[#This Row],[Column5]],1))/1048576,"")</f>
        <v/>
      </c>
      <c r="P844" s="81" t="str">
        <f>IF(ISNUMBER(deployment_raw[[#This Row],[Column20]]), IF(Q844&lt;&gt;0,deployment_raw[[#This Row],[Column20]]/IF(OR($E$2="Deployment",deployment_raw[[#This Row],[Column5]]=0),1,deployment_raw[[#This Row],[Column5]])/1048576/Q844,0),"")</f>
        <v/>
      </c>
      <c r="Q844" s="76" t="str">
        <f>IF(ISNUMBER(deployment_raw[[#This Row],[Column9]]), (deployment_raw[[#This Row],[Column9]] * IF($E$2="Deployment",deployment_raw[[#This Row],[Column5]],1))/1048576,"")</f>
        <v/>
      </c>
      <c r="R844" s="57" t="str">
        <f>IF(ISNUMBER(deployment_raw[[#This Row],[Column10]]), (deployment_raw[[#This Row],[Column10]] * IF($E$2="Deployment",deployment_raw[[#This Row],[Column5]],1)),"")</f>
        <v/>
      </c>
      <c r="S844" s="48" t="str">
        <f>IF(ISNUMBER(deployment_raw[[#This Row],[Column11]]), (deployment_raw[[#This Row],[Column11]] * IF($E$2="Deployment",deployment_raw[[#This Row],[Column5]],1))/1048576,"")</f>
        <v/>
      </c>
      <c r="T844" s="59" t="str">
        <f>IF(ISNUMBER(deployment_raw[[#This Row],[Column8]]),IF(OR(deployment_raw[[#This Row],[Column5]] &lt;&gt; 0,$E$2 &lt;&gt; "Deployment"), MAX(V844, ($T$2 * IF($E$2="Deployment",deployment_raw[[#This Row],[Column5]],1))), 0),"")</f>
        <v/>
      </c>
      <c r="U844" s="50" t="str">
        <f>IF(ISNUMBER(deployment_raw[[#This Row],[Column9]]),IF(OR(deployment_raw[[#This Row],[Column5]] &lt;&gt; 0,$E$2&lt;&gt;"Deployment"), MAX(W844, ($U$2 * IF($E$2="Deployment",deployment_raw[[#This Row],[Column5]],1))), 0),"")</f>
        <v/>
      </c>
      <c r="V844" s="15" t="str">
        <f>IF(ISNUMBER(deployment_raw[[#This Row],[Column12]]), (deployment_raw[[#This Row],[Column12]] * IF($E$2="Deployment",deployment_raw[[#This Row],[Column5]],1)*(1+$V$2)),"")</f>
        <v/>
      </c>
      <c r="W844" s="14" t="str">
        <f>IF(ISNUMBER(deployment_raw[[#This Row],[Column13]]), (deployment_raw[[#This Row],[Column13]] * IF($E$2="Deployment",deployment_raw[[#This Row],[Column5]],1)*(1+$W$2))/1048576,"")</f>
        <v/>
      </c>
    </row>
    <row r="845" spans="1:23" ht="15.75" customHeight="1" x14ac:dyDescent="0.25">
      <c r="A845" s="5" t="str">
        <f>IF(ISNONTEXT(deployment_raw[[#This Row],[Column1]]), "", deployment_raw[[#This Row],[Column1]])</f>
        <v/>
      </c>
      <c r="B845" s="6" t="str">
        <f>IF(ISNONTEXT(deployment_raw[[#This Row],[Column2]]), "", deployment_raw[[#This Row],[Column2]])</f>
        <v/>
      </c>
      <c r="C845" s="6" t="str">
        <f>IF(ISNONTEXT(deployment_raw[[#This Row],[Column3]]), "", deployment_raw[[#This Row],[Column3]])</f>
        <v/>
      </c>
      <c r="D845" s="6" t="str">
        <f>IF(ISNONTEXT(deployment_raw[[#This Row],[Column4]]), "", deployment_raw[[#This Row],[Column4]])</f>
        <v/>
      </c>
      <c r="E845" s="7" t="str">
        <f>IF(ISNUMBER(deployment_raw[[#This Row],[Column5]]), deployment_raw[[#This Row],[Column5]],"")</f>
        <v/>
      </c>
      <c r="F845" s="32" t="str">
        <f>IF(ISNUMBER(deployment_raw[[#This Row],[Column17]]), deployment_raw[[#This Row],[Column17]]/IF(OR($E$2="Deployment",deployment_raw[[#This Row],[Column5]]=0),1,deployment_raw[[#This Row],[Column5]]),"")</f>
        <v/>
      </c>
      <c r="G845" s="42" t="str">
        <f>IF(ISNUMBER(deployment_raw[[#This Row],[Column14]]), deployment_raw[[#This Row],[Column14]]/IF(OR($E$2="Deployment",deployment_raw[[#This Row],[Column5]]=0),1,deployment_raw[[#This Row],[Column5]]),"")</f>
        <v/>
      </c>
      <c r="H845" s="79" t="str">
        <f>IF(ISNUMBER(deployment_raw[[#This Row],[Column19]]), IF(I845&lt;&gt;0,(deployment_raw[[#This Row],[Column19]]/IF(OR($E$2="Deployment",deployment_raw[[#This Row],[Column5]]=0),1,deployment_raw[[#This Row],[Column5]]))/I845,0),"")</f>
        <v/>
      </c>
      <c r="I845" s="69" t="str">
        <f>IF(ISNUMBER(deployment_raw[[#This Row],[Column6]]), (deployment_raw[[#This Row],[Column6]] * IF($E$2="Deployment",deployment_raw[[#This Row],[Column5]],1)),"")</f>
        <v/>
      </c>
      <c r="J845" s="79" t="str">
        <f>IF(ISNUMBER(deployment_raw[[#This Row],[Column19]]), IF(K845&lt;&gt;0,(deployment_raw[[#This Row],[Column19]]/IF(OR($E$2="Deployment",deployment_raw[[#This Row],[Column5]]=0),1,deployment_raw[[#This Row],[Column5]]))/K845,0),"")</f>
        <v/>
      </c>
      <c r="K845" s="72" t="str">
        <f>IF(ISNUMBER(deployment_raw[[#This Row],[Column8]]), (deployment_raw[[#This Row],[Column8]]  * IF($E$2="Deployment",deployment_raw[[#This Row],[Column5]],1)),"")</f>
        <v/>
      </c>
      <c r="L84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4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45" s="81" t="str">
        <f>IF(ISNUMBER(deployment_raw[[#This Row],[Column20]]), IF(O845&lt;&gt;0,deployment_raw[[#This Row],[Column20]]/IF(OR($E$2="Deployment",deployment_raw[[#This Row],[Column5]]=0),1,deployment_raw[[#This Row],[Column5]])/1048576/O845,0),"")</f>
        <v/>
      </c>
      <c r="O845" s="74" t="str">
        <f>IF(ISNUMBER(deployment_raw[[#This Row],[Column7]]), (deployment_raw[[#This Row],[Column7]] * IF($E$2="Deployment",deployment_raw[[#This Row],[Column5]],1))/1048576,"")</f>
        <v/>
      </c>
      <c r="P845" s="81" t="str">
        <f>IF(ISNUMBER(deployment_raw[[#This Row],[Column20]]), IF(Q845&lt;&gt;0,deployment_raw[[#This Row],[Column20]]/IF(OR($E$2="Deployment",deployment_raw[[#This Row],[Column5]]=0),1,deployment_raw[[#This Row],[Column5]])/1048576/Q845,0),"")</f>
        <v/>
      </c>
      <c r="Q845" s="76" t="str">
        <f>IF(ISNUMBER(deployment_raw[[#This Row],[Column9]]), (deployment_raw[[#This Row],[Column9]] * IF($E$2="Deployment",deployment_raw[[#This Row],[Column5]],1))/1048576,"")</f>
        <v/>
      </c>
      <c r="R845" s="57" t="str">
        <f>IF(ISNUMBER(deployment_raw[[#This Row],[Column10]]), (deployment_raw[[#This Row],[Column10]] * IF($E$2="Deployment",deployment_raw[[#This Row],[Column5]],1)),"")</f>
        <v/>
      </c>
      <c r="S845" s="48" t="str">
        <f>IF(ISNUMBER(deployment_raw[[#This Row],[Column11]]), (deployment_raw[[#This Row],[Column11]] * IF($E$2="Deployment",deployment_raw[[#This Row],[Column5]],1))/1048576,"")</f>
        <v/>
      </c>
      <c r="T845" s="59" t="str">
        <f>IF(ISNUMBER(deployment_raw[[#This Row],[Column8]]),IF(OR(deployment_raw[[#This Row],[Column5]] &lt;&gt; 0,$E$2 &lt;&gt; "Deployment"), MAX(V845, ($T$2 * IF($E$2="Deployment",deployment_raw[[#This Row],[Column5]],1))), 0),"")</f>
        <v/>
      </c>
      <c r="U845" s="50" t="str">
        <f>IF(ISNUMBER(deployment_raw[[#This Row],[Column9]]),IF(OR(deployment_raw[[#This Row],[Column5]] &lt;&gt; 0,$E$2&lt;&gt;"Deployment"), MAX(W845, ($U$2 * IF($E$2="Deployment",deployment_raw[[#This Row],[Column5]],1))), 0),"")</f>
        <v/>
      </c>
      <c r="V845" s="15" t="str">
        <f>IF(ISNUMBER(deployment_raw[[#This Row],[Column12]]), (deployment_raw[[#This Row],[Column12]] * IF($E$2="Deployment",deployment_raw[[#This Row],[Column5]],1)*(1+$V$2)),"")</f>
        <v/>
      </c>
      <c r="W845" s="14" t="str">
        <f>IF(ISNUMBER(deployment_raw[[#This Row],[Column13]]), (deployment_raw[[#This Row],[Column13]] * IF($E$2="Deployment",deployment_raw[[#This Row],[Column5]],1)*(1+$W$2))/1048576,"")</f>
        <v/>
      </c>
    </row>
    <row r="846" spans="1:23" ht="15.75" customHeight="1" x14ac:dyDescent="0.25">
      <c r="A846" s="5" t="str">
        <f>IF(ISNONTEXT(deployment_raw[[#This Row],[Column1]]), "", deployment_raw[[#This Row],[Column1]])</f>
        <v/>
      </c>
      <c r="B846" s="6" t="str">
        <f>IF(ISNONTEXT(deployment_raw[[#This Row],[Column2]]), "", deployment_raw[[#This Row],[Column2]])</f>
        <v/>
      </c>
      <c r="C846" s="6" t="str">
        <f>IF(ISNONTEXT(deployment_raw[[#This Row],[Column3]]), "", deployment_raw[[#This Row],[Column3]])</f>
        <v/>
      </c>
      <c r="D846" s="6" t="str">
        <f>IF(ISNONTEXT(deployment_raw[[#This Row],[Column4]]), "", deployment_raw[[#This Row],[Column4]])</f>
        <v/>
      </c>
      <c r="E846" s="7" t="str">
        <f>IF(ISNUMBER(deployment_raw[[#This Row],[Column5]]), deployment_raw[[#This Row],[Column5]],"")</f>
        <v/>
      </c>
      <c r="F846" s="32" t="str">
        <f>IF(ISNUMBER(deployment_raw[[#This Row],[Column17]]), deployment_raw[[#This Row],[Column17]]/IF(OR($E$2="Deployment",deployment_raw[[#This Row],[Column5]]=0),1,deployment_raw[[#This Row],[Column5]]),"")</f>
        <v/>
      </c>
      <c r="G846" s="42" t="str">
        <f>IF(ISNUMBER(deployment_raw[[#This Row],[Column14]]), deployment_raw[[#This Row],[Column14]]/IF(OR($E$2="Deployment",deployment_raw[[#This Row],[Column5]]=0),1,deployment_raw[[#This Row],[Column5]]),"")</f>
        <v/>
      </c>
      <c r="H846" s="79" t="str">
        <f>IF(ISNUMBER(deployment_raw[[#This Row],[Column19]]), IF(I846&lt;&gt;0,(deployment_raw[[#This Row],[Column19]]/IF(OR($E$2="Deployment",deployment_raw[[#This Row],[Column5]]=0),1,deployment_raw[[#This Row],[Column5]]))/I846,0),"")</f>
        <v/>
      </c>
      <c r="I846" s="69" t="str">
        <f>IF(ISNUMBER(deployment_raw[[#This Row],[Column6]]), (deployment_raw[[#This Row],[Column6]] * IF($E$2="Deployment",deployment_raw[[#This Row],[Column5]],1)),"")</f>
        <v/>
      </c>
      <c r="J846" s="79" t="str">
        <f>IF(ISNUMBER(deployment_raw[[#This Row],[Column19]]), IF(K846&lt;&gt;0,(deployment_raw[[#This Row],[Column19]]/IF(OR($E$2="Deployment",deployment_raw[[#This Row],[Column5]]=0),1,deployment_raw[[#This Row],[Column5]]))/K846,0),"")</f>
        <v/>
      </c>
      <c r="K846" s="72" t="str">
        <f>IF(ISNUMBER(deployment_raw[[#This Row],[Column8]]), (deployment_raw[[#This Row],[Column8]]  * IF($E$2="Deployment",deployment_raw[[#This Row],[Column5]],1)),"")</f>
        <v/>
      </c>
      <c r="L84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4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46" s="81" t="str">
        <f>IF(ISNUMBER(deployment_raw[[#This Row],[Column20]]), IF(O846&lt;&gt;0,deployment_raw[[#This Row],[Column20]]/IF(OR($E$2="Deployment",deployment_raw[[#This Row],[Column5]]=0),1,deployment_raw[[#This Row],[Column5]])/1048576/O846,0),"")</f>
        <v/>
      </c>
      <c r="O846" s="74" t="str">
        <f>IF(ISNUMBER(deployment_raw[[#This Row],[Column7]]), (deployment_raw[[#This Row],[Column7]] * IF($E$2="Deployment",deployment_raw[[#This Row],[Column5]],1))/1048576,"")</f>
        <v/>
      </c>
      <c r="P846" s="81" t="str">
        <f>IF(ISNUMBER(deployment_raw[[#This Row],[Column20]]), IF(Q846&lt;&gt;0,deployment_raw[[#This Row],[Column20]]/IF(OR($E$2="Deployment",deployment_raw[[#This Row],[Column5]]=0),1,deployment_raw[[#This Row],[Column5]])/1048576/Q846,0),"")</f>
        <v/>
      </c>
      <c r="Q846" s="76" t="str">
        <f>IF(ISNUMBER(deployment_raw[[#This Row],[Column9]]), (deployment_raw[[#This Row],[Column9]] * IF($E$2="Deployment",deployment_raw[[#This Row],[Column5]],1))/1048576,"")</f>
        <v/>
      </c>
      <c r="R846" s="57" t="str">
        <f>IF(ISNUMBER(deployment_raw[[#This Row],[Column10]]), (deployment_raw[[#This Row],[Column10]] * IF($E$2="Deployment",deployment_raw[[#This Row],[Column5]],1)),"")</f>
        <v/>
      </c>
      <c r="S846" s="48" t="str">
        <f>IF(ISNUMBER(deployment_raw[[#This Row],[Column11]]), (deployment_raw[[#This Row],[Column11]] * IF($E$2="Deployment",deployment_raw[[#This Row],[Column5]],1))/1048576,"")</f>
        <v/>
      </c>
      <c r="T846" s="59" t="str">
        <f>IF(ISNUMBER(deployment_raw[[#This Row],[Column8]]),IF(OR(deployment_raw[[#This Row],[Column5]] &lt;&gt; 0,$E$2 &lt;&gt; "Deployment"), MAX(V846, ($T$2 * IF($E$2="Deployment",deployment_raw[[#This Row],[Column5]],1))), 0),"")</f>
        <v/>
      </c>
      <c r="U846" s="50" t="str">
        <f>IF(ISNUMBER(deployment_raw[[#This Row],[Column9]]),IF(OR(deployment_raw[[#This Row],[Column5]] &lt;&gt; 0,$E$2&lt;&gt;"Deployment"), MAX(W846, ($U$2 * IF($E$2="Deployment",deployment_raw[[#This Row],[Column5]],1))), 0),"")</f>
        <v/>
      </c>
      <c r="V846" s="15" t="str">
        <f>IF(ISNUMBER(deployment_raw[[#This Row],[Column12]]), (deployment_raw[[#This Row],[Column12]] * IF($E$2="Deployment",deployment_raw[[#This Row],[Column5]],1)*(1+$V$2)),"")</f>
        <v/>
      </c>
      <c r="W846" s="14" t="str">
        <f>IF(ISNUMBER(deployment_raw[[#This Row],[Column13]]), (deployment_raw[[#This Row],[Column13]] * IF($E$2="Deployment",deployment_raw[[#This Row],[Column5]],1)*(1+$W$2))/1048576,"")</f>
        <v/>
      </c>
    </row>
    <row r="847" spans="1:23" ht="15.75" customHeight="1" x14ac:dyDescent="0.25">
      <c r="A847" s="5" t="str">
        <f>IF(ISNONTEXT(deployment_raw[[#This Row],[Column1]]), "", deployment_raw[[#This Row],[Column1]])</f>
        <v/>
      </c>
      <c r="B847" s="6" t="str">
        <f>IF(ISNONTEXT(deployment_raw[[#This Row],[Column2]]), "", deployment_raw[[#This Row],[Column2]])</f>
        <v/>
      </c>
      <c r="C847" s="6" t="str">
        <f>IF(ISNONTEXT(deployment_raw[[#This Row],[Column3]]), "", deployment_raw[[#This Row],[Column3]])</f>
        <v/>
      </c>
      <c r="D847" s="6" t="str">
        <f>IF(ISNONTEXT(deployment_raw[[#This Row],[Column4]]), "", deployment_raw[[#This Row],[Column4]])</f>
        <v/>
      </c>
      <c r="E847" s="7" t="str">
        <f>IF(ISNUMBER(deployment_raw[[#This Row],[Column5]]), deployment_raw[[#This Row],[Column5]],"")</f>
        <v/>
      </c>
      <c r="F847" s="32" t="str">
        <f>IF(ISNUMBER(deployment_raw[[#This Row],[Column17]]), deployment_raw[[#This Row],[Column17]]/IF(OR($E$2="Deployment",deployment_raw[[#This Row],[Column5]]=0),1,deployment_raw[[#This Row],[Column5]]),"")</f>
        <v/>
      </c>
      <c r="G847" s="42" t="str">
        <f>IF(ISNUMBER(deployment_raw[[#This Row],[Column14]]), deployment_raw[[#This Row],[Column14]]/IF(OR($E$2="Deployment",deployment_raw[[#This Row],[Column5]]=0),1,deployment_raw[[#This Row],[Column5]]),"")</f>
        <v/>
      </c>
      <c r="H847" s="79" t="str">
        <f>IF(ISNUMBER(deployment_raw[[#This Row],[Column19]]), IF(I847&lt;&gt;0,(deployment_raw[[#This Row],[Column19]]/IF(OR($E$2="Deployment",deployment_raw[[#This Row],[Column5]]=0),1,deployment_raw[[#This Row],[Column5]]))/I847,0),"")</f>
        <v/>
      </c>
      <c r="I847" s="69" t="str">
        <f>IF(ISNUMBER(deployment_raw[[#This Row],[Column6]]), (deployment_raw[[#This Row],[Column6]] * IF($E$2="Deployment",deployment_raw[[#This Row],[Column5]],1)),"")</f>
        <v/>
      </c>
      <c r="J847" s="79" t="str">
        <f>IF(ISNUMBER(deployment_raw[[#This Row],[Column19]]), IF(K847&lt;&gt;0,(deployment_raw[[#This Row],[Column19]]/IF(OR($E$2="Deployment",deployment_raw[[#This Row],[Column5]]=0),1,deployment_raw[[#This Row],[Column5]]))/K847,0),"")</f>
        <v/>
      </c>
      <c r="K847" s="72" t="str">
        <f>IF(ISNUMBER(deployment_raw[[#This Row],[Column8]]), (deployment_raw[[#This Row],[Column8]]  * IF($E$2="Deployment",deployment_raw[[#This Row],[Column5]],1)),"")</f>
        <v/>
      </c>
      <c r="L84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4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47" s="81" t="str">
        <f>IF(ISNUMBER(deployment_raw[[#This Row],[Column20]]), IF(O847&lt;&gt;0,deployment_raw[[#This Row],[Column20]]/IF(OR($E$2="Deployment",deployment_raw[[#This Row],[Column5]]=0),1,deployment_raw[[#This Row],[Column5]])/1048576/O847,0),"")</f>
        <v/>
      </c>
      <c r="O847" s="74" t="str">
        <f>IF(ISNUMBER(deployment_raw[[#This Row],[Column7]]), (deployment_raw[[#This Row],[Column7]] * IF($E$2="Deployment",deployment_raw[[#This Row],[Column5]],1))/1048576,"")</f>
        <v/>
      </c>
      <c r="P847" s="81" t="str">
        <f>IF(ISNUMBER(deployment_raw[[#This Row],[Column20]]), IF(Q847&lt;&gt;0,deployment_raw[[#This Row],[Column20]]/IF(OR($E$2="Deployment",deployment_raw[[#This Row],[Column5]]=0),1,deployment_raw[[#This Row],[Column5]])/1048576/Q847,0),"")</f>
        <v/>
      </c>
      <c r="Q847" s="76" t="str">
        <f>IF(ISNUMBER(deployment_raw[[#This Row],[Column9]]), (deployment_raw[[#This Row],[Column9]] * IF($E$2="Deployment",deployment_raw[[#This Row],[Column5]],1))/1048576,"")</f>
        <v/>
      </c>
      <c r="R847" s="57" t="str">
        <f>IF(ISNUMBER(deployment_raw[[#This Row],[Column10]]), (deployment_raw[[#This Row],[Column10]] * IF($E$2="Deployment",deployment_raw[[#This Row],[Column5]],1)),"")</f>
        <v/>
      </c>
      <c r="S847" s="48" t="str">
        <f>IF(ISNUMBER(deployment_raw[[#This Row],[Column11]]), (deployment_raw[[#This Row],[Column11]] * IF($E$2="Deployment",deployment_raw[[#This Row],[Column5]],1))/1048576,"")</f>
        <v/>
      </c>
      <c r="T847" s="59" t="str">
        <f>IF(ISNUMBER(deployment_raw[[#This Row],[Column8]]),IF(OR(deployment_raw[[#This Row],[Column5]] &lt;&gt; 0,$E$2 &lt;&gt; "Deployment"), MAX(V847, ($T$2 * IF($E$2="Deployment",deployment_raw[[#This Row],[Column5]],1))), 0),"")</f>
        <v/>
      </c>
      <c r="U847" s="50" t="str">
        <f>IF(ISNUMBER(deployment_raw[[#This Row],[Column9]]),IF(OR(deployment_raw[[#This Row],[Column5]] &lt;&gt; 0,$E$2&lt;&gt;"Deployment"), MAX(W847, ($U$2 * IF($E$2="Deployment",deployment_raw[[#This Row],[Column5]],1))), 0),"")</f>
        <v/>
      </c>
      <c r="V847" s="15" t="str">
        <f>IF(ISNUMBER(deployment_raw[[#This Row],[Column12]]), (deployment_raw[[#This Row],[Column12]] * IF($E$2="Deployment",deployment_raw[[#This Row],[Column5]],1)*(1+$V$2)),"")</f>
        <v/>
      </c>
      <c r="W847" s="14" t="str">
        <f>IF(ISNUMBER(deployment_raw[[#This Row],[Column13]]), (deployment_raw[[#This Row],[Column13]] * IF($E$2="Deployment",deployment_raw[[#This Row],[Column5]],1)*(1+$W$2))/1048576,"")</f>
        <v/>
      </c>
    </row>
    <row r="848" spans="1:23" ht="15.75" customHeight="1" x14ac:dyDescent="0.25">
      <c r="A848" s="5" t="str">
        <f>IF(ISNONTEXT(deployment_raw[[#This Row],[Column1]]), "", deployment_raw[[#This Row],[Column1]])</f>
        <v/>
      </c>
      <c r="B848" s="6" t="str">
        <f>IF(ISNONTEXT(deployment_raw[[#This Row],[Column2]]), "", deployment_raw[[#This Row],[Column2]])</f>
        <v/>
      </c>
      <c r="C848" s="6" t="str">
        <f>IF(ISNONTEXT(deployment_raw[[#This Row],[Column3]]), "", deployment_raw[[#This Row],[Column3]])</f>
        <v/>
      </c>
      <c r="D848" s="6" t="str">
        <f>IF(ISNONTEXT(deployment_raw[[#This Row],[Column4]]), "", deployment_raw[[#This Row],[Column4]])</f>
        <v/>
      </c>
      <c r="E848" s="7" t="str">
        <f>IF(ISNUMBER(deployment_raw[[#This Row],[Column5]]), deployment_raw[[#This Row],[Column5]],"")</f>
        <v/>
      </c>
      <c r="F848" s="32" t="str">
        <f>IF(ISNUMBER(deployment_raw[[#This Row],[Column17]]), deployment_raw[[#This Row],[Column17]]/IF(OR($E$2="Deployment",deployment_raw[[#This Row],[Column5]]=0),1,deployment_raw[[#This Row],[Column5]]),"")</f>
        <v/>
      </c>
      <c r="G848" s="42" t="str">
        <f>IF(ISNUMBER(deployment_raw[[#This Row],[Column14]]), deployment_raw[[#This Row],[Column14]]/IF(OR($E$2="Deployment",deployment_raw[[#This Row],[Column5]]=0),1,deployment_raw[[#This Row],[Column5]]),"")</f>
        <v/>
      </c>
      <c r="H848" s="79" t="str">
        <f>IF(ISNUMBER(deployment_raw[[#This Row],[Column19]]), IF(I848&lt;&gt;0,(deployment_raw[[#This Row],[Column19]]/IF(OR($E$2="Deployment",deployment_raw[[#This Row],[Column5]]=0),1,deployment_raw[[#This Row],[Column5]]))/I848,0),"")</f>
        <v/>
      </c>
      <c r="I848" s="69" t="str">
        <f>IF(ISNUMBER(deployment_raw[[#This Row],[Column6]]), (deployment_raw[[#This Row],[Column6]] * IF($E$2="Deployment",deployment_raw[[#This Row],[Column5]],1)),"")</f>
        <v/>
      </c>
      <c r="J848" s="79" t="str">
        <f>IF(ISNUMBER(deployment_raw[[#This Row],[Column19]]), IF(K848&lt;&gt;0,(deployment_raw[[#This Row],[Column19]]/IF(OR($E$2="Deployment",deployment_raw[[#This Row],[Column5]]=0),1,deployment_raw[[#This Row],[Column5]]))/K848,0),"")</f>
        <v/>
      </c>
      <c r="K848" s="72" t="str">
        <f>IF(ISNUMBER(deployment_raw[[#This Row],[Column8]]), (deployment_raw[[#This Row],[Column8]]  * IF($E$2="Deployment",deployment_raw[[#This Row],[Column5]],1)),"")</f>
        <v/>
      </c>
      <c r="L84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4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48" s="81" t="str">
        <f>IF(ISNUMBER(deployment_raw[[#This Row],[Column20]]), IF(O848&lt;&gt;0,deployment_raw[[#This Row],[Column20]]/IF(OR($E$2="Deployment",deployment_raw[[#This Row],[Column5]]=0),1,deployment_raw[[#This Row],[Column5]])/1048576/O848,0),"")</f>
        <v/>
      </c>
      <c r="O848" s="74" t="str">
        <f>IF(ISNUMBER(deployment_raw[[#This Row],[Column7]]), (deployment_raw[[#This Row],[Column7]] * IF($E$2="Deployment",deployment_raw[[#This Row],[Column5]],1))/1048576,"")</f>
        <v/>
      </c>
      <c r="P848" s="81" t="str">
        <f>IF(ISNUMBER(deployment_raw[[#This Row],[Column20]]), IF(Q848&lt;&gt;0,deployment_raw[[#This Row],[Column20]]/IF(OR($E$2="Deployment",deployment_raw[[#This Row],[Column5]]=0),1,deployment_raw[[#This Row],[Column5]])/1048576/Q848,0),"")</f>
        <v/>
      </c>
      <c r="Q848" s="76" t="str">
        <f>IF(ISNUMBER(deployment_raw[[#This Row],[Column9]]), (deployment_raw[[#This Row],[Column9]] * IF($E$2="Deployment",deployment_raw[[#This Row],[Column5]],1))/1048576,"")</f>
        <v/>
      </c>
      <c r="R848" s="57" t="str">
        <f>IF(ISNUMBER(deployment_raw[[#This Row],[Column10]]), (deployment_raw[[#This Row],[Column10]] * IF($E$2="Deployment",deployment_raw[[#This Row],[Column5]],1)),"")</f>
        <v/>
      </c>
      <c r="S848" s="48" t="str">
        <f>IF(ISNUMBER(deployment_raw[[#This Row],[Column11]]), (deployment_raw[[#This Row],[Column11]] * IF($E$2="Deployment",deployment_raw[[#This Row],[Column5]],1))/1048576,"")</f>
        <v/>
      </c>
      <c r="T848" s="59" t="str">
        <f>IF(ISNUMBER(deployment_raw[[#This Row],[Column8]]),IF(OR(deployment_raw[[#This Row],[Column5]] &lt;&gt; 0,$E$2 &lt;&gt; "Deployment"), MAX(V848, ($T$2 * IF($E$2="Deployment",deployment_raw[[#This Row],[Column5]],1))), 0),"")</f>
        <v/>
      </c>
      <c r="U848" s="50" t="str">
        <f>IF(ISNUMBER(deployment_raw[[#This Row],[Column9]]),IF(OR(deployment_raw[[#This Row],[Column5]] &lt;&gt; 0,$E$2&lt;&gt;"Deployment"), MAX(W848, ($U$2 * IF($E$2="Deployment",deployment_raw[[#This Row],[Column5]],1))), 0),"")</f>
        <v/>
      </c>
      <c r="V848" s="15" t="str">
        <f>IF(ISNUMBER(deployment_raw[[#This Row],[Column12]]), (deployment_raw[[#This Row],[Column12]] * IF($E$2="Deployment",deployment_raw[[#This Row],[Column5]],1)*(1+$V$2)),"")</f>
        <v/>
      </c>
      <c r="W848" s="14" t="str">
        <f>IF(ISNUMBER(deployment_raw[[#This Row],[Column13]]), (deployment_raw[[#This Row],[Column13]] * IF($E$2="Deployment",deployment_raw[[#This Row],[Column5]],1)*(1+$W$2))/1048576,"")</f>
        <v/>
      </c>
    </row>
    <row r="849" spans="1:23" ht="15.75" customHeight="1" x14ac:dyDescent="0.25">
      <c r="A849" s="5" t="str">
        <f>IF(ISNONTEXT(deployment_raw[[#This Row],[Column1]]), "", deployment_raw[[#This Row],[Column1]])</f>
        <v/>
      </c>
      <c r="B849" s="6" t="str">
        <f>IF(ISNONTEXT(deployment_raw[[#This Row],[Column2]]), "", deployment_raw[[#This Row],[Column2]])</f>
        <v/>
      </c>
      <c r="C849" s="6" t="str">
        <f>IF(ISNONTEXT(deployment_raw[[#This Row],[Column3]]), "", deployment_raw[[#This Row],[Column3]])</f>
        <v/>
      </c>
      <c r="D849" s="6" t="str">
        <f>IF(ISNONTEXT(deployment_raw[[#This Row],[Column4]]), "", deployment_raw[[#This Row],[Column4]])</f>
        <v/>
      </c>
      <c r="E849" s="7" t="str">
        <f>IF(ISNUMBER(deployment_raw[[#This Row],[Column5]]), deployment_raw[[#This Row],[Column5]],"")</f>
        <v/>
      </c>
      <c r="F849" s="32" t="str">
        <f>IF(ISNUMBER(deployment_raw[[#This Row],[Column17]]), deployment_raw[[#This Row],[Column17]]/IF(OR($E$2="Deployment",deployment_raw[[#This Row],[Column5]]=0),1,deployment_raw[[#This Row],[Column5]]),"")</f>
        <v/>
      </c>
      <c r="G849" s="42" t="str">
        <f>IF(ISNUMBER(deployment_raw[[#This Row],[Column14]]), deployment_raw[[#This Row],[Column14]]/IF(OR($E$2="Deployment",deployment_raw[[#This Row],[Column5]]=0),1,deployment_raw[[#This Row],[Column5]]),"")</f>
        <v/>
      </c>
      <c r="H849" s="79" t="str">
        <f>IF(ISNUMBER(deployment_raw[[#This Row],[Column19]]), IF(I849&lt;&gt;0,(deployment_raw[[#This Row],[Column19]]/IF(OR($E$2="Deployment",deployment_raw[[#This Row],[Column5]]=0),1,deployment_raw[[#This Row],[Column5]]))/I849,0),"")</f>
        <v/>
      </c>
      <c r="I849" s="69" t="str">
        <f>IF(ISNUMBER(deployment_raw[[#This Row],[Column6]]), (deployment_raw[[#This Row],[Column6]] * IF($E$2="Deployment",deployment_raw[[#This Row],[Column5]],1)),"")</f>
        <v/>
      </c>
      <c r="J849" s="79" t="str">
        <f>IF(ISNUMBER(deployment_raw[[#This Row],[Column19]]), IF(K849&lt;&gt;0,(deployment_raw[[#This Row],[Column19]]/IF(OR($E$2="Deployment",deployment_raw[[#This Row],[Column5]]=0),1,deployment_raw[[#This Row],[Column5]]))/K849,0),"")</f>
        <v/>
      </c>
      <c r="K849" s="72" t="str">
        <f>IF(ISNUMBER(deployment_raw[[#This Row],[Column8]]), (deployment_raw[[#This Row],[Column8]]  * IF($E$2="Deployment",deployment_raw[[#This Row],[Column5]],1)),"")</f>
        <v/>
      </c>
      <c r="L84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4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49" s="81" t="str">
        <f>IF(ISNUMBER(deployment_raw[[#This Row],[Column20]]), IF(O849&lt;&gt;0,deployment_raw[[#This Row],[Column20]]/IF(OR($E$2="Deployment",deployment_raw[[#This Row],[Column5]]=0),1,deployment_raw[[#This Row],[Column5]])/1048576/O849,0),"")</f>
        <v/>
      </c>
      <c r="O849" s="74" t="str">
        <f>IF(ISNUMBER(deployment_raw[[#This Row],[Column7]]), (deployment_raw[[#This Row],[Column7]] * IF($E$2="Deployment",deployment_raw[[#This Row],[Column5]],1))/1048576,"")</f>
        <v/>
      </c>
      <c r="P849" s="81" t="str">
        <f>IF(ISNUMBER(deployment_raw[[#This Row],[Column20]]), IF(Q849&lt;&gt;0,deployment_raw[[#This Row],[Column20]]/IF(OR($E$2="Deployment",deployment_raw[[#This Row],[Column5]]=0),1,deployment_raw[[#This Row],[Column5]])/1048576/Q849,0),"")</f>
        <v/>
      </c>
      <c r="Q849" s="76" t="str">
        <f>IF(ISNUMBER(deployment_raw[[#This Row],[Column9]]), (deployment_raw[[#This Row],[Column9]] * IF($E$2="Deployment",deployment_raw[[#This Row],[Column5]],1))/1048576,"")</f>
        <v/>
      </c>
      <c r="R849" s="57" t="str">
        <f>IF(ISNUMBER(deployment_raw[[#This Row],[Column10]]), (deployment_raw[[#This Row],[Column10]] * IF($E$2="Deployment",deployment_raw[[#This Row],[Column5]],1)),"")</f>
        <v/>
      </c>
      <c r="S849" s="48" t="str">
        <f>IF(ISNUMBER(deployment_raw[[#This Row],[Column11]]), (deployment_raw[[#This Row],[Column11]] * IF($E$2="Deployment",deployment_raw[[#This Row],[Column5]],1))/1048576,"")</f>
        <v/>
      </c>
      <c r="T849" s="59" t="str">
        <f>IF(ISNUMBER(deployment_raw[[#This Row],[Column8]]),IF(OR(deployment_raw[[#This Row],[Column5]] &lt;&gt; 0,$E$2 &lt;&gt; "Deployment"), MAX(V849, ($T$2 * IF($E$2="Deployment",deployment_raw[[#This Row],[Column5]],1))), 0),"")</f>
        <v/>
      </c>
      <c r="U849" s="50" t="str">
        <f>IF(ISNUMBER(deployment_raw[[#This Row],[Column9]]),IF(OR(deployment_raw[[#This Row],[Column5]] &lt;&gt; 0,$E$2&lt;&gt;"Deployment"), MAX(W849, ($U$2 * IF($E$2="Deployment",deployment_raw[[#This Row],[Column5]],1))), 0),"")</f>
        <v/>
      </c>
      <c r="V849" s="15" t="str">
        <f>IF(ISNUMBER(deployment_raw[[#This Row],[Column12]]), (deployment_raw[[#This Row],[Column12]] * IF($E$2="Deployment",deployment_raw[[#This Row],[Column5]],1)*(1+$V$2)),"")</f>
        <v/>
      </c>
      <c r="W849" s="14" t="str">
        <f>IF(ISNUMBER(deployment_raw[[#This Row],[Column13]]), (deployment_raw[[#This Row],[Column13]] * IF($E$2="Deployment",deployment_raw[[#This Row],[Column5]],1)*(1+$W$2))/1048576,"")</f>
        <v/>
      </c>
    </row>
    <row r="850" spans="1:23" ht="15.75" customHeight="1" x14ac:dyDescent="0.25">
      <c r="A850" s="5" t="str">
        <f>IF(ISNONTEXT(deployment_raw[[#This Row],[Column1]]), "", deployment_raw[[#This Row],[Column1]])</f>
        <v/>
      </c>
      <c r="B850" s="6" t="str">
        <f>IF(ISNONTEXT(deployment_raw[[#This Row],[Column2]]), "", deployment_raw[[#This Row],[Column2]])</f>
        <v/>
      </c>
      <c r="C850" s="6" t="str">
        <f>IF(ISNONTEXT(deployment_raw[[#This Row],[Column3]]), "", deployment_raw[[#This Row],[Column3]])</f>
        <v/>
      </c>
      <c r="D850" s="6" t="str">
        <f>IF(ISNONTEXT(deployment_raw[[#This Row],[Column4]]), "", deployment_raw[[#This Row],[Column4]])</f>
        <v/>
      </c>
      <c r="E850" s="7" t="str">
        <f>IF(ISNUMBER(deployment_raw[[#This Row],[Column5]]), deployment_raw[[#This Row],[Column5]],"")</f>
        <v/>
      </c>
      <c r="F850" s="32" t="str">
        <f>IF(ISNUMBER(deployment_raw[[#This Row],[Column17]]), deployment_raw[[#This Row],[Column17]]/IF(OR($E$2="Deployment",deployment_raw[[#This Row],[Column5]]=0),1,deployment_raw[[#This Row],[Column5]]),"")</f>
        <v/>
      </c>
      <c r="G850" s="42" t="str">
        <f>IF(ISNUMBER(deployment_raw[[#This Row],[Column14]]), deployment_raw[[#This Row],[Column14]]/IF(OR($E$2="Deployment",deployment_raw[[#This Row],[Column5]]=0),1,deployment_raw[[#This Row],[Column5]]),"")</f>
        <v/>
      </c>
      <c r="H850" s="79" t="str">
        <f>IF(ISNUMBER(deployment_raw[[#This Row],[Column19]]), IF(I850&lt;&gt;0,(deployment_raw[[#This Row],[Column19]]/IF(OR($E$2="Deployment",deployment_raw[[#This Row],[Column5]]=0),1,deployment_raw[[#This Row],[Column5]]))/I850,0),"")</f>
        <v/>
      </c>
      <c r="I850" s="69" t="str">
        <f>IF(ISNUMBER(deployment_raw[[#This Row],[Column6]]), (deployment_raw[[#This Row],[Column6]] * IF($E$2="Deployment",deployment_raw[[#This Row],[Column5]],1)),"")</f>
        <v/>
      </c>
      <c r="J850" s="79" t="str">
        <f>IF(ISNUMBER(deployment_raw[[#This Row],[Column19]]), IF(K850&lt;&gt;0,(deployment_raw[[#This Row],[Column19]]/IF(OR($E$2="Deployment",deployment_raw[[#This Row],[Column5]]=0),1,deployment_raw[[#This Row],[Column5]]))/K850,0),"")</f>
        <v/>
      </c>
      <c r="K850" s="72" t="str">
        <f>IF(ISNUMBER(deployment_raw[[#This Row],[Column8]]), (deployment_raw[[#This Row],[Column8]]  * IF($E$2="Deployment",deployment_raw[[#This Row],[Column5]],1)),"")</f>
        <v/>
      </c>
      <c r="L85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5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50" s="81" t="str">
        <f>IF(ISNUMBER(deployment_raw[[#This Row],[Column20]]), IF(O850&lt;&gt;0,deployment_raw[[#This Row],[Column20]]/IF(OR($E$2="Deployment",deployment_raw[[#This Row],[Column5]]=0),1,deployment_raw[[#This Row],[Column5]])/1048576/O850,0),"")</f>
        <v/>
      </c>
      <c r="O850" s="74" t="str">
        <f>IF(ISNUMBER(deployment_raw[[#This Row],[Column7]]), (deployment_raw[[#This Row],[Column7]] * IF($E$2="Deployment",deployment_raw[[#This Row],[Column5]],1))/1048576,"")</f>
        <v/>
      </c>
      <c r="P850" s="81" t="str">
        <f>IF(ISNUMBER(deployment_raw[[#This Row],[Column20]]), IF(Q850&lt;&gt;0,deployment_raw[[#This Row],[Column20]]/IF(OR($E$2="Deployment",deployment_raw[[#This Row],[Column5]]=0),1,deployment_raw[[#This Row],[Column5]])/1048576/Q850,0),"")</f>
        <v/>
      </c>
      <c r="Q850" s="76" t="str">
        <f>IF(ISNUMBER(deployment_raw[[#This Row],[Column9]]), (deployment_raw[[#This Row],[Column9]] * IF($E$2="Deployment",deployment_raw[[#This Row],[Column5]],1))/1048576,"")</f>
        <v/>
      </c>
      <c r="R850" s="57" t="str">
        <f>IF(ISNUMBER(deployment_raw[[#This Row],[Column10]]), (deployment_raw[[#This Row],[Column10]] * IF($E$2="Deployment",deployment_raw[[#This Row],[Column5]],1)),"")</f>
        <v/>
      </c>
      <c r="S850" s="48" t="str">
        <f>IF(ISNUMBER(deployment_raw[[#This Row],[Column11]]), (deployment_raw[[#This Row],[Column11]] * IF($E$2="Deployment",deployment_raw[[#This Row],[Column5]],1))/1048576,"")</f>
        <v/>
      </c>
      <c r="T850" s="59" t="str">
        <f>IF(ISNUMBER(deployment_raw[[#This Row],[Column8]]),IF(OR(deployment_raw[[#This Row],[Column5]] &lt;&gt; 0,$E$2 &lt;&gt; "Deployment"), MAX(V850, ($T$2 * IF($E$2="Deployment",deployment_raw[[#This Row],[Column5]],1))), 0),"")</f>
        <v/>
      </c>
      <c r="U850" s="50" t="str">
        <f>IF(ISNUMBER(deployment_raw[[#This Row],[Column9]]),IF(OR(deployment_raw[[#This Row],[Column5]] &lt;&gt; 0,$E$2&lt;&gt;"Deployment"), MAX(W850, ($U$2 * IF($E$2="Deployment",deployment_raw[[#This Row],[Column5]],1))), 0),"")</f>
        <v/>
      </c>
      <c r="V850" s="15" t="str">
        <f>IF(ISNUMBER(deployment_raw[[#This Row],[Column12]]), (deployment_raw[[#This Row],[Column12]] * IF($E$2="Deployment",deployment_raw[[#This Row],[Column5]],1)*(1+$V$2)),"")</f>
        <v/>
      </c>
      <c r="W850" s="14" t="str">
        <f>IF(ISNUMBER(deployment_raw[[#This Row],[Column13]]), (deployment_raw[[#This Row],[Column13]] * IF($E$2="Deployment",deployment_raw[[#This Row],[Column5]],1)*(1+$W$2))/1048576,"")</f>
        <v/>
      </c>
    </row>
    <row r="851" spans="1:23" ht="15.75" customHeight="1" x14ac:dyDescent="0.25">
      <c r="A851" s="5" t="str">
        <f>IF(ISNONTEXT(deployment_raw[[#This Row],[Column1]]), "", deployment_raw[[#This Row],[Column1]])</f>
        <v/>
      </c>
      <c r="B851" s="6" t="str">
        <f>IF(ISNONTEXT(deployment_raw[[#This Row],[Column2]]), "", deployment_raw[[#This Row],[Column2]])</f>
        <v/>
      </c>
      <c r="C851" s="6" t="str">
        <f>IF(ISNONTEXT(deployment_raw[[#This Row],[Column3]]), "", deployment_raw[[#This Row],[Column3]])</f>
        <v/>
      </c>
      <c r="D851" s="6" t="str">
        <f>IF(ISNONTEXT(deployment_raw[[#This Row],[Column4]]), "", deployment_raw[[#This Row],[Column4]])</f>
        <v/>
      </c>
      <c r="E851" s="7" t="str">
        <f>IF(ISNUMBER(deployment_raw[[#This Row],[Column5]]), deployment_raw[[#This Row],[Column5]],"")</f>
        <v/>
      </c>
      <c r="F851" s="32" t="str">
        <f>IF(ISNUMBER(deployment_raw[[#This Row],[Column17]]), deployment_raw[[#This Row],[Column17]]/IF(OR($E$2="Deployment",deployment_raw[[#This Row],[Column5]]=0),1,deployment_raw[[#This Row],[Column5]]),"")</f>
        <v/>
      </c>
      <c r="G851" s="42" t="str">
        <f>IF(ISNUMBER(deployment_raw[[#This Row],[Column14]]), deployment_raw[[#This Row],[Column14]]/IF(OR($E$2="Deployment",deployment_raw[[#This Row],[Column5]]=0),1,deployment_raw[[#This Row],[Column5]]),"")</f>
        <v/>
      </c>
      <c r="H851" s="79" t="str">
        <f>IF(ISNUMBER(deployment_raw[[#This Row],[Column19]]), IF(I851&lt;&gt;0,(deployment_raw[[#This Row],[Column19]]/IF(OR($E$2="Deployment",deployment_raw[[#This Row],[Column5]]=0),1,deployment_raw[[#This Row],[Column5]]))/I851,0),"")</f>
        <v/>
      </c>
      <c r="I851" s="69" t="str">
        <f>IF(ISNUMBER(deployment_raw[[#This Row],[Column6]]), (deployment_raw[[#This Row],[Column6]] * IF($E$2="Deployment",deployment_raw[[#This Row],[Column5]],1)),"")</f>
        <v/>
      </c>
      <c r="J851" s="79" t="str">
        <f>IF(ISNUMBER(deployment_raw[[#This Row],[Column19]]), IF(K851&lt;&gt;0,(deployment_raw[[#This Row],[Column19]]/IF(OR($E$2="Deployment",deployment_raw[[#This Row],[Column5]]=0),1,deployment_raw[[#This Row],[Column5]]))/K851,0),"")</f>
        <v/>
      </c>
      <c r="K851" s="72" t="str">
        <f>IF(ISNUMBER(deployment_raw[[#This Row],[Column8]]), (deployment_raw[[#This Row],[Column8]]  * IF($E$2="Deployment",deployment_raw[[#This Row],[Column5]],1)),"")</f>
        <v/>
      </c>
      <c r="L85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5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51" s="81" t="str">
        <f>IF(ISNUMBER(deployment_raw[[#This Row],[Column20]]), IF(O851&lt;&gt;0,deployment_raw[[#This Row],[Column20]]/IF(OR($E$2="Deployment",deployment_raw[[#This Row],[Column5]]=0),1,deployment_raw[[#This Row],[Column5]])/1048576/O851,0),"")</f>
        <v/>
      </c>
      <c r="O851" s="74" t="str">
        <f>IF(ISNUMBER(deployment_raw[[#This Row],[Column7]]), (deployment_raw[[#This Row],[Column7]] * IF($E$2="Deployment",deployment_raw[[#This Row],[Column5]],1))/1048576,"")</f>
        <v/>
      </c>
      <c r="P851" s="81" t="str">
        <f>IF(ISNUMBER(deployment_raw[[#This Row],[Column20]]), IF(Q851&lt;&gt;0,deployment_raw[[#This Row],[Column20]]/IF(OR($E$2="Deployment",deployment_raw[[#This Row],[Column5]]=0),1,deployment_raw[[#This Row],[Column5]])/1048576/Q851,0),"")</f>
        <v/>
      </c>
      <c r="Q851" s="76" t="str">
        <f>IF(ISNUMBER(deployment_raw[[#This Row],[Column9]]), (deployment_raw[[#This Row],[Column9]] * IF($E$2="Deployment",deployment_raw[[#This Row],[Column5]],1))/1048576,"")</f>
        <v/>
      </c>
      <c r="R851" s="57" t="str">
        <f>IF(ISNUMBER(deployment_raw[[#This Row],[Column10]]), (deployment_raw[[#This Row],[Column10]] * IF($E$2="Deployment",deployment_raw[[#This Row],[Column5]],1)),"")</f>
        <v/>
      </c>
      <c r="S851" s="48" t="str">
        <f>IF(ISNUMBER(deployment_raw[[#This Row],[Column11]]), (deployment_raw[[#This Row],[Column11]] * IF($E$2="Deployment",deployment_raw[[#This Row],[Column5]],1))/1048576,"")</f>
        <v/>
      </c>
      <c r="T851" s="59" t="str">
        <f>IF(ISNUMBER(deployment_raw[[#This Row],[Column8]]),IF(OR(deployment_raw[[#This Row],[Column5]] &lt;&gt; 0,$E$2 &lt;&gt; "Deployment"), MAX(V851, ($T$2 * IF($E$2="Deployment",deployment_raw[[#This Row],[Column5]],1))), 0),"")</f>
        <v/>
      </c>
      <c r="U851" s="50" t="str">
        <f>IF(ISNUMBER(deployment_raw[[#This Row],[Column9]]),IF(OR(deployment_raw[[#This Row],[Column5]] &lt;&gt; 0,$E$2&lt;&gt;"Deployment"), MAX(W851, ($U$2 * IF($E$2="Deployment",deployment_raw[[#This Row],[Column5]],1))), 0),"")</f>
        <v/>
      </c>
      <c r="V851" s="15" t="str">
        <f>IF(ISNUMBER(deployment_raw[[#This Row],[Column12]]), (deployment_raw[[#This Row],[Column12]] * IF($E$2="Deployment",deployment_raw[[#This Row],[Column5]],1)*(1+$V$2)),"")</f>
        <v/>
      </c>
      <c r="W851" s="14" t="str">
        <f>IF(ISNUMBER(deployment_raw[[#This Row],[Column13]]), (deployment_raw[[#This Row],[Column13]] * IF($E$2="Deployment",deployment_raw[[#This Row],[Column5]],1)*(1+$W$2))/1048576,"")</f>
        <v/>
      </c>
    </row>
    <row r="852" spans="1:23" ht="15.75" customHeight="1" x14ac:dyDescent="0.25">
      <c r="A852" s="5" t="str">
        <f>IF(ISNONTEXT(deployment_raw[[#This Row],[Column1]]), "", deployment_raw[[#This Row],[Column1]])</f>
        <v/>
      </c>
      <c r="B852" s="6" t="str">
        <f>IF(ISNONTEXT(deployment_raw[[#This Row],[Column2]]), "", deployment_raw[[#This Row],[Column2]])</f>
        <v/>
      </c>
      <c r="C852" s="6" t="str">
        <f>IF(ISNONTEXT(deployment_raw[[#This Row],[Column3]]), "", deployment_raw[[#This Row],[Column3]])</f>
        <v/>
      </c>
      <c r="D852" s="6" t="str">
        <f>IF(ISNONTEXT(deployment_raw[[#This Row],[Column4]]), "", deployment_raw[[#This Row],[Column4]])</f>
        <v/>
      </c>
      <c r="E852" s="7" t="str">
        <f>IF(ISNUMBER(deployment_raw[[#This Row],[Column5]]), deployment_raw[[#This Row],[Column5]],"")</f>
        <v/>
      </c>
      <c r="F852" s="32" t="str">
        <f>IF(ISNUMBER(deployment_raw[[#This Row],[Column17]]), deployment_raw[[#This Row],[Column17]]/IF(OR($E$2="Deployment",deployment_raw[[#This Row],[Column5]]=0),1,deployment_raw[[#This Row],[Column5]]),"")</f>
        <v/>
      </c>
      <c r="G852" s="42" t="str">
        <f>IF(ISNUMBER(deployment_raw[[#This Row],[Column14]]), deployment_raw[[#This Row],[Column14]]/IF(OR($E$2="Deployment",deployment_raw[[#This Row],[Column5]]=0),1,deployment_raw[[#This Row],[Column5]]),"")</f>
        <v/>
      </c>
      <c r="H852" s="79" t="str">
        <f>IF(ISNUMBER(deployment_raw[[#This Row],[Column19]]), IF(I852&lt;&gt;0,(deployment_raw[[#This Row],[Column19]]/IF(OR($E$2="Deployment",deployment_raw[[#This Row],[Column5]]=0),1,deployment_raw[[#This Row],[Column5]]))/I852,0),"")</f>
        <v/>
      </c>
      <c r="I852" s="69" t="str">
        <f>IF(ISNUMBER(deployment_raw[[#This Row],[Column6]]), (deployment_raw[[#This Row],[Column6]] * IF($E$2="Deployment",deployment_raw[[#This Row],[Column5]],1)),"")</f>
        <v/>
      </c>
      <c r="J852" s="79" t="str">
        <f>IF(ISNUMBER(deployment_raw[[#This Row],[Column19]]), IF(K852&lt;&gt;0,(deployment_raw[[#This Row],[Column19]]/IF(OR($E$2="Deployment",deployment_raw[[#This Row],[Column5]]=0),1,deployment_raw[[#This Row],[Column5]]))/K852,0),"")</f>
        <v/>
      </c>
      <c r="K852" s="72" t="str">
        <f>IF(ISNUMBER(deployment_raw[[#This Row],[Column8]]), (deployment_raw[[#This Row],[Column8]]  * IF($E$2="Deployment",deployment_raw[[#This Row],[Column5]],1)),"")</f>
        <v/>
      </c>
      <c r="L85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5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52" s="81" t="str">
        <f>IF(ISNUMBER(deployment_raw[[#This Row],[Column20]]), IF(O852&lt;&gt;0,deployment_raw[[#This Row],[Column20]]/IF(OR($E$2="Deployment",deployment_raw[[#This Row],[Column5]]=0),1,deployment_raw[[#This Row],[Column5]])/1048576/O852,0),"")</f>
        <v/>
      </c>
      <c r="O852" s="74" t="str">
        <f>IF(ISNUMBER(deployment_raw[[#This Row],[Column7]]), (deployment_raw[[#This Row],[Column7]] * IF($E$2="Deployment",deployment_raw[[#This Row],[Column5]],1))/1048576,"")</f>
        <v/>
      </c>
      <c r="P852" s="81" t="str">
        <f>IF(ISNUMBER(deployment_raw[[#This Row],[Column20]]), IF(Q852&lt;&gt;0,deployment_raw[[#This Row],[Column20]]/IF(OR($E$2="Deployment",deployment_raw[[#This Row],[Column5]]=0),1,deployment_raw[[#This Row],[Column5]])/1048576/Q852,0),"")</f>
        <v/>
      </c>
      <c r="Q852" s="76" t="str">
        <f>IF(ISNUMBER(deployment_raw[[#This Row],[Column9]]), (deployment_raw[[#This Row],[Column9]] * IF($E$2="Deployment",deployment_raw[[#This Row],[Column5]],1))/1048576,"")</f>
        <v/>
      </c>
      <c r="R852" s="57" t="str">
        <f>IF(ISNUMBER(deployment_raw[[#This Row],[Column10]]), (deployment_raw[[#This Row],[Column10]] * IF($E$2="Deployment",deployment_raw[[#This Row],[Column5]],1)),"")</f>
        <v/>
      </c>
      <c r="S852" s="48" t="str">
        <f>IF(ISNUMBER(deployment_raw[[#This Row],[Column11]]), (deployment_raw[[#This Row],[Column11]] * IF($E$2="Deployment",deployment_raw[[#This Row],[Column5]],1))/1048576,"")</f>
        <v/>
      </c>
      <c r="T852" s="59" t="str">
        <f>IF(ISNUMBER(deployment_raw[[#This Row],[Column8]]),IF(OR(deployment_raw[[#This Row],[Column5]] &lt;&gt; 0,$E$2 &lt;&gt; "Deployment"), MAX(V852, ($T$2 * IF($E$2="Deployment",deployment_raw[[#This Row],[Column5]],1))), 0),"")</f>
        <v/>
      </c>
      <c r="U852" s="50" t="str">
        <f>IF(ISNUMBER(deployment_raw[[#This Row],[Column9]]),IF(OR(deployment_raw[[#This Row],[Column5]] &lt;&gt; 0,$E$2&lt;&gt;"Deployment"), MAX(W852, ($U$2 * IF($E$2="Deployment",deployment_raw[[#This Row],[Column5]],1))), 0),"")</f>
        <v/>
      </c>
      <c r="V852" s="15" t="str">
        <f>IF(ISNUMBER(deployment_raw[[#This Row],[Column12]]), (deployment_raw[[#This Row],[Column12]] * IF($E$2="Deployment",deployment_raw[[#This Row],[Column5]],1)*(1+$V$2)),"")</f>
        <v/>
      </c>
      <c r="W852" s="14" t="str">
        <f>IF(ISNUMBER(deployment_raw[[#This Row],[Column13]]), (deployment_raw[[#This Row],[Column13]] * IF($E$2="Deployment",deployment_raw[[#This Row],[Column5]],1)*(1+$W$2))/1048576,"")</f>
        <v/>
      </c>
    </row>
    <row r="853" spans="1:23" ht="15.75" customHeight="1" x14ac:dyDescent="0.25">
      <c r="A853" s="5" t="str">
        <f>IF(ISNONTEXT(deployment_raw[[#This Row],[Column1]]), "", deployment_raw[[#This Row],[Column1]])</f>
        <v/>
      </c>
      <c r="B853" s="6" t="str">
        <f>IF(ISNONTEXT(deployment_raw[[#This Row],[Column2]]), "", deployment_raw[[#This Row],[Column2]])</f>
        <v/>
      </c>
      <c r="C853" s="6" t="str">
        <f>IF(ISNONTEXT(deployment_raw[[#This Row],[Column3]]), "", deployment_raw[[#This Row],[Column3]])</f>
        <v/>
      </c>
      <c r="D853" s="6" t="str">
        <f>IF(ISNONTEXT(deployment_raw[[#This Row],[Column4]]), "", deployment_raw[[#This Row],[Column4]])</f>
        <v/>
      </c>
      <c r="E853" s="7" t="str">
        <f>IF(ISNUMBER(deployment_raw[[#This Row],[Column5]]), deployment_raw[[#This Row],[Column5]],"")</f>
        <v/>
      </c>
      <c r="F853" s="32" t="str">
        <f>IF(ISNUMBER(deployment_raw[[#This Row],[Column17]]), deployment_raw[[#This Row],[Column17]]/IF(OR($E$2="Deployment",deployment_raw[[#This Row],[Column5]]=0),1,deployment_raw[[#This Row],[Column5]]),"")</f>
        <v/>
      </c>
      <c r="G853" s="42" t="str">
        <f>IF(ISNUMBER(deployment_raw[[#This Row],[Column14]]), deployment_raw[[#This Row],[Column14]]/IF(OR($E$2="Deployment",deployment_raw[[#This Row],[Column5]]=0),1,deployment_raw[[#This Row],[Column5]]),"")</f>
        <v/>
      </c>
      <c r="H853" s="79" t="str">
        <f>IF(ISNUMBER(deployment_raw[[#This Row],[Column19]]), IF(I853&lt;&gt;0,(deployment_raw[[#This Row],[Column19]]/IF(OR($E$2="Deployment",deployment_raw[[#This Row],[Column5]]=0),1,deployment_raw[[#This Row],[Column5]]))/I853,0),"")</f>
        <v/>
      </c>
      <c r="I853" s="69" t="str">
        <f>IF(ISNUMBER(deployment_raw[[#This Row],[Column6]]), (deployment_raw[[#This Row],[Column6]] * IF($E$2="Deployment",deployment_raw[[#This Row],[Column5]],1)),"")</f>
        <v/>
      </c>
      <c r="J853" s="79" t="str">
        <f>IF(ISNUMBER(deployment_raw[[#This Row],[Column19]]), IF(K853&lt;&gt;0,(deployment_raw[[#This Row],[Column19]]/IF(OR($E$2="Deployment",deployment_raw[[#This Row],[Column5]]=0),1,deployment_raw[[#This Row],[Column5]]))/K853,0),"")</f>
        <v/>
      </c>
      <c r="K853" s="72" t="str">
        <f>IF(ISNUMBER(deployment_raw[[#This Row],[Column8]]), (deployment_raw[[#This Row],[Column8]]  * IF($E$2="Deployment",deployment_raw[[#This Row],[Column5]],1)),"")</f>
        <v/>
      </c>
      <c r="L85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5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53" s="81" t="str">
        <f>IF(ISNUMBER(deployment_raw[[#This Row],[Column20]]), IF(O853&lt;&gt;0,deployment_raw[[#This Row],[Column20]]/IF(OR($E$2="Deployment",deployment_raw[[#This Row],[Column5]]=0),1,deployment_raw[[#This Row],[Column5]])/1048576/O853,0),"")</f>
        <v/>
      </c>
      <c r="O853" s="74" t="str">
        <f>IF(ISNUMBER(deployment_raw[[#This Row],[Column7]]), (deployment_raw[[#This Row],[Column7]] * IF($E$2="Deployment",deployment_raw[[#This Row],[Column5]],1))/1048576,"")</f>
        <v/>
      </c>
      <c r="P853" s="81" t="str">
        <f>IF(ISNUMBER(deployment_raw[[#This Row],[Column20]]), IF(Q853&lt;&gt;0,deployment_raw[[#This Row],[Column20]]/IF(OR($E$2="Deployment",deployment_raw[[#This Row],[Column5]]=0),1,deployment_raw[[#This Row],[Column5]])/1048576/Q853,0),"")</f>
        <v/>
      </c>
      <c r="Q853" s="76" t="str">
        <f>IF(ISNUMBER(deployment_raw[[#This Row],[Column9]]), (deployment_raw[[#This Row],[Column9]] * IF($E$2="Deployment",deployment_raw[[#This Row],[Column5]],1))/1048576,"")</f>
        <v/>
      </c>
      <c r="R853" s="57" t="str">
        <f>IF(ISNUMBER(deployment_raw[[#This Row],[Column10]]), (deployment_raw[[#This Row],[Column10]] * IF($E$2="Deployment",deployment_raw[[#This Row],[Column5]],1)),"")</f>
        <v/>
      </c>
      <c r="S853" s="48" t="str">
        <f>IF(ISNUMBER(deployment_raw[[#This Row],[Column11]]), (deployment_raw[[#This Row],[Column11]] * IF($E$2="Deployment",deployment_raw[[#This Row],[Column5]],1))/1048576,"")</f>
        <v/>
      </c>
      <c r="T853" s="59" t="str">
        <f>IF(ISNUMBER(deployment_raw[[#This Row],[Column8]]),IF(OR(deployment_raw[[#This Row],[Column5]] &lt;&gt; 0,$E$2 &lt;&gt; "Deployment"), MAX(V853, ($T$2 * IF($E$2="Deployment",deployment_raw[[#This Row],[Column5]],1))), 0),"")</f>
        <v/>
      </c>
      <c r="U853" s="50" t="str">
        <f>IF(ISNUMBER(deployment_raw[[#This Row],[Column9]]),IF(OR(deployment_raw[[#This Row],[Column5]] &lt;&gt; 0,$E$2&lt;&gt;"Deployment"), MAX(W853, ($U$2 * IF($E$2="Deployment",deployment_raw[[#This Row],[Column5]],1))), 0),"")</f>
        <v/>
      </c>
      <c r="V853" s="15" t="str">
        <f>IF(ISNUMBER(deployment_raw[[#This Row],[Column12]]), (deployment_raw[[#This Row],[Column12]] * IF($E$2="Deployment",deployment_raw[[#This Row],[Column5]],1)*(1+$V$2)),"")</f>
        <v/>
      </c>
      <c r="W853" s="14" t="str">
        <f>IF(ISNUMBER(deployment_raw[[#This Row],[Column13]]), (deployment_raw[[#This Row],[Column13]] * IF($E$2="Deployment",deployment_raw[[#This Row],[Column5]],1)*(1+$W$2))/1048576,"")</f>
        <v/>
      </c>
    </row>
    <row r="854" spans="1:23" ht="15.75" customHeight="1" x14ac:dyDescent="0.25">
      <c r="A854" s="5" t="str">
        <f>IF(ISNONTEXT(deployment_raw[[#This Row],[Column1]]), "", deployment_raw[[#This Row],[Column1]])</f>
        <v/>
      </c>
      <c r="B854" s="6" t="str">
        <f>IF(ISNONTEXT(deployment_raw[[#This Row],[Column2]]), "", deployment_raw[[#This Row],[Column2]])</f>
        <v/>
      </c>
      <c r="C854" s="6" t="str">
        <f>IF(ISNONTEXT(deployment_raw[[#This Row],[Column3]]), "", deployment_raw[[#This Row],[Column3]])</f>
        <v/>
      </c>
      <c r="D854" s="6" t="str">
        <f>IF(ISNONTEXT(deployment_raw[[#This Row],[Column4]]), "", deployment_raw[[#This Row],[Column4]])</f>
        <v/>
      </c>
      <c r="E854" s="7" t="str">
        <f>IF(ISNUMBER(deployment_raw[[#This Row],[Column5]]), deployment_raw[[#This Row],[Column5]],"")</f>
        <v/>
      </c>
      <c r="F854" s="32" t="str">
        <f>IF(ISNUMBER(deployment_raw[[#This Row],[Column17]]), deployment_raw[[#This Row],[Column17]]/IF(OR($E$2="Deployment",deployment_raw[[#This Row],[Column5]]=0),1,deployment_raw[[#This Row],[Column5]]),"")</f>
        <v/>
      </c>
      <c r="G854" s="42" t="str">
        <f>IF(ISNUMBER(deployment_raw[[#This Row],[Column14]]), deployment_raw[[#This Row],[Column14]]/IF(OR($E$2="Deployment",deployment_raw[[#This Row],[Column5]]=0),1,deployment_raw[[#This Row],[Column5]]),"")</f>
        <v/>
      </c>
      <c r="H854" s="79" t="str">
        <f>IF(ISNUMBER(deployment_raw[[#This Row],[Column19]]), IF(I854&lt;&gt;0,(deployment_raw[[#This Row],[Column19]]/IF(OR($E$2="Deployment",deployment_raw[[#This Row],[Column5]]=0),1,deployment_raw[[#This Row],[Column5]]))/I854,0),"")</f>
        <v/>
      </c>
      <c r="I854" s="69" t="str">
        <f>IF(ISNUMBER(deployment_raw[[#This Row],[Column6]]), (deployment_raw[[#This Row],[Column6]] * IF($E$2="Deployment",deployment_raw[[#This Row],[Column5]],1)),"")</f>
        <v/>
      </c>
      <c r="J854" s="79" t="str">
        <f>IF(ISNUMBER(deployment_raw[[#This Row],[Column19]]), IF(K854&lt;&gt;0,(deployment_raw[[#This Row],[Column19]]/IF(OR($E$2="Deployment",deployment_raw[[#This Row],[Column5]]=0),1,deployment_raw[[#This Row],[Column5]]))/K854,0),"")</f>
        <v/>
      </c>
      <c r="K854" s="72" t="str">
        <f>IF(ISNUMBER(deployment_raw[[#This Row],[Column8]]), (deployment_raw[[#This Row],[Column8]]  * IF($E$2="Deployment",deployment_raw[[#This Row],[Column5]],1)),"")</f>
        <v/>
      </c>
      <c r="L85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5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54" s="81" t="str">
        <f>IF(ISNUMBER(deployment_raw[[#This Row],[Column20]]), IF(O854&lt;&gt;0,deployment_raw[[#This Row],[Column20]]/IF(OR($E$2="Deployment",deployment_raw[[#This Row],[Column5]]=0),1,deployment_raw[[#This Row],[Column5]])/1048576/O854,0),"")</f>
        <v/>
      </c>
      <c r="O854" s="74" t="str">
        <f>IF(ISNUMBER(deployment_raw[[#This Row],[Column7]]), (deployment_raw[[#This Row],[Column7]] * IF($E$2="Deployment",deployment_raw[[#This Row],[Column5]],1))/1048576,"")</f>
        <v/>
      </c>
      <c r="P854" s="81" t="str">
        <f>IF(ISNUMBER(deployment_raw[[#This Row],[Column20]]), IF(Q854&lt;&gt;0,deployment_raw[[#This Row],[Column20]]/IF(OR($E$2="Deployment",deployment_raw[[#This Row],[Column5]]=0),1,deployment_raw[[#This Row],[Column5]])/1048576/Q854,0),"")</f>
        <v/>
      </c>
      <c r="Q854" s="76" t="str">
        <f>IF(ISNUMBER(deployment_raw[[#This Row],[Column9]]), (deployment_raw[[#This Row],[Column9]] * IF($E$2="Deployment",deployment_raw[[#This Row],[Column5]],1))/1048576,"")</f>
        <v/>
      </c>
      <c r="R854" s="57" t="str">
        <f>IF(ISNUMBER(deployment_raw[[#This Row],[Column10]]), (deployment_raw[[#This Row],[Column10]] * IF($E$2="Deployment",deployment_raw[[#This Row],[Column5]],1)),"")</f>
        <v/>
      </c>
      <c r="S854" s="48" t="str">
        <f>IF(ISNUMBER(deployment_raw[[#This Row],[Column11]]), (deployment_raw[[#This Row],[Column11]] * IF($E$2="Deployment",deployment_raw[[#This Row],[Column5]],1))/1048576,"")</f>
        <v/>
      </c>
      <c r="T854" s="59" t="str">
        <f>IF(ISNUMBER(deployment_raw[[#This Row],[Column8]]),IF(OR(deployment_raw[[#This Row],[Column5]] &lt;&gt; 0,$E$2 &lt;&gt; "Deployment"), MAX(V854, ($T$2 * IF($E$2="Deployment",deployment_raw[[#This Row],[Column5]],1))), 0),"")</f>
        <v/>
      </c>
      <c r="U854" s="50" t="str">
        <f>IF(ISNUMBER(deployment_raw[[#This Row],[Column9]]),IF(OR(deployment_raw[[#This Row],[Column5]] &lt;&gt; 0,$E$2&lt;&gt;"Deployment"), MAX(W854, ($U$2 * IF($E$2="Deployment",deployment_raw[[#This Row],[Column5]],1))), 0),"")</f>
        <v/>
      </c>
      <c r="V854" s="15" t="str">
        <f>IF(ISNUMBER(deployment_raw[[#This Row],[Column12]]), (deployment_raw[[#This Row],[Column12]] * IF($E$2="Deployment",deployment_raw[[#This Row],[Column5]],1)*(1+$V$2)),"")</f>
        <v/>
      </c>
      <c r="W854" s="14" t="str">
        <f>IF(ISNUMBER(deployment_raw[[#This Row],[Column13]]), (deployment_raw[[#This Row],[Column13]] * IF($E$2="Deployment",deployment_raw[[#This Row],[Column5]],1)*(1+$W$2))/1048576,"")</f>
        <v/>
      </c>
    </row>
    <row r="855" spans="1:23" ht="15.75" customHeight="1" x14ac:dyDescent="0.25">
      <c r="A855" s="5" t="str">
        <f>IF(ISNONTEXT(deployment_raw[[#This Row],[Column1]]), "", deployment_raw[[#This Row],[Column1]])</f>
        <v/>
      </c>
      <c r="B855" s="6" t="str">
        <f>IF(ISNONTEXT(deployment_raw[[#This Row],[Column2]]), "", deployment_raw[[#This Row],[Column2]])</f>
        <v/>
      </c>
      <c r="C855" s="6" t="str">
        <f>IF(ISNONTEXT(deployment_raw[[#This Row],[Column3]]), "", deployment_raw[[#This Row],[Column3]])</f>
        <v/>
      </c>
      <c r="D855" s="6" t="str">
        <f>IF(ISNONTEXT(deployment_raw[[#This Row],[Column4]]), "", deployment_raw[[#This Row],[Column4]])</f>
        <v/>
      </c>
      <c r="E855" s="7" t="str">
        <f>IF(ISNUMBER(deployment_raw[[#This Row],[Column5]]), deployment_raw[[#This Row],[Column5]],"")</f>
        <v/>
      </c>
      <c r="F855" s="32" t="str">
        <f>IF(ISNUMBER(deployment_raw[[#This Row],[Column17]]), deployment_raw[[#This Row],[Column17]]/IF(OR($E$2="Deployment",deployment_raw[[#This Row],[Column5]]=0),1,deployment_raw[[#This Row],[Column5]]),"")</f>
        <v/>
      </c>
      <c r="G855" s="42" t="str">
        <f>IF(ISNUMBER(deployment_raw[[#This Row],[Column14]]), deployment_raw[[#This Row],[Column14]]/IF(OR($E$2="Deployment",deployment_raw[[#This Row],[Column5]]=0),1,deployment_raw[[#This Row],[Column5]]),"")</f>
        <v/>
      </c>
      <c r="H855" s="79" t="str">
        <f>IF(ISNUMBER(deployment_raw[[#This Row],[Column19]]), IF(I855&lt;&gt;0,(deployment_raw[[#This Row],[Column19]]/IF(OR($E$2="Deployment",deployment_raw[[#This Row],[Column5]]=0),1,deployment_raw[[#This Row],[Column5]]))/I855,0),"")</f>
        <v/>
      </c>
      <c r="I855" s="69" t="str">
        <f>IF(ISNUMBER(deployment_raw[[#This Row],[Column6]]), (deployment_raw[[#This Row],[Column6]] * IF($E$2="Deployment",deployment_raw[[#This Row],[Column5]],1)),"")</f>
        <v/>
      </c>
      <c r="J855" s="79" t="str">
        <f>IF(ISNUMBER(deployment_raw[[#This Row],[Column19]]), IF(K855&lt;&gt;0,(deployment_raw[[#This Row],[Column19]]/IF(OR($E$2="Deployment",deployment_raw[[#This Row],[Column5]]=0),1,deployment_raw[[#This Row],[Column5]]))/K855,0),"")</f>
        <v/>
      </c>
      <c r="K855" s="72" t="str">
        <f>IF(ISNUMBER(deployment_raw[[#This Row],[Column8]]), (deployment_raw[[#This Row],[Column8]]  * IF($E$2="Deployment",deployment_raw[[#This Row],[Column5]],1)),"")</f>
        <v/>
      </c>
      <c r="L85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5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55" s="81" t="str">
        <f>IF(ISNUMBER(deployment_raw[[#This Row],[Column20]]), IF(O855&lt;&gt;0,deployment_raw[[#This Row],[Column20]]/IF(OR($E$2="Deployment",deployment_raw[[#This Row],[Column5]]=0),1,deployment_raw[[#This Row],[Column5]])/1048576/O855,0),"")</f>
        <v/>
      </c>
      <c r="O855" s="74" t="str">
        <f>IF(ISNUMBER(deployment_raw[[#This Row],[Column7]]), (deployment_raw[[#This Row],[Column7]] * IF($E$2="Deployment",deployment_raw[[#This Row],[Column5]],1))/1048576,"")</f>
        <v/>
      </c>
      <c r="P855" s="81" t="str">
        <f>IF(ISNUMBER(deployment_raw[[#This Row],[Column20]]), IF(Q855&lt;&gt;0,deployment_raw[[#This Row],[Column20]]/IF(OR($E$2="Deployment",deployment_raw[[#This Row],[Column5]]=0),1,deployment_raw[[#This Row],[Column5]])/1048576/Q855,0),"")</f>
        <v/>
      </c>
      <c r="Q855" s="76" t="str">
        <f>IF(ISNUMBER(deployment_raw[[#This Row],[Column9]]), (deployment_raw[[#This Row],[Column9]] * IF($E$2="Deployment",deployment_raw[[#This Row],[Column5]],1))/1048576,"")</f>
        <v/>
      </c>
      <c r="R855" s="57" t="str">
        <f>IF(ISNUMBER(deployment_raw[[#This Row],[Column10]]), (deployment_raw[[#This Row],[Column10]] * IF($E$2="Deployment",deployment_raw[[#This Row],[Column5]],1)),"")</f>
        <v/>
      </c>
      <c r="S855" s="48" t="str">
        <f>IF(ISNUMBER(deployment_raw[[#This Row],[Column11]]), (deployment_raw[[#This Row],[Column11]] * IF($E$2="Deployment",deployment_raw[[#This Row],[Column5]],1))/1048576,"")</f>
        <v/>
      </c>
      <c r="T855" s="59" t="str">
        <f>IF(ISNUMBER(deployment_raw[[#This Row],[Column8]]),IF(OR(deployment_raw[[#This Row],[Column5]] &lt;&gt; 0,$E$2 &lt;&gt; "Deployment"), MAX(V855, ($T$2 * IF($E$2="Deployment",deployment_raw[[#This Row],[Column5]],1))), 0),"")</f>
        <v/>
      </c>
      <c r="U855" s="50" t="str">
        <f>IF(ISNUMBER(deployment_raw[[#This Row],[Column9]]),IF(OR(deployment_raw[[#This Row],[Column5]] &lt;&gt; 0,$E$2&lt;&gt;"Deployment"), MAX(W855, ($U$2 * IF($E$2="Deployment",deployment_raw[[#This Row],[Column5]],1))), 0),"")</f>
        <v/>
      </c>
      <c r="V855" s="15" t="str">
        <f>IF(ISNUMBER(deployment_raw[[#This Row],[Column12]]), (deployment_raw[[#This Row],[Column12]] * IF($E$2="Deployment",deployment_raw[[#This Row],[Column5]],1)*(1+$V$2)),"")</f>
        <v/>
      </c>
      <c r="W855" s="14" t="str">
        <f>IF(ISNUMBER(deployment_raw[[#This Row],[Column13]]), (deployment_raw[[#This Row],[Column13]] * IF($E$2="Deployment",deployment_raw[[#This Row],[Column5]],1)*(1+$W$2))/1048576,"")</f>
        <v/>
      </c>
    </row>
    <row r="856" spans="1:23" ht="15.75" customHeight="1" x14ac:dyDescent="0.25">
      <c r="A856" s="5" t="str">
        <f>IF(ISNONTEXT(deployment_raw[[#This Row],[Column1]]), "", deployment_raw[[#This Row],[Column1]])</f>
        <v/>
      </c>
      <c r="B856" s="6" t="str">
        <f>IF(ISNONTEXT(deployment_raw[[#This Row],[Column2]]), "", deployment_raw[[#This Row],[Column2]])</f>
        <v/>
      </c>
      <c r="C856" s="6" t="str">
        <f>IF(ISNONTEXT(deployment_raw[[#This Row],[Column3]]), "", deployment_raw[[#This Row],[Column3]])</f>
        <v/>
      </c>
      <c r="D856" s="6" t="str">
        <f>IF(ISNONTEXT(deployment_raw[[#This Row],[Column4]]), "", deployment_raw[[#This Row],[Column4]])</f>
        <v/>
      </c>
      <c r="E856" s="7" t="str">
        <f>IF(ISNUMBER(deployment_raw[[#This Row],[Column5]]), deployment_raw[[#This Row],[Column5]],"")</f>
        <v/>
      </c>
      <c r="F856" s="32" t="str">
        <f>IF(ISNUMBER(deployment_raw[[#This Row],[Column17]]), deployment_raw[[#This Row],[Column17]]/IF(OR($E$2="Deployment",deployment_raw[[#This Row],[Column5]]=0),1,deployment_raw[[#This Row],[Column5]]),"")</f>
        <v/>
      </c>
      <c r="G856" s="42" t="str">
        <f>IF(ISNUMBER(deployment_raw[[#This Row],[Column14]]), deployment_raw[[#This Row],[Column14]]/IF(OR($E$2="Deployment",deployment_raw[[#This Row],[Column5]]=0),1,deployment_raw[[#This Row],[Column5]]),"")</f>
        <v/>
      </c>
      <c r="H856" s="79" t="str">
        <f>IF(ISNUMBER(deployment_raw[[#This Row],[Column19]]), IF(I856&lt;&gt;0,(deployment_raw[[#This Row],[Column19]]/IF(OR($E$2="Deployment",deployment_raw[[#This Row],[Column5]]=0),1,deployment_raw[[#This Row],[Column5]]))/I856,0),"")</f>
        <v/>
      </c>
      <c r="I856" s="69" t="str">
        <f>IF(ISNUMBER(deployment_raw[[#This Row],[Column6]]), (deployment_raw[[#This Row],[Column6]] * IF($E$2="Deployment",deployment_raw[[#This Row],[Column5]],1)),"")</f>
        <v/>
      </c>
      <c r="J856" s="79" t="str">
        <f>IF(ISNUMBER(deployment_raw[[#This Row],[Column19]]), IF(K856&lt;&gt;0,(deployment_raw[[#This Row],[Column19]]/IF(OR($E$2="Deployment",deployment_raw[[#This Row],[Column5]]=0),1,deployment_raw[[#This Row],[Column5]]))/K856,0),"")</f>
        <v/>
      </c>
      <c r="K856" s="72" t="str">
        <f>IF(ISNUMBER(deployment_raw[[#This Row],[Column8]]), (deployment_raw[[#This Row],[Column8]]  * IF($E$2="Deployment",deployment_raw[[#This Row],[Column5]],1)),"")</f>
        <v/>
      </c>
      <c r="L85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5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56" s="81" t="str">
        <f>IF(ISNUMBER(deployment_raw[[#This Row],[Column20]]), IF(O856&lt;&gt;0,deployment_raw[[#This Row],[Column20]]/IF(OR($E$2="Deployment",deployment_raw[[#This Row],[Column5]]=0),1,deployment_raw[[#This Row],[Column5]])/1048576/O856,0),"")</f>
        <v/>
      </c>
      <c r="O856" s="74" t="str">
        <f>IF(ISNUMBER(deployment_raw[[#This Row],[Column7]]), (deployment_raw[[#This Row],[Column7]] * IF($E$2="Deployment",deployment_raw[[#This Row],[Column5]],1))/1048576,"")</f>
        <v/>
      </c>
      <c r="P856" s="81" t="str">
        <f>IF(ISNUMBER(deployment_raw[[#This Row],[Column20]]), IF(Q856&lt;&gt;0,deployment_raw[[#This Row],[Column20]]/IF(OR($E$2="Deployment",deployment_raw[[#This Row],[Column5]]=0),1,deployment_raw[[#This Row],[Column5]])/1048576/Q856,0),"")</f>
        <v/>
      </c>
      <c r="Q856" s="76" t="str">
        <f>IF(ISNUMBER(deployment_raw[[#This Row],[Column9]]), (deployment_raw[[#This Row],[Column9]] * IF($E$2="Deployment",deployment_raw[[#This Row],[Column5]],1))/1048576,"")</f>
        <v/>
      </c>
      <c r="R856" s="57" t="str">
        <f>IF(ISNUMBER(deployment_raw[[#This Row],[Column10]]), (deployment_raw[[#This Row],[Column10]] * IF($E$2="Deployment",deployment_raw[[#This Row],[Column5]],1)),"")</f>
        <v/>
      </c>
      <c r="S856" s="48" t="str">
        <f>IF(ISNUMBER(deployment_raw[[#This Row],[Column11]]), (deployment_raw[[#This Row],[Column11]] * IF($E$2="Deployment",deployment_raw[[#This Row],[Column5]],1))/1048576,"")</f>
        <v/>
      </c>
      <c r="T856" s="59" t="str">
        <f>IF(ISNUMBER(deployment_raw[[#This Row],[Column8]]),IF(OR(deployment_raw[[#This Row],[Column5]] &lt;&gt; 0,$E$2 &lt;&gt; "Deployment"), MAX(V856, ($T$2 * IF($E$2="Deployment",deployment_raw[[#This Row],[Column5]],1))), 0),"")</f>
        <v/>
      </c>
      <c r="U856" s="50" t="str">
        <f>IF(ISNUMBER(deployment_raw[[#This Row],[Column9]]),IF(OR(deployment_raw[[#This Row],[Column5]] &lt;&gt; 0,$E$2&lt;&gt;"Deployment"), MAX(W856, ($U$2 * IF($E$2="Deployment",deployment_raw[[#This Row],[Column5]],1))), 0),"")</f>
        <v/>
      </c>
      <c r="V856" s="15" t="str">
        <f>IF(ISNUMBER(deployment_raw[[#This Row],[Column12]]), (deployment_raw[[#This Row],[Column12]] * IF($E$2="Deployment",deployment_raw[[#This Row],[Column5]],1)*(1+$V$2)),"")</f>
        <v/>
      </c>
      <c r="W856" s="14" t="str">
        <f>IF(ISNUMBER(deployment_raw[[#This Row],[Column13]]), (deployment_raw[[#This Row],[Column13]] * IF($E$2="Deployment",deployment_raw[[#This Row],[Column5]],1)*(1+$W$2))/1048576,"")</f>
        <v/>
      </c>
    </row>
    <row r="857" spans="1:23" ht="15.75" customHeight="1" x14ac:dyDescent="0.25">
      <c r="A857" s="5" t="str">
        <f>IF(ISNONTEXT(deployment_raw[[#This Row],[Column1]]), "", deployment_raw[[#This Row],[Column1]])</f>
        <v/>
      </c>
      <c r="B857" s="6" t="str">
        <f>IF(ISNONTEXT(deployment_raw[[#This Row],[Column2]]), "", deployment_raw[[#This Row],[Column2]])</f>
        <v/>
      </c>
      <c r="C857" s="6" t="str">
        <f>IF(ISNONTEXT(deployment_raw[[#This Row],[Column3]]), "", deployment_raw[[#This Row],[Column3]])</f>
        <v/>
      </c>
      <c r="D857" s="6" t="str">
        <f>IF(ISNONTEXT(deployment_raw[[#This Row],[Column4]]), "", deployment_raw[[#This Row],[Column4]])</f>
        <v/>
      </c>
      <c r="E857" s="7" t="str">
        <f>IF(ISNUMBER(deployment_raw[[#This Row],[Column5]]), deployment_raw[[#This Row],[Column5]],"")</f>
        <v/>
      </c>
      <c r="F857" s="32" t="str">
        <f>IF(ISNUMBER(deployment_raw[[#This Row],[Column17]]), deployment_raw[[#This Row],[Column17]]/IF(OR($E$2="Deployment",deployment_raw[[#This Row],[Column5]]=0),1,deployment_raw[[#This Row],[Column5]]),"")</f>
        <v/>
      </c>
      <c r="G857" s="42" t="str">
        <f>IF(ISNUMBER(deployment_raw[[#This Row],[Column14]]), deployment_raw[[#This Row],[Column14]]/IF(OR($E$2="Deployment",deployment_raw[[#This Row],[Column5]]=0),1,deployment_raw[[#This Row],[Column5]]),"")</f>
        <v/>
      </c>
      <c r="H857" s="79" t="str">
        <f>IF(ISNUMBER(deployment_raw[[#This Row],[Column19]]), IF(I857&lt;&gt;0,(deployment_raw[[#This Row],[Column19]]/IF(OR($E$2="Deployment",deployment_raw[[#This Row],[Column5]]=0),1,deployment_raw[[#This Row],[Column5]]))/I857,0),"")</f>
        <v/>
      </c>
      <c r="I857" s="69" t="str">
        <f>IF(ISNUMBER(deployment_raw[[#This Row],[Column6]]), (deployment_raw[[#This Row],[Column6]] * IF($E$2="Deployment",deployment_raw[[#This Row],[Column5]],1)),"")</f>
        <v/>
      </c>
      <c r="J857" s="79" t="str">
        <f>IF(ISNUMBER(deployment_raw[[#This Row],[Column19]]), IF(K857&lt;&gt;0,(deployment_raw[[#This Row],[Column19]]/IF(OR($E$2="Deployment",deployment_raw[[#This Row],[Column5]]=0),1,deployment_raw[[#This Row],[Column5]]))/K857,0),"")</f>
        <v/>
      </c>
      <c r="K857" s="72" t="str">
        <f>IF(ISNUMBER(deployment_raw[[#This Row],[Column8]]), (deployment_raw[[#This Row],[Column8]]  * IF($E$2="Deployment",deployment_raw[[#This Row],[Column5]],1)),"")</f>
        <v/>
      </c>
      <c r="L85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5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57" s="81" t="str">
        <f>IF(ISNUMBER(deployment_raw[[#This Row],[Column20]]), IF(O857&lt;&gt;0,deployment_raw[[#This Row],[Column20]]/IF(OR($E$2="Deployment",deployment_raw[[#This Row],[Column5]]=0),1,deployment_raw[[#This Row],[Column5]])/1048576/O857,0),"")</f>
        <v/>
      </c>
      <c r="O857" s="74" t="str">
        <f>IF(ISNUMBER(deployment_raw[[#This Row],[Column7]]), (deployment_raw[[#This Row],[Column7]] * IF($E$2="Deployment",deployment_raw[[#This Row],[Column5]],1))/1048576,"")</f>
        <v/>
      </c>
      <c r="P857" s="81" t="str">
        <f>IF(ISNUMBER(deployment_raw[[#This Row],[Column20]]), IF(Q857&lt;&gt;0,deployment_raw[[#This Row],[Column20]]/IF(OR($E$2="Deployment",deployment_raw[[#This Row],[Column5]]=0),1,deployment_raw[[#This Row],[Column5]])/1048576/Q857,0),"")</f>
        <v/>
      </c>
      <c r="Q857" s="76" t="str">
        <f>IF(ISNUMBER(deployment_raw[[#This Row],[Column9]]), (deployment_raw[[#This Row],[Column9]] * IF($E$2="Deployment",deployment_raw[[#This Row],[Column5]],1))/1048576,"")</f>
        <v/>
      </c>
      <c r="R857" s="57" t="str">
        <f>IF(ISNUMBER(deployment_raw[[#This Row],[Column10]]), (deployment_raw[[#This Row],[Column10]] * IF($E$2="Deployment",deployment_raw[[#This Row],[Column5]],1)),"")</f>
        <v/>
      </c>
      <c r="S857" s="48" t="str">
        <f>IF(ISNUMBER(deployment_raw[[#This Row],[Column11]]), (deployment_raw[[#This Row],[Column11]] * IF($E$2="Deployment",deployment_raw[[#This Row],[Column5]],1))/1048576,"")</f>
        <v/>
      </c>
      <c r="T857" s="59" t="str">
        <f>IF(ISNUMBER(deployment_raw[[#This Row],[Column8]]),IF(OR(deployment_raw[[#This Row],[Column5]] &lt;&gt; 0,$E$2 &lt;&gt; "Deployment"), MAX(V857, ($T$2 * IF($E$2="Deployment",deployment_raw[[#This Row],[Column5]],1))), 0),"")</f>
        <v/>
      </c>
      <c r="U857" s="50" t="str">
        <f>IF(ISNUMBER(deployment_raw[[#This Row],[Column9]]),IF(OR(deployment_raw[[#This Row],[Column5]] &lt;&gt; 0,$E$2&lt;&gt;"Deployment"), MAX(W857, ($U$2 * IF($E$2="Deployment",deployment_raw[[#This Row],[Column5]],1))), 0),"")</f>
        <v/>
      </c>
      <c r="V857" s="15" t="str">
        <f>IF(ISNUMBER(deployment_raw[[#This Row],[Column12]]), (deployment_raw[[#This Row],[Column12]] * IF($E$2="Deployment",deployment_raw[[#This Row],[Column5]],1)*(1+$V$2)),"")</f>
        <v/>
      </c>
      <c r="W857" s="14" t="str">
        <f>IF(ISNUMBER(deployment_raw[[#This Row],[Column13]]), (deployment_raw[[#This Row],[Column13]] * IF($E$2="Deployment",deployment_raw[[#This Row],[Column5]],1)*(1+$W$2))/1048576,"")</f>
        <v/>
      </c>
    </row>
    <row r="858" spans="1:23" ht="15.75" customHeight="1" x14ac:dyDescent="0.25">
      <c r="A858" s="5" t="str">
        <f>IF(ISNONTEXT(deployment_raw[[#This Row],[Column1]]), "", deployment_raw[[#This Row],[Column1]])</f>
        <v/>
      </c>
      <c r="B858" s="6" t="str">
        <f>IF(ISNONTEXT(deployment_raw[[#This Row],[Column2]]), "", deployment_raw[[#This Row],[Column2]])</f>
        <v/>
      </c>
      <c r="C858" s="6" t="str">
        <f>IF(ISNONTEXT(deployment_raw[[#This Row],[Column3]]), "", deployment_raw[[#This Row],[Column3]])</f>
        <v/>
      </c>
      <c r="D858" s="6" t="str">
        <f>IF(ISNONTEXT(deployment_raw[[#This Row],[Column4]]), "", deployment_raw[[#This Row],[Column4]])</f>
        <v/>
      </c>
      <c r="E858" s="7" t="str">
        <f>IF(ISNUMBER(deployment_raw[[#This Row],[Column5]]), deployment_raw[[#This Row],[Column5]],"")</f>
        <v/>
      </c>
      <c r="F858" s="32" t="str">
        <f>IF(ISNUMBER(deployment_raw[[#This Row],[Column17]]), deployment_raw[[#This Row],[Column17]]/IF(OR($E$2="Deployment",deployment_raw[[#This Row],[Column5]]=0),1,deployment_raw[[#This Row],[Column5]]),"")</f>
        <v/>
      </c>
      <c r="G858" s="42" t="str">
        <f>IF(ISNUMBER(deployment_raw[[#This Row],[Column14]]), deployment_raw[[#This Row],[Column14]]/IF(OR($E$2="Deployment",deployment_raw[[#This Row],[Column5]]=0),1,deployment_raw[[#This Row],[Column5]]),"")</f>
        <v/>
      </c>
      <c r="H858" s="79" t="str">
        <f>IF(ISNUMBER(deployment_raw[[#This Row],[Column19]]), IF(I858&lt;&gt;0,(deployment_raw[[#This Row],[Column19]]/IF(OR($E$2="Deployment",deployment_raw[[#This Row],[Column5]]=0),1,deployment_raw[[#This Row],[Column5]]))/I858,0),"")</f>
        <v/>
      </c>
      <c r="I858" s="69" t="str">
        <f>IF(ISNUMBER(deployment_raw[[#This Row],[Column6]]), (deployment_raw[[#This Row],[Column6]] * IF($E$2="Deployment",deployment_raw[[#This Row],[Column5]],1)),"")</f>
        <v/>
      </c>
      <c r="J858" s="79" t="str">
        <f>IF(ISNUMBER(deployment_raw[[#This Row],[Column19]]), IF(K858&lt;&gt;0,(deployment_raw[[#This Row],[Column19]]/IF(OR($E$2="Deployment",deployment_raw[[#This Row],[Column5]]=0),1,deployment_raw[[#This Row],[Column5]]))/K858,0),"")</f>
        <v/>
      </c>
      <c r="K858" s="72" t="str">
        <f>IF(ISNUMBER(deployment_raw[[#This Row],[Column8]]), (deployment_raw[[#This Row],[Column8]]  * IF($E$2="Deployment",deployment_raw[[#This Row],[Column5]],1)),"")</f>
        <v/>
      </c>
      <c r="L85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5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58" s="81" t="str">
        <f>IF(ISNUMBER(deployment_raw[[#This Row],[Column20]]), IF(O858&lt;&gt;0,deployment_raw[[#This Row],[Column20]]/IF(OR($E$2="Deployment",deployment_raw[[#This Row],[Column5]]=0),1,deployment_raw[[#This Row],[Column5]])/1048576/O858,0),"")</f>
        <v/>
      </c>
      <c r="O858" s="74" t="str">
        <f>IF(ISNUMBER(deployment_raw[[#This Row],[Column7]]), (deployment_raw[[#This Row],[Column7]] * IF($E$2="Deployment",deployment_raw[[#This Row],[Column5]],1))/1048576,"")</f>
        <v/>
      </c>
      <c r="P858" s="81" t="str">
        <f>IF(ISNUMBER(deployment_raw[[#This Row],[Column20]]), IF(Q858&lt;&gt;0,deployment_raw[[#This Row],[Column20]]/IF(OR($E$2="Deployment",deployment_raw[[#This Row],[Column5]]=0),1,deployment_raw[[#This Row],[Column5]])/1048576/Q858,0),"")</f>
        <v/>
      </c>
      <c r="Q858" s="76" t="str">
        <f>IF(ISNUMBER(deployment_raw[[#This Row],[Column9]]), (deployment_raw[[#This Row],[Column9]] * IF($E$2="Deployment",deployment_raw[[#This Row],[Column5]],1))/1048576,"")</f>
        <v/>
      </c>
      <c r="R858" s="57" t="str">
        <f>IF(ISNUMBER(deployment_raw[[#This Row],[Column10]]), (deployment_raw[[#This Row],[Column10]] * IF($E$2="Deployment",deployment_raw[[#This Row],[Column5]],1)),"")</f>
        <v/>
      </c>
      <c r="S858" s="48" t="str">
        <f>IF(ISNUMBER(deployment_raw[[#This Row],[Column11]]), (deployment_raw[[#This Row],[Column11]] * IF($E$2="Deployment",deployment_raw[[#This Row],[Column5]],1))/1048576,"")</f>
        <v/>
      </c>
      <c r="T858" s="59" t="str">
        <f>IF(ISNUMBER(deployment_raw[[#This Row],[Column8]]),IF(OR(deployment_raw[[#This Row],[Column5]] &lt;&gt; 0,$E$2 &lt;&gt; "Deployment"), MAX(V858, ($T$2 * IF($E$2="Deployment",deployment_raw[[#This Row],[Column5]],1))), 0),"")</f>
        <v/>
      </c>
      <c r="U858" s="50" t="str">
        <f>IF(ISNUMBER(deployment_raw[[#This Row],[Column9]]),IF(OR(deployment_raw[[#This Row],[Column5]] &lt;&gt; 0,$E$2&lt;&gt;"Deployment"), MAX(W858, ($U$2 * IF($E$2="Deployment",deployment_raw[[#This Row],[Column5]],1))), 0),"")</f>
        <v/>
      </c>
      <c r="V858" s="15" t="str">
        <f>IF(ISNUMBER(deployment_raw[[#This Row],[Column12]]), (deployment_raw[[#This Row],[Column12]] * IF($E$2="Deployment",deployment_raw[[#This Row],[Column5]],1)*(1+$V$2)),"")</f>
        <v/>
      </c>
      <c r="W858" s="14" t="str">
        <f>IF(ISNUMBER(deployment_raw[[#This Row],[Column13]]), (deployment_raw[[#This Row],[Column13]] * IF($E$2="Deployment",deployment_raw[[#This Row],[Column5]],1)*(1+$W$2))/1048576,"")</f>
        <v/>
      </c>
    </row>
    <row r="859" spans="1:23" ht="15.75" customHeight="1" x14ac:dyDescent="0.25">
      <c r="A859" s="5" t="str">
        <f>IF(ISNONTEXT(deployment_raw[[#This Row],[Column1]]), "", deployment_raw[[#This Row],[Column1]])</f>
        <v/>
      </c>
      <c r="B859" s="6" t="str">
        <f>IF(ISNONTEXT(deployment_raw[[#This Row],[Column2]]), "", deployment_raw[[#This Row],[Column2]])</f>
        <v/>
      </c>
      <c r="C859" s="6" t="str">
        <f>IF(ISNONTEXT(deployment_raw[[#This Row],[Column3]]), "", deployment_raw[[#This Row],[Column3]])</f>
        <v/>
      </c>
      <c r="D859" s="6" t="str">
        <f>IF(ISNONTEXT(deployment_raw[[#This Row],[Column4]]), "", deployment_raw[[#This Row],[Column4]])</f>
        <v/>
      </c>
      <c r="E859" s="7" t="str">
        <f>IF(ISNUMBER(deployment_raw[[#This Row],[Column5]]), deployment_raw[[#This Row],[Column5]],"")</f>
        <v/>
      </c>
      <c r="F859" s="32" t="str">
        <f>IF(ISNUMBER(deployment_raw[[#This Row],[Column17]]), deployment_raw[[#This Row],[Column17]]/IF(OR($E$2="Deployment",deployment_raw[[#This Row],[Column5]]=0),1,deployment_raw[[#This Row],[Column5]]),"")</f>
        <v/>
      </c>
      <c r="G859" s="42" t="str">
        <f>IF(ISNUMBER(deployment_raw[[#This Row],[Column14]]), deployment_raw[[#This Row],[Column14]]/IF(OR($E$2="Deployment",deployment_raw[[#This Row],[Column5]]=0),1,deployment_raw[[#This Row],[Column5]]),"")</f>
        <v/>
      </c>
      <c r="H859" s="79" t="str">
        <f>IF(ISNUMBER(deployment_raw[[#This Row],[Column19]]), IF(I859&lt;&gt;0,(deployment_raw[[#This Row],[Column19]]/IF(OR($E$2="Deployment",deployment_raw[[#This Row],[Column5]]=0),1,deployment_raw[[#This Row],[Column5]]))/I859,0),"")</f>
        <v/>
      </c>
      <c r="I859" s="69" t="str">
        <f>IF(ISNUMBER(deployment_raw[[#This Row],[Column6]]), (deployment_raw[[#This Row],[Column6]] * IF($E$2="Deployment",deployment_raw[[#This Row],[Column5]],1)),"")</f>
        <v/>
      </c>
      <c r="J859" s="79" t="str">
        <f>IF(ISNUMBER(deployment_raw[[#This Row],[Column19]]), IF(K859&lt;&gt;0,(deployment_raw[[#This Row],[Column19]]/IF(OR($E$2="Deployment",deployment_raw[[#This Row],[Column5]]=0),1,deployment_raw[[#This Row],[Column5]]))/K859,0),"")</f>
        <v/>
      </c>
      <c r="K859" s="72" t="str">
        <f>IF(ISNUMBER(deployment_raw[[#This Row],[Column8]]), (deployment_raw[[#This Row],[Column8]]  * IF($E$2="Deployment",deployment_raw[[#This Row],[Column5]],1)),"")</f>
        <v/>
      </c>
      <c r="L85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5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59" s="81" t="str">
        <f>IF(ISNUMBER(deployment_raw[[#This Row],[Column20]]), IF(O859&lt;&gt;0,deployment_raw[[#This Row],[Column20]]/IF(OR($E$2="Deployment",deployment_raw[[#This Row],[Column5]]=0),1,deployment_raw[[#This Row],[Column5]])/1048576/O859,0),"")</f>
        <v/>
      </c>
      <c r="O859" s="74" t="str">
        <f>IF(ISNUMBER(deployment_raw[[#This Row],[Column7]]), (deployment_raw[[#This Row],[Column7]] * IF($E$2="Deployment",deployment_raw[[#This Row],[Column5]],1))/1048576,"")</f>
        <v/>
      </c>
      <c r="P859" s="81" t="str">
        <f>IF(ISNUMBER(deployment_raw[[#This Row],[Column20]]), IF(Q859&lt;&gt;0,deployment_raw[[#This Row],[Column20]]/IF(OR($E$2="Deployment",deployment_raw[[#This Row],[Column5]]=0),1,deployment_raw[[#This Row],[Column5]])/1048576/Q859,0),"")</f>
        <v/>
      </c>
      <c r="Q859" s="76" t="str">
        <f>IF(ISNUMBER(deployment_raw[[#This Row],[Column9]]), (deployment_raw[[#This Row],[Column9]] * IF($E$2="Deployment",deployment_raw[[#This Row],[Column5]],1))/1048576,"")</f>
        <v/>
      </c>
      <c r="R859" s="57" t="str">
        <f>IF(ISNUMBER(deployment_raw[[#This Row],[Column10]]), (deployment_raw[[#This Row],[Column10]] * IF($E$2="Deployment",deployment_raw[[#This Row],[Column5]],1)),"")</f>
        <v/>
      </c>
      <c r="S859" s="48" t="str">
        <f>IF(ISNUMBER(deployment_raw[[#This Row],[Column11]]), (deployment_raw[[#This Row],[Column11]] * IF($E$2="Deployment",deployment_raw[[#This Row],[Column5]],1))/1048576,"")</f>
        <v/>
      </c>
      <c r="T859" s="59" t="str">
        <f>IF(ISNUMBER(deployment_raw[[#This Row],[Column8]]),IF(OR(deployment_raw[[#This Row],[Column5]] &lt;&gt; 0,$E$2 &lt;&gt; "Deployment"), MAX(V859, ($T$2 * IF($E$2="Deployment",deployment_raw[[#This Row],[Column5]],1))), 0),"")</f>
        <v/>
      </c>
      <c r="U859" s="50" t="str">
        <f>IF(ISNUMBER(deployment_raw[[#This Row],[Column9]]),IF(OR(deployment_raw[[#This Row],[Column5]] &lt;&gt; 0,$E$2&lt;&gt;"Deployment"), MAX(W859, ($U$2 * IF($E$2="Deployment",deployment_raw[[#This Row],[Column5]],1))), 0),"")</f>
        <v/>
      </c>
      <c r="V859" s="15" t="str">
        <f>IF(ISNUMBER(deployment_raw[[#This Row],[Column12]]), (deployment_raw[[#This Row],[Column12]] * IF($E$2="Deployment",deployment_raw[[#This Row],[Column5]],1)*(1+$V$2)),"")</f>
        <v/>
      </c>
      <c r="W859" s="14" t="str">
        <f>IF(ISNUMBER(deployment_raw[[#This Row],[Column13]]), (deployment_raw[[#This Row],[Column13]] * IF($E$2="Deployment",deployment_raw[[#This Row],[Column5]],1)*(1+$W$2))/1048576,"")</f>
        <v/>
      </c>
    </row>
    <row r="860" spans="1:23" ht="15.75" customHeight="1" x14ac:dyDescent="0.25">
      <c r="A860" s="5" t="str">
        <f>IF(ISNONTEXT(deployment_raw[[#This Row],[Column1]]), "", deployment_raw[[#This Row],[Column1]])</f>
        <v/>
      </c>
      <c r="B860" s="6" t="str">
        <f>IF(ISNONTEXT(deployment_raw[[#This Row],[Column2]]), "", deployment_raw[[#This Row],[Column2]])</f>
        <v/>
      </c>
      <c r="C860" s="6" t="str">
        <f>IF(ISNONTEXT(deployment_raw[[#This Row],[Column3]]), "", deployment_raw[[#This Row],[Column3]])</f>
        <v/>
      </c>
      <c r="D860" s="6" t="str">
        <f>IF(ISNONTEXT(deployment_raw[[#This Row],[Column4]]), "", deployment_raw[[#This Row],[Column4]])</f>
        <v/>
      </c>
      <c r="E860" s="7" t="str">
        <f>IF(ISNUMBER(deployment_raw[[#This Row],[Column5]]), deployment_raw[[#This Row],[Column5]],"")</f>
        <v/>
      </c>
      <c r="F860" s="32" t="str">
        <f>IF(ISNUMBER(deployment_raw[[#This Row],[Column17]]), deployment_raw[[#This Row],[Column17]]/IF(OR($E$2="Deployment",deployment_raw[[#This Row],[Column5]]=0),1,deployment_raw[[#This Row],[Column5]]),"")</f>
        <v/>
      </c>
      <c r="G860" s="42" t="str">
        <f>IF(ISNUMBER(deployment_raw[[#This Row],[Column14]]), deployment_raw[[#This Row],[Column14]]/IF(OR($E$2="Deployment",deployment_raw[[#This Row],[Column5]]=0),1,deployment_raw[[#This Row],[Column5]]),"")</f>
        <v/>
      </c>
      <c r="H860" s="79" t="str">
        <f>IF(ISNUMBER(deployment_raw[[#This Row],[Column19]]), IF(I860&lt;&gt;0,(deployment_raw[[#This Row],[Column19]]/IF(OR($E$2="Deployment",deployment_raw[[#This Row],[Column5]]=0),1,deployment_raw[[#This Row],[Column5]]))/I860,0),"")</f>
        <v/>
      </c>
      <c r="I860" s="69" t="str">
        <f>IF(ISNUMBER(deployment_raw[[#This Row],[Column6]]), (deployment_raw[[#This Row],[Column6]] * IF($E$2="Deployment",deployment_raw[[#This Row],[Column5]],1)),"")</f>
        <v/>
      </c>
      <c r="J860" s="79" t="str">
        <f>IF(ISNUMBER(deployment_raw[[#This Row],[Column19]]), IF(K860&lt;&gt;0,(deployment_raw[[#This Row],[Column19]]/IF(OR($E$2="Deployment",deployment_raw[[#This Row],[Column5]]=0),1,deployment_raw[[#This Row],[Column5]]))/K860,0),"")</f>
        <v/>
      </c>
      <c r="K860" s="72" t="str">
        <f>IF(ISNUMBER(deployment_raw[[#This Row],[Column8]]), (deployment_raw[[#This Row],[Column8]]  * IF($E$2="Deployment",deployment_raw[[#This Row],[Column5]],1)),"")</f>
        <v/>
      </c>
      <c r="L86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6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60" s="81" t="str">
        <f>IF(ISNUMBER(deployment_raw[[#This Row],[Column20]]), IF(O860&lt;&gt;0,deployment_raw[[#This Row],[Column20]]/IF(OR($E$2="Deployment",deployment_raw[[#This Row],[Column5]]=0),1,deployment_raw[[#This Row],[Column5]])/1048576/O860,0),"")</f>
        <v/>
      </c>
      <c r="O860" s="74" t="str">
        <f>IF(ISNUMBER(deployment_raw[[#This Row],[Column7]]), (deployment_raw[[#This Row],[Column7]] * IF($E$2="Deployment",deployment_raw[[#This Row],[Column5]],1))/1048576,"")</f>
        <v/>
      </c>
      <c r="P860" s="81" t="str">
        <f>IF(ISNUMBER(deployment_raw[[#This Row],[Column20]]), IF(Q860&lt;&gt;0,deployment_raw[[#This Row],[Column20]]/IF(OR($E$2="Deployment",deployment_raw[[#This Row],[Column5]]=0),1,deployment_raw[[#This Row],[Column5]])/1048576/Q860,0),"")</f>
        <v/>
      </c>
      <c r="Q860" s="76" t="str">
        <f>IF(ISNUMBER(deployment_raw[[#This Row],[Column9]]), (deployment_raw[[#This Row],[Column9]] * IF($E$2="Deployment",deployment_raw[[#This Row],[Column5]],1))/1048576,"")</f>
        <v/>
      </c>
      <c r="R860" s="57" t="str">
        <f>IF(ISNUMBER(deployment_raw[[#This Row],[Column10]]), (deployment_raw[[#This Row],[Column10]] * IF($E$2="Deployment",deployment_raw[[#This Row],[Column5]],1)),"")</f>
        <v/>
      </c>
      <c r="S860" s="48" t="str">
        <f>IF(ISNUMBER(deployment_raw[[#This Row],[Column11]]), (deployment_raw[[#This Row],[Column11]] * IF($E$2="Deployment",deployment_raw[[#This Row],[Column5]],1))/1048576,"")</f>
        <v/>
      </c>
      <c r="T860" s="59" t="str">
        <f>IF(ISNUMBER(deployment_raw[[#This Row],[Column8]]),IF(OR(deployment_raw[[#This Row],[Column5]] &lt;&gt; 0,$E$2 &lt;&gt; "Deployment"), MAX(V860, ($T$2 * IF($E$2="Deployment",deployment_raw[[#This Row],[Column5]],1))), 0),"")</f>
        <v/>
      </c>
      <c r="U860" s="50" t="str">
        <f>IF(ISNUMBER(deployment_raw[[#This Row],[Column9]]),IF(OR(deployment_raw[[#This Row],[Column5]] &lt;&gt; 0,$E$2&lt;&gt;"Deployment"), MAX(W860, ($U$2 * IF($E$2="Deployment",deployment_raw[[#This Row],[Column5]],1))), 0),"")</f>
        <v/>
      </c>
      <c r="V860" s="15" t="str">
        <f>IF(ISNUMBER(deployment_raw[[#This Row],[Column12]]), (deployment_raw[[#This Row],[Column12]] * IF($E$2="Deployment",deployment_raw[[#This Row],[Column5]],1)*(1+$V$2)),"")</f>
        <v/>
      </c>
      <c r="W860" s="14" t="str">
        <f>IF(ISNUMBER(deployment_raw[[#This Row],[Column13]]), (deployment_raw[[#This Row],[Column13]] * IF($E$2="Deployment",deployment_raw[[#This Row],[Column5]],1)*(1+$W$2))/1048576,"")</f>
        <v/>
      </c>
    </row>
    <row r="861" spans="1:23" ht="15.75" customHeight="1" x14ac:dyDescent="0.25">
      <c r="A861" s="5" t="str">
        <f>IF(ISNONTEXT(deployment_raw[[#This Row],[Column1]]), "", deployment_raw[[#This Row],[Column1]])</f>
        <v/>
      </c>
      <c r="B861" s="6" t="str">
        <f>IF(ISNONTEXT(deployment_raw[[#This Row],[Column2]]), "", deployment_raw[[#This Row],[Column2]])</f>
        <v/>
      </c>
      <c r="C861" s="6" t="str">
        <f>IF(ISNONTEXT(deployment_raw[[#This Row],[Column3]]), "", deployment_raw[[#This Row],[Column3]])</f>
        <v/>
      </c>
      <c r="D861" s="6" t="str">
        <f>IF(ISNONTEXT(deployment_raw[[#This Row],[Column4]]), "", deployment_raw[[#This Row],[Column4]])</f>
        <v/>
      </c>
      <c r="E861" s="7" t="str">
        <f>IF(ISNUMBER(deployment_raw[[#This Row],[Column5]]), deployment_raw[[#This Row],[Column5]],"")</f>
        <v/>
      </c>
      <c r="F861" s="32" t="str">
        <f>IF(ISNUMBER(deployment_raw[[#This Row],[Column17]]), deployment_raw[[#This Row],[Column17]]/IF(OR($E$2="Deployment",deployment_raw[[#This Row],[Column5]]=0),1,deployment_raw[[#This Row],[Column5]]),"")</f>
        <v/>
      </c>
      <c r="G861" s="42" t="str">
        <f>IF(ISNUMBER(deployment_raw[[#This Row],[Column14]]), deployment_raw[[#This Row],[Column14]]/IF(OR($E$2="Deployment",deployment_raw[[#This Row],[Column5]]=0),1,deployment_raw[[#This Row],[Column5]]),"")</f>
        <v/>
      </c>
      <c r="H861" s="79" t="str">
        <f>IF(ISNUMBER(deployment_raw[[#This Row],[Column19]]), IF(I861&lt;&gt;0,(deployment_raw[[#This Row],[Column19]]/IF(OR($E$2="Deployment",deployment_raw[[#This Row],[Column5]]=0),1,deployment_raw[[#This Row],[Column5]]))/I861,0),"")</f>
        <v/>
      </c>
      <c r="I861" s="69" t="str">
        <f>IF(ISNUMBER(deployment_raw[[#This Row],[Column6]]), (deployment_raw[[#This Row],[Column6]] * IF($E$2="Deployment",deployment_raw[[#This Row],[Column5]],1)),"")</f>
        <v/>
      </c>
      <c r="J861" s="79" t="str">
        <f>IF(ISNUMBER(deployment_raw[[#This Row],[Column19]]), IF(K861&lt;&gt;0,(deployment_raw[[#This Row],[Column19]]/IF(OR($E$2="Deployment",deployment_raw[[#This Row],[Column5]]=0),1,deployment_raw[[#This Row],[Column5]]))/K861,0),"")</f>
        <v/>
      </c>
      <c r="K861" s="72" t="str">
        <f>IF(ISNUMBER(deployment_raw[[#This Row],[Column8]]), (deployment_raw[[#This Row],[Column8]]  * IF($E$2="Deployment",deployment_raw[[#This Row],[Column5]],1)),"")</f>
        <v/>
      </c>
      <c r="L86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6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61" s="81" t="str">
        <f>IF(ISNUMBER(deployment_raw[[#This Row],[Column20]]), IF(O861&lt;&gt;0,deployment_raw[[#This Row],[Column20]]/IF(OR($E$2="Deployment",deployment_raw[[#This Row],[Column5]]=0),1,deployment_raw[[#This Row],[Column5]])/1048576/O861,0),"")</f>
        <v/>
      </c>
      <c r="O861" s="74" t="str">
        <f>IF(ISNUMBER(deployment_raw[[#This Row],[Column7]]), (deployment_raw[[#This Row],[Column7]] * IF($E$2="Deployment",deployment_raw[[#This Row],[Column5]],1))/1048576,"")</f>
        <v/>
      </c>
      <c r="P861" s="81" t="str">
        <f>IF(ISNUMBER(deployment_raw[[#This Row],[Column20]]), IF(Q861&lt;&gt;0,deployment_raw[[#This Row],[Column20]]/IF(OR($E$2="Deployment",deployment_raw[[#This Row],[Column5]]=0),1,deployment_raw[[#This Row],[Column5]])/1048576/Q861,0),"")</f>
        <v/>
      </c>
      <c r="Q861" s="76" t="str">
        <f>IF(ISNUMBER(deployment_raw[[#This Row],[Column9]]), (deployment_raw[[#This Row],[Column9]] * IF($E$2="Deployment",deployment_raw[[#This Row],[Column5]],1))/1048576,"")</f>
        <v/>
      </c>
      <c r="R861" s="57" t="str">
        <f>IF(ISNUMBER(deployment_raw[[#This Row],[Column10]]), (deployment_raw[[#This Row],[Column10]] * IF($E$2="Deployment",deployment_raw[[#This Row],[Column5]],1)),"")</f>
        <v/>
      </c>
      <c r="S861" s="48" t="str">
        <f>IF(ISNUMBER(deployment_raw[[#This Row],[Column11]]), (deployment_raw[[#This Row],[Column11]] * IF($E$2="Deployment",deployment_raw[[#This Row],[Column5]],1))/1048576,"")</f>
        <v/>
      </c>
      <c r="T861" s="59" t="str">
        <f>IF(ISNUMBER(deployment_raw[[#This Row],[Column8]]),IF(OR(deployment_raw[[#This Row],[Column5]] &lt;&gt; 0,$E$2 &lt;&gt; "Deployment"), MAX(V861, ($T$2 * IF($E$2="Deployment",deployment_raw[[#This Row],[Column5]],1))), 0),"")</f>
        <v/>
      </c>
      <c r="U861" s="50" t="str">
        <f>IF(ISNUMBER(deployment_raw[[#This Row],[Column9]]),IF(OR(deployment_raw[[#This Row],[Column5]] &lt;&gt; 0,$E$2&lt;&gt;"Deployment"), MAX(W861, ($U$2 * IF($E$2="Deployment",deployment_raw[[#This Row],[Column5]],1))), 0),"")</f>
        <v/>
      </c>
      <c r="V861" s="15" t="str">
        <f>IF(ISNUMBER(deployment_raw[[#This Row],[Column12]]), (deployment_raw[[#This Row],[Column12]] * IF($E$2="Deployment",deployment_raw[[#This Row],[Column5]],1)*(1+$V$2)),"")</f>
        <v/>
      </c>
      <c r="W861" s="14" t="str">
        <f>IF(ISNUMBER(deployment_raw[[#This Row],[Column13]]), (deployment_raw[[#This Row],[Column13]] * IF($E$2="Deployment",deployment_raw[[#This Row],[Column5]],1)*(1+$W$2))/1048576,"")</f>
        <v/>
      </c>
    </row>
    <row r="862" spans="1:23" ht="15.75" customHeight="1" x14ac:dyDescent="0.25">
      <c r="A862" s="5" t="str">
        <f>IF(ISNONTEXT(deployment_raw[[#This Row],[Column1]]), "", deployment_raw[[#This Row],[Column1]])</f>
        <v/>
      </c>
      <c r="B862" s="6" t="str">
        <f>IF(ISNONTEXT(deployment_raw[[#This Row],[Column2]]), "", deployment_raw[[#This Row],[Column2]])</f>
        <v/>
      </c>
      <c r="C862" s="6" t="str">
        <f>IF(ISNONTEXT(deployment_raw[[#This Row],[Column3]]), "", deployment_raw[[#This Row],[Column3]])</f>
        <v/>
      </c>
      <c r="D862" s="6" t="str">
        <f>IF(ISNONTEXT(deployment_raw[[#This Row],[Column4]]), "", deployment_raw[[#This Row],[Column4]])</f>
        <v/>
      </c>
      <c r="E862" s="7" t="str">
        <f>IF(ISNUMBER(deployment_raw[[#This Row],[Column5]]), deployment_raw[[#This Row],[Column5]],"")</f>
        <v/>
      </c>
      <c r="F862" s="32" t="str">
        <f>IF(ISNUMBER(deployment_raw[[#This Row],[Column17]]), deployment_raw[[#This Row],[Column17]]/IF(OR($E$2="Deployment",deployment_raw[[#This Row],[Column5]]=0),1,deployment_raw[[#This Row],[Column5]]),"")</f>
        <v/>
      </c>
      <c r="G862" s="42" t="str">
        <f>IF(ISNUMBER(deployment_raw[[#This Row],[Column14]]), deployment_raw[[#This Row],[Column14]]/IF(OR($E$2="Deployment",deployment_raw[[#This Row],[Column5]]=0),1,deployment_raw[[#This Row],[Column5]]),"")</f>
        <v/>
      </c>
      <c r="H862" s="79" t="str">
        <f>IF(ISNUMBER(deployment_raw[[#This Row],[Column19]]), IF(I862&lt;&gt;0,(deployment_raw[[#This Row],[Column19]]/IF(OR($E$2="Deployment",deployment_raw[[#This Row],[Column5]]=0),1,deployment_raw[[#This Row],[Column5]]))/I862,0),"")</f>
        <v/>
      </c>
      <c r="I862" s="69" t="str">
        <f>IF(ISNUMBER(deployment_raw[[#This Row],[Column6]]), (deployment_raw[[#This Row],[Column6]] * IF($E$2="Deployment",deployment_raw[[#This Row],[Column5]],1)),"")</f>
        <v/>
      </c>
      <c r="J862" s="79" t="str">
        <f>IF(ISNUMBER(deployment_raw[[#This Row],[Column19]]), IF(K862&lt;&gt;0,(deployment_raw[[#This Row],[Column19]]/IF(OR($E$2="Deployment",deployment_raw[[#This Row],[Column5]]=0),1,deployment_raw[[#This Row],[Column5]]))/K862,0),"")</f>
        <v/>
      </c>
      <c r="K862" s="72" t="str">
        <f>IF(ISNUMBER(deployment_raw[[#This Row],[Column8]]), (deployment_raw[[#This Row],[Column8]]  * IF($E$2="Deployment",deployment_raw[[#This Row],[Column5]],1)),"")</f>
        <v/>
      </c>
      <c r="L86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6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62" s="81" t="str">
        <f>IF(ISNUMBER(deployment_raw[[#This Row],[Column20]]), IF(O862&lt;&gt;0,deployment_raw[[#This Row],[Column20]]/IF(OR($E$2="Deployment",deployment_raw[[#This Row],[Column5]]=0),1,deployment_raw[[#This Row],[Column5]])/1048576/O862,0),"")</f>
        <v/>
      </c>
      <c r="O862" s="74" t="str">
        <f>IF(ISNUMBER(deployment_raw[[#This Row],[Column7]]), (deployment_raw[[#This Row],[Column7]] * IF($E$2="Deployment",deployment_raw[[#This Row],[Column5]],1))/1048576,"")</f>
        <v/>
      </c>
      <c r="P862" s="81" t="str">
        <f>IF(ISNUMBER(deployment_raw[[#This Row],[Column20]]), IF(Q862&lt;&gt;0,deployment_raw[[#This Row],[Column20]]/IF(OR($E$2="Deployment",deployment_raw[[#This Row],[Column5]]=0),1,deployment_raw[[#This Row],[Column5]])/1048576/Q862,0),"")</f>
        <v/>
      </c>
      <c r="Q862" s="76" t="str">
        <f>IF(ISNUMBER(deployment_raw[[#This Row],[Column9]]), (deployment_raw[[#This Row],[Column9]] * IF($E$2="Deployment",deployment_raw[[#This Row],[Column5]],1))/1048576,"")</f>
        <v/>
      </c>
      <c r="R862" s="57" t="str">
        <f>IF(ISNUMBER(deployment_raw[[#This Row],[Column10]]), (deployment_raw[[#This Row],[Column10]] * IF($E$2="Deployment",deployment_raw[[#This Row],[Column5]],1)),"")</f>
        <v/>
      </c>
      <c r="S862" s="48" t="str">
        <f>IF(ISNUMBER(deployment_raw[[#This Row],[Column11]]), (deployment_raw[[#This Row],[Column11]] * IF($E$2="Deployment",deployment_raw[[#This Row],[Column5]],1))/1048576,"")</f>
        <v/>
      </c>
      <c r="T862" s="59" t="str">
        <f>IF(ISNUMBER(deployment_raw[[#This Row],[Column8]]),IF(OR(deployment_raw[[#This Row],[Column5]] &lt;&gt; 0,$E$2 &lt;&gt; "Deployment"), MAX(V862, ($T$2 * IF($E$2="Deployment",deployment_raw[[#This Row],[Column5]],1))), 0),"")</f>
        <v/>
      </c>
      <c r="U862" s="50" t="str">
        <f>IF(ISNUMBER(deployment_raw[[#This Row],[Column9]]),IF(OR(deployment_raw[[#This Row],[Column5]] &lt;&gt; 0,$E$2&lt;&gt;"Deployment"), MAX(W862, ($U$2 * IF($E$2="Deployment",deployment_raw[[#This Row],[Column5]],1))), 0),"")</f>
        <v/>
      </c>
      <c r="V862" s="15" t="str">
        <f>IF(ISNUMBER(deployment_raw[[#This Row],[Column12]]), (deployment_raw[[#This Row],[Column12]] * IF($E$2="Deployment",deployment_raw[[#This Row],[Column5]],1)*(1+$V$2)),"")</f>
        <v/>
      </c>
      <c r="W862" s="14" t="str">
        <f>IF(ISNUMBER(deployment_raw[[#This Row],[Column13]]), (deployment_raw[[#This Row],[Column13]] * IF($E$2="Deployment",deployment_raw[[#This Row],[Column5]],1)*(1+$W$2))/1048576,"")</f>
        <v/>
      </c>
    </row>
    <row r="863" spans="1:23" ht="15.75" customHeight="1" x14ac:dyDescent="0.25">
      <c r="A863" s="5" t="str">
        <f>IF(ISNONTEXT(deployment_raw[[#This Row],[Column1]]), "", deployment_raw[[#This Row],[Column1]])</f>
        <v/>
      </c>
      <c r="B863" s="6" t="str">
        <f>IF(ISNONTEXT(deployment_raw[[#This Row],[Column2]]), "", deployment_raw[[#This Row],[Column2]])</f>
        <v/>
      </c>
      <c r="C863" s="6" t="str">
        <f>IF(ISNONTEXT(deployment_raw[[#This Row],[Column3]]), "", deployment_raw[[#This Row],[Column3]])</f>
        <v/>
      </c>
      <c r="D863" s="6" t="str">
        <f>IF(ISNONTEXT(deployment_raw[[#This Row],[Column4]]), "", deployment_raw[[#This Row],[Column4]])</f>
        <v/>
      </c>
      <c r="E863" s="7" t="str">
        <f>IF(ISNUMBER(deployment_raw[[#This Row],[Column5]]), deployment_raw[[#This Row],[Column5]],"")</f>
        <v/>
      </c>
      <c r="F863" s="32" t="str">
        <f>IF(ISNUMBER(deployment_raw[[#This Row],[Column17]]), deployment_raw[[#This Row],[Column17]]/IF(OR($E$2="Deployment",deployment_raw[[#This Row],[Column5]]=0),1,deployment_raw[[#This Row],[Column5]]),"")</f>
        <v/>
      </c>
      <c r="G863" s="42" t="str">
        <f>IF(ISNUMBER(deployment_raw[[#This Row],[Column14]]), deployment_raw[[#This Row],[Column14]]/IF(OR($E$2="Deployment",deployment_raw[[#This Row],[Column5]]=0),1,deployment_raw[[#This Row],[Column5]]),"")</f>
        <v/>
      </c>
      <c r="H863" s="79" t="str">
        <f>IF(ISNUMBER(deployment_raw[[#This Row],[Column19]]), IF(I863&lt;&gt;0,(deployment_raw[[#This Row],[Column19]]/IF(OR($E$2="Deployment",deployment_raw[[#This Row],[Column5]]=0),1,deployment_raw[[#This Row],[Column5]]))/I863,0),"")</f>
        <v/>
      </c>
      <c r="I863" s="69" t="str">
        <f>IF(ISNUMBER(deployment_raw[[#This Row],[Column6]]), (deployment_raw[[#This Row],[Column6]] * IF($E$2="Deployment",deployment_raw[[#This Row],[Column5]],1)),"")</f>
        <v/>
      </c>
      <c r="J863" s="79" t="str">
        <f>IF(ISNUMBER(deployment_raw[[#This Row],[Column19]]), IF(K863&lt;&gt;0,(deployment_raw[[#This Row],[Column19]]/IF(OR($E$2="Deployment",deployment_raw[[#This Row],[Column5]]=0),1,deployment_raw[[#This Row],[Column5]]))/K863,0),"")</f>
        <v/>
      </c>
      <c r="K863" s="72" t="str">
        <f>IF(ISNUMBER(deployment_raw[[#This Row],[Column8]]), (deployment_raw[[#This Row],[Column8]]  * IF($E$2="Deployment",deployment_raw[[#This Row],[Column5]],1)),"")</f>
        <v/>
      </c>
      <c r="L86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6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63" s="81" t="str">
        <f>IF(ISNUMBER(deployment_raw[[#This Row],[Column20]]), IF(O863&lt;&gt;0,deployment_raw[[#This Row],[Column20]]/IF(OR($E$2="Deployment",deployment_raw[[#This Row],[Column5]]=0),1,deployment_raw[[#This Row],[Column5]])/1048576/O863,0),"")</f>
        <v/>
      </c>
      <c r="O863" s="74" t="str">
        <f>IF(ISNUMBER(deployment_raw[[#This Row],[Column7]]), (deployment_raw[[#This Row],[Column7]] * IF($E$2="Deployment",deployment_raw[[#This Row],[Column5]],1))/1048576,"")</f>
        <v/>
      </c>
      <c r="P863" s="81" t="str">
        <f>IF(ISNUMBER(deployment_raw[[#This Row],[Column20]]), IF(Q863&lt;&gt;0,deployment_raw[[#This Row],[Column20]]/IF(OR($E$2="Deployment",deployment_raw[[#This Row],[Column5]]=0),1,deployment_raw[[#This Row],[Column5]])/1048576/Q863,0),"")</f>
        <v/>
      </c>
      <c r="Q863" s="76" t="str">
        <f>IF(ISNUMBER(deployment_raw[[#This Row],[Column9]]), (deployment_raw[[#This Row],[Column9]] * IF($E$2="Deployment",deployment_raw[[#This Row],[Column5]],1))/1048576,"")</f>
        <v/>
      </c>
      <c r="R863" s="57" t="str">
        <f>IF(ISNUMBER(deployment_raw[[#This Row],[Column10]]), (deployment_raw[[#This Row],[Column10]] * IF($E$2="Deployment",deployment_raw[[#This Row],[Column5]],1)),"")</f>
        <v/>
      </c>
      <c r="S863" s="48" t="str">
        <f>IF(ISNUMBER(deployment_raw[[#This Row],[Column11]]), (deployment_raw[[#This Row],[Column11]] * IF($E$2="Deployment",deployment_raw[[#This Row],[Column5]],1))/1048576,"")</f>
        <v/>
      </c>
      <c r="T863" s="59" t="str">
        <f>IF(ISNUMBER(deployment_raw[[#This Row],[Column8]]),IF(OR(deployment_raw[[#This Row],[Column5]] &lt;&gt; 0,$E$2 &lt;&gt; "Deployment"), MAX(V863, ($T$2 * IF($E$2="Deployment",deployment_raw[[#This Row],[Column5]],1))), 0),"")</f>
        <v/>
      </c>
      <c r="U863" s="50" t="str">
        <f>IF(ISNUMBER(deployment_raw[[#This Row],[Column9]]),IF(OR(deployment_raw[[#This Row],[Column5]] &lt;&gt; 0,$E$2&lt;&gt;"Deployment"), MAX(W863, ($U$2 * IF($E$2="Deployment",deployment_raw[[#This Row],[Column5]],1))), 0),"")</f>
        <v/>
      </c>
      <c r="V863" s="15" t="str">
        <f>IF(ISNUMBER(deployment_raw[[#This Row],[Column12]]), (deployment_raw[[#This Row],[Column12]] * IF($E$2="Deployment",deployment_raw[[#This Row],[Column5]],1)*(1+$V$2)),"")</f>
        <v/>
      </c>
      <c r="W863" s="14" t="str">
        <f>IF(ISNUMBER(deployment_raw[[#This Row],[Column13]]), (deployment_raw[[#This Row],[Column13]] * IF($E$2="Deployment",deployment_raw[[#This Row],[Column5]],1)*(1+$W$2))/1048576,"")</f>
        <v/>
      </c>
    </row>
    <row r="864" spans="1:23" ht="15.75" customHeight="1" x14ac:dyDescent="0.25">
      <c r="A864" s="5" t="str">
        <f>IF(ISNONTEXT(deployment_raw[[#This Row],[Column1]]), "", deployment_raw[[#This Row],[Column1]])</f>
        <v/>
      </c>
      <c r="B864" s="6" t="str">
        <f>IF(ISNONTEXT(deployment_raw[[#This Row],[Column2]]), "", deployment_raw[[#This Row],[Column2]])</f>
        <v/>
      </c>
      <c r="C864" s="6" t="str">
        <f>IF(ISNONTEXT(deployment_raw[[#This Row],[Column3]]), "", deployment_raw[[#This Row],[Column3]])</f>
        <v/>
      </c>
      <c r="D864" s="6" t="str">
        <f>IF(ISNONTEXT(deployment_raw[[#This Row],[Column4]]), "", deployment_raw[[#This Row],[Column4]])</f>
        <v/>
      </c>
      <c r="E864" s="7" t="str">
        <f>IF(ISNUMBER(deployment_raw[[#This Row],[Column5]]), deployment_raw[[#This Row],[Column5]],"")</f>
        <v/>
      </c>
      <c r="F864" s="32" t="str">
        <f>IF(ISNUMBER(deployment_raw[[#This Row],[Column17]]), deployment_raw[[#This Row],[Column17]]/IF(OR($E$2="Deployment",deployment_raw[[#This Row],[Column5]]=0),1,deployment_raw[[#This Row],[Column5]]),"")</f>
        <v/>
      </c>
      <c r="G864" s="42" t="str">
        <f>IF(ISNUMBER(deployment_raw[[#This Row],[Column14]]), deployment_raw[[#This Row],[Column14]]/IF(OR($E$2="Deployment",deployment_raw[[#This Row],[Column5]]=0),1,deployment_raw[[#This Row],[Column5]]),"")</f>
        <v/>
      </c>
      <c r="H864" s="79" t="str">
        <f>IF(ISNUMBER(deployment_raw[[#This Row],[Column19]]), IF(I864&lt;&gt;0,(deployment_raw[[#This Row],[Column19]]/IF(OR($E$2="Deployment",deployment_raw[[#This Row],[Column5]]=0),1,deployment_raw[[#This Row],[Column5]]))/I864,0),"")</f>
        <v/>
      </c>
      <c r="I864" s="69" t="str">
        <f>IF(ISNUMBER(deployment_raw[[#This Row],[Column6]]), (deployment_raw[[#This Row],[Column6]] * IF($E$2="Deployment",deployment_raw[[#This Row],[Column5]],1)),"")</f>
        <v/>
      </c>
      <c r="J864" s="79" t="str">
        <f>IF(ISNUMBER(deployment_raw[[#This Row],[Column19]]), IF(K864&lt;&gt;0,(deployment_raw[[#This Row],[Column19]]/IF(OR($E$2="Deployment",deployment_raw[[#This Row],[Column5]]=0),1,deployment_raw[[#This Row],[Column5]]))/K864,0),"")</f>
        <v/>
      </c>
      <c r="K864" s="72" t="str">
        <f>IF(ISNUMBER(deployment_raw[[#This Row],[Column8]]), (deployment_raw[[#This Row],[Column8]]  * IF($E$2="Deployment",deployment_raw[[#This Row],[Column5]],1)),"")</f>
        <v/>
      </c>
      <c r="L86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6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64" s="81" t="str">
        <f>IF(ISNUMBER(deployment_raw[[#This Row],[Column20]]), IF(O864&lt;&gt;0,deployment_raw[[#This Row],[Column20]]/IF(OR($E$2="Deployment",deployment_raw[[#This Row],[Column5]]=0),1,deployment_raw[[#This Row],[Column5]])/1048576/O864,0),"")</f>
        <v/>
      </c>
      <c r="O864" s="74" t="str">
        <f>IF(ISNUMBER(deployment_raw[[#This Row],[Column7]]), (deployment_raw[[#This Row],[Column7]] * IF($E$2="Deployment",deployment_raw[[#This Row],[Column5]],1))/1048576,"")</f>
        <v/>
      </c>
      <c r="P864" s="81" t="str">
        <f>IF(ISNUMBER(deployment_raw[[#This Row],[Column20]]), IF(Q864&lt;&gt;0,deployment_raw[[#This Row],[Column20]]/IF(OR($E$2="Deployment",deployment_raw[[#This Row],[Column5]]=0),1,deployment_raw[[#This Row],[Column5]])/1048576/Q864,0),"")</f>
        <v/>
      </c>
      <c r="Q864" s="76" t="str">
        <f>IF(ISNUMBER(deployment_raw[[#This Row],[Column9]]), (deployment_raw[[#This Row],[Column9]] * IF($E$2="Deployment",deployment_raw[[#This Row],[Column5]],1))/1048576,"")</f>
        <v/>
      </c>
      <c r="R864" s="57" t="str">
        <f>IF(ISNUMBER(deployment_raw[[#This Row],[Column10]]), (deployment_raw[[#This Row],[Column10]] * IF($E$2="Deployment",deployment_raw[[#This Row],[Column5]],1)),"")</f>
        <v/>
      </c>
      <c r="S864" s="48" t="str">
        <f>IF(ISNUMBER(deployment_raw[[#This Row],[Column11]]), (deployment_raw[[#This Row],[Column11]] * IF($E$2="Deployment",deployment_raw[[#This Row],[Column5]],1))/1048576,"")</f>
        <v/>
      </c>
      <c r="T864" s="59" t="str">
        <f>IF(ISNUMBER(deployment_raw[[#This Row],[Column8]]),IF(OR(deployment_raw[[#This Row],[Column5]] &lt;&gt; 0,$E$2 &lt;&gt; "Deployment"), MAX(V864, ($T$2 * IF($E$2="Deployment",deployment_raw[[#This Row],[Column5]],1))), 0),"")</f>
        <v/>
      </c>
      <c r="U864" s="50" t="str">
        <f>IF(ISNUMBER(deployment_raw[[#This Row],[Column9]]),IF(OR(deployment_raw[[#This Row],[Column5]] &lt;&gt; 0,$E$2&lt;&gt;"Deployment"), MAX(W864, ($U$2 * IF($E$2="Deployment",deployment_raw[[#This Row],[Column5]],1))), 0),"")</f>
        <v/>
      </c>
      <c r="V864" s="15" t="str">
        <f>IF(ISNUMBER(deployment_raw[[#This Row],[Column12]]), (deployment_raw[[#This Row],[Column12]] * IF($E$2="Deployment",deployment_raw[[#This Row],[Column5]],1)*(1+$V$2)),"")</f>
        <v/>
      </c>
      <c r="W864" s="14" t="str">
        <f>IF(ISNUMBER(deployment_raw[[#This Row],[Column13]]), (deployment_raw[[#This Row],[Column13]] * IF($E$2="Deployment",deployment_raw[[#This Row],[Column5]],1)*(1+$W$2))/1048576,"")</f>
        <v/>
      </c>
    </row>
    <row r="865" spans="1:23" ht="15.75" customHeight="1" x14ac:dyDescent="0.25">
      <c r="A865" s="5" t="str">
        <f>IF(ISNONTEXT(deployment_raw[[#This Row],[Column1]]), "", deployment_raw[[#This Row],[Column1]])</f>
        <v/>
      </c>
      <c r="B865" s="6" t="str">
        <f>IF(ISNONTEXT(deployment_raw[[#This Row],[Column2]]), "", deployment_raw[[#This Row],[Column2]])</f>
        <v/>
      </c>
      <c r="C865" s="6" t="str">
        <f>IF(ISNONTEXT(deployment_raw[[#This Row],[Column3]]), "", deployment_raw[[#This Row],[Column3]])</f>
        <v/>
      </c>
      <c r="D865" s="6" t="str">
        <f>IF(ISNONTEXT(deployment_raw[[#This Row],[Column4]]), "", deployment_raw[[#This Row],[Column4]])</f>
        <v/>
      </c>
      <c r="E865" s="7" t="str">
        <f>IF(ISNUMBER(deployment_raw[[#This Row],[Column5]]), deployment_raw[[#This Row],[Column5]],"")</f>
        <v/>
      </c>
      <c r="F865" s="32" t="str">
        <f>IF(ISNUMBER(deployment_raw[[#This Row],[Column17]]), deployment_raw[[#This Row],[Column17]]/IF(OR($E$2="Deployment",deployment_raw[[#This Row],[Column5]]=0),1,deployment_raw[[#This Row],[Column5]]),"")</f>
        <v/>
      </c>
      <c r="G865" s="42" t="str">
        <f>IF(ISNUMBER(deployment_raw[[#This Row],[Column14]]), deployment_raw[[#This Row],[Column14]]/IF(OR($E$2="Deployment",deployment_raw[[#This Row],[Column5]]=0),1,deployment_raw[[#This Row],[Column5]]),"")</f>
        <v/>
      </c>
      <c r="H865" s="79" t="str">
        <f>IF(ISNUMBER(deployment_raw[[#This Row],[Column19]]), IF(I865&lt;&gt;0,(deployment_raw[[#This Row],[Column19]]/IF(OR($E$2="Deployment",deployment_raw[[#This Row],[Column5]]=0),1,deployment_raw[[#This Row],[Column5]]))/I865,0),"")</f>
        <v/>
      </c>
      <c r="I865" s="69" t="str">
        <f>IF(ISNUMBER(deployment_raw[[#This Row],[Column6]]), (deployment_raw[[#This Row],[Column6]] * IF($E$2="Deployment",deployment_raw[[#This Row],[Column5]],1)),"")</f>
        <v/>
      </c>
      <c r="J865" s="79" t="str">
        <f>IF(ISNUMBER(deployment_raw[[#This Row],[Column19]]), IF(K865&lt;&gt;0,(deployment_raw[[#This Row],[Column19]]/IF(OR($E$2="Deployment",deployment_raw[[#This Row],[Column5]]=0),1,deployment_raw[[#This Row],[Column5]]))/K865,0),"")</f>
        <v/>
      </c>
      <c r="K865" s="72" t="str">
        <f>IF(ISNUMBER(deployment_raw[[#This Row],[Column8]]), (deployment_raw[[#This Row],[Column8]]  * IF($E$2="Deployment",deployment_raw[[#This Row],[Column5]],1)),"")</f>
        <v/>
      </c>
      <c r="L86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6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65" s="81" t="str">
        <f>IF(ISNUMBER(deployment_raw[[#This Row],[Column20]]), IF(O865&lt;&gt;0,deployment_raw[[#This Row],[Column20]]/IF(OR($E$2="Deployment",deployment_raw[[#This Row],[Column5]]=0),1,deployment_raw[[#This Row],[Column5]])/1048576/O865,0),"")</f>
        <v/>
      </c>
      <c r="O865" s="74" t="str">
        <f>IF(ISNUMBER(deployment_raw[[#This Row],[Column7]]), (deployment_raw[[#This Row],[Column7]] * IF($E$2="Deployment",deployment_raw[[#This Row],[Column5]],1))/1048576,"")</f>
        <v/>
      </c>
      <c r="P865" s="81" t="str">
        <f>IF(ISNUMBER(deployment_raw[[#This Row],[Column20]]), IF(Q865&lt;&gt;0,deployment_raw[[#This Row],[Column20]]/IF(OR($E$2="Deployment",deployment_raw[[#This Row],[Column5]]=0),1,deployment_raw[[#This Row],[Column5]])/1048576/Q865,0),"")</f>
        <v/>
      </c>
      <c r="Q865" s="76" t="str">
        <f>IF(ISNUMBER(deployment_raw[[#This Row],[Column9]]), (deployment_raw[[#This Row],[Column9]] * IF($E$2="Deployment",deployment_raw[[#This Row],[Column5]],1))/1048576,"")</f>
        <v/>
      </c>
      <c r="R865" s="57" t="str">
        <f>IF(ISNUMBER(deployment_raw[[#This Row],[Column10]]), (deployment_raw[[#This Row],[Column10]] * IF($E$2="Deployment",deployment_raw[[#This Row],[Column5]],1)),"")</f>
        <v/>
      </c>
      <c r="S865" s="48" t="str">
        <f>IF(ISNUMBER(deployment_raw[[#This Row],[Column11]]), (deployment_raw[[#This Row],[Column11]] * IF($E$2="Deployment",deployment_raw[[#This Row],[Column5]],1))/1048576,"")</f>
        <v/>
      </c>
      <c r="T865" s="59" t="str">
        <f>IF(ISNUMBER(deployment_raw[[#This Row],[Column8]]),IF(OR(deployment_raw[[#This Row],[Column5]] &lt;&gt; 0,$E$2 &lt;&gt; "Deployment"), MAX(V865, ($T$2 * IF($E$2="Deployment",deployment_raw[[#This Row],[Column5]],1))), 0),"")</f>
        <v/>
      </c>
      <c r="U865" s="50" t="str">
        <f>IF(ISNUMBER(deployment_raw[[#This Row],[Column9]]),IF(OR(deployment_raw[[#This Row],[Column5]] &lt;&gt; 0,$E$2&lt;&gt;"Deployment"), MAX(W865, ($U$2 * IF($E$2="Deployment",deployment_raw[[#This Row],[Column5]],1))), 0),"")</f>
        <v/>
      </c>
      <c r="V865" s="15" t="str">
        <f>IF(ISNUMBER(deployment_raw[[#This Row],[Column12]]), (deployment_raw[[#This Row],[Column12]] * IF($E$2="Deployment",deployment_raw[[#This Row],[Column5]],1)*(1+$V$2)),"")</f>
        <v/>
      </c>
      <c r="W865" s="14" t="str">
        <f>IF(ISNUMBER(deployment_raw[[#This Row],[Column13]]), (deployment_raw[[#This Row],[Column13]] * IF($E$2="Deployment",deployment_raw[[#This Row],[Column5]],1)*(1+$W$2))/1048576,"")</f>
        <v/>
      </c>
    </row>
    <row r="866" spans="1:23" ht="15.75" customHeight="1" x14ac:dyDescent="0.25">
      <c r="A866" s="5" t="str">
        <f>IF(ISNONTEXT(deployment_raw[[#This Row],[Column1]]), "", deployment_raw[[#This Row],[Column1]])</f>
        <v/>
      </c>
      <c r="B866" s="6" t="str">
        <f>IF(ISNONTEXT(deployment_raw[[#This Row],[Column2]]), "", deployment_raw[[#This Row],[Column2]])</f>
        <v/>
      </c>
      <c r="C866" s="6" t="str">
        <f>IF(ISNONTEXT(deployment_raw[[#This Row],[Column3]]), "", deployment_raw[[#This Row],[Column3]])</f>
        <v/>
      </c>
      <c r="D866" s="6" t="str">
        <f>IF(ISNONTEXT(deployment_raw[[#This Row],[Column4]]), "", deployment_raw[[#This Row],[Column4]])</f>
        <v/>
      </c>
      <c r="E866" s="7" t="str">
        <f>IF(ISNUMBER(deployment_raw[[#This Row],[Column5]]), deployment_raw[[#This Row],[Column5]],"")</f>
        <v/>
      </c>
      <c r="F866" s="32" t="str">
        <f>IF(ISNUMBER(deployment_raw[[#This Row],[Column17]]), deployment_raw[[#This Row],[Column17]]/IF(OR($E$2="Deployment",deployment_raw[[#This Row],[Column5]]=0),1,deployment_raw[[#This Row],[Column5]]),"")</f>
        <v/>
      </c>
      <c r="G866" s="42" t="str">
        <f>IF(ISNUMBER(deployment_raw[[#This Row],[Column14]]), deployment_raw[[#This Row],[Column14]]/IF(OR($E$2="Deployment",deployment_raw[[#This Row],[Column5]]=0),1,deployment_raw[[#This Row],[Column5]]),"")</f>
        <v/>
      </c>
      <c r="H866" s="79" t="str">
        <f>IF(ISNUMBER(deployment_raw[[#This Row],[Column19]]), IF(I866&lt;&gt;0,(deployment_raw[[#This Row],[Column19]]/IF(OR($E$2="Deployment",deployment_raw[[#This Row],[Column5]]=0),1,deployment_raw[[#This Row],[Column5]]))/I866,0),"")</f>
        <v/>
      </c>
      <c r="I866" s="69" t="str">
        <f>IF(ISNUMBER(deployment_raw[[#This Row],[Column6]]), (deployment_raw[[#This Row],[Column6]] * IF($E$2="Deployment",deployment_raw[[#This Row],[Column5]],1)),"")</f>
        <v/>
      </c>
      <c r="J866" s="79" t="str">
        <f>IF(ISNUMBER(deployment_raw[[#This Row],[Column19]]), IF(K866&lt;&gt;0,(deployment_raw[[#This Row],[Column19]]/IF(OR($E$2="Deployment",deployment_raw[[#This Row],[Column5]]=0),1,deployment_raw[[#This Row],[Column5]]))/K866,0),"")</f>
        <v/>
      </c>
      <c r="K866" s="72" t="str">
        <f>IF(ISNUMBER(deployment_raw[[#This Row],[Column8]]), (deployment_raw[[#This Row],[Column8]]  * IF($E$2="Deployment",deployment_raw[[#This Row],[Column5]],1)),"")</f>
        <v/>
      </c>
      <c r="L86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6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66" s="81" t="str">
        <f>IF(ISNUMBER(deployment_raw[[#This Row],[Column20]]), IF(O866&lt;&gt;0,deployment_raw[[#This Row],[Column20]]/IF(OR($E$2="Deployment",deployment_raw[[#This Row],[Column5]]=0),1,deployment_raw[[#This Row],[Column5]])/1048576/O866,0),"")</f>
        <v/>
      </c>
      <c r="O866" s="74" t="str">
        <f>IF(ISNUMBER(deployment_raw[[#This Row],[Column7]]), (deployment_raw[[#This Row],[Column7]] * IF($E$2="Deployment",deployment_raw[[#This Row],[Column5]],1))/1048576,"")</f>
        <v/>
      </c>
      <c r="P866" s="81" t="str">
        <f>IF(ISNUMBER(deployment_raw[[#This Row],[Column20]]), IF(Q866&lt;&gt;0,deployment_raw[[#This Row],[Column20]]/IF(OR($E$2="Deployment",deployment_raw[[#This Row],[Column5]]=0),1,deployment_raw[[#This Row],[Column5]])/1048576/Q866,0),"")</f>
        <v/>
      </c>
      <c r="Q866" s="76" t="str">
        <f>IF(ISNUMBER(deployment_raw[[#This Row],[Column9]]), (deployment_raw[[#This Row],[Column9]] * IF($E$2="Deployment",deployment_raw[[#This Row],[Column5]],1))/1048576,"")</f>
        <v/>
      </c>
      <c r="R866" s="57" t="str">
        <f>IF(ISNUMBER(deployment_raw[[#This Row],[Column10]]), (deployment_raw[[#This Row],[Column10]] * IF($E$2="Deployment",deployment_raw[[#This Row],[Column5]],1)),"")</f>
        <v/>
      </c>
      <c r="S866" s="48" t="str">
        <f>IF(ISNUMBER(deployment_raw[[#This Row],[Column11]]), (deployment_raw[[#This Row],[Column11]] * IF($E$2="Deployment",deployment_raw[[#This Row],[Column5]],1))/1048576,"")</f>
        <v/>
      </c>
      <c r="T866" s="59" t="str">
        <f>IF(ISNUMBER(deployment_raw[[#This Row],[Column8]]),IF(OR(deployment_raw[[#This Row],[Column5]] &lt;&gt; 0,$E$2 &lt;&gt; "Deployment"), MAX(V866, ($T$2 * IF($E$2="Deployment",deployment_raw[[#This Row],[Column5]],1))), 0),"")</f>
        <v/>
      </c>
      <c r="U866" s="50" t="str">
        <f>IF(ISNUMBER(deployment_raw[[#This Row],[Column9]]),IF(OR(deployment_raw[[#This Row],[Column5]] &lt;&gt; 0,$E$2&lt;&gt;"Deployment"), MAX(W866, ($U$2 * IF($E$2="Deployment",deployment_raw[[#This Row],[Column5]],1))), 0),"")</f>
        <v/>
      </c>
      <c r="V866" s="15" t="str">
        <f>IF(ISNUMBER(deployment_raw[[#This Row],[Column12]]), (deployment_raw[[#This Row],[Column12]] * IF($E$2="Deployment",deployment_raw[[#This Row],[Column5]],1)*(1+$V$2)),"")</f>
        <v/>
      </c>
      <c r="W866" s="14" t="str">
        <f>IF(ISNUMBER(deployment_raw[[#This Row],[Column13]]), (deployment_raw[[#This Row],[Column13]] * IF($E$2="Deployment",deployment_raw[[#This Row],[Column5]],1)*(1+$W$2))/1048576,"")</f>
        <v/>
      </c>
    </row>
    <row r="867" spans="1:23" ht="15.75" customHeight="1" x14ac:dyDescent="0.25">
      <c r="A867" s="5" t="str">
        <f>IF(ISNONTEXT(deployment_raw[[#This Row],[Column1]]), "", deployment_raw[[#This Row],[Column1]])</f>
        <v/>
      </c>
      <c r="B867" s="6" t="str">
        <f>IF(ISNONTEXT(deployment_raw[[#This Row],[Column2]]), "", deployment_raw[[#This Row],[Column2]])</f>
        <v/>
      </c>
      <c r="C867" s="6" t="str">
        <f>IF(ISNONTEXT(deployment_raw[[#This Row],[Column3]]), "", deployment_raw[[#This Row],[Column3]])</f>
        <v/>
      </c>
      <c r="D867" s="6" t="str">
        <f>IF(ISNONTEXT(deployment_raw[[#This Row],[Column4]]), "", deployment_raw[[#This Row],[Column4]])</f>
        <v/>
      </c>
      <c r="E867" s="7" t="str">
        <f>IF(ISNUMBER(deployment_raw[[#This Row],[Column5]]), deployment_raw[[#This Row],[Column5]],"")</f>
        <v/>
      </c>
      <c r="F867" s="32" t="str">
        <f>IF(ISNUMBER(deployment_raw[[#This Row],[Column17]]), deployment_raw[[#This Row],[Column17]]/IF(OR($E$2="Deployment",deployment_raw[[#This Row],[Column5]]=0),1,deployment_raw[[#This Row],[Column5]]),"")</f>
        <v/>
      </c>
      <c r="G867" s="42" t="str">
        <f>IF(ISNUMBER(deployment_raw[[#This Row],[Column14]]), deployment_raw[[#This Row],[Column14]]/IF(OR($E$2="Deployment",deployment_raw[[#This Row],[Column5]]=0),1,deployment_raw[[#This Row],[Column5]]),"")</f>
        <v/>
      </c>
      <c r="H867" s="79" t="str">
        <f>IF(ISNUMBER(deployment_raw[[#This Row],[Column19]]), IF(I867&lt;&gt;0,(deployment_raw[[#This Row],[Column19]]/IF(OR($E$2="Deployment",deployment_raw[[#This Row],[Column5]]=0),1,deployment_raw[[#This Row],[Column5]]))/I867,0),"")</f>
        <v/>
      </c>
      <c r="I867" s="69" t="str">
        <f>IF(ISNUMBER(deployment_raw[[#This Row],[Column6]]), (deployment_raw[[#This Row],[Column6]] * IF($E$2="Deployment",deployment_raw[[#This Row],[Column5]],1)),"")</f>
        <v/>
      </c>
      <c r="J867" s="79" t="str">
        <f>IF(ISNUMBER(deployment_raw[[#This Row],[Column19]]), IF(K867&lt;&gt;0,(deployment_raw[[#This Row],[Column19]]/IF(OR($E$2="Deployment",deployment_raw[[#This Row],[Column5]]=0),1,deployment_raw[[#This Row],[Column5]]))/K867,0),"")</f>
        <v/>
      </c>
      <c r="K867" s="72" t="str">
        <f>IF(ISNUMBER(deployment_raw[[#This Row],[Column8]]), (deployment_raw[[#This Row],[Column8]]  * IF($E$2="Deployment",deployment_raw[[#This Row],[Column5]],1)),"")</f>
        <v/>
      </c>
      <c r="L86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6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67" s="81" t="str">
        <f>IF(ISNUMBER(deployment_raw[[#This Row],[Column20]]), IF(O867&lt;&gt;0,deployment_raw[[#This Row],[Column20]]/IF(OR($E$2="Deployment",deployment_raw[[#This Row],[Column5]]=0),1,deployment_raw[[#This Row],[Column5]])/1048576/O867,0),"")</f>
        <v/>
      </c>
      <c r="O867" s="74" t="str">
        <f>IF(ISNUMBER(deployment_raw[[#This Row],[Column7]]), (deployment_raw[[#This Row],[Column7]] * IF($E$2="Deployment",deployment_raw[[#This Row],[Column5]],1))/1048576,"")</f>
        <v/>
      </c>
      <c r="P867" s="81" t="str">
        <f>IF(ISNUMBER(deployment_raw[[#This Row],[Column20]]), IF(Q867&lt;&gt;0,deployment_raw[[#This Row],[Column20]]/IF(OR($E$2="Deployment",deployment_raw[[#This Row],[Column5]]=0),1,deployment_raw[[#This Row],[Column5]])/1048576/Q867,0),"")</f>
        <v/>
      </c>
      <c r="Q867" s="76" t="str">
        <f>IF(ISNUMBER(deployment_raw[[#This Row],[Column9]]), (deployment_raw[[#This Row],[Column9]] * IF($E$2="Deployment",deployment_raw[[#This Row],[Column5]],1))/1048576,"")</f>
        <v/>
      </c>
      <c r="R867" s="57" t="str">
        <f>IF(ISNUMBER(deployment_raw[[#This Row],[Column10]]), (deployment_raw[[#This Row],[Column10]] * IF($E$2="Deployment",deployment_raw[[#This Row],[Column5]],1)),"")</f>
        <v/>
      </c>
      <c r="S867" s="48" t="str">
        <f>IF(ISNUMBER(deployment_raw[[#This Row],[Column11]]), (deployment_raw[[#This Row],[Column11]] * IF($E$2="Deployment",deployment_raw[[#This Row],[Column5]],1))/1048576,"")</f>
        <v/>
      </c>
      <c r="T867" s="59" t="str">
        <f>IF(ISNUMBER(deployment_raw[[#This Row],[Column8]]),IF(OR(deployment_raw[[#This Row],[Column5]] &lt;&gt; 0,$E$2 &lt;&gt; "Deployment"), MAX(V867, ($T$2 * IF($E$2="Deployment",deployment_raw[[#This Row],[Column5]],1))), 0),"")</f>
        <v/>
      </c>
      <c r="U867" s="50" t="str">
        <f>IF(ISNUMBER(deployment_raw[[#This Row],[Column9]]),IF(OR(deployment_raw[[#This Row],[Column5]] &lt;&gt; 0,$E$2&lt;&gt;"Deployment"), MAX(W867, ($U$2 * IF($E$2="Deployment",deployment_raw[[#This Row],[Column5]],1))), 0),"")</f>
        <v/>
      </c>
      <c r="V867" s="15" t="str">
        <f>IF(ISNUMBER(deployment_raw[[#This Row],[Column12]]), (deployment_raw[[#This Row],[Column12]] * IF($E$2="Deployment",deployment_raw[[#This Row],[Column5]],1)*(1+$V$2)),"")</f>
        <v/>
      </c>
      <c r="W867" s="14" t="str">
        <f>IF(ISNUMBER(deployment_raw[[#This Row],[Column13]]), (deployment_raw[[#This Row],[Column13]] * IF($E$2="Deployment",deployment_raw[[#This Row],[Column5]],1)*(1+$W$2))/1048576,"")</f>
        <v/>
      </c>
    </row>
    <row r="868" spans="1:23" ht="15.75" customHeight="1" x14ac:dyDescent="0.25">
      <c r="A868" s="5" t="str">
        <f>IF(ISNONTEXT(deployment_raw[[#This Row],[Column1]]), "", deployment_raw[[#This Row],[Column1]])</f>
        <v/>
      </c>
      <c r="B868" s="6" t="str">
        <f>IF(ISNONTEXT(deployment_raw[[#This Row],[Column2]]), "", deployment_raw[[#This Row],[Column2]])</f>
        <v/>
      </c>
      <c r="C868" s="6" t="str">
        <f>IF(ISNONTEXT(deployment_raw[[#This Row],[Column3]]), "", deployment_raw[[#This Row],[Column3]])</f>
        <v/>
      </c>
      <c r="D868" s="6" t="str">
        <f>IF(ISNONTEXT(deployment_raw[[#This Row],[Column4]]), "", deployment_raw[[#This Row],[Column4]])</f>
        <v/>
      </c>
      <c r="E868" s="7" t="str">
        <f>IF(ISNUMBER(deployment_raw[[#This Row],[Column5]]), deployment_raw[[#This Row],[Column5]],"")</f>
        <v/>
      </c>
      <c r="F868" s="32" t="str">
        <f>IF(ISNUMBER(deployment_raw[[#This Row],[Column17]]), deployment_raw[[#This Row],[Column17]]/IF(OR($E$2="Deployment",deployment_raw[[#This Row],[Column5]]=0),1,deployment_raw[[#This Row],[Column5]]),"")</f>
        <v/>
      </c>
      <c r="G868" s="42" t="str">
        <f>IF(ISNUMBER(deployment_raw[[#This Row],[Column14]]), deployment_raw[[#This Row],[Column14]]/IF(OR($E$2="Deployment",deployment_raw[[#This Row],[Column5]]=0),1,deployment_raw[[#This Row],[Column5]]),"")</f>
        <v/>
      </c>
      <c r="H868" s="79" t="str">
        <f>IF(ISNUMBER(deployment_raw[[#This Row],[Column19]]), IF(I868&lt;&gt;0,(deployment_raw[[#This Row],[Column19]]/IF(OR($E$2="Deployment",deployment_raw[[#This Row],[Column5]]=0),1,deployment_raw[[#This Row],[Column5]]))/I868,0),"")</f>
        <v/>
      </c>
      <c r="I868" s="69" t="str">
        <f>IF(ISNUMBER(deployment_raw[[#This Row],[Column6]]), (deployment_raw[[#This Row],[Column6]] * IF($E$2="Deployment",deployment_raw[[#This Row],[Column5]],1)),"")</f>
        <v/>
      </c>
      <c r="J868" s="79" t="str">
        <f>IF(ISNUMBER(deployment_raw[[#This Row],[Column19]]), IF(K868&lt;&gt;0,(deployment_raw[[#This Row],[Column19]]/IF(OR($E$2="Deployment",deployment_raw[[#This Row],[Column5]]=0),1,deployment_raw[[#This Row],[Column5]]))/K868,0),"")</f>
        <v/>
      </c>
      <c r="K868" s="72" t="str">
        <f>IF(ISNUMBER(deployment_raw[[#This Row],[Column8]]), (deployment_raw[[#This Row],[Column8]]  * IF($E$2="Deployment",deployment_raw[[#This Row],[Column5]],1)),"")</f>
        <v/>
      </c>
      <c r="L86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6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68" s="81" t="str">
        <f>IF(ISNUMBER(deployment_raw[[#This Row],[Column20]]), IF(O868&lt;&gt;0,deployment_raw[[#This Row],[Column20]]/IF(OR($E$2="Deployment",deployment_raw[[#This Row],[Column5]]=0),1,deployment_raw[[#This Row],[Column5]])/1048576/O868,0),"")</f>
        <v/>
      </c>
      <c r="O868" s="74" t="str">
        <f>IF(ISNUMBER(deployment_raw[[#This Row],[Column7]]), (deployment_raw[[#This Row],[Column7]] * IF($E$2="Deployment",deployment_raw[[#This Row],[Column5]],1))/1048576,"")</f>
        <v/>
      </c>
      <c r="P868" s="81" t="str">
        <f>IF(ISNUMBER(deployment_raw[[#This Row],[Column20]]), IF(Q868&lt;&gt;0,deployment_raw[[#This Row],[Column20]]/IF(OR($E$2="Deployment",deployment_raw[[#This Row],[Column5]]=0),1,deployment_raw[[#This Row],[Column5]])/1048576/Q868,0),"")</f>
        <v/>
      </c>
      <c r="Q868" s="76" t="str">
        <f>IF(ISNUMBER(deployment_raw[[#This Row],[Column9]]), (deployment_raw[[#This Row],[Column9]] * IF($E$2="Deployment",deployment_raw[[#This Row],[Column5]],1))/1048576,"")</f>
        <v/>
      </c>
      <c r="R868" s="57" t="str">
        <f>IF(ISNUMBER(deployment_raw[[#This Row],[Column10]]), (deployment_raw[[#This Row],[Column10]] * IF($E$2="Deployment",deployment_raw[[#This Row],[Column5]],1)),"")</f>
        <v/>
      </c>
      <c r="S868" s="48" t="str">
        <f>IF(ISNUMBER(deployment_raw[[#This Row],[Column11]]), (deployment_raw[[#This Row],[Column11]] * IF($E$2="Deployment",deployment_raw[[#This Row],[Column5]],1))/1048576,"")</f>
        <v/>
      </c>
      <c r="T868" s="59" t="str">
        <f>IF(ISNUMBER(deployment_raw[[#This Row],[Column8]]),IF(OR(deployment_raw[[#This Row],[Column5]] &lt;&gt; 0,$E$2 &lt;&gt; "Deployment"), MAX(V868, ($T$2 * IF($E$2="Deployment",deployment_raw[[#This Row],[Column5]],1))), 0),"")</f>
        <v/>
      </c>
      <c r="U868" s="50" t="str">
        <f>IF(ISNUMBER(deployment_raw[[#This Row],[Column9]]),IF(OR(deployment_raw[[#This Row],[Column5]] &lt;&gt; 0,$E$2&lt;&gt;"Deployment"), MAX(W868, ($U$2 * IF($E$2="Deployment",deployment_raw[[#This Row],[Column5]],1))), 0),"")</f>
        <v/>
      </c>
      <c r="V868" s="15" t="str">
        <f>IF(ISNUMBER(deployment_raw[[#This Row],[Column12]]), (deployment_raw[[#This Row],[Column12]] * IF($E$2="Deployment",deployment_raw[[#This Row],[Column5]],1)*(1+$V$2)),"")</f>
        <v/>
      </c>
      <c r="W868" s="14" t="str">
        <f>IF(ISNUMBER(deployment_raw[[#This Row],[Column13]]), (deployment_raw[[#This Row],[Column13]] * IF($E$2="Deployment",deployment_raw[[#This Row],[Column5]],1)*(1+$W$2))/1048576,"")</f>
        <v/>
      </c>
    </row>
    <row r="869" spans="1:23" ht="15" customHeight="1" x14ac:dyDescent="0.25">
      <c r="A869" s="5" t="str">
        <f>IF(ISNONTEXT(deployment_raw[[#This Row],[Column1]]), "", deployment_raw[[#This Row],[Column1]])</f>
        <v/>
      </c>
      <c r="B869" s="6" t="str">
        <f>IF(ISNONTEXT(deployment_raw[[#This Row],[Column2]]), "", deployment_raw[[#This Row],[Column2]])</f>
        <v/>
      </c>
      <c r="C869" s="6" t="str">
        <f>IF(ISNONTEXT(deployment_raw[[#This Row],[Column3]]), "", deployment_raw[[#This Row],[Column3]])</f>
        <v/>
      </c>
      <c r="D869" s="6" t="str">
        <f>IF(ISNONTEXT(deployment_raw[[#This Row],[Column4]]), "", deployment_raw[[#This Row],[Column4]])</f>
        <v/>
      </c>
      <c r="E869" s="7" t="str">
        <f>IF(ISNUMBER(deployment_raw[[#This Row],[Column5]]), deployment_raw[[#This Row],[Column5]],"")</f>
        <v/>
      </c>
      <c r="F869" s="32" t="str">
        <f>IF(ISNUMBER(deployment_raw[[#This Row],[Column17]]), deployment_raw[[#This Row],[Column17]]/IF(OR($E$2="Deployment",deployment_raw[[#This Row],[Column5]]=0),1,deployment_raw[[#This Row],[Column5]]),"")</f>
        <v/>
      </c>
      <c r="G869" s="42" t="str">
        <f>IF(ISNUMBER(deployment_raw[[#This Row],[Column14]]), deployment_raw[[#This Row],[Column14]]/IF(OR($E$2="Deployment",deployment_raw[[#This Row],[Column5]]=0),1,deployment_raw[[#This Row],[Column5]]),"")</f>
        <v/>
      </c>
      <c r="H869" s="79" t="str">
        <f>IF(ISNUMBER(deployment_raw[[#This Row],[Column19]]), IF(I869&lt;&gt;0,(deployment_raw[[#This Row],[Column19]]/IF(OR($E$2="Deployment",deployment_raw[[#This Row],[Column5]]=0),1,deployment_raw[[#This Row],[Column5]]))/I869,0),"")</f>
        <v/>
      </c>
      <c r="I869" s="69" t="str">
        <f>IF(ISNUMBER(deployment_raw[[#This Row],[Column6]]), (deployment_raw[[#This Row],[Column6]] * IF($E$2="Deployment",deployment_raw[[#This Row],[Column5]],1)),"")</f>
        <v/>
      </c>
      <c r="J869" s="79" t="str">
        <f>IF(ISNUMBER(deployment_raw[[#This Row],[Column19]]), IF(K869&lt;&gt;0,(deployment_raw[[#This Row],[Column19]]/IF(OR($E$2="Deployment",deployment_raw[[#This Row],[Column5]]=0),1,deployment_raw[[#This Row],[Column5]]))/K869,0),"")</f>
        <v/>
      </c>
      <c r="K869" s="72" t="str">
        <f>IF(ISNUMBER(deployment_raw[[#This Row],[Column8]]), (deployment_raw[[#This Row],[Column8]]  * IF($E$2="Deployment",deployment_raw[[#This Row],[Column5]],1)),"")</f>
        <v/>
      </c>
      <c r="L86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6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69" s="81" t="str">
        <f>IF(ISNUMBER(deployment_raw[[#This Row],[Column20]]), IF(O869&lt;&gt;0,deployment_raw[[#This Row],[Column20]]/IF(OR($E$2="Deployment",deployment_raw[[#This Row],[Column5]]=0),1,deployment_raw[[#This Row],[Column5]])/1048576/O869,0),"")</f>
        <v/>
      </c>
      <c r="O869" s="74" t="str">
        <f>IF(ISNUMBER(deployment_raw[[#This Row],[Column7]]), (deployment_raw[[#This Row],[Column7]] * IF($E$2="Deployment",deployment_raw[[#This Row],[Column5]],1))/1048576,"")</f>
        <v/>
      </c>
      <c r="P869" s="81" t="str">
        <f>IF(ISNUMBER(deployment_raw[[#This Row],[Column20]]), IF(Q869&lt;&gt;0,deployment_raw[[#This Row],[Column20]]/IF(OR($E$2="Deployment",deployment_raw[[#This Row],[Column5]]=0),1,deployment_raw[[#This Row],[Column5]])/1048576/Q869,0),"")</f>
        <v/>
      </c>
      <c r="Q869" s="76" t="str">
        <f>IF(ISNUMBER(deployment_raw[[#This Row],[Column9]]), (deployment_raw[[#This Row],[Column9]] * IF($E$2="Deployment",deployment_raw[[#This Row],[Column5]],1))/1048576,"")</f>
        <v/>
      </c>
      <c r="R869" s="57" t="str">
        <f>IF(ISNUMBER(deployment_raw[[#This Row],[Column10]]), (deployment_raw[[#This Row],[Column10]] * IF($E$2="Deployment",deployment_raw[[#This Row],[Column5]],1)),"")</f>
        <v/>
      </c>
      <c r="S869" s="48" t="str">
        <f>IF(ISNUMBER(deployment_raw[[#This Row],[Column11]]), (deployment_raw[[#This Row],[Column11]] * IF($E$2="Deployment",deployment_raw[[#This Row],[Column5]],1))/1048576,"")</f>
        <v/>
      </c>
      <c r="T869" s="59" t="str">
        <f>IF(ISNUMBER(deployment_raw[[#This Row],[Column8]]),IF(OR(deployment_raw[[#This Row],[Column5]] &lt;&gt; 0,$E$2 &lt;&gt; "Deployment"), MAX(V869, ($T$2 * IF($E$2="Deployment",deployment_raw[[#This Row],[Column5]],1))), 0),"")</f>
        <v/>
      </c>
      <c r="U869" s="50" t="str">
        <f>IF(ISNUMBER(deployment_raw[[#This Row],[Column9]]),IF(OR(deployment_raw[[#This Row],[Column5]] &lt;&gt; 0,$E$2&lt;&gt;"Deployment"), MAX(W869, ($U$2 * IF($E$2="Deployment",deployment_raw[[#This Row],[Column5]],1))), 0),"")</f>
        <v/>
      </c>
      <c r="V869" s="15" t="str">
        <f>IF(ISNUMBER(deployment_raw[[#This Row],[Column12]]), (deployment_raw[[#This Row],[Column12]] * IF($E$2="Deployment",deployment_raw[[#This Row],[Column5]],1)*(1+$V$2)),"")</f>
        <v/>
      </c>
      <c r="W869" s="14" t="str">
        <f>IF(ISNUMBER(deployment_raw[[#This Row],[Column13]]), (deployment_raw[[#This Row],[Column13]] * IF($E$2="Deployment",deployment_raw[[#This Row],[Column5]],1)*(1+$W$2))/1048576,"")</f>
        <v/>
      </c>
    </row>
    <row r="870" spans="1:23" ht="15" customHeight="1" x14ac:dyDescent="0.25">
      <c r="A870" s="5" t="str">
        <f>IF(ISNONTEXT(deployment_raw[[#This Row],[Column1]]), "", deployment_raw[[#This Row],[Column1]])</f>
        <v/>
      </c>
      <c r="B870" s="6" t="str">
        <f>IF(ISNONTEXT(deployment_raw[[#This Row],[Column2]]), "", deployment_raw[[#This Row],[Column2]])</f>
        <v/>
      </c>
      <c r="C870" s="6" t="str">
        <f>IF(ISNONTEXT(deployment_raw[[#This Row],[Column3]]), "", deployment_raw[[#This Row],[Column3]])</f>
        <v/>
      </c>
      <c r="D870" s="6" t="str">
        <f>IF(ISNONTEXT(deployment_raw[[#This Row],[Column4]]), "", deployment_raw[[#This Row],[Column4]])</f>
        <v/>
      </c>
      <c r="E870" s="7" t="str">
        <f>IF(ISNUMBER(deployment_raw[[#This Row],[Column5]]), deployment_raw[[#This Row],[Column5]],"")</f>
        <v/>
      </c>
      <c r="F870" s="32" t="str">
        <f>IF(ISNUMBER(deployment_raw[[#This Row],[Column17]]), deployment_raw[[#This Row],[Column17]]/IF(OR($E$2="Deployment",deployment_raw[[#This Row],[Column5]]=0),1,deployment_raw[[#This Row],[Column5]]),"")</f>
        <v/>
      </c>
      <c r="G870" s="42" t="str">
        <f>IF(ISNUMBER(deployment_raw[[#This Row],[Column14]]), deployment_raw[[#This Row],[Column14]]/IF(OR($E$2="Deployment",deployment_raw[[#This Row],[Column5]]=0),1,deployment_raw[[#This Row],[Column5]]),"")</f>
        <v/>
      </c>
      <c r="H870" s="79" t="str">
        <f>IF(ISNUMBER(deployment_raw[[#This Row],[Column19]]), IF(I870&lt;&gt;0,(deployment_raw[[#This Row],[Column19]]/IF(OR($E$2="Deployment",deployment_raw[[#This Row],[Column5]]=0),1,deployment_raw[[#This Row],[Column5]]))/I870,0),"")</f>
        <v/>
      </c>
      <c r="I870" s="69" t="str">
        <f>IF(ISNUMBER(deployment_raw[[#This Row],[Column6]]), (deployment_raw[[#This Row],[Column6]] * IF($E$2="Deployment",deployment_raw[[#This Row],[Column5]],1)),"")</f>
        <v/>
      </c>
      <c r="J870" s="79" t="str">
        <f>IF(ISNUMBER(deployment_raw[[#This Row],[Column19]]), IF(K870&lt;&gt;0,(deployment_raw[[#This Row],[Column19]]/IF(OR($E$2="Deployment",deployment_raw[[#This Row],[Column5]]=0),1,deployment_raw[[#This Row],[Column5]]))/K870,0),"")</f>
        <v/>
      </c>
      <c r="K870" s="72" t="str">
        <f>IF(ISNUMBER(deployment_raw[[#This Row],[Column8]]), (deployment_raw[[#This Row],[Column8]]  * IF($E$2="Deployment",deployment_raw[[#This Row],[Column5]],1)),"")</f>
        <v/>
      </c>
      <c r="L87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7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70" s="81" t="str">
        <f>IF(ISNUMBER(deployment_raw[[#This Row],[Column20]]), IF(O870&lt;&gt;0,deployment_raw[[#This Row],[Column20]]/IF(OR($E$2="Deployment",deployment_raw[[#This Row],[Column5]]=0),1,deployment_raw[[#This Row],[Column5]])/1048576/O870,0),"")</f>
        <v/>
      </c>
      <c r="O870" s="74" t="str">
        <f>IF(ISNUMBER(deployment_raw[[#This Row],[Column7]]), (deployment_raw[[#This Row],[Column7]] * IF($E$2="Deployment",deployment_raw[[#This Row],[Column5]],1))/1048576,"")</f>
        <v/>
      </c>
      <c r="P870" s="81" t="str">
        <f>IF(ISNUMBER(deployment_raw[[#This Row],[Column20]]), IF(Q870&lt;&gt;0,deployment_raw[[#This Row],[Column20]]/IF(OR($E$2="Deployment",deployment_raw[[#This Row],[Column5]]=0),1,deployment_raw[[#This Row],[Column5]])/1048576/Q870,0),"")</f>
        <v/>
      </c>
      <c r="Q870" s="76" t="str">
        <f>IF(ISNUMBER(deployment_raw[[#This Row],[Column9]]), (deployment_raw[[#This Row],[Column9]] * IF($E$2="Deployment",deployment_raw[[#This Row],[Column5]],1))/1048576,"")</f>
        <v/>
      </c>
      <c r="R870" s="57" t="str">
        <f>IF(ISNUMBER(deployment_raw[[#This Row],[Column10]]), (deployment_raw[[#This Row],[Column10]] * IF($E$2="Deployment",deployment_raw[[#This Row],[Column5]],1)),"")</f>
        <v/>
      </c>
      <c r="S870" s="48" t="str">
        <f>IF(ISNUMBER(deployment_raw[[#This Row],[Column11]]), (deployment_raw[[#This Row],[Column11]] * IF($E$2="Deployment",deployment_raw[[#This Row],[Column5]],1))/1048576,"")</f>
        <v/>
      </c>
      <c r="T870" s="59" t="str">
        <f>IF(ISNUMBER(deployment_raw[[#This Row],[Column8]]),IF(OR(deployment_raw[[#This Row],[Column5]] &lt;&gt; 0,$E$2 &lt;&gt; "Deployment"), MAX(V870, ($T$2 * IF($E$2="Deployment",deployment_raw[[#This Row],[Column5]],1))), 0),"")</f>
        <v/>
      </c>
      <c r="U870" s="50" t="str">
        <f>IF(ISNUMBER(deployment_raw[[#This Row],[Column9]]),IF(OR(deployment_raw[[#This Row],[Column5]] &lt;&gt; 0,$E$2&lt;&gt;"Deployment"), MAX(W870, ($U$2 * IF($E$2="Deployment",deployment_raw[[#This Row],[Column5]],1))), 0),"")</f>
        <v/>
      </c>
      <c r="V870" s="15" t="str">
        <f>IF(ISNUMBER(deployment_raw[[#This Row],[Column12]]), (deployment_raw[[#This Row],[Column12]] * IF($E$2="Deployment",deployment_raw[[#This Row],[Column5]],1)*(1+$V$2)),"")</f>
        <v/>
      </c>
      <c r="W870" s="14" t="str">
        <f>IF(ISNUMBER(deployment_raw[[#This Row],[Column13]]), (deployment_raw[[#This Row],[Column13]] * IF($E$2="Deployment",deployment_raw[[#This Row],[Column5]],1)*(1+$W$2))/1048576,"")</f>
        <v/>
      </c>
    </row>
    <row r="871" spans="1:23" ht="15" customHeight="1" x14ac:dyDescent="0.25">
      <c r="A871" s="5" t="str">
        <f>IF(ISNONTEXT(deployment_raw[[#This Row],[Column1]]), "", deployment_raw[[#This Row],[Column1]])</f>
        <v/>
      </c>
      <c r="B871" s="6" t="str">
        <f>IF(ISNONTEXT(deployment_raw[[#This Row],[Column2]]), "", deployment_raw[[#This Row],[Column2]])</f>
        <v/>
      </c>
      <c r="C871" s="6" t="str">
        <f>IF(ISNONTEXT(deployment_raw[[#This Row],[Column3]]), "", deployment_raw[[#This Row],[Column3]])</f>
        <v/>
      </c>
      <c r="D871" s="6" t="str">
        <f>IF(ISNONTEXT(deployment_raw[[#This Row],[Column4]]), "", deployment_raw[[#This Row],[Column4]])</f>
        <v/>
      </c>
      <c r="E871" s="7" t="str">
        <f>IF(ISNUMBER(deployment_raw[[#This Row],[Column5]]), deployment_raw[[#This Row],[Column5]],"")</f>
        <v/>
      </c>
      <c r="F871" s="32" t="str">
        <f>IF(ISNUMBER(deployment_raw[[#This Row],[Column17]]), deployment_raw[[#This Row],[Column17]]/IF(OR($E$2="Deployment",deployment_raw[[#This Row],[Column5]]=0),1,deployment_raw[[#This Row],[Column5]]),"")</f>
        <v/>
      </c>
      <c r="G871" s="42" t="str">
        <f>IF(ISNUMBER(deployment_raw[[#This Row],[Column14]]), deployment_raw[[#This Row],[Column14]]/IF(OR($E$2="Deployment",deployment_raw[[#This Row],[Column5]]=0),1,deployment_raw[[#This Row],[Column5]]),"")</f>
        <v/>
      </c>
      <c r="H871" s="79" t="str">
        <f>IF(ISNUMBER(deployment_raw[[#This Row],[Column19]]), IF(I871&lt;&gt;0,(deployment_raw[[#This Row],[Column19]]/IF(OR($E$2="Deployment",deployment_raw[[#This Row],[Column5]]=0),1,deployment_raw[[#This Row],[Column5]]))/I871,0),"")</f>
        <v/>
      </c>
      <c r="I871" s="69" t="str">
        <f>IF(ISNUMBER(deployment_raw[[#This Row],[Column6]]), (deployment_raw[[#This Row],[Column6]] * IF($E$2="Deployment",deployment_raw[[#This Row],[Column5]],1)),"")</f>
        <v/>
      </c>
      <c r="J871" s="79" t="str">
        <f>IF(ISNUMBER(deployment_raw[[#This Row],[Column19]]), IF(K871&lt;&gt;0,(deployment_raw[[#This Row],[Column19]]/IF(OR($E$2="Deployment",deployment_raw[[#This Row],[Column5]]=0),1,deployment_raw[[#This Row],[Column5]]))/K871,0),"")</f>
        <v/>
      </c>
      <c r="K871" s="72" t="str">
        <f>IF(ISNUMBER(deployment_raw[[#This Row],[Column8]]), (deployment_raw[[#This Row],[Column8]]  * IF($E$2="Deployment",deployment_raw[[#This Row],[Column5]],1)),"")</f>
        <v/>
      </c>
      <c r="L87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7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71" s="81" t="str">
        <f>IF(ISNUMBER(deployment_raw[[#This Row],[Column20]]), IF(O871&lt;&gt;0,deployment_raw[[#This Row],[Column20]]/IF(OR($E$2="Deployment",deployment_raw[[#This Row],[Column5]]=0),1,deployment_raw[[#This Row],[Column5]])/1048576/O871,0),"")</f>
        <v/>
      </c>
      <c r="O871" s="74" t="str">
        <f>IF(ISNUMBER(deployment_raw[[#This Row],[Column7]]), (deployment_raw[[#This Row],[Column7]] * IF($E$2="Deployment",deployment_raw[[#This Row],[Column5]],1))/1048576,"")</f>
        <v/>
      </c>
      <c r="P871" s="81" t="str">
        <f>IF(ISNUMBER(deployment_raw[[#This Row],[Column20]]), IF(Q871&lt;&gt;0,deployment_raw[[#This Row],[Column20]]/IF(OR($E$2="Deployment",deployment_raw[[#This Row],[Column5]]=0),1,deployment_raw[[#This Row],[Column5]])/1048576/Q871,0),"")</f>
        <v/>
      </c>
      <c r="Q871" s="76" t="str">
        <f>IF(ISNUMBER(deployment_raw[[#This Row],[Column9]]), (deployment_raw[[#This Row],[Column9]] * IF($E$2="Deployment",deployment_raw[[#This Row],[Column5]],1))/1048576,"")</f>
        <v/>
      </c>
      <c r="R871" s="57" t="str">
        <f>IF(ISNUMBER(deployment_raw[[#This Row],[Column10]]), (deployment_raw[[#This Row],[Column10]] * IF($E$2="Deployment",deployment_raw[[#This Row],[Column5]],1)),"")</f>
        <v/>
      </c>
      <c r="S871" s="48" t="str">
        <f>IF(ISNUMBER(deployment_raw[[#This Row],[Column11]]), (deployment_raw[[#This Row],[Column11]] * IF($E$2="Deployment",deployment_raw[[#This Row],[Column5]],1))/1048576,"")</f>
        <v/>
      </c>
      <c r="T871" s="59" t="str">
        <f>IF(ISNUMBER(deployment_raw[[#This Row],[Column8]]),IF(OR(deployment_raw[[#This Row],[Column5]] &lt;&gt; 0,$E$2 &lt;&gt; "Deployment"), MAX(V871, ($T$2 * IF($E$2="Deployment",deployment_raw[[#This Row],[Column5]],1))), 0),"")</f>
        <v/>
      </c>
      <c r="U871" s="50" t="str">
        <f>IF(ISNUMBER(deployment_raw[[#This Row],[Column9]]),IF(OR(deployment_raw[[#This Row],[Column5]] &lt;&gt; 0,$E$2&lt;&gt;"Deployment"), MAX(W871, ($U$2 * IF($E$2="Deployment",deployment_raw[[#This Row],[Column5]],1))), 0),"")</f>
        <v/>
      </c>
      <c r="V871" s="15" t="str">
        <f>IF(ISNUMBER(deployment_raw[[#This Row],[Column12]]), (deployment_raw[[#This Row],[Column12]] * IF($E$2="Deployment",deployment_raw[[#This Row],[Column5]],1)*(1+$V$2)),"")</f>
        <v/>
      </c>
      <c r="W871" s="14" t="str">
        <f>IF(ISNUMBER(deployment_raw[[#This Row],[Column13]]), (deployment_raw[[#This Row],[Column13]] * IF($E$2="Deployment",deployment_raw[[#This Row],[Column5]],1)*(1+$W$2))/1048576,"")</f>
        <v/>
      </c>
    </row>
    <row r="872" spans="1:23" ht="15" customHeight="1" x14ac:dyDescent="0.25">
      <c r="A872" s="5" t="str">
        <f>IF(ISNONTEXT(deployment_raw[[#This Row],[Column1]]), "", deployment_raw[[#This Row],[Column1]])</f>
        <v/>
      </c>
      <c r="B872" s="6" t="str">
        <f>IF(ISNONTEXT(deployment_raw[[#This Row],[Column2]]), "", deployment_raw[[#This Row],[Column2]])</f>
        <v/>
      </c>
      <c r="C872" s="6" t="str">
        <f>IF(ISNONTEXT(deployment_raw[[#This Row],[Column3]]), "", deployment_raw[[#This Row],[Column3]])</f>
        <v/>
      </c>
      <c r="D872" s="6" t="str">
        <f>IF(ISNONTEXT(deployment_raw[[#This Row],[Column4]]), "", deployment_raw[[#This Row],[Column4]])</f>
        <v/>
      </c>
      <c r="E872" s="7" t="str">
        <f>IF(ISNUMBER(deployment_raw[[#This Row],[Column5]]), deployment_raw[[#This Row],[Column5]],"")</f>
        <v/>
      </c>
      <c r="F872" s="32" t="str">
        <f>IF(ISNUMBER(deployment_raw[[#This Row],[Column17]]), deployment_raw[[#This Row],[Column17]]/IF(OR($E$2="Deployment",deployment_raw[[#This Row],[Column5]]=0),1,deployment_raw[[#This Row],[Column5]]),"")</f>
        <v/>
      </c>
      <c r="G872" s="42" t="str">
        <f>IF(ISNUMBER(deployment_raw[[#This Row],[Column14]]), deployment_raw[[#This Row],[Column14]]/IF(OR($E$2="Deployment",deployment_raw[[#This Row],[Column5]]=0),1,deployment_raw[[#This Row],[Column5]]),"")</f>
        <v/>
      </c>
      <c r="H872" s="79" t="str">
        <f>IF(ISNUMBER(deployment_raw[[#This Row],[Column19]]), IF(I872&lt;&gt;0,(deployment_raw[[#This Row],[Column19]]/IF(OR($E$2="Deployment",deployment_raw[[#This Row],[Column5]]=0),1,deployment_raw[[#This Row],[Column5]]))/I872,0),"")</f>
        <v/>
      </c>
      <c r="I872" s="69" t="str">
        <f>IF(ISNUMBER(deployment_raw[[#This Row],[Column6]]), (deployment_raw[[#This Row],[Column6]] * IF($E$2="Deployment",deployment_raw[[#This Row],[Column5]],1)),"")</f>
        <v/>
      </c>
      <c r="J872" s="79" t="str">
        <f>IF(ISNUMBER(deployment_raw[[#This Row],[Column19]]), IF(K872&lt;&gt;0,(deployment_raw[[#This Row],[Column19]]/IF(OR($E$2="Deployment",deployment_raw[[#This Row],[Column5]]=0),1,deployment_raw[[#This Row],[Column5]]))/K872,0),"")</f>
        <v/>
      </c>
      <c r="K872" s="72" t="str">
        <f>IF(ISNUMBER(deployment_raw[[#This Row],[Column8]]), (deployment_raw[[#This Row],[Column8]]  * IF($E$2="Deployment",deployment_raw[[#This Row],[Column5]],1)),"")</f>
        <v/>
      </c>
      <c r="L87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7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72" s="81" t="str">
        <f>IF(ISNUMBER(deployment_raw[[#This Row],[Column20]]), IF(O872&lt;&gt;0,deployment_raw[[#This Row],[Column20]]/IF(OR($E$2="Deployment",deployment_raw[[#This Row],[Column5]]=0),1,deployment_raw[[#This Row],[Column5]])/1048576/O872,0),"")</f>
        <v/>
      </c>
      <c r="O872" s="74" t="str">
        <f>IF(ISNUMBER(deployment_raw[[#This Row],[Column7]]), (deployment_raw[[#This Row],[Column7]] * IF($E$2="Deployment",deployment_raw[[#This Row],[Column5]],1))/1048576,"")</f>
        <v/>
      </c>
      <c r="P872" s="81" t="str">
        <f>IF(ISNUMBER(deployment_raw[[#This Row],[Column20]]), IF(Q872&lt;&gt;0,deployment_raw[[#This Row],[Column20]]/IF(OR($E$2="Deployment",deployment_raw[[#This Row],[Column5]]=0),1,deployment_raw[[#This Row],[Column5]])/1048576/Q872,0),"")</f>
        <v/>
      </c>
      <c r="Q872" s="76" t="str">
        <f>IF(ISNUMBER(deployment_raw[[#This Row],[Column9]]), (deployment_raw[[#This Row],[Column9]] * IF($E$2="Deployment",deployment_raw[[#This Row],[Column5]],1))/1048576,"")</f>
        <v/>
      </c>
      <c r="R872" s="57" t="str">
        <f>IF(ISNUMBER(deployment_raw[[#This Row],[Column10]]), (deployment_raw[[#This Row],[Column10]] * IF($E$2="Deployment",deployment_raw[[#This Row],[Column5]],1)),"")</f>
        <v/>
      </c>
      <c r="S872" s="48" t="str">
        <f>IF(ISNUMBER(deployment_raw[[#This Row],[Column11]]), (deployment_raw[[#This Row],[Column11]] * IF($E$2="Deployment",deployment_raw[[#This Row],[Column5]],1))/1048576,"")</f>
        <v/>
      </c>
      <c r="T872" s="59" t="str">
        <f>IF(ISNUMBER(deployment_raw[[#This Row],[Column8]]),IF(OR(deployment_raw[[#This Row],[Column5]] &lt;&gt; 0,$E$2 &lt;&gt; "Deployment"), MAX(V872, ($T$2 * IF($E$2="Deployment",deployment_raw[[#This Row],[Column5]],1))), 0),"")</f>
        <v/>
      </c>
      <c r="U872" s="50" t="str">
        <f>IF(ISNUMBER(deployment_raw[[#This Row],[Column9]]),IF(OR(deployment_raw[[#This Row],[Column5]] &lt;&gt; 0,$E$2&lt;&gt;"Deployment"), MAX(W872, ($U$2 * IF($E$2="Deployment",deployment_raw[[#This Row],[Column5]],1))), 0),"")</f>
        <v/>
      </c>
      <c r="V872" s="15" t="str">
        <f>IF(ISNUMBER(deployment_raw[[#This Row],[Column12]]), (deployment_raw[[#This Row],[Column12]] * IF($E$2="Deployment",deployment_raw[[#This Row],[Column5]],1)*(1+$V$2)),"")</f>
        <v/>
      </c>
      <c r="W872" s="14" t="str">
        <f>IF(ISNUMBER(deployment_raw[[#This Row],[Column13]]), (deployment_raw[[#This Row],[Column13]] * IF($E$2="Deployment",deployment_raw[[#This Row],[Column5]],1)*(1+$W$2))/1048576,"")</f>
        <v/>
      </c>
    </row>
    <row r="873" spans="1:23" ht="15" customHeight="1" x14ac:dyDescent="0.25">
      <c r="A873" s="5" t="str">
        <f>IF(ISNONTEXT(deployment_raw[[#This Row],[Column1]]), "", deployment_raw[[#This Row],[Column1]])</f>
        <v/>
      </c>
      <c r="B873" s="6" t="str">
        <f>IF(ISNONTEXT(deployment_raw[[#This Row],[Column2]]), "", deployment_raw[[#This Row],[Column2]])</f>
        <v/>
      </c>
      <c r="C873" s="6" t="str">
        <f>IF(ISNONTEXT(deployment_raw[[#This Row],[Column3]]), "", deployment_raw[[#This Row],[Column3]])</f>
        <v/>
      </c>
      <c r="D873" s="6" t="str">
        <f>IF(ISNONTEXT(deployment_raw[[#This Row],[Column4]]), "", deployment_raw[[#This Row],[Column4]])</f>
        <v/>
      </c>
      <c r="E873" s="7" t="str">
        <f>IF(ISNUMBER(deployment_raw[[#This Row],[Column5]]), deployment_raw[[#This Row],[Column5]],"")</f>
        <v/>
      </c>
      <c r="F873" s="32" t="str">
        <f>IF(ISNUMBER(deployment_raw[[#This Row],[Column17]]), deployment_raw[[#This Row],[Column17]]/IF(OR($E$2="Deployment",deployment_raw[[#This Row],[Column5]]=0),1,deployment_raw[[#This Row],[Column5]]),"")</f>
        <v/>
      </c>
      <c r="G873" s="42" t="str">
        <f>IF(ISNUMBER(deployment_raw[[#This Row],[Column14]]), deployment_raw[[#This Row],[Column14]]/IF(OR($E$2="Deployment",deployment_raw[[#This Row],[Column5]]=0),1,deployment_raw[[#This Row],[Column5]]),"")</f>
        <v/>
      </c>
      <c r="H873" s="79" t="str">
        <f>IF(ISNUMBER(deployment_raw[[#This Row],[Column19]]), IF(I873&lt;&gt;0,(deployment_raw[[#This Row],[Column19]]/IF(OR($E$2="Deployment",deployment_raw[[#This Row],[Column5]]=0),1,deployment_raw[[#This Row],[Column5]]))/I873,0),"")</f>
        <v/>
      </c>
      <c r="I873" s="69" t="str">
        <f>IF(ISNUMBER(deployment_raw[[#This Row],[Column6]]), (deployment_raw[[#This Row],[Column6]] * IF($E$2="Deployment",deployment_raw[[#This Row],[Column5]],1)),"")</f>
        <v/>
      </c>
      <c r="J873" s="79" t="str">
        <f>IF(ISNUMBER(deployment_raw[[#This Row],[Column19]]), IF(K873&lt;&gt;0,(deployment_raw[[#This Row],[Column19]]/IF(OR($E$2="Deployment",deployment_raw[[#This Row],[Column5]]=0),1,deployment_raw[[#This Row],[Column5]]))/K873,0),"")</f>
        <v/>
      </c>
      <c r="K873" s="72" t="str">
        <f>IF(ISNUMBER(deployment_raw[[#This Row],[Column8]]), (deployment_raw[[#This Row],[Column8]]  * IF($E$2="Deployment",deployment_raw[[#This Row],[Column5]],1)),"")</f>
        <v/>
      </c>
      <c r="L87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7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73" s="81" t="str">
        <f>IF(ISNUMBER(deployment_raw[[#This Row],[Column20]]), IF(O873&lt;&gt;0,deployment_raw[[#This Row],[Column20]]/IF(OR($E$2="Deployment",deployment_raw[[#This Row],[Column5]]=0),1,deployment_raw[[#This Row],[Column5]])/1048576/O873,0),"")</f>
        <v/>
      </c>
      <c r="O873" s="74" t="str">
        <f>IF(ISNUMBER(deployment_raw[[#This Row],[Column7]]), (deployment_raw[[#This Row],[Column7]] * IF($E$2="Deployment",deployment_raw[[#This Row],[Column5]],1))/1048576,"")</f>
        <v/>
      </c>
      <c r="P873" s="81" t="str">
        <f>IF(ISNUMBER(deployment_raw[[#This Row],[Column20]]), IF(Q873&lt;&gt;0,deployment_raw[[#This Row],[Column20]]/IF(OR($E$2="Deployment",deployment_raw[[#This Row],[Column5]]=0),1,deployment_raw[[#This Row],[Column5]])/1048576/Q873,0),"")</f>
        <v/>
      </c>
      <c r="Q873" s="76" t="str">
        <f>IF(ISNUMBER(deployment_raw[[#This Row],[Column9]]), (deployment_raw[[#This Row],[Column9]] * IF($E$2="Deployment",deployment_raw[[#This Row],[Column5]],1))/1048576,"")</f>
        <v/>
      </c>
      <c r="R873" s="57" t="str">
        <f>IF(ISNUMBER(deployment_raw[[#This Row],[Column10]]), (deployment_raw[[#This Row],[Column10]] * IF($E$2="Deployment",deployment_raw[[#This Row],[Column5]],1)),"")</f>
        <v/>
      </c>
      <c r="S873" s="48" t="str">
        <f>IF(ISNUMBER(deployment_raw[[#This Row],[Column11]]), (deployment_raw[[#This Row],[Column11]] * IF($E$2="Deployment",deployment_raw[[#This Row],[Column5]],1))/1048576,"")</f>
        <v/>
      </c>
      <c r="T873" s="59" t="str">
        <f>IF(ISNUMBER(deployment_raw[[#This Row],[Column8]]),IF(OR(deployment_raw[[#This Row],[Column5]] &lt;&gt; 0,$E$2 &lt;&gt; "Deployment"), MAX(V873, ($T$2 * IF($E$2="Deployment",deployment_raw[[#This Row],[Column5]],1))), 0),"")</f>
        <v/>
      </c>
      <c r="U873" s="50" t="str">
        <f>IF(ISNUMBER(deployment_raw[[#This Row],[Column9]]),IF(OR(deployment_raw[[#This Row],[Column5]] &lt;&gt; 0,$E$2&lt;&gt;"Deployment"), MAX(W873, ($U$2 * IF($E$2="Deployment",deployment_raw[[#This Row],[Column5]],1))), 0),"")</f>
        <v/>
      </c>
      <c r="V873" s="15" t="str">
        <f>IF(ISNUMBER(deployment_raw[[#This Row],[Column12]]), (deployment_raw[[#This Row],[Column12]] * IF($E$2="Deployment",deployment_raw[[#This Row],[Column5]],1)*(1+$V$2)),"")</f>
        <v/>
      </c>
      <c r="W873" s="14" t="str">
        <f>IF(ISNUMBER(deployment_raw[[#This Row],[Column13]]), (deployment_raw[[#This Row],[Column13]] * IF($E$2="Deployment",deployment_raw[[#This Row],[Column5]],1)*(1+$W$2))/1048576,"")</f>
        <v/>
      </c>
    </row>
    <row r="874" spans="1:23" ht="15" customHeight="1" x14ac:dyDescent="0.25">
      <c r="A874" s="5" t="str">
        <f>IF(ISNONTEXT(deployment_raw[[#This Row],[Column1]]), "", deployment_raw[[#This Row],[Column1]])</f>
        <v/>
      </c>
      <c r="B874" s="6" t="str">
        <f>IF(ISNONTEXT(deployment_raw[[#This Row],[Column2]]), "", deployment_raw[[#This Row],[Column2]])</f>
        <v/>
      </c>
      <c r="C874" s="6" t="str">
        <f>IF(ISNONTEXT(deployment_raw[[#This Row],[Column3]]), "", deployment_raw[[#This Row],[Column3]])</f>
        <v/>
      </c>
      <c r="D874" s="6" t="str">
        <f>IF(ISNONTEXT(deployment_raw[[#This Row],[Column4]]), "", deployment_raw[[#This Row],[Column4]])</f>
        <v/>
      </c>
      <c r="E874" s="7" t="str">
        <f>IF(ISNUMBER(deployment_raw[[#This Row],[Column5]]), deployment_raw[[#This Row],[Column5]],"")</f>
        <v/>
      </c>
      <c r="F874" s="32" t="str">
        <f>IF(ISNUMBER(deployment_raw[[#This Row],[Column17]]), deployment_raw[[#This Row],[Column17]]/IF(OR($E$2="Deployment",deployment_raw[[#This Row],[Column5]]=0),1,deployment_raw[[#This Row],[Column5]]),"")</f>
        <v/>
      </c>
      <c r="G874" s="42" t="str">
        <f>IF(ISNUMBER(deployment_raw[[#This Row],[Column14]]), deployment_raw[[#This Row],[Column14]]/IF(OR($E$2="Deployment",deployment_raw[[#This Row],[Column5]]=0),1,deployment_raw[[#This Row],[Column5]]),"")</f>
        <v/>
      </c>
      <c r="H874" s="79" t="str">
        <f>IF(ISNUMBER(deployment_raw[[#This Row],[Column19]]), IF(I874&lt;&gt;0,(deployment_raw[[#This Row],[Column19]]/IF(OR($E$2="Deployment",deployment_raw[[#This Row],[Column5]]=0),1,deployment_raw[[#This Row],[Column5]]))/I874,0),"")</f>
        <v/>
      </c>
      <c r="I874" s="69" t="str">
        <f>IF(ISNUMBER(deployment_raw[[#This Row],[Column6]]), (deployment_raw[[#This Row],[Column6]] * IF($E$2="Deployment",deployment_raw[[#This Row],[Column5]],1)),"")</f>
        <v/>
      </c>
      <c r="J874" s="79" t="str">
        <f>IF(ISNUMBER(deployment_raw[[#This Row],[Column19]]), IF(K874&lt;&gt;0,(deployment_raw[[#This Row],[Column19]]/IF(OR($E$2="Deployment",deployment_raw[[#This Row],[Column5]]=0),1,deployment_raw[[#This Row],[Column5]]))/K874,0),"")</f>
        <v/>
      </c>
      <c r="K874" s="72" t="str">
        <f>IF(ISNUMBER(deployment_raw[[#This Row],[Column8]]), (deployment_raw[[#This Row],[Column8]]  * IF($E$2="Deployment",deployment_raw[[#This Row],[Column5]],1)),"")</f>
        <v/>
      </c>
      <c r="L87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7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74" s="81" t="str">
        <f>IF(ISNUMBER(deployment_raw[[#This Row],[Column20]]), IF(O874&lt;&gt;0,deployment_raw[[#This Row],[Column20]]/IF(OR($E$2="Deployment",deployment_raw[[#This Row],[Column5]]=0),1,deployment_raw[[#This Row],[Column5]])/1048576/O874,0),"")</f>
        <v/>
      </c>
      <c r="O874" s="74" t="str">
        <f>IF(ISNUMBER(deployment_raw[[#This Row],[Column7]]), (deployment_raw[[#This Row],[Column7]] * IF($E$2="Deployment",deployment_raw[[#This Row],[Column5]],1))/1048576,"")</f>
        <v/>
      </c>
      <c r="P874" s="81" t="str">
        <f>IF(ISNUMBER(deployment_raw[[#This Row],[Column20]]), IF(Q874&lt;&gt;0,deployment_raw[[#This Row],[Column20]]/IF(OR($E$2="Deployment",deployment_raw[[#This Row],[Column5]]=0),1,deployment_raw[[#This Row],[Column5]])/1048576/Q874,0),"")</f>
        <v/>
      </c>
      <c r="Q874" s="76" t="str">
        <f>IF(ISNUMBER(deployment_raw[[#This Row],[Column9]]), (deployment_raw[[#This Row],[Column9]] * IF($E$2="Deployment",deployment_raw[[#This Row],[Column5]],1))/1048576,"")</f>
        <v/>
      </c>
      <c r="R874" s="57" t="str">
        <f>IF(ISNUMBER(deployment_raw[[#This Row],[Column10]]), (deployment_raw[[#This Row],[Column10]] * IF($E$2="Deployment",deployment_raw[[#This Row],[Column5]],1)),"")</f>
        <v/>
      </c>
      <c r="S874" s="48" t="str">
        <f>IF(ISNUMBER(deployment_raw[[#This Row],[Column11]]), (deployment_raw[[#This Row],[Column11]] * IF($E$2="Deployment",deployment_raw[[#This Row],[Column5]],1))/1048576,"")</f>
        <v/>
      </c>
      <c r="T874" s="59" t="str">
        <f>IF(ISNUMBER(deployment_raw[[#This Row],[Column8]]),IF(OR(deployment_raw[[#This Row],[Column5]] &lt;&gt; 0,$E$2 &lt;&gt; "Deployment"), MAX(V874, ($T$2 * IF($E$2="Deployment",deployment_raw[[#This Row],[Column5]],1))), 0),"")</f>
        <v/>
      </c>
      <c r="U874" s="50" t="str">
        <f>IF(ISNUMBER(deployment_raw[[#This Row],[Column9]]),IF(OR(deployment_raw[[#This Row],[Column5]] &lt;&gt; 0,$E$2&lt;&gt;"Deployment"), MAX(W874, ($U$2 * IF($E$2="Deployment",deployment_raw[[#This Row],[Column5]],1))), 0),"")</f>
        <v/>
      </c>
      <c r="V874" s="15" t="str">
        <f>IF(ISNUMBER(deployment_raw[[#This Row],[Column12]]), (deployment_raw[[#This Row],[Column12]] * IF($E$2="Deployment",deployment_raw[[#This Row],[Column5]],1)*(1+$V$2)),"")</f>
        <v/>
      </c>
      <c r="W874" s="14" t="str">
        <f>IF(ISNUMBER(deployment_raw[[#This Row],[Column13]]), (deployment_raw[[#This Row],[Column13]] * IF($E$2="Deployment",deployment_raw[[#This Row],[Column5]],1)*(1+$W$2))/1048576,"")</f>
        <v/>
      </c>
    </row>
    <row r="875" spans="1:23" ht="15" customHeight="1" x14ac:dyDescent="0.25">
      <c r="A875" s="5" t="str">
        <f>IF(ISNONTEXT(deployment_raw[[#This Row],[Column1]]), "", deployment_raw[[#This Row],[Column1]])</f>
        <v/>
      </c>
      <c r="B875" s="6" t="str">
        <f>IF(ISNONTEXT(deployment_raw[[#This Row],[Column2]]), "", deployment_raw[[#This Row],[Column2]])</f>
        <v/>
      </c>
      <c r="C875" s="6" t="str">
        <f>IF(ISNONTEXT(deployment_raw[[#This Row],[Column3]]), "", deployment_raw[[#This Row],[Column3]])</f>
        <v/>
      </c>
      <c r="D875" s="6" t="str">
        <f>IF(ISNONTEXT(deployment_raw[[#This Row],[Column4]]), "", deployment_raw[[#This Row],[Column4]])</f>
        <v/>
      </c>
      <c r="E875" s="7" t="str">
        <f>IF(ISNUMBER(deployment_raw[[#This Row],[Column5]]), deployment_raw[[#This Row],[Column5]],"")</f>
        <v/>
      </c>
      <c r="F875" s="32" t="str">
        <f>IF(ISNUMBER(deployment_raw[[#This Row],[Column17]]), deployment_raw[[#This Row],[Column17]]/IF(OR($E$2="Deployment",deployment_raw[[#This Row],[Column5]]=0),1,deployment_raw[[#This Row],[Column5]]),"")</f>
        <v/>
      </c>
      <c r="G875" s="42" t="str">
        <f>IF(ISNUMBER(deployment_raw[[#This Row],[Column14]]), deployment_raw[[#This Row],[Column14]]/IF(OR($E$2="Deployment",deployment_raw[[#This Row],[Column5]]=0),1,deployment_raw[[#This Row],[Column5]]),"")</f>
        <v/>
      </c>
      <c r="H875" s="79" t="str">
        <f>IF(ISNUMBER(deployment_raw[[#This Row],[Column19]]), IF(I875&lt;&gt;0,(deployment_raw[[#This Row],[Column19]]/IF(OR($E$2="Deployment",deployment_raw[[#This Row],[Column5]]=0),1,deployment_raw[[#This Row],[Column5]]))/I875,0),"")</f>
        <v/>
      </c>
      <c r="I875" s="69" t="str">
        <f>IF(ISNUMBER(deployment_raw[[#This Row],[Column6]]), (deployment_raw[[#This Row],[Column6]] * IF($E$2="Deployment",deployment_raw[[#This Row],[Column5]],1)),"")</f>
        <v/>
      </c>
      <c r="J875" s="79" t="str">
        <f>IF(ISNUMBER(deployment_raw[[#This Row],[Column19]]), IF(K875&lt;&gt;0,(deployment_raw[[#This Row],[Column19]]/IF(OR($E$2="Deployment",deployment_raw[[#This Row],[Column5]]=0),1,deployment_raw[[#This Row],[Column5]]))/K875,0),"")</f>
        <v/>
      </c>
      <c r="K875" s="72" t="str">
        <f>IF(ISNUMBER(deployment_raw[[#This Row],[Column8]]), (deployment_raw[[#This Row],[Column8]]  * IF($E$2="Deployment",deployment_raw[[#This Row],[Column5]],1)),"")</f>
        <v/>
      </c>
      <c r="L87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7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75" s="81" t="str">
        <f>IF(ISNUMBER(deployment_raw[[#This Row],[Column20]]), IF(O875&lt;&gt;0,deployment_raw[[#This Row],[Column20]]/IF(OR($E$2="Deployment",deployment_raw[[#This Row],[Column5]]=0),1,deployment_raw[[#This Row],[Column5]])/1048576/O875,0),"")</f>
        <v/>
      </c>
      <c r="O875" s="74" t="str">
        <f>IF(ISNUMBER(deployment_raw[[#This Row],[Column7]]), (deployment_raw[[#This Row],[Column7]] * IF($E$2="Deployment",deployment_raw[[#This Row],[Column5]],1))/1048576,"")</f>
        <v/>
      </c>
      <c r="P875" s="81" t="str">
        <f>IF(ISNUMBER(deployment_raw[[#This Row],[Column20]]), IF(Q875&lt;&gt;0,deployment_raw[[#This Row],[Column20]]/IF(OR($E$2="Deployment",deployment_raw[[#This Row],[Column5]]=0),1,deployment_raw[[#This Row],[Column5]])/1048576/Q875,0),"")</f>
        <v/>
      </c>
      <c r="Q875" s="76" t="str">
        <f>IF(ISNUMBER(deployment_raw[[#This Row],[Column9]]), (deployment_raw[[#This Row],[Column9]] * IF($E$2="Deployment",deployment_raw[[#This Row],[Column5]],1))/1048576,"")</f>
        <v/>
      </c>
      <c r="R875" s="57" t="str">
        <f>IF(ISNUMBER(deployment_raw[[#This Row],[Column10]]), (deployment_raw[[#This Row],[Column10]] * IF($E$2="Deployment",deployment_raw[[#This Row],[Column5]],1)),"")</f>
        <v/>
      </c>
      <c r="S875" s="48" t="str">
        <f>IF(ISNUMBER(deployment_raw[[#This Row],[Column11]]), (deployment_raw[[#This Row],[Column11]] * IF($E$2="Deployment",deployment_raw[[#This Row],[Column5]],1))/1048576,"")</f>
        <v/>
      </c>
      <c r="T875" s="59" t="str">
        <f>IF(ISNUMBER(deployment_raw[[#This Row],[Column8]]),IF(OR(deployment_raw[[#This Row],[Column5]] &lt;&gt; 0,$E$2 &lt;&gt; "Deployment"), MAX(V875, ($T$2 * IF($E$2="Deployment",deployment_raw[[#This Row],[Column5]],1))), 0),"")</f>
        <v/>
      </c>
      <c r="U875" s="50" t="str">
        <f>IF(ISNUMBER(deployment_raw[[#This Row],[Column9]]),IF(OR(deployment_raw[[#This Row],[Column5]] &lt;&gt; 0,$E$2&lt;&gt;"Deployment"), MAX(W875, ($U$2 * IF($E$2="Deployment",deployment_raw[[#This Row],[Column5]],1))), 0),"")</f>
        <v/>
      </c>
      <c r="V875" s="15" t="str">
        <f>IF(ISNUMBER(deployment_raw[[#This Row],[Column12]]), (deployment_raw[[#This Row],[Column12]] * IF($E$2="Deployment",deployment_raw[[#This Row],[Column5]],1)*(1+$V$2)),"")</f>
        <v/>
      </c>
      <c r="W875" s="14" t="str">
        <f>IF(ISNUMBER(deployment_raw[[#This Row],[Column13]]), (deployment_raw[[#This Row],[Column13]] * IF($E$2="Deployment",deployment_raw[[#This Row],[Column5]],1)*(1+$W$2))/1048576,"")</f>
        <v/>
      </c>
    </row>
    <row r="876" spans="1:23" ht="15" customHeight="1" x14ac:dyDescent="0.25">
      <c r="A876" s="5" t="str">
        <f>IF(ISNONTEXT(deployment_raw[[#This Row],[Column1]]), "", deployment_raw[[#This Row],[Column1]])</f>
        <v/>
      </c>
      <c r="B876" s="6" t="str">
        <f>IF(ISNONTEXT(deployment_raw[[#This Row],[Column2]]), "", deployment_raw[[#This Row],[Column2]])</f>
        <v/>
      </c>
      <c r="C876" s="6" t="str">
        <f>IF(ISNONTEXT(deployment_raw[[#This Row],[Column3]]), "", deployment_raw[[#This Row],[Column3]])</f>
        <v/>
      </c>
      <c r="D876" s="6" t="str">
        <f>IF(ISNONTEXT(deployment_raw[[#This Row],[Column4]]), "", deployment_raw[[#This Row],[Column4]])</f>
        <v/>
      </c>
      <c r="E876" s="7" t="str">
        <f>IF(ISNUMBER(deployment_raw[[#This Row],[Column5]]), deployment_raw[[#This Row],[Column5]],"")</f>
        <v/>
      </c>
      <c r="F876" s="32" t="str">
        <f>IF(ISNUMBER(deployment_raw[[#This Row],[Column17]]), deployment_raw[[#This Row],[Column17]]/IF(OR($E$2="Deployment",deployment_raw[[#This Row],[Column5]]=0),1,deployment_raw[[#This Row],[Column5]]),"")</f>
        <v/>
      </c>
      <c r="G876" s="42" t="str">
        <f>IF(ISNUMBER(deployment_raw[[#This Row],[Column14]]), deployment_raw[[#This Row],[Column14]]/IF(OR($E$2="Deployment",deployment_raw[[#This Row],[Column5]]=0),1,deployment_raw[[#This Row],[Column5]]),"")</f>
        <v/>
      </c>
      <c r="H876" s="79" t="str">
        <f>IF(ISNUMBER(deployment_raw[[#This Row],[Column19]]), IF(I876&lt;&gt;0,(deployment_raw[[#This Row],[Column19]]/IF(OR($E$2="Deployment",deployment_raw[[#This Row],[Column5]]=0),1,deployment_raw[[#This Row],[Column5]]))/I876,0),"")</f>
        <v/>
      </c>
      <c r="I876" s="69" t="str">
        <f>IF(ISNUMBER(deployment_raw[[#This Row],[Column6]]), (deployment_raw[[#This Row],[Column6]] * IF($E$2="Deployment",deployment_raw[[#This Row],[Column5]],1)),"")</f>
        <v/>
      </c>
      <c r="J876" s="79" t="str">
        <f>IF(ISNUMBER(deployment_raw[[#This Row],[Column19]]), IF(K876&lt;&gt;0,(deployment_raw[[#This Row],[Column19]]/IF(OR($E$2="Deployment",deployment_raw[[#This Row],[Column5]]=0),1,deployment_raw[[#This Row],[Column5]]))/K876,0),"")</f>
        <v/>
      </c>
      <c r="K876" s="72" t="str">
        <f>IF(ISNUMBER(deployment_raw[[#This Row],[Column8]]), (deployment_raw[[#This Row],[Column8]]  * IF($E$2="Deployment",deployment_raw[[#This Row],[Column5]],1)),"")</f>
        <v/>
      </c>
      <c r="L87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7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76" s="81" t="str">
        <f>IF(ISNUMBER(deployment_raw[[#This Row],[Column20]]), IF(O876&lt;&gt;0,deployment_raw[[#This Row],[Column20]]/IF(OR($E$2="Deployment",deployment_raw[[#This Row],[Column5]]=0),1,deployment_raw[[#This Row],[Column5]])/1048576/O876,0),"")</f>
        <v/>
      </c>
      <c r="O876" s="74" t="str">
        <f>IF(ISNUMBER(deployment_raw[[#This Row],[Column7]]), (deployment_raw[[#This Row],[Column7]] * IF($E$2="Deployment",deployment_raw[[#This Row],[Column5]],1))/1048576,"")</f>
        <v/>
      </c>
      <c r="P876" s="81" t="str">
        <f>IF(ISNUMBER(deployment_raw[[#This Row],[Column20]]), IF(Q876&lt;&gt;0,deployment_raw[[#This Row],[Column20]]/IF(OR($E$2="Deployment",deployment_raw[[#This Row],[Column5]]=0),1,deployment_raw[[#This Row],[Column5]])/1048576/Q876,0),"")</f>
        <v/>
      </c>
      <c r="Q876" s="76" t="str">
        <f>IF(ISNUMBER(deployment_raw[[#This Row],[Column9]]), (deployment_raw[[#This Row],[Column9]] * IF($E$2="Deployment",deployment_raw[[#This Row],[Column5]],1))/1048576,"")</f>
        <v/>
      </c>
      <c r="R876" s="57" t="str">
        <f>IF(ISNUMBER(deployment_raw[[#This Row],[Column10]]), (deployment_raw[[#This Row],[Column10]] * IF($E$2="Deployment",deployment_raw[[#This Row],[Column5]],1)),"")</f>
        <v/>
      </c>
      <c r="S876" s="48" t="str">
        <f>IF(ISNUMBER(deployment_raw[[#This Row],[Column11]]), (deployment_raw[[#This Row],[Column11]] * IF($E$2="Deployment",deployment_raw[[#This Row],[Column5]],1))/1048576,"")</f>
        <v/>
      </c>
      <c r="T876" s="59" t="str">
        <f>IF(ISNUMBER(deployment_raw[[#This Row],[Column8]]),IF(OR(deployment_raw[[#This Row],[Column5]] &lt;&gt; 0,$E$2 &lt;&gt; "Deployment"), MAX(V876, ($T$2 * IF($E$2="Deployment",deployment_raw[[#This Row],[Column5]],1))), 0),"")</f>
        <v/>
      </c>
      <c r="U876" s="50" t="str">
        <f>IF(ISNUMBER(deployment_raw[[#This Row],[Column9]]),IF(OR(deployment_raw[[#This Row],[Column5]] &lt;&gt; 0,$E$2&lt;&gt;"Deployment"), MAX(W876, ($U$2 * IF($E$2="Deployment",deployment_raw[[#This Row],[Column5]],1))), 0),"")</f>
        <v/>
      </c>
      <c r="V876" s="15" t="str">
        <f>IF(ISNUMBER(deployment_raw[[#This Row],[Column12]]), (deployment_raw[[#This Row],[Column12]] * IF($E$2="Deployment",deployment_raw[[#This Row],[Column5]],1)*(1+$V$2)),"")</f>
        <v/>
      </c>
      <c r="W876" s="14" t="str">
        <f>IF(ISNUMBER(deployment_raw[[#This Row],[Column13]]), (deployment_raw[[#This Row],[Column13]] * IF($E$2="Deployment",deployment_raw[[#This Row],[Column5]],1)*(1+$W$2))/1048576,"")</f>
        <v/>
      </c>
    </row>
    <row r="877" spans="1:23" ht="15" customHeight="1" x14ac:dyDescent="0.25">
      <c r="A877" s="5" t="str">
        <f>IF(ISNONTEXT(deployment_raw[[#This Row],[Column1]]), "", deployment_raw[[#This Row],[Column1]])</f>
        <v/>
      </c>
      <c r="B877" s="6" t="str">
        <f>IF(ISNONTEXT(deployment_raw[[#This Row],[Column2]]), "", deployment_raw[[#This Row],[Column2]])</f>
        <v/>
      </c>
      <c r="C877" s="6" t="str">
        <f>IF(ISNONTEXT(deployment_raw[[#This Row],[Column3]]), "", deployment_raw[[#This Row],[Column3]])</f>
        <v/>
      </c>
      <c r="D877" s="6" t="str">
        <f>IF(ISNONTEXT(deployment_raw[[#This Row],[Column4]]), "", deployment_raw[[#This Row],[Column4]])</f>
        <v/>
      </c>
      <c r="E877" s="7" t="str">
        <f>IF(ISNUMBER(deployment_raw[[#This Row],[Column5]]), deployment_raw[[#This Row],[Column5]],"")</f>
        <v/>
      </c>
      <c r="F877" s="32" t="str">
        <f>IF(ISNUMBER(deployment_raw[[#This Row],[Column17]]), deployment_raw[[#This Row],[Column17]]/IF(OR($E$2="Deployment",deployment_raw[[#This Row],[Column5]]=0),1,deployment_raw[[#This Row],[Column5]]),"")</f>
        <v/>
      </c>
      <c r="G877" s="42" t="str">
        <f>IF(ISNUMBER(deployment_raw[[#This Row],[Column14]]), deployment_raw[[#This Row],[Column14]]/IF(OR($E$2="Deployment",deployment_raw[[#This Row],[Column5]]=0),1,deployment_raw[[#This Row],[Column5]]),"")</f>
        <v/>
      </c>
      <c r="H877" s="79" t="str">
        <f>IF(ISNUMBER(deployment_raw[[#This Row],[Column19]]), IF(I877&lt;&gt;0,(deployment_raw[[#This Row],[Column19]]/IF(OR($E$2="Deployment",deployment_raw[[#This Row],[Column5]]=0),1,deployment_raw[[#This Row],[Column5]]))/I877,0),"")</f>
        <v/>
      </c>
      <c r="I877" s="69" t="str">
        <f>IF(ISNUMBER(deployment_raw[[#This Row],[Column6]]), (deployment_raw[[#This Row],[Column6]] * IF($E$2="Deployment",deployment_raw[[#This Row],[Column5]],1)),"")</f>
        <v/>
      </c>
      <c r="J877" s="79" t="str">
        <f>IF(ISNUMBER(deployment_raw[[#This Row],[Column19]]), IF(K877&lt;&gt;0,(deployment_raw[[#This Row],[Column19]]/IF(OR($E$2="Deployment",deployment_raw[[#This Row],[Column5]]=0),1,deployment_raw[[#This Row],[Column5]]))/K877,0),"")</f>
        <v/>
      </c>
      <c r="K877" s="72" t="str">
        <f>IF(ISNUMBER(deployment_raw[[#This Row],[Column8]]), (deployment_raw[[#This Row],[Column8]]  * IF($E$2="Deployment",deployment_raw[[#This Row],[Column5]],1)),"")</f>
        <v/>
      </c>
      <c r="L87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7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77" s="81" t="str">
        <f>IF(ISNUMBER(deployment_raw[[#This Row],[Column20]]), IF(O877&lt;&gt;0,deployment_raw[[#This Row],[Column20]]/IF(OR($E$2="Deployment",deployment_raw[[#This Row],[Column5]]=0),1,deployment_raw[[#This Row],[Column5]])/1048576/O877,0),"")</f>
        <v/>
      </c>
      <c r="O877" s="74" t="str">
        <f>IF(ISNUMBER(deployment_raw[[#This Row],[Column7]]), (deployment_raw[[#This Row],[Column7]] * IF($E$2="Deployment",deployment_raw[[#This Row],[Column5]],1))/1048576,"")</f>
        <v/>
      </c>
      <c r="P877" s="81" t="str">
        <f>IF(ISNUMBER(deployment_raw[[#This Row],[Column20]]), IF(Q877&lt;&gt;0,deployment_raw[[#This Row],[Column20]]/IF(OR($E$2="Deployment",deployment_raw[[#This Row],[Column5]]=0),1,deployment_raw[[#This Row],[Column5]])/1048576/Q877,0),"")</f>
        <v/>
      </c>
      <c r="Q877" s="76" t="str">
        <f>IF(ISNUMBER(deployment_raw[[#This Row],[Column9]]), (deployment_raw[[#This Row],[Column9]] * IF($E$2="Deployment",deployment_raw[[#This Row],[Column5]],1))/1048576,"")</f>
        <v/>
      </c>
      <c r="R877" s="57" t="str">
        <f>IF(ISNUMBER(deployment_raw[[#This Row],[Column10]]), (deployment_raw[[#This Row],[Column10]] * IF($E$2="Deployment",deployment_raw[[#This Row],[Column5]],1)),"")</f>
        <v/>
      </c>
      <c r="S877" s="48" t="str">
        <f>IF(ISNUMBER(deployment_raw[[#This Row],[Column11]]), (deployment_raw[[#This Row],[Column11]] * IF($E$2="Deployment",deployment_raw[[#This Row],[Column5]],1))/1048576,"")</f>
        <v/>
      </c>
      <c r="T877" s="59" t="str">
        <f>IF(ISNUMBER(deployment_raw[[#This Row],[Column8]]),IF(OR(deployment_raw[[#This Row],[Column5]] &lt;&gt; 0,$E$2 &lt;&gt; "Deployment"), MAX(V877, ($T$2 * IF($E$2="Deployment",deployment_raw[[#This Row],[Column5]],1))), 0),"")</f>
        <v/>
      </c>
      <c r="U877" s="50" t="str">
        <f>IF(ISNUMBER(deployment_raw[[#This Row],[Column9]]),IF(OR(deployment_raw[[#This Row],[Column5]] &lt;&gt; 0,$E$2&lt;&gt;"Deployment"), MAX(W877, ($U$2 * IF($E$2="Deployment",deployment_raw[[#This Row],[Column5]],1))), 0),"")</f>
        <v/>
      </c>
      <c r="V877" s="15" t="str">
        <f>IF(ISNUMBER(deployment_raw[[#This Row],[Column12]]), (deployment_raw[[#This Row],[Column12]] * IF($E$2="Deployment",deployment_raw[[#This Row],[Column5]],1)*(1+$V$2)),"")</f>
        <v/>
      </c>
      <c r="W877" s="14" t="str">
        <f>IF(ISNUMBER(deployment_raw[[#This Row],[Column13]]), (deployment_raw[[#This Row],[Column13]] * IF($E$2="Deployment",deployment_raw[[#This Row],[Column5]],1)*(1+$W$2))/1048576,"")</f>
        <v/>
      </c>
    </row>
    <row r="878" spans="1:23" ht="15" customHeight="1" x14ac:dyDescent="0.25">
      <c r="A878" s="5" t="str">
        <f>IF(ISNONTEXT(deployment_raw[[#This Row],[Column1]]), "", deployment_raw[[#This Row],[Column1]])</f>
        <v/>
      </c>
      <c r="B878" s="6" t="str">
        <f>IF(ISNONTEXT(deployment_raw[[#This Row],[Column2]]), "", deployment_raw[[#This Row],[Column2]])</f>
        <v/>
      </c>
      <c r="C878" s="6" t="str">
        <f>IF(ISNONTEXT(deployment_raw[[#This Row],[Column3]]), "", deployment_raw[[#This Row],[Column3]])</f>
        <v/>
      </c>
      <c r="D878" s="6" t="str">
        <f>IF(ISNONTEXT(deployment_raw[[#This Row],[Column4]]), "", deployment_raw[[#This Row],[Column4]])</f>
        <v/>
      </c>
      <c r="E878" s="7" t="str">
        <f>IF(ISNUMBER(deployment_raw[[#This Row],[Column5]]), deployment_raw[[#This Row],[Column5]],"")</f>
        <v/>
      </c>
      <c r="F878" s="32" t="str">
        <f>IF(ISNUMBER(deployment_raw[[#This Row],[Column17]]), deployment_raw[[#This Row],[Column17]]/IF(OR($E$2="Deployment",deployment_raw[[#This Row],[Column5]]=0),1,deployment_raw[[#This Row],[Column5]]),"")</f>
        <v/>
      </c>
      <c r="G878" s="42" t="str">
        <f>IF(ISNUMBER(deployment_raw[[#This Row],[Column14]]), deployment_raw[[#This Row],[Column14]]/IF(OR($E$2="Deployment",deployment_raw[[#This Row],[Column5]]=0),1,deployment_raw[[#This Row],[Column5]]),"")</f>
        <v/>
      </c>
      <c r="H878" s="79" t="str">
        <f>IF(ISNUMBER(deployment_raw[[#This Row],[Column19]]), IF(I878&lt;&gt;0,(deployment_raw[[#This Row],[Column19]]/IF(OR($E$2="Deployment",deployment_raw[[#This Row],[Column5]]=0),1,deployment_raw[[#This Row],[Column5]]))/I878,0),"")</f>
        <v/>
      </c>
      <c r="I878" s="69" t="str">
        <f>IF(ISNUMBER(deployment_raw[[#This Row],[Column6]]), (deployment_raw[[#This Row],[Column6]] * IF($E$2="Deployment",deployment_raw[[#This Row],[Column5]],1)),"")</f>
        <v/>
      </c>
      <c r="J878" s="79" t="str">
        <f>IF(ISNUMBER(deployment_raw[[#This Row],[Column19]]), IF(K878&lt;&gt;0,(deployment_raw[[#This Row],[Column19]]/IF(OR($E$2="Deployment",deployment_raw[[#This Row],[Column5]]=0),1,deployment_raw[[#This Row],[Column5]]))/K878,0),"")</f>
        <v/>
      </c>
      <c r="K878" s="72" t="str">
        <f>IF(ISNUMBER(deployment_raw[[#This Row],[Column8]]), (deployment_raw[[#This Row],[Column8]]  * IF($E$2="Deployment",deployment_raw[[#This Row],[Column5]],1)),"")</f>
        <v/>
      </c>
      <c r="L87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7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78" s="81" t="str">
        <f>IF(ISNUMBER(deployment_raw[[#This Row],[Column20]]), IF(O878&lt;&gt;0,deployment_raw[[#This Row],[Column20]]/IF(OR($E$2="Deployment",deployment_raw[[#This Row],[Column5]]=0),1,deployment_raw[[#This Row],[Column5]])/1048576/O878,0),"")</f>
        <v/>
      </c>
      <c r="O878" s="74" t="str">
        <f>IF(ISNUMBER(deployment_raw[[#This Row],[Column7]]), (deployment_raw[[#This Row],[Column7]] * IF($E$2="Deployment",deployment_raw[[#This Row],[Column5]],1))/1048576,"")</f>
        <v/>
      </c>
      <c r="P878" s="81" t="str">
        <f>IF(ISNUMBER(deployment_raw[[#This Row],[Column20]]), IF(Q878&lt;&gt;0,deployment_raw[[#This Row],[Column20]]/IF(OR($E$2="Deployment",deployment_raw[[#This Row],[Column5]]=0),1,deployment_raw[[#This Row],[Column5]])/1048576/Q878,0),"")</f>
        <v/>
      </c>
      <c r="Q878" s="76" t="str">
        <f>IF(ISNUMBER(deployment_raw[[#This Row],[Column9]]), (deployment_raw[[#This Row],[Column9]] * IF($E$2="Deployment",deployment_raw[[#This Row],[Column5]],1))/1048576,"")</f>
        <v/>
      </c>
      <c r="R878" s="57" t="str">
        <f>IF(ISNUMBER(deployment_raw[[#This Row],[Column10]]), (deployment_raw[[#This Row],[Column10]] * IF($E$2="Deployment",deployment_raw[[#This Row],[Column5]],1)),"")</f>
        <v/>
      </c>
      <c r="S878" s="48" t="str">
        <f>IF(ISNUMBER(deployment_raw[[#This Row],[Column11]]), (deployment_raw[[#This Row],[Column11]] * IF($E$2="Deployment",deployment_raw[[#This Row],[Column5]],1))/1048576,"")</f>
        <v/>
      </c>
      <c r="T878" s="59" t="str">
        <f>IF(ISNUMBER(deployment_raw[[#This Row],[Column8]]),IF(OR(deployment_raw[[#This Row],[Column5]] &lt;&gt; 0,$E$2 &lt;&gt; "Deployment"), MAX(V878, ($T$2 * IF($E$2="Deployment",deployment_raw[[#This Row],[Column5]],1))), 0),"")</f>
        <v/>
      </c>
      <c r="U878" s="50" t="str">
        <f>IF(ISNUMBER(deployment_raw[[#This Row],[Column9]]),IF(OR(deployment_raw[[#This Row],[Column5]] &lt;&gt; 0,$E$2&lt;&gt;"Deployment"), MAX(W878, ($U$2 * IF($E$2="Deployment",deployment_raw[[#This Row],[Column5]],1))), 0),"")</f>
        <v/>
      </c>
      <c r="V878" s="15" t="str">
        <f>IF(ISNUMBER(deployment_raw[[#This Row],[Column12]]), (deployment_raw[[#This Row],[Column12]] * IF($E$2="Deployment",deployment_raw[[#This Row],[Column5]],1)*(1+$V$2)),"")</f>
        <v/>
      </c>
      <c r="W878" s="14" t="str">
        <f>IF(ISNUMBER(deployment_raw[[#This Row],[Column13]]), (deployment_raw[[#This Row],[Column13]] * IF($E$2="Deployment",deployment_raw[[#This Row],[Column5]],1)*(1+$W$2))/1048576,"")</f>
        <v/>
      </c>
    </row>
    <row r="879" spans="1:23" ht="15" customHeight="1" x14ac:dyDescent="0.25">
      <c r="A879" s="5" t="str">
        <f>IF(ISNONTEXT(deployment_raw[[#This Row],[Column1]]), "", deployment_raw[[#This Row],[Column1]])</f>
        <v/>
      </c>
      <c r="B879" s="6" t="str">
        <f>IF(ISNONTEXT(deployment_raw[[#This Row],[Column2]]), "", deployment_raw[[#This Row],[Column2]])</f>
        <v/>
      </c>
      <c r="C879" s="6" t="str">
        <f>IF(ISNONTEXT(deployment_raw[[#This Row],[Column3]]), "", deployment_raw[[#This Row],[Column3]])</f>
        <v/>
      </c>
      <c r="D879" s="6" t="str">
        <f>IF(ISNONTEXT(deployment_raw[[#This Row],[Column4]]), "", deployment_raw[[#This Row],[Column4]])</f>
        <v/>
      </c>
      <c r="E879" s="7" t="str">
        <f>IF(ISNUMBER(deployment_raw[[#This Row],[Column5]]), deployment_raw[[#This Row],[Column5]],"")</f>
        <v/>
      </c>
      <c r="F879" s="32" t="str">
        <f>IF(ISNUMBER(deployment_raw[[#This Row],[Column17]]), deployment_raw[[#This Row],[Column17]]/IF(OR($E$2="Deployment",deployment_raw[[#This Row],[Column5]]=0),1,deployment_raw[[#This Row],[Column5]]),"")</f>
        <v/>
      </c>
      <c r="G879" s="42" t="str">
        <f>IF(ISNUMBER(deployment_raw[[#This Row],[Column14]]), deployment_raw[[#This Row],[Column14]]/IF(OR($E$2="Deployment",deployment_raw[[#This Row],[Column5]]=0),1,deployment_raw[[#This Row],[Column5]]),"")</f>
        <v/>
      </c>
      <c r="H879" s="79" t="str">
        <f>IF(ISNUMBER(deployment_raw[[#This Row],[Column19]]), IF(I879&lt;&gt;0,(deployment_raw[[#This Row],[Column19]]/IF(OR($E$2="Deployment",deployment_raw[[#This Row],[Column5]]=0),1,deployment_raw[[#This Row],[Column5]]))/I879,0),"")</f>
        <v/>
      </c>
      <c r="I879" s="69" t="str">
        <f>IF(ISNUMBER(deployment_raw[[#This Row],[Column6]]), (deployment_raw[[#This Row],[Column6]] * IF($E$2="Deployment",deployment_raw[[#This Row],[Column5]],1)),"")</f>
        <v/>
      </c>
      <c r="J879" s="79" t="str">
        <f>IF(ISNUMBER(deployment_raw[[#This Row],[Column19]]), IF(K879&lt;&gt;0,(deployment_raw[[#This Row],[Column19]]/IF(OR($E$2="Deployment",deployment_raw[[#This Row],[Column5]]=0),1,deployment_raw[[#This Row],[Column5]]))/K879,0),"")</f>
        <v/>
      </c>
      <c r="K879" s="72" t="str">
        <f>IF(ISNUMBER(deployment_raw[[#This Row],[Column8]]), (deployment_raw[[#This Row],[Column8]]  * IF($E$2="Deployment",deployment_raw[[#This Row],[Column5]],1)),"")</f>
        <v/>
      </c>
      <c r="L87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7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79" s="81" t="str">
        <f>IF(ISNUMBER(deployment_raw[[#This Row],[Column20]]), IF(O879&lt;&gt;0,deployment_raw[[#This Row],[Column20]]/IF(OR($E$2="Deployment",deployment_raw[[#This Row],[Column5]]=0),1,deployment_raw[[#This Row],[Column5]])/1048576/O879,0),"")</f>
        <v/>
      </c>
      <c r="O879" s="74" t="str">
        <f>IF(ISNUMBER(deployment_raw[[#This Row],[Column7]]), (deployment_raw[[#This Row],[Column7]] * IF($E$2="Deployment",deployment_raw[[#This Row],[Column5]],1))/1048576,"")</f>
        <v/>
      </c>
      <c r="P879" s="81" t="str">
        <f>IF(ISNUMBER(deployment_raw[[#This Row],[Column20]]), IF(Q879&lt;&gt;0,deployment_raw[[#This Row],[Column20]]/IF(OR($E$2="Deployment",deployment_raw[[#This Row],[Column5]]=0),1,deployment_raw[[#This Row],[Column5]])/1048576/Q879,0),"")</f>
        <v/>
      </c>
      <c r="Q879" s="76" t="str">
        <f>IF(ISNUMBER(deployment_raw[[#This Row],[Column9]]), (deployment_raw[[#This Row],[Column9]] * IF($E$2="Deployment",deployment_raw[[#This Row],[Column5]],1))/1048576,"")</f>
        <v/>
      </c>
      <c r="R879" s="57" t="str">
        <f>IF(ISNUMBER(deployment_raw[[#This Row],[Column10]]), (deployment_raw[[#This Row],[Column10]] * IF($E$2="Deployment",deployment_raw[[#This Row],[Column5]],1)),"")</f>
        <v/>
      </c>
      <c r="S879" s="48" t="str">
        <f>IF(ISNUMBER(deployment_raw[[#This Row],[Column11]]), (deployment_raw[[#This Row],[Column11]] * IF($E$2="Deployment",deployment_raw[[#This Row],[Column5]],1))/1048576,"")</f>
        <v/>
      </c>
      <c r="T879" s="59" t="str">
        <f>IF(ISNUMBER(deployment_raw[[#This Row],[Column8]]),IF(OR(deployment_raw[[#This Row],[Column5]] &lt;&gt; 0,$E$2 &lt;&gt; "Deployment"), MAX(V879, ($T$2 * IF($E$2="Deployment",deployment_raw[[#This Row],[Column5]],1))), 0),"")</f>
        <v/>
      </c>
      <c r="U879" s="50" t="str">
        <f>IF(ISNUMBER(deployment_raw[[#This Row],[Column9]]),IF(OR(deployment_raw[[#This Row],[Column5]] &lt;&gt; 0,$E$2&lt;&gt;"Deployment"), MAX(W879, ($U$2 * IF($E$2="Deployment",deployment_raw[[#This Row],[Column5]],1))), 0),"")</f>
        <v/>
      </c>
      <c r="V879" s="15" t="str">
        <f>IF(ISNUMBER(deployment_raw[[#This Row],[Column12]]), (deployment_raw[[#This Row],[Column12]] * IF($E$2="Deployment",deployment_raw[[#This Row],[Column5]],1)*(1+$V$2)),"")</f>
        <v/>
      </c>
      <c r="W879" s="14" t="str">
        <f>IF(ISNUMBER(deployment_raw[[#This Row],[Column13]]), (deployment_raw[[#This Row],[Column13]] * IF($E$2="Deployment",deployment_raw[[#This Row],[Column5]],1)*(1+$W$2))/1048576,"")</f>
        <v/>
      </c>
    </row>
    <row r="880" spans="1:23" ht="15" customHeight="1" x14ac:dyDescent="0.25">
      <c r="A880" s="5" t="str">
        <f>IF(ISNONTEXT(deployment_raw[[#This Row],[Column1]]), "", deployment_raw[[#This Row],[Column1]])</f>
        <v/>
      </c>
      <c r="B880" s="6" t="str">
        <f>IF(ISNONTEXT(deployment_raw[[#This Row],[Column2]]), "", deployment_raw[[#This Row],[Column2]])</f>
        <v/>
      </c>
      <c r="C880" s="6" t="str">
        <f>IF(ISNONTEXT(deployment_raw[[#This Row],[Column3]]), "", deployment_raw[[#This Row],[Column3]])</f>
        <v/>
      </c>
      <c r="D880" s="6" t="str">
        <f>IF(ISNONTEXT(deployment_raw[[#This Row],[Column4]]), "", deployment_raw[[#This Row],[Column4]])</f>
        <v/>
      </c>
      <c r="E880" s="7" t="str">
        <f>IF(ISNUMBER(deployment_raw[[#This Row],[Column5]]), deployment_raw[[#This Row],[Column5]],"")</f>
        <v/>
      </c>
      <c r="F880" s="32" t="str">
        <f>IF(ISNUMBER(deployment_raw[[#This Row],[Column17]]), deployment_raw[[#This Row],[Column17]]/IF(OR($E$2="Deployment",deployment_raw[[#This Row],[Column5]]=0),1,deployment_raw[[#This Row],[Column5]]),"")</f>
        <v/>
      </c>
      <c r="G880" s="42" t="str">
        <f>IF(ISNUMBER(deployment_raw[[#This Row],[Column14]]), deployment_raw[[#This Row],[Column14]]/IF(OR($E$2="Deployment",deployment_raw[[#This Row],[Column5]]=0),1,deployment_raw[[#This Row],[Column5]]),"")</f>
        <v/>
      </c>
      <c r="H880" s="79" t="str">
        <f>IF(ISNUMBER(deployment_raw[[#This Row],[Column19]]), IF(I880&lt;&gt;0,(deployment_raw[[#This Row],[Column19]]/IF(OR($E$2="Deployment",deployment_raw[[#This Row],[Column5]]=0),1,deployment_raw[[#This Row],[Column5]]))/I880,0),"")</f>
        <v/>
      </c>
      <c r="I880" s="69" t="str">
        <f>IF(ISNUMBER(deployment_raw[[#This Row],[Column6]]), (deployment_raw[[#This Row],[Column6]] * IF($E$2="Deployment",deployment_raw[[#This Row],[Column5]],1)),"")</f>
        <v/>
      </c>
      <c r="J880" s="79" t="str">
        <f>IF(ISNUMBER(deployment_raw[[#This Row],[Column19]]), IF(K880&lt;&gt;0,(deployment_raw[[#This Row],[Column19]]/IF(OR($E$2="Deployment",deployment_raw[[#This Row],[Column5]]=0),1,deployment_raw[[#This Row],[Column5]]))/K880,0),"")</f>
        <v/>
      </c>
      <c r="K880" s="72" t="str">
        <f>IF(ISNUMBER(deployment_raw[[#This Row],[Column8]]), (deployment_raw[[#This Row],[Column8]]  * IF($E$2="Deployment",deployment_raw[[#This Row],[Column5]],1)),"")</f>
        <v/>
      </c>
      <c r="L88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8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80" s="81" t="str">
        <f>IF(ISNUMBER(deployment_raw[[#This Row],[Column20]]), IF(O880&lt;&gt;0,deployment_raw[[#This Row],[Column20]]/IF(OR($E$2="Deployment",deployment_raw[[#This Row],[Column5]]=0),1,deployment_raw[[#This Row],[Column5]])/1048576/O880,0),"")</f>
        <v/>
      </c>
      <c r="O880" s="74" t="str">
        <f>IF(ISNUMBER(deployment_raw[[#This Row],[Column7]]), (deployment_raw[[#This Row],[Column7]] * IF($E$2="Deployment",deployment_raw[[#This Row],[Column5]],1))/1048576,"")</f>
        <v/>
      </c>
      <c r="P880" s="81" t="str">
        <f>IF(ISNUMBER(deployment_raw[[#This Row],[Column20]]), IF(Q880&lt;&gt;0,deployment_raw[[#This Row],[Column20]]/IF(OR($E$2="Deployment",deployment_raw[[#This Row],[Column5]]=0),1,deployment_raw[[#This Row],[Column5]])/1048576/Q880,0),"")</f>
        <v/>
      </c>
      <c r="Q880" s="76" t="str">
        <f>IF(ISNUMBER(deployment_raw[[#This Row],[Column9]]), (deployment_raw[[#This Row],[Column9]] * IF($E$2="Deployment",deployment_raw[[#This Row],[Column5]],1))/1048576,"")</f>
        <v/>
      </c>
      <c r="R880" s="57" t="str">
        <f>IF(ISNUMBER(deployment_raw[[#This Row],[Column10]]), (deployment_raw[[#This Row],[Column10]] * IF($E$2="Deployment",deployment_raw[[#This Row],[Column5]],1)),"")</f>
        <v/>
      </c>
      <c r="S880" s="48" t="str">
        <f>IF(ISNUMBER(deployment_raw[[#This Row],[Column11]]), (deployment_raw[[#This Row],[Column11]] * IF($E$2="Deployment",deployment_raw[[#This Row],[Column5]],1))/1048576,"")</f>
        <v/>
      </c>
      <c r="T880" s="59" t="str">
        <f>IF(ISNUMBER(deployment_raw[[#This Row],[Column8]]),IF(OR(deployment_raw[[#This Row],[Column5]] &lt;&gt; 0,$E$2 &lt;&gt; "Deployment"), MAX(V880, ($T$2 * IF($E$2="Deployment",deployment_raw[[#This Row],[Column5]],1))), 0),"")</f>
        <v/>
      </c>
      <c r="U880" s="50" t="str">
        <f>IF(ISNUMBER(deployment_raw[[#This Row],[Column9]]),IF(OR(deployment_raw[[#This Row],[Column5]] &lt;&gt; 0,$E$2&lt;&gt;"Deployment"), MAX(W880, ($U$2 * IF($E$2="Deployment",deployment_raw[[#This Row],[Column5]],1))), 0),"")</f>
        <v/>
      </c>
      <c r="V880" s="15" t="str">
        <f>IF(ISNUMBER(deployment_raw[[#This Row],[Column12]]), (deployment_raw[[#This Row],[Column12]] * IF($E$2="Deployment",deployment_raw[[#This Row],[Column5]],1)*(1+$V$2)),"")</f>
        <v/>
      </c>
      <c r="W880" s="14" t="str">
        <f>IF(ISNUMBER(deployment_raw[[#This Row],[Column13]]), (deployment_raw[[#This Row],[Column13]] * IF($E$2="Deployment",deployment_raw[[#This Row],[Column5]],1)*(1+$W$2))/1048576,"")</f>
        <v/>
      </c>
    </row>
    <row r="881" spans="1:23" ht="15" customHeight="1" x14ac:dyDescent="0.25">
      <c r="A881" s="5" t="str">
        <f>IF(ISNONTEXT(deployment_raw[[#This Row],[Column1]]), "", deployment_raw[[#This Row],[Column1]])</f>
        <v/>
      </c>
      <c r="B881" s="6" t="str">
        <f>IF(ISNONTEXT(deployment_raw[[#This Row],[Column2]]), "", deployment_raw[[#This Row],[Column2]])</f>
        <v/>
      </c>
      <c r="C881" s="6" t="str">
        <f>IF(ISNONTEXT(deployment_raw[[#This Row],[Column3]]), "", deployment_raw[[#This Row],[Column3]])</f>
        <v/>
      </c>
      <c r="D881" s="6" t="str">
        <f>IF(ISNONTEXT(deployment_raw[[#This Row],[Column4]]), "", deployment_raw[[#This Row],[Column4]])</f>
        <v/>
      </c>
      <c r="E881" s="7" t="str">
        <f>IF(ISNUMBER(deployment_raw[[#This Row],[Column5]]), deployment_raw[[#This Row],[Column5]],"")</f>
        <v/>
      </c>
      <c r="F881" s="32" t="str">
        <f>IF(ISNUMBER(deployment_raw[[#This Row],[Column17]]), deployment_raw[[#This Row],[Column17]]/IF(OR($E$2="Deployment",deployment_raw[[#This Row],[Column5]]=0),1,deployment_raw[[#This Row],[Column5]]),"")</f>
        <v/>
      </c>
      <c r="G881" s="42" t="str">
        <f>IF(ISNUMBER(deployment_raw[[#This Row],[Column14]]), deployment_raw[[#This Row],[Column14]]/IF(OR($E$2="Deployment",deployment_raw[[#This Row],[Column5]]=0),1,deployment_raw[[#This Row],[Column5]]),"")</f>
        <v/>
      </c>
      <c r="H881" s="79" t="str">
        <f>IF(ISNUMBER(deployment_raw[[#This Row],[Column19]]), IF(I881&lt;&gt;0,(deployment_raw[[#This Row],[Column19]]/IF(OR($E$2="Deployment",deployment_raw[[#This Row],[Column5]]=0),1,deployment_raw[[#This Row],[Column5]]))/I881,0),"")</f>
        <v/>
      </c>
      <c r="I881" s="69" t="str">
        <f>IF(ISNUMBER(deployment_raw[[#This Row],[Column6]]), (deployment_raw[[#This Row],[Column6]] * IF($E$2="Deployment",deployment_raw[[#This Row],[Column5]],1)),"")</f>
        <v/>
      </c>
      <c r="J881" s="79" t="str">
        <f>IF(ISNUMBER(deployment_raw[[#This Row],[Column19]]), IF(K881&lt;&gt;0,(deployment_raw[[#This Row],[Column19]]/IF(OR($E$2="Deployment",deployment_raw[[#This Row],[Column5]]=0),1,deployment_raw[[#This Row],[Column5]]))/K881,0),"")</f>
        <v/>
      </c>
      <c r="K881" s="72" t="str">
        <f>IF(ISNUMBER(deployment_raw[[#This Row],[Column8]]), (deployment_raw[[#This Row],[Column8]]  * IF($E$2="Deployment",deployment_raw[[#This Row],[Column5]],1)),"")</f>
        <v/>
      </c>
      <c r="L88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8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81" s="81" t="str">
        <f>IF(ISNUMBER(deployment_raw[[#This Row],[Column20]]), IF(O881&lt;&gt;0,deployment_raw[[#This Row],[Column20]]/IF(OR($E$2="Deployment",deployment_raw[[#This Row],[Column5]]=0),1,deployment_raw[[#This Row],[Column5]])/1048576/O881,0),"")</f>
        <v/>
      </c>
      <c r="O881" s="74" t="str">
        <f>IF(ISNUMBER(deployment_raw[[#This Row],[Column7]]), (deployment_raw[[#This Row],[Column7]] * IF($E$2="Deployment",deployment_raw[[#This Row],[Column5]],1))/1048576,"")</f>
        <v/>
      </c>
      <c r="P881" s="81" t="str">
        <f>IF(ISNUMBER(deployment_raw[[#This Row],[Column20]]), IF(Q881&lt;&gt;0,deployment_raw[[#This Row],[Column20]]/IF(OR($E$2="Deployment",deployment_raw[[#This Row],[Column5]]=0),1,deployment_raw[[#This Row],[Column5]])/1048576/Q881,0),"")</f>
        <v/>
      </c>
      <c r="Q881" s="76" t="str">
        <f>IF(ISNUMBER(deployment_raw[[#This Row],[Column9]]), (deployment_raw[[#This Row],[Column9]] * IF($E$2="Deployment",deployment_raw[[#This Row],[Column5]],1))/1048576,"")</f>
        <v/>
      </c>
      <c r="R881" s="57" t="str">
        <f>IF(ISNUMBER(deployment_raw[[#This Row],[Column10]]), (deployment_raw[[#This Row],[Column10]] * IF($E$2="Deployment",deployment_raw[[#This Row],[Column5]],1)),"")</f>
        <v/>
      </c>
      <c r="S881" s="48" t="str">
        <f>IF(ISNUMBER(deployment_raw[[#This Row],[Column11]]), (deployment_raw[[#This Row],[Column11]] * IF($E$2="Deployment",deployment_raw[[#This Row],[Column5]],1))/1048576,"")</f>
        <v/>
      </c>
      <c r="T881" s="59" t="str">
        <f>IF(ISNUMBER(deployment_raw[[#This Row],[Column8]]),IF(OR(deployment_raw[[#This Row],[Column5]] &lt;&gt; 0,$E$2 &lt;&gt; "Deployment"), MAX(V881, ($T$2 * IF($E$2="Deployment",deployment_raw[[#This Row],[Column5]],1))), 0),"")</f>
        <v/>
      </c>
      <c r="U881" s="50" t="str">
        <f>IF(ISNUMBER(deployment_raw[[#This Row],[Column9]]),IF(OR(deployment_raw[[#This Row],[Column5]] &lt;&gt; 0,$E$2&lt;&gt;"Deployment"), MAX(W881, ($U$2 * IF($E$2="Deployment",deployment_raw[[#This Row],[Column5]],1))), 0),"")</f>
        <v/>
      </c>
      <c r="V881" s="15" t="str">
        <f>IF(ISNUMBER(deployment_raw[[#This Row],[Column12]]), (deployment_raw[[#This Row],[Column12]] * IF($E$2="Deployment",deployment_raw[[#This Row],[Column5]],1)*(1+$V$2)),"")</f>
        <v/>
      </c>
      <c r="W881" s="14" t="str">
        <f>IF(ISNUMBER(deployment_raw[[#This Row],[Column13]]), (deployment_raw[[#This Row],[Column13]] * IF($E$2="Deployment",deployment_raw[[#This Row],[Column5]],1)*(1+$W$2))/1048576,"")</f>
        <v/>
      </c>
    </row>
    <row r="882" spans="1:23" ht="15" customHeight="1" x14ac:dyDescent="0.25">
      <c r="A882" s="5" t="str">
        <f>IF(ISNONTEXT(deployment_raw[[#This Row],[Column1]]), "", deployment_raw[[#This Row],[Column1]])</f>
        <v/>
      </c>
      <c r="B882" s="6" t="str">
        <f>IF(ISNONTEXT(deployment_raw[[#This Row],[Column2]]), "", deployment_raw[[#This Row],[Column2]])</f>
        <v/>
      </c>
      <c r="C882" s="6" t="str">
        <f>IF(ISNONTEXT(deployment_raw[[#This Row],[Column3]]), "", deployment_raw[[#This Row],[Column3]])</f>
        <v/>
      </c>
      <c r="D882" s="6" t="str">
        <f>IF(ISNONTEXT(deployment_raw[[#This Row],[Column4]]), "", deployment_raw[[#This Row],[Column4]])</f>
        <v/>
      </c>
      <c r="E882" s="7" t="str">
        <f>IF(ISNUMBER(deployment_raw[[#This Row],[Column5]]), deployment_raw[[#This Row],[Column5]],"")</f>
        <v/>
      </c>
      <c r="F882" s="32" t="str">
        <f>IF(ISNUMBER(deployment_raw[[#This Row],[Column17]]), deployment_raw[[#This Row],[Column17]]/IF(OR($E$2="Deployment",deployment_raw[[#This Row],[Column5]]=0),1,deployment_raw[[#This Row],[Column5]]),"")</f>
        <v/>
      </c>
      <c r="G882" s="42" t="str">
        <f>IF(ISNUMBER(deployment_raw[[#This Row],[Column14]]), deployment_raw[[#This Row],[Column14]]/IF(OR($E$2="Deployment",deployment_raw[[#This Row],[Column5]]=0),1,deployment_raw[[#This Row],[Column5]]),"")</f>
        <v/>
      </c>
      <c r="H882" s="79" t="str">
        <f>IF(ISNUMBER(deployment_raw[[#This Row],[Column19]]), IF(I882&lt;&gt;0,(deployment_raw[[#This Row],[Column19]]/IF(OR($E$2="Deployment",deployment_raw[[#This Row],[Column5]]=0),1,deployment_raw[[#This Row],[Column5]]))/I882,0),"")</f>
        <v/>
      </c>
      <c r="I882" s="69" t="str">
        <f>IF(ISNUMBER(deployment_raw[[#This Row],[Column6]]), (deployment_raw[[#This Row],[Column6]] * IF($E$2="Deployment",deployment_raw[[#This Row],[Column5]],1)),"")</f>
        <v/>
      </c>
      <c r="J882" s="79" t="str">
        <f>IF(ISNUMBER(deployment_raw[[#This Row],[Column19]]), IF(K882&lt;&gt;0,(deployment_raw[[#This Row],[Column19]]/IF(OR($E$2="Deployment",deployment_raw[[#This Row],[Column5]]=0),1,deployment_raw[[#This Row],[Column5]]))/K882,0),"")</f>
        <v/>
      </c>
      <c r="K882" s="72" t="str">
        <f>IF(ISNUMBER(deployment_raw[[#This Row],[Column8]]), (deployment_raw[[#This Row],[Column8]]  * IF($E$2="Deployment",deployment_raw[[#This Row],[Column5]],1)),"")</f>
        <v/>
      </c>
      <c r="L88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8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82" s="81" t="str">
        <f>IF(ISNUMBER(deployment_raw[[#This Row],[Column20]]), IF(O882&lt;&gt;0,deployment_raw[[#This Row],[Column20]]/IF(OR($E$2="Deployment",deployment_raw[[#This Row],[Column5]]=0),1,deployment_raw[[#This Row],[Column5]])/1048576/O882,0),"")</f>
        <v/>
      </c>
      <c r="O882" s="74" t="str">
        <f>IF(ISNUMBER(deployment_raw[[#This Row],[Column7]]), (deployment_raw[[#This Row],[Column7]] * IF($E$2="Deployment",deployment_raw[[#This Row],[Column5]],1))/1048576,"")</f>
        <v/>
      </c>
      <c r="P882" s="81" t="str">
        <f>IF(ISNUMBER(deployment_raw[[#This Row],[Column20]]), IF(Q882&lt;&gt;0,deployment_raw[[#This Row],[Column20]]/IF(OR($E$2="Deployment",deployment_raw[[#This Row],[Column5]]=0),1,deployment_raw[[#This Row],[Column5]])/1048576/Q882,0),"")</f>
        <v/>
      </c>
      <c r="Q882" s="76" t="str">
        <f>IF(ISNUMBER(deployment_raw[[#This Row],[Column9]]), (deployment_raw[[#This Row],[Column9]] * IF($E$2="Deployment",deployment_raw[[#This Row],[Column5]],1))/1048576,"")</f>
        <v/>
      </c>
      <c r="R882" s="57" t="str">
        <f>IF(ISNUMBER(deployment_raw[[#This Row],[Column10]]), (deployment_raw[[#This Row],[Column10]] * IF($E$2="Deployment",deployment_raw[[#This Row],[Column5]],1)),"")</f>
        <v/>
      </c>
      <c r="S882" s="48" t="str">
        <f>IF(ISNUMBER(deployment_raw[[#This Row],[Column11]]), (deployment_raw[[#This Row],[Column11]] * IF($E$2="Deployment",deployment_raw[[#This Row],[Column5]],1))/1048576,"")</f>
        <v/>
      </c>
      <c r="T882" s="59" t="str">
        <f>IF(ISNUMBER(deployment_raw[[#This Row],[Column8]]),IF(OR(deployment_raw[[#This Row],[Column5]] &lt;&gt; 0,$E$2 &lt;&gt; "Deployment"), MAX(V882, ($T$2 * IF($E$2="Deployment",deployment_raw[[#This Row],[Column5]],1))), 0),"")</f>
        <v/>
      </c>
      <c r="U882" s="50" t="str">
        <f>IF(ISNUMBER(deployment_raw[[#This Row],[Column9]]),IF(OR(deployment_raw[[#This Row],[Column5]] &lt;&gt; 0,$E$2&lt;&gt;"Deployment"), MAX(W882, ($U$2 * IF($E$2="Deployment",deployment_raw[[#This Row],[Column5]],1))), 0),"")</f>
        <v/>
      </c>
      <c r="V882" s="15" t="str">
        <f>IF(ISNUMBER(deployment_raw[[#This Row],[Column12]]), (deployment_raw[[#This Row],[Column12]] * IF($E$2="Deployment",deployment_raw[[#This Row],[Column5]],1)*(1+$V$2)),"")</f>
        <v/>
      </c>
      <c r="W882" s="14" t="str">
        <f>IF(ISNUMBER(deployment_raw[[#This Row],[Column13]]), (deployment_raw[[#This Row],[Column13]] * IF($E$2="Deployment",deployment_raw[[#This Row],[Column5]],1)*(1+$W$2))/1048576,"")</f>
        <v/>
      </c>
    </row>
    <row r="883" spans="1:23" ht="15" customHeight="1" x14ac:dyDescent="0.25">
      <c r="A883" s="5" t="str">
        <f>IF(ISNONTEXT(deployment_raw[[#This Row],[Column1]]), "", deployment_raw[[#This Row],[Column1]])</f>
        <v/>
      </c>
      <c r="B883" s="6" t="str">
        <f>IF(ISNONTEXT(deployment_raw[[#This Row],[Column2]]), "", deployment_raw[[#This Row],[Column2]])</f>
        <v/>
      </c>
      <c r="C883" s="6" t="str">
        <f>IF(ISNONTEXT(deployment_raw[[#This Row],[Column3]]), "", deployment_raw[[#This Row],[Column3]])</f>
        <v/>
      </c>
      <c r="D883" s="6" t="str">
        <f>IF(ISNONTEXT(deployment_raw[[#This Row],[Column4]]), "", deployment_raw[[#This Row],[Column4]])</f>
        <v/>
      </c>
      <c r="E883" s="7" t="str">
        <f>IF(ISNUMBER(deployment_raw[[#This Row],[Column5]]), deployment_raw[[#This Row],[Column5]],"")</f>
        <v/>
      </c>
      <c r="F883" s="32" t="str">
        <f>IF(ISNUMBER(deployment_raw[[#This Row],[Column17]]), deployment_raw[[#This Row],[Column17]]/IF(OR($E$2="Deployment",deployment_raw[[#This Row],[Column5]]=0),1,deployment_raw[[#This Row],[Column5]]),"")</f>
        <v/>
      </c>
      <c r="G883" s="42" t="str">
        <f>IF(ISNUMBER(deployment_raw[[#This Row],[Column14]]), deployment_raw[[#This Row],[Column14]]/IF(OR($E$2="Deployment",deployment_raw[[#This Row],[Column5]]=0),1,deployment_raw[[#This Row],[Column5]]),"")</f>
        <v/>
      </c>
      <c r="H883" s="79" t="str">
        <f>IF(ISNUMBER(deployment_raw[[#This Row],[Column19]]), IF(I883&lt;&gt;0,(deployment_raw[[#This Row],[Column19]]/IF(OR($E$2="Deployment",deployment_raw[[#This Row],[Column5]]=0),1,deployment_raw[[#This Row],[Column5]]))/I883,0),"")</f>
        <v/>
      </c>
      <c r="I883" s="69" t="str">
        <f>IF(ISNUMBER(deployment_raw[[#This Row],[Column6]]), (deployment_raw[[#This Row],[Column6]] * IF($E$2="Deployment",deployment_raw[[#This Row],[Column5]],1)),"")</f>
        <v/>
      </c>
      <c r="J883" s="79" t="str">
        <f>IF(ISNUMBER(deployment_raw[[#This Row],[Column19]]), IF(K883&lt;&gt;0,(deployment_raw[[#This Row],[Column19]]/IF(OR($E$2="Deployment",deployment_raw[[#This Row],[Column5]]=0),1,deployment_raw[[#This Row],[Column5]]))/K883,0),"")</f>
        <v/>
      </c>
      <c r="K883" s="72" t="str">
        <f>IF(ISNUMBER(deployment_raw[[#This Row],[Column8]]), (deployment_raw[[#This Row],[Column8]]  * IF($E$2="Deployment",deployment_raw[[#This Row],[Column5]],1)),"")</f>
        <v/>
      </c>
      <c r="L88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8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83" s="81" t="str">
        <f>IF(ISNUMBER(deployment_raw[[#This Row],[Column20]]), IF(O883&lt;&gt;0,deployment_raw[[#This Row],[Column20]]/IF(OR($E$2="Deployment",deployment_raw[[#This Row],[Column5]]=0),1,deployment_raw[[#This Row],[Column5]])/1048576/O883,0),"")</f>
        <v/>
      </c>
      <c r="O883" s="74" t="str">
        <f>IF(ISNUMBER(deployment_raw[[#This Row],[Column7]]), (deployment_raw[[#This Row],[Column7]] * IF($E$2="Deployment",deployment_raw[[#This Row],[Column5]],1))/1048576,"")</f>
        <v/>
      </c>
      <c r="P883" s="81" t="str">
        <f>IF(ISNUMBER(deployment_raw[[#This Row],[Column20]]), IF(Q883&lt;&gt;0,deployment_raw[[#This Row],[Column20]]/IF(OR($E$2="Deployment",deployment_raw[[#This Row],[Column5]]=0),1,deployment_raw[[#This Row],[Column5]])/1048576/Q883,0),"")</f>
        <v/>
      </c>
      <c r="Q883" s="76" t="str">
        <f>IF(ISNUMBER(deployment_raw[[#This Row],[Column9]]), (deployment_raw[[#This Row],[Column9]] * IF($E$2="Deployment",deployment_raw[[#This Row],[Column5]],1))/1048576,"")</f>
        <v/>
      </c>
      <c r="R883" s="57" t="str">
        <f>IF(ISNUMBER(deployment_raw[[#This Row],[Column10]]), (deployment_raw[[#This Row],[Column10]] * IF($E$2="Deployment",deployment_raw[[#This Row],[Column5]],1)),"")</f>
        <v/>
      </c>
      <c r="S883" s="48" t="str">
        <f>IF(ISNUMBER(deployment_raw[[#This Row],[Column11]]), (deployment_raw[[#This Row],[Column11]] * IF($E$2="Deployment",deployment_raw[[#This Row],[Column5]],1))/1048576,"")</f>
        <v/>
      </c>
      <c r="T883" s="59" t="str">
        <f>IF(ISNUMBER(deployment_raw[[#This Row],[Column8]]),IF(OR(deployment_raw[[#This Row],[Column5]] &lt;&gt; 0,$E$2 &lt;&gt; "Deployment"), MAX(V883, ($T$2 * IF($E$2="Deployment",deployment_raw[[#This Row],[Column5]],1))), 0),"")</f>
        <v/>
      </c>
      <c r="U883" s="50" t="str">
        <f>IF(ISNUMBER(deployment_raw[[#This Row],[Column9]]),IF(OR(deployment_raw[[#This Row],[Column5]] &lt;&gt; 0,$E$2&lt;&gt;"Deployment"), MAX(W883, ($U$2 * IF($E$2="Deployment",deployment_raw[[#This Row],[Column5]],1))), 0),"")</f>
        <v/>
      </c>
      <c r="V883" s="15" t="str">
        <f>IF(ISNUMBER(deployment_raw[[#This Row],[Column12]]), (deployment_raw[[#This Row],[Column12]] * IF($E$2="Deployment",deployment_raw[[#This Row],[Column5]],1)*(1+$V$2)),"")</f>
        <v/>
      </c>
      <c r="W883" s="14" t="str">
        <f>IF(ISNUMBER(deployment_raw[[#This Row],[Column13]]), (deployment_raw[[#This Row],[Column13]] * IF($E$2="Deployment",deployment_raw[[#This Row],[Column5]],1)*(1+$W$2))/1048576,"")</f>
        <v/>
      </c>
    </row>
    <row r="884" spans="1:23" ht="15" customHeight="1" x14ac:dyDescent="0.25">
      <c r="A884" s="5" t="str">
        <f>IF(ISNONTEXT(deployment_raw[[#This Row],[Column1]]), "", deployment_raw[[#This Row],[Column1]])</f>
        <v/>
      </c>
      <c r="B884" s="6" t="str">
        <f>IF(ISNONTEXT(deployment_raw[[#This Row],[Column2]]), "", deployment_raw[[#This Row],[Column2]])</f>
        <v/>
      </c>
      <c r="C884" s="6" t="str">
        <f>IF(ISNONTEXT(deployment_raw[[#This Row],[Column3]]), "", deployment_raw[[#This Row],[Column3]])</f>
        <v/>
      </c>
      <c r="D884" s="6" t="str">
        <f>IF(ISNONTEXT(deployment_raw[[#This Row],[Column4]]), "", deployment_raw[[#This Row],[Column4]])</f>
        <v/>
      </c>
      <c r="E884" s="7" t="str">
        <f>IF(ISNUMBER(deployment_raw[[#This Row],[Column5]]), deployment_raw[[#This Row],[Column5]],"")</f>
        <v/>
      </c>
      <c r="F884" s="32" t="str">
        <f>IF(ISNUMBER(deployment_raw[[#This Row],[Column17]]), deployment_raw[[#This Row],[Column17]]/IF(OR($E$2="Deployment",deployment_raw[[#This Row],[Column5]]=0),1,deployment_raw[[#This Row],[Column5]]),"")</f>
        <v/>
      </c>
      <c r="G884" s="42" t="str">
        <f>IF(ISNUMBER(deployment_raw[[#This Row],[Column14]]), deployment_raw[[#This Row],[Column14]]/IF(OR($E$2="Deployment",deployment_raw[[#This Row],[Column5]]=0),1,deployment_raw[[#This Row],[Column5]]),"")</f>
        <v/>
      </c>
      <c r="H884" s="79" t="str">
        <f>IF(ISNUMBER(deployment_raw[[#This Row],[Column19]]), IF(I884&lt;&gt;0,(deployment_raw[[#This Row],[Column19]]/IF(OR($E$2="Deployment",deployment_raw[[#This Row],[Column5]]=0),1,deployment_raw[[#This Row],[Column5]]))/I884,0),"")</f>
        <v/>
      </c>
      <c r="I884" s="69" t="str">
        <f>IF(ISNUMBER(deployment_raw[[#This Row],[Column6]]), (deployment_raw[[#This Row],[Column6]] * IF($E$2="Deployment",deployment_raw[[#This Row],[Column5]],1)),"")</f>
        <v/>
      </c>
      <c r="J884" s="79" t="str">
        <f>IF(ISNUMBER(deployment_raw[[#This Row],[Column19]]), IF(K884&lt;&gt;0,(deployment_raw[[#This Row],[Column19]]/IF(OR($E$2="Deployment",deployment_raw[[#This Row],[Column5]]=0),1,deployment_raw[[#This Row],[Column5]]))/K884,0),"")</f>
        <v/>
      </c>
      <c r="K884" s="72" t="str">
        <f>IF(ISNUMBER(deployment_raw[[#This Row],[Column8]]), (deployment_raw[[#This Row],[Column8]]  * IF($E$2="Deployment",deployment_raw[[#This Row],[Column5]],1)),"")</f>
        <v/>
      </c>
      <c r="L88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8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84" s="81" t="str">
        <f>IF(ISNUMBER(deployment_raw[[#This Row],[Column20]]), IF(O884&lt;&gt;0,deployment_raw[[#This Row],[Column20]]/IF(OR($E$2="Deployment",deployment_raw[[#This Row],[Column5]]=0),1,deployment_raw[[#This Row],[Column5]])/1048576/O884,0),"")</f>
        <v/>
      </c>
      <c r="O884" s="74" t="str">
        <f>IF(ISNUMBER(deployment_raw[[#This Row],[Column7]]), (deployment_raw[[#This Row],[Column7]] * IF($E$2="Deployment",deployment_raw[[#This Row],[Column5]],1))/1048576,"")</f>
        <v/>
      </c>
      <c r="P884" s="81" t="str">
        <f>IF(ISNUMBER(deployment_raw[[#This Row],[Column20]]), IF(Q884&lt;&gt;0,deployment_raw[[#This Row],[Column20]]/IF(OR($E$2="Deployment",deployment_raw[[#This Row],[Column5]]=0),1,deployment_raw[[#This Row],[Column5]])/1048576/Q884,0),"")</f>
        <v/>
      </c>
      <c r="Q884" s="76" t="str">
        <f>IF(ISNUMBER(deployment_raw[[#This Row],[Column9]]), (deployment_raw[[#This Row],[Column9]] * IF($E$2="Deployment",deployment_raw[[#This Row],[Column5]],1))/1048576,"")</f>
        <v/>
      </c>
      <c r="R884" s="57" t="str">
        <f>IF(ISNUMBER(deployment_raw[[#This Row],[Column10]]), (deployment_raw[[#This Row],[Column10]] * IF($E$2="Deployment",deployment_raw[[#This Row],[Column5]],1)),"")</f>
        <v/>
      </c>
      <c r="S884" s="48" t="str">
        <f>IF(ISNUMBER(deployment_raw[[#This Row],[Column11]]), (deployment_raw[[#This Row],[Column11]] * IF($E$2="Deployment",deployment_raw[[#This Row],[Column5]],1))/1048576,"")</f>
        <v/>
      </c>
      <c r="T884" s="59" t="str">
        <f>IF(ISNUMBER(deployment_raw[[#This Row],[Column8]]),IF(OR(deployment_raw[[#This Row],[Column5]] &lt;&gt; 0,$E$2 &lt;&gt; "Deployment"), MAX(V884, ($T$2 * IF($E$2="Deployment",deployment_raw[[#This Row],[Column5]],1))), 0),"")</f>
        <v/>
      </c>
      <c r="U884" s="50" t="str">
        <f>IF(ISNUMBER(deployment_raw[[#This Row],[Column9]]),IF(OR(deployment_raw[[#This Row],[Column5]] &lt;&gt; 0,$E$2&lt;&gt;"Deployment"), MAX(W884, ($U$2 * IF($E$2="Deployment",deployment_raw[[#This Row],[Column5]],1))), 0),"")</f>
        <v/>
      </c>
      <c r="V884" s="15" t="str">
        <f>IF(ISNUMBER(deployment_raw[[#This Row],[Column12]]), (deployment_raw[[#This Row],[Column12]] * IF($E$2="Deployment",deployment_raw[[#This Row],[Column5]],1)*(1+$V$2)),"")</f>
        <v/>
      </c>
      <c r="W884" s="14" t="str">
        <f>IF(ISNUMBER(deployment_raw[[#This Row],[Column13]]), (deployment_raw[[#This Row],[Column13]] * IF($E$2="Deployment",deployment_raw[[#This Row],[Column5]],1)*(1+$W$2))/1048576,"")</f>
        <v/>
      </c>
    </row>
    <row r="885" spans="1:23" ht="15" customHeight="1" x14ac:dyDescent="0.25">
      <c r="A885" s="5" t="str">
        <f>IF(ISNONTEXT(deployment_raw[[#This Row],[Column1]]), "", deployment_raw[[#This Row],[Column1]])</f>
        <v/>
      </c>
      <c r="B885" s="6" t="str">
        <f>IF(ISNONTEXT(deployment_raw[[#This Row],[Column2]]), "", deployment_raw[[#This Row],[Column2]])</f>
        <v/>
      </c>
      <c r="C885" s="6" t="str">
        <f>IF(ISNONTEXT(deployment_raw[[#This Row],[Column3]]), "", deployment_raw[[#This Row],[Column3]])</f>
        <v/>
      </c>
      <c r="D885" s="6" t="str">
        <f>IF(ISNONTEXT(deployment_raw[[#This Row],[Column4]]), "", deployment_raw[[#This Row],[Column4]])</f>
        <v/>
      </c>
      <c r="E885" s="7" t="str">
        <f>IF(ISNUMBER(deployment_raw[[#This Row],[Column5]]), deployment_raw[[#This Row],[Column5]],"")</f>
        <v/>
      </c>
      <c r="F885" s="32" t="str">
        <f>IF(ISNUMBER(deployment_raw[[#This Row],[Column17]]), deployment_raw[[#This Row],[Column17]]/IF(OR($E$2="Deployment",deployment_raw[[#This Row],[Column5]]=0),1,deployment_raw[[#This Row],[Column5]]),"")</f>
        <v/>
      </c>
      <c r="G885" s="42" t="str">
        <f>IF(ISNUMBER(deployment_raw[[#This Row],[Column14]]), deployment_raw[[#This Row],[Column14]]/IF(OR($E$2="Deployment",deployment_raw[[#This Row],[Column5]]=0),1,deployment_raw[[#This Row],[Column5]]),"")</f>
        <v/>
      </c>
      <c r="H885" s="79" t="str">
        <f>IF(ISNUMBER(deployment_raw[[#This Row],[Column19]]), IF(I885&lt;&gt;0,(deployment_raw[[#This Row],[Column19]]/IF(OR($E$2="Deployment",deployment_raw[[#This Row],[Column5]]=0),1,deployment_raw[[#This Row],[Column5]]))/I885,0),"")</f>
        <v/>
      </c>
      <c r="I885" s="69" t="str">
        <f>IF(ISNUMBER(deployment_raw[[#This Row],[Column6]]), (deployment_raw[[#This Row],[Column6]] * IF($E$2="Deployment",deployment_raw[[#This Row],[Column5]],1)),"")</f>
        <v/>
      </c>
      <c r="J885" s="79" t="str">
        <f>IF(ISNUMBER(deployment_raw[[#This Row],[Column19]]), IF(K885&lt;&gt;0,(deployment_raw[[#This Row],[Column19]]/IF(OR($E$2="Deployment",deployment_raw[[#This Row],[Column5]]=0),1,deployment_raw[[#This Row],[Column5]]))/K885,0),"")</f>
        <v/>
      </c>
      <c r="K885" s="72" t="str">
        <f>IF(ISNUMBER(deployment_raw[[#This Row],[Column8]]), (deployment_raw[[#This Row],[Column8]]  * IF($E$2="Deployment",deployment_raw[[#This Row],[Column5]],1)),"")</f>
        <v/>
      </c>
      <c r="L88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8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85" s="81" t="str">
        <f>IF(ISNUMBER(deployment_raw[[#This Row],[Column20]]), IF(O885&lt;&gt;0,deployment_raw[[#This Row],[Column20]]/IF(OR($E$2="Deployment",deployment_raw[[#This Row],[Column5]]=0),1,deployment_raw[[#This Row],[Column5]])/1048576/O885,0),"")</f>
        <v/>
      </c>
      <c r="O885" s="74" t="str">
        <f>IF(ISNUMBER(deployment_raw[[#This Row],[Column7]]), (deployment_raw[[#This Row],[Column7]] * IF($E$2="Deployment",deployment_raw[[#This Row],[Column5]],1))/1048576,"")</f>
        <v/>
      </c>
      <c r="P885" s="81" t="str">
        <f>IF(ISNUMBER(deployment_raw[[#This Row],[Column20]]), IF(Q885&lt;&gt;0,deployment_raw[[#This Row],[Column20]]/IF(OR($E$2="Deployment",deployment_raw[[#This Row],[Column5]]=0),1,deployment_raw[[#This Row],[Column5]])/1048576/Q885,0),"")</f>
        <v/>
      </c>
      <c r="Q885" s="76" t="str">
        <f>IF(ISNUMBER(deployment_raw[[#This Row],[Column9]]), (deployment_raw[[#This Row],[Column9]] * IF($E$2="Deployment",deployment_raw[[#This Row],[Column5]],1))/1048576,"")</f>
        <v/>
      </c>
      <c r="R885" s="57" t="str">
        <f>IF(ISNUMBER(deployment_raw[[#This Row],[Column10]]), (deployment_raw[[#This Row],[Column10]] * IF($E$2="Deployment",deployment_raw[[#This Row],[Column5]],1)),"")</f>
        <v/>
      </c>
      <c r="S885" s="48" t="str">
        <f>IF(ISNUMBER(deployment_raw[[#This Row],[Column11]]), (deployment_raw[[#This Row],[Column11]] * IF($E$2="Deployment",deployment_raw[[#This Row],[Column5]],1))/1048576,"")</f>
        <v/>
      </c>
      <c r="T885" s="59" t="str">
        <f>IF(ISNUMBER(deployment_raw[[#This Row],[Column8]]),IF(OR(deployment_raw[[#This Row],[Column5]] &lt;&gt; 0,$E$2 &lt;&gt; "Deployment"), MAX(V885, ($T$2 * IF($E$2="Deployment",deployment_raw[[#This Row],[Column5]],1))), 0),"")</f>
        <v/>
      </c>
      <c r="U885" s="50" t="str">
        <f>IF(ISNUMBER(deployment_raw[[#This Row],[Column9]]),IF(OR(deployment_raw[[#This Row],[Column5]] &lt;&gt; 0,$E$2&lt;&gt;"Deployment"), MAX(W885, ($U$2 * IF($E$2="Deployment",deployment_raw[[#This Row],[Column5]],1))), 0),"")</f>
        <v/>
      </c>
      <c r="V885" s="15" t="str">
        <f>IF(ISNUMBER(deployment_raw[[#This Row],[Column12]]), (deployment_raw[[#This Row],[Column12]] * IF($E$2="Deployment",deployment_raw[[#This Row],[Column5]],1)*(1+$V$2)),"")</f>
        <v/>
      </c>
      <c r="W885" s="14" t="str">
        <f>IF(ISNUMBER(deployment_raw[[#This Row],[Column13]]), (deployment_raw[[#This Row],[Column13]] * IF($E$2="Deployment",deployment_raw[[#This Row],[Column5]],1)*(1+$W$2))/1048576,"")</f>
        <v/>
      </c>
    </row>
    <row r="886" spans="1:23" ht="15" customHeight="1" x14ac:dyDescent="0.25">
      <c r="A886" s="5" t="str">
        <f>IF(ISNONTEXT(deployment_raw[[#This Row],[Column1]]), "", deployment_raw[[#This Row],[Column1]])</f>
        <v/>
      </c>
      <c r="B886" s="6" t="str">
        <f>IF(ISNONTEXT(deployment_raw[[#This Row],[Column2]]), "", deployment_raw[[#This Row],[Column2]])</f>
        <v/>
      </c>
      <c r="C886" s="6" t="str">
        <f>IF(ISNONTEXT(deployment_raw[[#This Row],[Column3]]), "", deployment_raw[[#This Row],[Column3]])</f>
        <v/>
      </c>
      <c r="D886" s="6" t="str">
        <f>IF(ISNONTEXT(deployment_raw[[#This Row],[Column4]]), "", deployment_raw[[#This Row],[Column4]])</f>
        <v/>
      </c>
      <c r="E886" s="7" t="str">
        <f>IF(ISNUMBER(deployment_raw[[#This Row],[Column5]]), deployment_raw[[#This Row],[Column5]],"")</f>
        <v/>
      </c>
      <c r="F886" s="32" t="str">
        <f>IF(ISNUMBER(deployment_raw[[#This Row],[Column17]]), deployment_raw[[#This Row],[Column17]]/IF(OR($E$2="Deployment",deployment_raw[[#This Row],[Column5]]=0),1,deployment_raw[[#This Row],[Column5]]),"")</f>
        <v/>
      </c>
      <c r="G886" s="42" t="str">
        <f>IF(ISNUMBER(deployment_raw[[#This Row],[Column14]]), deployment_raw[[#This Row],[Column14]]/IF(OR($E$2="Deployment",deployment_raw[[#This Row],[Column5]]=0),1,deployment_raw[[#This Row],[Column5]]),"")</f>
        <v/>
      </c>
      <c r="H886" s="79" t="str">
        <f>IF(ISNUMBER(deployment_raw[[#This Row],[Column19]]), IF(I886&lt;&gt;0,(deployment_raw[[#This Row],[Column19]]/IF(OR($E$2="Deployment",deployment_raw[[#This Row],[Column5]]=0),1,deployment_raw[[#This Row],[Column5]]))/I886,0),"")</f>
        <v/>
      </c>
      <c r="I886" s="69" t="str">
        <f>IF(ISNUMBER(deployment_raw[[#This Row],[Column6]]), (deployment_raw[[#This Row],[Column6]] * IF($E$2="Deployment",deployment_raw[[#This Row],[Column5]],1)),"")</f>
        <v/>
      </c>
      <c r="J886" s="79" t="str">
        <f>IF(ISNUMBER(deployment_raw[[#This Row],[Column19]]), IF(K886&lt;&gt;0,(deployment_raw[[#This Row],[Column19]]/IF(OR($E$2="Deployment",deployment_raw[[#This Row],[Column5]]=0),1,deployment_raw[[#This Row],[Column5]]))/K886,0),"")</f>
        <v/>
      </c>
      <c r="K886" s="72" t="str">
        <f>IF(ISNUMBER(deployment_raw[[#This Row],[Column8]]), (deployment_raw[[#This Row],[Column8]]  * IF($E$2="Deployment",deployment_raw[[#This Row],[Column5]],1)),"")</f>
        <v/>
      </c>
      <c r="L88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8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86" s="81" t="str">
        <f>IF(ISNUMBER(deployment_raw[[#This Row],[Column20]]), IF(O886&lt;&gt;0,deployment_raw[[#This Row],[Column20]]/IF(OR($E$2="Deployment",deployment_raw[[#This Row],[Column5]]=0),1,deployment_raw[[#This Row],[Column5]])/1048576/O886,0),"")</f>
        <v/>
      </c>
      <c r="O886" s="74" t="str">
        <f>IF(ISNUMBER(deployment_raw[[#This Row],[Column7]]), (deployment_raw[[#This Row],[Column7]] * IF($E$2="Deployment",deployment_raw[[#This Row],[Column5]],1))/1048576,"")</f>
        <v/>
      </c>
      <c r="P886" s="81" t="str">
        <f>IF(ISNUMBER(deployment_raw[[#This Row],[Column20]]), IF(Q886&lt;&gt;0,deployment_raw[[#This Row],[Column20]]/IF(OR($E$2="Deployment",deployment_raw[[#This Row],[Column5]]=0),1,deployment_raw[[#This Row],[Column5]])/1048576/Q886,0),"")</f>
        <v/>
      </c>
      <c r="Q886" s="76" t="str">
        <f>IF(ISNUMBER(deployment_raw[[#This Row],[Column9]]), (deployment_raw[[#This Row],[Column9]] * IF($E$2="Deployment",deployment_raw[[#This Row],[Column5]],1))/1048576,"")</f>
        <v/>
      </c>
      <c r="R886" s="57" t="str">
        <f>IF(ISNUMBER(deployment_raw[[#This Row],[Column10]]), (deployment_raw[[#This Row],[Column10]] * IF($E$2="Deployment",deployment_raw[[#This Row],[Column5]],1)),"")</f>
        <v/>
      </c>
      <c r="S886" s="48" t="str">
        <f>IF(ISNUMBER(deployment_raw[[#This Row],[Column11]]), (deployment_raw[[#This Row],[Column11]] * IF($E$2="Deployment",deployment_raw[[#This Row],[Column5]],1))/1048576,"")</f>
        <v/>
      </c>
      <c r="T886" s="59" t="str">
        <f>IF(ISNUMBER(deployment_raw[[#This Row],[Column8]]),IF(OR(deployment_raw[[#This Row],[Column5]] &lt;&gt; 0,$E$2 &lt;&gt; "Deployment"), MAX(V886, ($T$2 * IF($E$2="Deployment",deployment_raw[[#This Row],[Column5]],1))), 0),"")</f>
        <v/>
      </c>
      <c r="U886" s="50" t="str">
        <f>IF(ISNUMBER(deployment_raw[[#This Row],[Column9]]),IF(OR(deployment_raw[[#This Row],[Column5]] &lt;&gt; 0,$E$2&lt;&gt;"Deployment"), MAX(W886, ($U$2 * IF($E$2="Deployment",deployment_raw[[#This Row],[Column5]],1))), 0),"")</f>
        <v/>
      </c>
      <c r="V886" s="15" t="str">
        <f>IF(ISNUMBER(deployment_raw[[#This Row],[Column12]]), (deployment_raw[[#This Row],[Column12]] * IF($E$2="Deployment",deployment_raw[[#This Row],[Column5]],1)*(1+$V$2)),"")</f>
        <v/>
      </c>
      <c r="W886" s="14" t="str">
        <f>IF(ISNUMBER(deployment_raw[[#This Row],[Column13]]), (deployment_raw[[#This Row],[Column13]] * IF($E$2="Deployment",deployment_raw[[#This Row],[Column5]],1)*(1+$W$2))/1048576,"")</f>
        <v/>
      </c>
    </row>
    <row r="887" spans="1:23" ht="15" customHeight="1" x14ac:dyDescent="0.25">
      <c r="A887" s="5" t="str">
        <f>IF(ISNONTEXT(deployment_raw[[#This Row],[Column1]]), "", deployment_raw[[#This Row],[Column1]])</f>
        <v/>
      </c>
      <c r="B887" s="6" t="str">
        <f>IF(ISNONTEXT(deployment_raw[[#This Row],[Column2]]), "", deployment_raw[[#This Row],[Column2]])</f>
        <v/>
      </c>
      <c r="C887" s="6" t="str">
        <f>IF(ISNONTEXT(deployment_raw[[#This Row],[Column3]]), "", deployment_raw[[#This Row],[Column3]])</f>
        <v/>
      </c>
      <c r="D887" s="6" t="str">
        <f>IF(ISNONTEXT(deployment_raw[[#This Row],[Column4]]), "", deployment_raw[[#This Row],[Column4]])</f>
        <v/>
      </c>
      <c r="E887" s="7" t="str">
        <f>IF(ISNUMBER(deployment_raw[[#This Row],[Column5]]), deployment_raw[[#This Row],[Column5]],"")</f>
        <v/>
      </c>
      <c r="F887" s="32" t="str">
        <f>IF(ISNUMBER(deployment_raw[[#This Row],[Column17]]), deployment_raw[[#This Row],[Column17]]/IF(OR($E$2="Deployment",deployment_raw[[#This Row],[Column5]]=0),1,deployment_raw[[#This Row],[Column5]]),"")</f>
        <v/>
      </c>
      <c r="G887" s="42" t="str">
        <f>IF(ISNUMBER(deployment_raw[[#This Row],[Column14]]), deployment_raw[[#This Row],[Column14]]/IF(OR($E$2="Deployment",deployment_raw[[#This Row],[Column5]]=0),1,deployment_raw[[#This Row],[Column5]]),"")</f>
        <v/>
      </c>
      <c r="H887" s="79" t="str">
        <f>IF(ISNUMBER(deployment_raw[[#This Row],[Column19]]), IF(I887&lt;&gt;0,(deployment_raw[[#This Row],[Column19]]/IF(OR($E$2="Deployment",deployment_raw[[#This Row],[Column5]]=0),1,deployment_raw[[#This Row],[Column5]]))/I887,0),"")</f>
        <v/>
      </c>
      <c r="I887" s="69" t="str">
        <f>IF(ISNUMBER(deployment_raw[[#This Row],[Column6]]), (deployment_raw[[#This Row],[Column6]] * IF($E$2="Deployment",deployment_raw[[#This Row],[Column5]],1)),"")</f>
        <v/>
      </c>
      <c r="J887" s="79" t="str">
        <f>IF(ISNUMBER(deployment_raw[[#This Row],[Column19]]), IF(K887&lt;&gt;0,(deployment_raw[[#This Row],[Column19]]/IF(OR($E$2="Deployment",deployment_raw[[#This Row],[Column5]]=0),1,deployment_raw[[#This Row],[Column5]]))/K887,0),"")</f>
        <v/>
      </c>
      <c r="K887" s="72" t="str">
        <f>IF(ISNUMBER(deployment_raw[[#This Row],[Column8]]), (deployment_raw[[#This Row],[Column8]]  * IF($E$2="Deployment",deployment_raw[[#This Row],[Column5]],1)),"")</f>
        <v/>
      </c>
      <c r="L88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8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87" s="81" t="str">
        <f>IF(ISNUMBER(deployment_raw[[#This Row],[Column20]]), IF(O887&lt;&gt;0,deployment_raw[[#This Row],[Column20]]/IF(OR($E$2="Deployment",deployment_raw[[#This Row],[Column5]]=0),1,deployment_raw[[#This Row],[Column5]])/1048576/O887,0),"")</f>
        <v/>
      </c>
      <c r="O887" s="74" t="str">
        <f>IF(ISNUMBER(deployment_raw[[#This Row],[Column7]]), (deployment_raw[[#This Row],[Column7]] * IF($E$2="Deployment",deployment_raw[[#This Row],[Column5]],1))/1048576,"")</f>
        <v/>
      </c>
      <c r="P887" s="81" t="str">
        <f>IF(ISNUMBER(deployment_raw[[#This Row],[Column20]]), IF(Q887&lt;&gt;0,deployment_raw[[#This Row],[Column20]]/IF(OR($E$2="Deployment",deployment_raw[[#This Row],[Column5]]=0),1,deployment_raw[[#This Row],[Column5]])/1048576/Q887,0),"")</f>
        <v/>
      </c>
      <c r="Q887" s="76" t="str">
        <f>IF(ISNUMBER(deployment_raw[[#This Row],[Column9]]), (deployment_raw[[#This Row],[Column9]] * IF($E$2="Deployment",deployment_raw[[#This Row],[Column5]],1))/1048576,"")</f>
        <v/>
      </c>
      <c r="R887" s="57" t="str">
        <f>IF(ISNUMBER(deployment_raw[[#This Row],[Column10]]), (deployment_raw[[#This Row],[Column10]] * IF($E$2="Deployment",deployment_raw[[#This Row],[Column5]],1)),"")</f>
        <v/>
      </c>
      <c r="S887" s="48" t="str">
        <f>IF(ISNUMBER(deployment_raw[[#This Row],[Column11]]), (deployment_raw[[#This Row],[Column11]] * IF($E$2="Deployment",deployment_raw[[#This Row],[Column5]],1))/1048576,"")</f>
        <v/>
      </c>
      <c r="T887" s="59" t="str">
        <f>IF(ISNUMBER(deployment_raw[[#This Row],[Column8]]),IF(OR(deployment_raw[[#This Row],[Column5]] &lt;&gt; 0,$E$2 &lt;&gt; "Deployment"), MAX(V887, ($T$2 * IF($E$2="Deployment",deployment_raw[[#This Row],[Column5]],1))), 0),"")</f>
        <v/>
      </c>
      <c r="U887" s="50" t="str">
        <f>IF(ISNUMBER(deployment_raw[[#This Row],[Column9]]),IF(OR(deployment_raw[[#This Row],[Column5]] &lt;&gt; 0,$E$2&lt;&gt;"Deployment"), MAX(W887, ($U$2 * IF($E$2="Deployment",deployment_raw[[#This Row],[Column5]],1))), 0),"")</f>
        <v/>
      </c>
      <c r="V887" s="15" t="str">
        <f>IF(ISNUMBER(deployment_raw[[#This Row],[Column12]]), (deployment_raw[[#This Row],[Column12]] * IF($E$2="Deployment",deployment_raw[[#This Row],[Column5]],1)*(1+$V$2)),"")</f>
        <v/>
      </c>
      <c r="W887" s="14" t="str">
        <f>IF(ISNUMBER(deployment_raw[[#This Row],[Column13]]), (deployment_raw[[#This Row],[Column13]] * IF($E$2="Deployment",deployment_raw[[#This Row],[Column5]],1)*(1+$W$2))/1048576,"")</f>
        <v/>
      </c>
    </row>
    <row r="888" spans="1:23" ht="15" customHeight="1" x14ac:dyDescent="0.25">
      <c r="A888" s="5" t="str">
        <f>IF(ISNONTEXT(deployment_raw[[#This Row],[Column1]]), "", deployment_raw[[#This Row],[Column1]])</f>
        <v/>
      </c>
      <c r="B888" s="6" t="str">
        <f>IF(ISNONTEXT(deployment_raw[[#This Row],[Column2]]), "", deployment_raw[[#This Row],[Column2]])</f>
        <v/>
      </c>
      <c r="C888" s="6" t="str">
        <f>IF(ISNONTEXT(deployment_raw[[#This Row],[Column3]]), "", deployment_raw[[#This Row],[Column3]])</f>
        <v/>
      </c>
      <c r="D888" s="6" t="str">
        <f>IF(ISNONTEXT(deployment_raw[[#This Row],[Column4]]), "", deployment_raw[[#This Row],[Column4]])</f>
        <v/>
      </c>
      <c r="E888" s="7" t="str">
        <f>IF(ISNUMBER(deployment_raw[[#This Row],[Column5]]), deployment_raw[[#This Row],[Column5]],"")</f>
        <v/>
      </c>
      <c r="F888" s="32" t="str">
        <f>IF(ISNUMBER(deployment_raw[[#This Row],[Column17]]), deployment_raw[[#This Row],[Column17]]/IF(OR($E$2="Deployment",deployment_raw[[#This Row],[Column5]]=0),1,deployment_raw[[#This Row],[Column5]]),"")</f>
        <v/>
      </c>
      <c r="G888" s="42" t="str">
        <f>IF(ISNUMBER(deployment_raw[[#This Row],[Column14]]), deployment_raw[[#This Row],[Column14]]/IF(OR($E$2="Deployment",deployment_raw[[#This Row],[Column5]]=0),1,deployment_raw[[#This Row],[Column5]]),"")</f>
        <v/>
      </c>
      <c r="H888" s="79" t="str">
        <f>IF(ISNUMBER(deployment_raw[[#This Row],[Column19]]), IF(I888&lt;&gt;0,(deployment_raw[[#This Row],[Column19]]/IF(OR($E$2="Deployment",deployment_raw[[#This Row],[Column5]]=0),1,deployment_raw[[#This Row],[Column5]]))/I888,0),"")</f>
        <v/>
      </c>
      <c r="I888" s="69" t="str">
        <f>IF(ISNUMBER(deployment_raw[[#This Row],[Column6]]), (deployment_raw[[#This Row],[Column6]] * IF($E$2="Deployment",deployment_raw[[#This Row],[Column5]],1)),"")</f>
        <v/>
      </c>
      <c r="J888" s="79" t="str">
        <f>IF(ISNUMBER(deployment_raw[[#This Row],[Column19]]), IF(K888&lt;&gt;0,(deployment_raw[[#This Row],[Column19]]/IF(OR($E$2="Deployment",deployment_raw[[#This Row],[Column5]]=0),1,deployment_raw[[#This Row],[Column5]]))/K888,0),"")</f>
        <v/>
      </c>
      <c r="K888" s="72" t="str">
        <f>IF(ISNUMBER(deployment_raw[[#This Row],[Column8]]), (deployment_raw[[#This Row],[Column8]]  * IF($E$2="Deployment",deployment_raw[[#This Row],[Column5]],1)),"")</f>
        <v/>
      </c>
      <c r="L88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8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88" s="81" t="str">
        <f>IF(ISNUMBER(deployment_raw[[#This Row],[Column20]]), IF(O888&lt;&gt;0,deployment_raw[[#This Row],[Column20]]/IF(OR($E$2="Deployment",deployment_raw[[#This Row],[Column5]]=0),1,deployment_raw[[#This Row],[Column5]])/1048576/O888,0),"")</f>
        <v/>
      </c>
      <c r="O888" s="74" t="str">
        <f>IF(ISNUMBER(deployment_raw[[#This Row],[Column7]]), (deployment_raw[[#This Row],[Column7]] * IF($E$2="Deployment",deployment_raw[[#This Row],[Column5]],1))/1048576,"")</f>
        <v/>
      </c>
      <c r="P888" s="81" t="str">
        <f>IF(ISNUMBER(deployment_raw[[#This Row],[Column20]]), IF(Q888&lt;&gt;0,deployment_raw[[#This Row],[Column20]]/IF(OR($E$2="Deployment",deployment_raw[[#This Row],[Column5]]=0),1,deployment_raw[[#This Row],[Column5]])/1048576/Q888,0),"")</f>
        <v/>
      </c>
      <c r="Q888" s="76" t="str">
        <f>IF(ISNUMBER(deployment_raw[[#This Row],[Column9]]), (deployment_raw[[#This Row],[Column9]] * IF($E$2="Deployment",deployment_raw[[#This Row],[Column5]],1))/1048576,"")</f>
        <v/>
      </c>
      <c r="R888" s="57" t="str">
        <f>IF(ISNUMBER(deployment_raw[[#This Row],[Column10]]), (deployment_raw[[#This Row],[Column10]] * IF($E$2="Deployment",deployment_raw[[#This Row],[Column5]],1)),"")</f>
        <v/>
      </c>
      <c r="S888" s="48" t="str">
        <f>IF(ISNUMBER(deployment_raw[[#This Row],[Column11]]), (deployment_raw[[#This Row],[Column11]] * IF($E$2="Deployment",deployment_raw[[#This Row],[Column5]],1))/1048576,"")</f>
        <v/>
      </c>
      <c r="T888" s="59" t="str">
        <f>IF(ISNUMBER(deployment_raw[[#This Row],[Column8]]),IF(OR(deployment_raw[[#This Row],[Column5]] &lt;&gt; 0,$E$2 &lt;&gt; "Deployment"), MAX(V888, ($T$2 * IF($E$2="Deployment",deployment_raw[[#This Row],[Column5]],1))), 0),"")</f>
        <v/>
      </c>
      <c r="U888" s="50" t="str">
        <f>IF(ISNUMBER(deployment_raw[[#This Row],[Column9]]),IF(OR(deployment_raw[[#This Row],[Column5]] &lt;&gt; 0,$E$2&lt;&gt;"Deployment"), MAX(W888, ($U$2 * IF($E$2="Deployment",deployment_raw[[#This Row],[Column5]],1))), 0),"")</f>
        <v/>
      </c>
      <c r="V888" s="15" t="str">
        <f>IF(ISNUMBER(deployment_raw[[#This Row],[Column12]]), (deployment_raw[[#This Row],[Column12]] * IF($E$2="Deployment",deployment_raw[[#This Row],[Column5]],1)*(1+$V$2)),"")</f>
        <v/>
      </c>
      <c r="W888" s="14" t="str">
        <f>IF(ISNUMBER(deployment_raw[[#This Row],[Column13]]), (deployment_raw[[#This Row],[Column13]] * IF($E$2="Deployment",deployment_raw[[#This Row],[Column5]],1)*(1+$W$2))/1048576,"")</f>
        <v/>
      </c>
    </row>
    <row r="889" spans="1:23" ht="15" customHeight="1" x14ac:dyDescent="0.25">
      <c r="A889" s="5" t="str">
        <f>IF(ISNONTEXT(deployment_raw[[#This Row],[Column1]]), "", deployment_raw[[#This Row],[Column1]])</f>
        <v/>
      </c>
      <c r="B889" s="6" t="str">
        <f>IF(ISNONTEXT(deployment_raw[[#This Row],[Column2]]), "", deployment_raw[[#This Row],[Column2]])</f>
        <v/>
      </c>
      <c r="C889" s="6" t="str">
        <f>IF(ISNONTEXT(deployment_raw[[#This Row],[Column3]]), "", deployment_raw[[#This Row],[Column3]])</f>
        <v/>
      </c>
      <c r="D889" s="6" t="str">
        <f>IF(ISNONTEXT(deployment_raw[[#This Row],[Column4]]), "", deployment_raw[[#This Row],[Column4]])</f>
        <v/>
      </c>
      <c r="E889" s="7" t="str">
        <f>IF(ISNUMBER(deployment_raw[[#This Row],[Column5]]), deployment_raw[[#This Row],[Column5]],"")</f>
        <v/>
      </c>
      <c r="F889" s="32" t="str">
        <f>IF(ISNUMBER(deployment_raw[[#This Row],[Column17]]), deployment_raw[[#This Row],[Column17]]/IF(OR($E$2="Deployment",deployment_raw[[#This Row],[Column5]]=0),1,deployment_raw[[#This Row],[Column5]]),"")</f>
        <v/>
      </c>
      <c r="G889" s="42" t="str">
        <f>IF(ISNUMBER(deployment_raw[[#This Row],[Column14]]), deployment_raw[[#This Row],[Column14]]/IF(OR($E$2="Deployment",deployment_raw[[#This Row],[Column5]]=0),1,deployment_raw[[#This Row],[Column5]]),"")</f>
        <v/>
      </c>
      <c r="H889" s="79" t="str">
        <f>IF(ISNUMBER(deployment_raw[[#This Row],[Column19]]), IF(I889&lt;&gt;0,(deployment_raw[[#This Row],[Column19]]/IF(OR($E$2="Deployment",deployment_raw[[#This Row],[Column5]]=0),1,deployment_raw[[#This Row],[Column5]]))/I889,0),"")</f>
        <v/>
      </c>
      <c r="I889" s="69" t="str">
        <f>IF(ISNUMBER(deployment_raw[[#This Row],[Column6]]), (deployment_raw[[#This Row],[Column6]] * IF($E$2="Deployment",deployment_raw[[#This Row],[Column5]],1)),"")</f>
        <v/>
      </c>
      <c r="J889" s="79" t="str">
        <f>IF(ISNUMBER(deployment_raw[[#This Row],[Column19]]), IF(K889&lt;&gt;0,(deployment_raw[[#This Row],[Column19]]/IF(OR($E$2="Deployment",deployment_raw[[#This Row],[Column5]]=0),1,deployment_raw[[#This Row],[Column5]]))/K889,0),"")</f>
        <v/>
      </c>
      <c r="K889" s="72" t="str">
        <f>IF(ISNUMBER(deployment_raw[[#This Row],[Column8]]), (deployment_raw[[#This Row],[Column8]]  * IF($E$2="Deployment",deployment_raw[[#This Row],[Column5]],1)),"")</f>
        <v/>
      </c>
      <c r="L88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8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89" s="81" t="str">
        <f>IF(ISNUMBER(deployment_raw[[#This Row],[Column20]]), IF(O889&lt;&gt;0,deployment_raw[[#This Row],[Column20]]/IF(OR($E$2="Deployment",deployment_raw[[#This Row],[Column5]]=0),1,deployment_raw[[#This Row],[Column5]])/1048576/O889,0),"")</f>
        <v/>
      </c>
      <c r="O889" s="74" t="str">
        <f>IF(ISNUMBER(deployment_raw[[#This Row],[Column7]]), (deployment_raw[[#This Row],[Column7]] * IF($E$2="Deployment",deployment_raw[[#This Row],[Column5]],1))/1048576,"")</f>
        <v/>
      </c>
      <c r="P889" s="81" t="str">
        <f>IF(ISNUMBER(deployment_raw[[#This Row],[Column20]]), IF(Q889&lt;&gt;0,deployment_raw[[#This Row],[Column20]]/IF(OR($E$2="Deployment",deployment_raw[[#This Row],[Column5]]=0),1,deployment_raw[[#This Row],[Column5]])/1048576/Q889,0),"")</f>
        <v/>
      </c>
      <c r="Q889" s="76" t="str">
        <f>IF(ISNUMBER(deployment_raw[[#This Row],[Column9]]), (deployment_raw[[#This Row],[Column9]] * IF($E$2="Deployment",deployment_raw[[#This Row],[Column5]],1))/1048576,"")</f>
        <v/>
      </c>
      <c r="R889" s="57" t="str">
        <f>IF(ISNUMBER(deployment_raw[[#This Row],[Column10]]), (deployment_raw[[#This Row],[Column10]] * IF($E$2="Deployment",deployment_raw[[#This Row],[Column5]],1)),"")</f>
        <v/>
      </c>
      <c r="S889" s="48" t="str">
        <f>IF(ISNUMBER(deployment_raw[[#This Row],[Column11]]), (deployment_raw[[#This Row],[Column11]] * IF($E$2="Deployment",deployment_raw[[#This Row],[Column5]],1))/1048576,"")</f>
        <v/>
      </c>
      <c r="T889" s="59" t="str">
        <f>IF(ISNUMBER(deployment_raw[[#This Row],[Column8]]),IF(OR(deployment_raw[[#This Row],[Column5]] &lt;&gt; 0,$E$2 &lt;&gt; "Deployment"), MAX(V889, ($T$2 * IF($E$2="Deployment",deployment_raw[[#This Row],[Column5]],1))), 0),"")</f>
        <v/>
      </c>
      <c r="U889" s="50" t="str">
        <f>IF(ISNUMBER(deployment_raw[[#This Row],[Column9]]),IF(OR(deployment_raw[[#This Row],[Column5]] &lt;&gt; 0,$E$2&lt;&gt;"Deployment"), MAX(W889, ($U$2 * IF($E$2="Deployment",deployment_raw[[#This Row],[Column5]],1))), 0),"")</f>
        <v/>
      </c>
      <c r="V889" s="15" t="str">
        <f>IF(ISNUMBER(deployment_raw[[#This Row],[Column12]]), (deployment_raw[[#This Row],[Column12]] * IF($E$2="Deployment",deployment_raw[[#This Row],[Column5]],1)*(1+$V$2)),"")</f>
        <v/>
      </c>
      <c r="W889" s="14" t="str">
        <f>IF(ISNUMBER(deployment_raw[[#This Row],[Column13]]), (deployment_raw[[#This Row],[Column13]] * IF($E$2="Deployment",deployment_raw[[#This Row],[Column5]],1)*(1+$W$2))/1048576,"")</f>
        <v/>
      </c>
    </row>
    <row r="890" spans="1:23" ht="15" customHeight="1" x14ac:dyDescent="0.25">
      <c r="A890" s="5" t="str">
        <f>IF(ISNONTEXT(deployment_raw[[#This Row],[Column1]]), "", deployment_raw[[#This Row],[Column1]])</f>
        <v/>
      </c>
      <c r="B890" s="6" t="str">
        <f>IF(ISNONTEXT(deployment_raw[[#This Row],[Column2]]), "", deployment_raw[[#This Row],[Column2]])</f>
        <v/>
      </c>
      <c r="C890" s="6" t="str">
        <f>IF(ISNONTEXT(deployment_raw[[#This Row],[Column3]]), "", deployment_raw[[#This Row],[Column3]])</f>
        <v/>
      </c>
      <c r="D890" s="6" t="str">
        <f>IF(ISNONTEXT(deployment_raw[[#This Row],[Column4]]), "", deployment_raw[[#This Row],[Column4]])</f>
        <v/>
      </c>
      <c r="E890" s="7" t="str">
        <f>IF(ISNUMBER(deployment_raw[[#This Row],[Column5]]), deployment_raw[[#This Row],[Column5]],"")</f>
        <v/>
      </c>
      <c r="F890" s="32" t="str">
        <f>IF(ISNUMBER(deployment_raw[[#This Row],[Column17]]), deployment_raw[[#This Row],[Column17]]/IF(OR($E$2="Deployment",deployment_raw[[#This Row],[Column5]]=0),1,deployment_raw[[#This Row],[Column5]]),"")</f>
        <v/>
      </c>
      <c r="G890" s="42" t="str">
        <f>IF(ISNUMBER(deployment_raw[[#This Row],[Column14]]), deployment_raw[[#This Row],[Column14]]/IF(OR($E$2="Deployment",deployment_raw[[#This Row],[Column5]]=0),1,deployment_raw[[#This Row],[Column5]]),"")</f>
        <v/>
      </c>
      <c r="H890" s="79" t="str">
        <f>IF(ISNUMBER(deployment_raw[[#This Row],[Column19]]), IF(I890&lt;&gt;0,(deployment_raw[[#This Row],[Column19]]/IF(OR($E$2="Deployment",deployment_raw[[#This Row],[Column5]]=0),1,deployment_raw[[#This Row],[Column5]]))/I890,0),"")</f>
        <v/>
      </c>
      <c r="I890" s="69" t="str">
        <f>IF(ISNUMBER(deployment_raw[[#This Row],[Column6]]), (deployment_raw[[#This Row],[Column6]] * IF($E$2="Deployment",deployment_raw[[#This Row],[Column5]],1)),"")</f>
        <v/>
      </c>
      <c r="J890" s="79" t="str">
        <f>IF(ISNUMBER(deployment_raw[[#This Row],[Column19]]), IF(K890&lt;&gt;0,(deployment_raw[[#This Row],[Column19]]/IF(OR($E$2="Deployment",deployment_raw[[#This Row],[Column5]]=0),1,deployment_raw[[#This Row],[Column5]]))/K890,0),"")</f>
        <v/>
      </c>
      <c r="K890" s="72" t="str">
        <f>IF(ISNUMBER(deployment_raw[[#This Row],[Column8]]), (deployment_raw[[#This Row],[Column8]]  * IF($E$2="Deployment",deployment_raw[[#This Row],[Column5]],1)),"")</f>
        <v/>
      </c>
      <c r="L89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9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90" s="81" t="str">
        <f>IF(ISNUMBER(deployment_raw[[#This Row],[Column20]]), IF(O890&lt;&gt;0,deployment_raw[[#This Row],[Column20]]/IF(OR($E$2="Deployment",deployment_raw[[#This Row],[Column5]]=0),1,deployment_raw[[#This Row],[Column5]])/1048576/O890,0),"")</f>
        <v/>
      </c>
      <c r="O890" s="74" t="str">
        <f>IF(ISNUMBER(deployment_raw[[#This Row],[Column7]]), (deployment_raw[[#This Row],[Column7]] * IF($E$2="Deployment",deployment_raw[[#This Row],[Column5]],1))/1048576,"")</f>
        <v/>
      </c>
      <c r="P890" s="81" t="str">
        <f>IF(ISNUMBER(deployment_raw[[#This Row],[Column20]]), IF(Q890&lt;&gt;0,deployment_raw[[#This Row],[Column20]]/IF(OR($E$2="Deployment",deployment_raw[[#This Row],[Column5]]=0),1,deployment_raw[[#This Row],[Column5]])/1048576/Q890,0),"")</f>
        <v/>
      </c>
      <c r="Q890" s="76" t="str">
        <f>IF(ISNUMBER(deployment_raw[[#This Row],[Column9]]), (deployment_raw[[#This Row],[Column9]] * IF($E$2="Deployment",deployment_raw[[#This Row],[Column5]],1))/1048576,"")</f>
        <v/>
      </c>
      <c r="R890" s="57" t="str">
        <f>IF(ISNUMBER(deployment_raw[[#This Row],[Column10]]), (deployment_raw[[#This Row],[Column10]] * IF($E$2="Deployment",deployment_raw[[#This Row],[Column5]],1)),"")</f>
        <v/>
      </c>
      <c r="S890" s="48" t="str">
        <f>IF(ISNUMBER(deployment_raw[[#This Row],[Column11]]), (deployment_raw[[#This Row],[Column11]] * IF($E$2="Deployment",deployment_raw[[#This Row],[Column5]],1))/1048576,"")</f>
        <v/>
      </c>
      <c r="T890" s="59" t="str">
        <f>IF(ISNUMBER(deployment_raw[[#This Row],[Column8]]),IF(OR(deployment_raw[[#This Row],[Column5]] &lt;&gt; 0,$E$2 &lt;&gt; "Deployment"), MAX(V890, ($T$2 * IF($E$2="Deployment",deployment_raw[[#This Row],[Column5]],1))), 0),"")</f>
        <v/>
      </c>
      <c r="U890" s="50" t="str">
        <f>IF(ISNUMBER(deployment_raw[[#This Row],[Column9]]),IF(OR(deployment_raw[[#This Row],[Column5]] &lt;&gt; 0,$E$2&lt;&gt;"Deployment"), MAX(W890, ($U$2 * IF($E$2="Deployment",deployment_raw[[#This Row],[Column5]],1))), 0),"")</f>
        <v/>
      </c>
      <c r="V890" s="15" t="str">
        <f>IF(ISNUMBER(deployment_raw[[#This Row],[Column12]]), (deployment_raw[[#This Row],[Column12]] * IF($E$2="Deployment",deployment_raw[[#This Row],[Column5]],1)*(1+$V$2)),"")</f>
        <v/>
      </c>
      <c r="W890" s="14" t="str">
        <f>IF(ISNUMBER(deployment_raw[[#This Row],[Column13]]), (deployment_raw[[#This Row],[Column13]] * IF($E$2="Deployment",deployment_raw[[#This Row],[Column5]],1)*(1+$W$2))/1048576,"")</f>
        <v/>
      </c>
    </row>
    <row r="891" spans="1:23" ht="15" customHeight="1" x14ac:dyDescent="0.25">
      <c r="A891" s="5" t="str">
        <f>IF(ISNONTEXT(deployment_raw[[#This Row],[Column1]]), "", deployment_raw[[#This Row],[Column1]])</f>
        <v/>
      </c>
      <c r="B891" s="6" t="str">
        <f>IF(ISNONTEXT(deployment_raw[[#This Row],[Column2]]), "", deployment_raw[[#This Row],[Column2]])</f>
        <v/>
      </c>
      <c r="C891" s="6" t="str">
        <f>IF(ISNONTEXT(deployment_raw[[#This Row],[Column3]]), "", deployment_raw[[#This Row],[Column3]])</f>
        <v/>
      </c>
      <c r="D891" s="6" t="str">
        <f>IF(ISNONTEXT(deployment_raw[[#This Row],[Column4]]), "", deployment_raw[[#This Row],[Column4]])</f>
        <v/>
      </c>
      <c r="E891" s="7" t="str">
        <f>IF(ISNUMBER(deployment_raw[[#This Row],[Column5]]), deployment_raw[[#This Row],[Column5]],"")</f>
        <v/>
      </c>
      <c r="F891" s="32" t="str">
        <f>IF(ISNUMBER(deployment_raw[[#This Row],[Column17]]), deployment_raw[[#This Row],[Column17]]/IF(OR($E$2="Deployment",deployment_raw[[#This Row],[Column5]]=0),1,deployment_raw[[#This Row],[Column5]]),"")</f>
        <v/>
      </c>
      <c r="G891" s="42" t="str">
        <f>IF(ISNUMBER(deployment_raw[[#This Row],[Column14]]), deployment_raw[[#This Row],[Column14]]/IF(OR($E$2="Deployment",deployment_raw[[#This Row],[Column5]]=0),1,deployment_raw[[#This Row],[Column5]]),"")</f>
        <v/>
      </c>
      <c r="H891" s="79" t="str">
        <f>IF(ISNUMBER(deployment_raw[[#This Row],[Column19]]), IF(I891&lt;&gt;0,(deployment_raw[[#This Row],[Column19]]/IF(OR($E$2="Deployment",deployment_raw[[#This Row],[Column5]]=0),1,deployment_raw[[#This Row],[Column5]]))/I891,0),"")</f>
        <v/>
      </c>
      <c r="I891" s="69" t="str">
        <f>IF(ISNUMBER(deployment_raw[[#This Row],[Column6]]), (deployment_raw[[#This Row],[Column6]] * IF($E$2="Deployment",deployment_raw[[#This Row],[Column5]],1)),"")</f>
        <v/>
      </c>
      <c r="J891" s="79" t="str">
        <f>IF(ISNUMBER(deployment_raw[[#This Row],[Column19]]), IF(K891&lt;&gt;0,(deployment_raw[[#This Row],[Column19]]/IF(OR($E$2="Deployment",deployment_raw[[#This Row],[Column5]]=0),1,deployment_raw[[#This Row],[Column5]]))/K891,0),"")</f>
        <v/>
      </c>
      <c r="K891" s="72" t="str">
        <f>IF(ISNUMBER(deployment_raw[[#This Row],[Column8]]), (deployment_raw[[#This Row],[Column8]]  * IF($E$2="Deployment",deployment_raw[[#This Row],[Column5]],1)),"")</f>
        <v/>
      </c>
      <c r="L89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9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91" s="81" t="str">
        <f>IF(ISNUMBER(deployment_raw[[#This Row],[Column20]]), IF(O891&lt;&gt;0,deployment_raw[[#This Row],[Column20]]/IF(OR($E$2="Deployment",deployment_raw[[#This Row],[Column5]]=0),1,deployment_raw[[#This Row],[Column5]])/1048576/O891,0),"")</f>
        <v/>
      </c>
      <c r="O891" s="74" t="str">
        <f>IF(ISNUMBER(deployment_raw[[#This Row],[Column7]]), (deployment_raw[[#This Row],[Column7]] * IF($E$2="Deployment",deployment_raw[[#This Row],[Column5]],1))/1048576,"")</f>
        <v/>
      </c>
      <c r="P891" s="81" t="str">
        <f>IF(ISNUMBER(deployment_raw[[#This Row],[Column20]]), IF(Q891&lt;&gt;0,deployment_raw[[#This Row],[Column20]]/IF(OR($E$2="Deployment",deployment_raw[[#This Row],[Column5]]=0),1,deployment_raw[[#This Row],[Column5]])/1048576/Q891,0),"")</f>
        <v/>
      </c>
      <c r="Q891" s="76" t="str">
        <f>IF(ISNUMBER(deployment_raw[[#This Row],[Column9]]), (deployment_raw[[#This Row],[Column9]] * IF($E$2="Deployment",deployment_raw[[#This Row],[Column5]],1))/1048576,"")</f>
        <v/>
      </c>
      <c r="R891" s="57" t="str">
        <f>IF(ISNUMBER(deployment_raw[[#This Row],[Column10]]), (deployment_raw[[#This Row],[Column10]] * IF($E$2="Deployment",deployment_raw[[#This Row],[Column5]],1)),"")</f>
        <v/>
      </c>
      <c r="S891" s="48" t="str">
        <f>IF(ISNUMBER(deployment_raw[[#This Row],[Column11]]), (deployment_raw[[#This Row],[Column11]] * IF($E$2="Deployment",deployment_raw[[#This Row],[Column5]],1))/1048576,"")</f>
        <v/>
      </c>
      <c r="T891" s="59" t="str">
        <f>IF(ISNUMBER(deployment_raw[[#This Row],[Column8]]),IF(OR(deployment_raw[[#This Row],[Column5]] &lt;&gt; 0,$E$2 &lt;&gt; "Deployment"), MAX(V891, ($T$2 * IF($E$2="Deployment",deployment_raw[[#This Row],[Column5]],1))), 0),"")</f>
        <v/>
      </c>
      <c r="U891" s="50" t="str">
        <f>IF(ISNUMBER(deployment_raw[[#This Row],[Column9]]),IF(OR(deployment_raw[[#This Row],[Column5]] &lt;&gt; 0,$E$2&lt;&gt;"Deployment"), MAX(W891, ($U$2 * IF($E$2="Deployment",deployment_raw[[#This Row],[Column5]],1))), 0),"")</f>
        <v/>
      </c>
      <c r="V891" s="15" t="str">
        <f>IF(ISNUMBER(deployment_raw[[#This Row],[Column12]]), (deployment_raw[[#This Row],[Column12]] * IF($E$2="Deployment",deployment_raw[[#This Row],[Column5]],1)*(1+$V$2)),"")</f>
        <v/>
      </c>
      <c r="W891" s="14" t="str">
        <f>IF(ISNUMBER(deployment_raw[[#This Row],[Column13]]), (deployment_raw[[#This Row],[Column13]] * IF($E$2="Deployment",deployment_raw[[#This Row],[Column5]],1)*(1+$W$2))/1048576,"")</f>
        <v/>
      </c>
    </row>
    <row r="892" spans="1:23" ht="15" customHeight="1" x14ac:dyDescent="0.25">
      <c r="A892" s="5" t="str">
        <f>IF(ISNONTEXT(deployment_raw[[#This Row],[Column1]]), "", deployment_raw[[#This Row],[Column1]])</f>
        <v/>
      </c>
      <c r="B892" s="6" t="str">
        <f>IF(ISNONTEXT(deployment_raw[[#This Row],[Column2]]), "", deployment_raw[[#This Row],[Column2]])</f>
        <v/>
      </c>
      <c r="C892" s="6" t="str">
        <f>IF(ISNONTEXT(deployment_raw[[#This Row],[Column3]]), "", deployment_raw[[#This Row],[Column3]])</f>
        <v/>
      </c>
      <c r="D892" s="6" t="str">
        <f>IF(ISNONTEXT(deployment_raw[[#This Row],[Column4]]), "", deployment_raw[[#This Row],[Column4]])</f>
        <v/>
      </c>
      <c r="E892" s="7" t="str">
        <f>IF(ISNUMBER(deployment_raw[[#This Row],[Column5]]), deployment_raw[[#This Row],[Column5]],"")</f>
        <v/>
      </c>
      <c r="F892" s="32" t="str">
        <f>IF(ISNUMBER(deployment_raw[[#This Row],[Column17]]), deployment_raw[[#This Row],[Column17]]/IF(OR($E$2="Deployment",deployment_raw[[#This Row],[Column5]]=0),1,deployment_raw[[#This Row],[Column5]]),"")</f>
        <v/>
      </c>
      <c r="G892" s="42" t="str">
        <f>IF(ISNUMBER(deployment_raw[[#This Row],[Column14]]), deployment_raw[[#This Row],[Column14]]/IF(OR($E$2="Deployment",deployment_raw[[#This Row],[Column5]]=0),1,deployment_raw[[#This Row],[Column5]]),"")</f>
        <v/>
      </c>
      <c r="H892" s="79" t="str">
        <f>IF(ISNUMBER(deployment_raw[[#This Row],[Column19]]), IF(I892&lt;&gt;0,(deployment_raw[[#This Row],[Column19]]/IF(OR($E$2="Deployment",deployment_raw[[#This Row],[Column5]]=0),1,deployment_raw[[#This Row],[Column5]]))/I892,0),"")</f>
        <v/>
      </c>
      <c r="I892" s="69" t="str">
        <f>IF(ISNUMBER(deployment_raw[[#This Row],[Column6]]), (deployment_raw[[#This Row],[Column6]] * IF($E$2="Deployment",deployment_raw[[#This Row],[Column5]],1)),"")</f>
        <v/>
      </c>
      <c r="J892" s="79" t="str">
        <f>IF(ISNUMBER(deployment_raw[[#This Row],[Column19]]), IF(K892&lt;&gt;0,(deployment_raw[[#This Row],[Column19]]/IF(OR($E$2="Deployment",deployment_raw[[#This Row],[Column5]]=0),1,deployment_raw[[#This Row],[Column5]]))/K892,0),"")</f>
        <v/>
      </c>
      <c r="K892" s="72" t="str">
        <f>IF(ISNUMBER(deployment_raw[[#This Row],[Column8]]), (deployment_raw[[#This Row],[Column8]]  * IF($E$2="Deployment",deployment_raw[[#This Row],[Column5]],1)),"")</f>
        <v/>
      </c>
      <c r="L89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9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92" s="81" t="str">
        <f>IF(ISNUMBER(deployment_raw[[#This Row],[Column20]]), IF(O892&lt;&gt;0,deployment_raw[[#This Row],[Column20]]/IF(OR($E$2="Deployment",deployment_raw[[#This Row],[Column5]]=0),1,deployment_raw[[#This Row],[Column5]])/1048576/O892,0),"")</f>
        <v/>
      </c>
      <c r="O892" s="74" t="str">
        <f>IF(ISNUMBER(deployment_raw[[#This Row],[Column7]]), (deployment_raw[[#This Row],[Column7]] * IF($E$2="Deployment",deployment_raw[[#This Row],[Column5]],1))/1048576,"")</f>
        <v/>
      </c>
      <c r="P892" s="81" t="str">
        <f>IF(ISNUMBER(deployment_raw[[#This Row],[Column20]]), IF(Q892&lt;&gt;0,deployment_raw[[#This Row],[Column20]]/IF(OR($E$2="Deployment",deployment_raw[[#This Row],[Column5]]=0),1,deployment_raw[[#This Row],[Column5]])/1048576/Q892,0),"")</f>
        <v/>
      </c>
      <c r="Q892" s="76" t="str">
        <f>IF(ISNUMBER(deployment_raw[[#This Row],[Column9]]), (deployment_raw[[#This Row],[Column9]] * IF($E$2="Deployment",deployment_raw[[#This Row],[Column5]],1))/1048576,"")</f>
        <v/>
      </c>
      <c r="R892" s="57" t="str">
        <f>IF(ISNUMBER(deployment_raw[[#This Row],[Column10]]), (deployment_raw[[#This Row],[Column10]] * IF($E$2="Deployment",deployment_raw[[#This Row],[Column5]],1)),"")</f>
        <v/>
      </c>
      <c r="S892" s="48" t="str">
        <f>IF(ISNUMBER(deployment_raw[[#This Row],[Column11]]), (deployment_raw[[#This Row],[Column11]] * IF($E$2="Deployment",deployment_raw[[#This Row],[Column5]],1))/1048576,"")</f>
        <v/>
      </c>
      <c r="T892" s="59" t="str">
        <f>IF(ISNUMBER(deployment_raw[[#This Row],[Column8]]),IF(OR(deployment_raw[[#This Row],[Column5]] &lt;&gt; 0,$E$2 &lt;&gt; "Deployment"), MAX(V892, ($T$2 * IF($E$2="Deployment",deployment_raw[[#This Row],[Column5]],1))), 0),"")</f>
        <v/>
      </c>
      <c r="U892" s="50" t="str">
        <f>IF(ISNUMBER(deployment_raw[[#This Row],[Column9]]),IF(OR(deployment_raw[[#This Row],[Column5]] &lt;&gt; 0,$E$2&lt;&gt;"Deployment"), MAX(W892, ($U$2 * IF($E$2="Deployment",deployment_raw[[#This Row],[Column5]],1))), 0),"")</f>
        <v/>
      </c>
      <c r="V892" s="15" t="str">
        <f>IF(ISNUMBER(deployment_raw[[#This Row],[Column12]]), (deployment_raw[[#This Row],[Column12]] * IF($E$2="Deployment",deployment_raw[[#This Row],[Column5]],1)*(1+$V$2)),"")</f>
        <v/>
      </c>
      <c r="W892" s="14" t="str">
        <f>IF(ISNUMBER(deployment_raw[[#This Row],[Column13]]), (deployment_raw[[#This Row],[Column13]] * IF($E$2="Deployment",deployment_raw[[#This Row],[Column5]],1)*(1+$W$2))/1048576,"")</f>
        <v/>
      </c>
    </row>
    <row r="893" spans="1:23" ht="15" customHeight="1" x14ac:dyDescent="0.25">
      <c r="A893" s="5" t="str">
        <f>IF(ISNONTEXT(deployment_raw[[#This Row],[Column1]]), "", deployment_raw[[#This Row],[Column1]])</f>
        <v/>
      </c>
      <c r="B893" s="6" t="str">
        <f>IF(ISNONTEXT(deployment_raw[[#This Row],[Column2]]), "", deployment_raw[[#This Row],[Column2]])</f>
        <v/>
      </c>
      <c r="C893" s="6" t="str">
        <f>IF(ISNONTEXT(deployment_raw[[#This Row],[Column3]]), "", deployment_raw[[#This Row],[Column3]])</f>
        <v/>
      </c>
      <c r="D893" s="6" t="str">
        <f>IF(ISNONTEXT(deployment_raw[[#This Row],[Column4]]), "", deployment_raw[[#This Row],[Column4]])</f>
        <v/>
      </c>
      <c r="E893" s="7" t="str">
        <f>IF(ISNUMBER(deployment_raw[[#This Row],[Column5]]), deployment_raw[[#This Row],[Column5]],"")</f>
        <v/>
      </c>
      <c r="F893" s="32" t="str">
        <f>IF(ISNUMBER(deployment_raw[[#This Row],[Column17]]), deployment_raw[[#This Row],[Column17]]/IF(OR($E$2="Deployment",deployment_raw[[#This Row],[Column5]]=0),1,deployment_raw[[#This Row],[Column5]]),"")</f>
        <v/>
      </c>
      <c r="G893" s="42" t="str">
        <f>IF(ISNUMBER(deployment_raw[[#This Row],[Column14]]), deployment_raw[[#This Row],[Column14]]/IF(OR($E$2="Deployment",deployment_raw[[#This Row],[Column5]]=0),1,deployment_raw[[#This Row],[Column5]]),"")</f>
        <v/>
      </c>
      <c r="H893" s="79" t="str">
        <f>IF(ISNUMBER(deployment_raw[[#This Row],[Column19]]), IF(I893&lt;&gt;0,(deployment_raw[[#This Row],[Column19]]/IF(OR($E$2="Deployment",deployment_raw[[#This Row],[Column5]]=0),1,deployment_raw[[#This Row],[Column5]]))/I893,0),"")</f>
        <v/>
      </c>
      <c r="I893" s="69" t="str">
        <f>IF(ISNUMBER(deployment_raw[[#This Row],[Column6]]), (deployment_raw[[#This Row],[Column6]] * IF($E$2="Deployment",deployment_raw[[#This Row],[Column5]],1)),"")</f>
        <v/>
      </c>
      <c r="J893" s="79" t="str">
        <f>IF(ISNUMBER(deployment_raw[[#This Row],[Column19]]), IF(K893&lt;&gt;0,(deployment_raw[[#This Row],[Column19]]/IF(OR($E$2="Deployment",deployment_raw[[#This Row],[Column5]]=0),1,deployment_raw[[#This Row],[Column5]]))/K893,0),"")</f>
        <v/>
      </c>
      <c r="K893" s="72" t="str">
        <f>IF(ISNUMBER(deployment_raw[[#This Row],[Column8]]), (deployment_raw[[#This Row],[Column8]]  * IF($E$2="Deployment",deployment_raw[[#This Row],[Column5]],1)),"")</f>
        <v/>
      </c>
      <c r="L89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9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93" s="81" t="str">
        <f>IF(ISNUMBER(deployment_raw[[#This Row],[Column20]]), IF(O893&lt;&gt;0,deployment_raw[[#This Row],[Column20]]/IF(OR($E$2="Deployment",deployment_raw[[#This Row],[Column5]]=0),1,deployment_raw[[#This Row],[Column5]])/1048576/O893,0),"")</f>
        <v/>
      </c>
      <c r="O893" s="74" t="str">
        <f>IF(ISNUMBER(deployment_raw[[#This Row],[Column7]]), (deployment_raw[[#This Row],[Column7]] * IF($E$2="Deployment",deployment_raw[[#This Row],[Column5]],1))/1048576,"")</f>
        <v/>
      </c>
      <c r="P893" s="81" t="str">
        <f>IF(ISNUMBER(deployment_raw[[#This Row],[Column20]]), IF(Q893&lt;&gt;0,deployment_raw[[#This Row],[Column20]]/IF(OR($E$2="Deployment",deployment_raw[[#This Row],[Column5]]=0),1,deployment_raw[[#This Row],[Column5]])/1048576/Q893,0),"")</f>
        <v/>
      </c>
      <c r="Q893" s="76" t="str">
        <f>IF(ISNUMBER(deployment_raw[[#This Row],[Column9]]), (deployment_raw[[#This Row],[Column9]] * IF($E$2="Deployment",deployment_raw[[#This Row],[Column5]],1))/1048576,"")</f>
        <v/>
      </c>
      <c r="R893" s="57" t="str">
        <f>IF(ISNUMBER(deployment_raw[[#This Row],[Column10]]), (deployment_raw[[#This Row],[Column10]] * IF($E$2="Deployment",deployment_raw[[#This Row],[Column5]],1)),"")</f>
        <v/>
      </c>
      <c r="S893" s="48" t="str">
        <f>IF(ISNUMBER(deployment_raw[[#This Row],[Column11]]), (deployment_raw[[#This Row],[Column11]] * IF($E$2="Deployment",deployment_raw[[#This Row],[Column5]],1))/1048576,"")</f>
        <v/>
      </c>
      <c r="T893" s="59" t="str">
        <f>IF(ISNUMBER(deployment_raw[[#This Row],[Column8]]),IF(OR(deployment_raw[[#This Row],[Column5]] &lt;&gt; 0,$E$2 &lt;&gt; "Deployment"), MAX(V893, ($T$2 * IF($E$2="Deployment",deployment_raw[[#This Row],[Column5]],1))), 0),"")</f>
        <v/>
      </c>
      <c r="U893" s="50" t="str">
        <f>IF(ISNUMBER(deployment_raw[[#This Row],[Column9]]),IF(OR(deployment_raw[[#This Row],[Column5]] &lt;&gt; 0,$E$2&lt;&gt;"Deployment"), MAX(W893, ($U$2 * IF($E$2="Deployment",deployment_raw[[#This Row],[Column5]],1))), 0),"")</f>
        <v/>
      </c>
      <c r="V893" s="15" t="str">
        <f>IF(ISNUMBER(deployment_raw[[#This Row],[Column12]]), (deployment_raw[[#This Row],[Column12]] * IF($E$2="Deployment",deployment_raw[[#This Row],[Column5]],1)*(1+$V$2)),"")</f>
        <v/>
      </c>
      <c r="W893" s="14" t="str">
        <f>IF(ISNUMBER(deployment_raw[[#This Row],[Column13]]), (deployment_raw[[#This Row],[Column13]] * IF($E$2="Deployment",deployment_raw[[#This Row],[Column5]],1)*(1+$W$2))/1048576,"")</f>
        <v/>
      </c>
    </row>
    <row r="894" spans="1:23" ht="15" customHeight="1" x14ac:dyDescent="0.25">
      <c r="A894" s="5" t="str">
        <f>IF(ISNONTEXT(deployment_raw[[#This Row],[Column1]]), "", deployment_raw[[#This Row],[Column1]])</f>
        <v/>
      </c>
      <c r="B894" s="6" t="str">
        <f>IF(ISNONTEXT(deployment_raw[[#This Row],[Column2]]), "", deployment_raw[[#This Row],[Column2]])</f>
        <v/>
      </c>
      <c r="C894" s="6" t="str">
        <f>IF(ISNONTEXT(deployment_raw[[#This Row],[Column3]]), "", deployment_raw[[#This Row],[Column3]])</f>
        <v/>
      </c>
      <c r="D894" s="6" t="str">
        <f>IF(ISNONTEXT(deployment_raw[[#This Row],[Column4]]), "", deployment_raw[[#This Row],[Column4]])</f>
        <v/>
      </c>
      <c r="E894" s="7" t="str">
        <f>IF(ISNUMBER(deployment_raw[[#This Row],[Column5]]), deployment_raw[[#This Row],[Column5]],"")</f>
        <v/>
      </c>
      <c r="F894" s="32" t="str">
        <f>IF(ISNUMBER(deployment_raw[[#This Row],[Column17]]), deployment_raw[[#This Row],[Column17]]/IF(OR($E$2="Deployment",deployment_raw[[#This Row],[Column5]]=0),1,deployment_raw[[#This Row],[Column5]]),"")</f>
        <v/>
      </c>
      <c r="G894" s="42" t="str">
        <f>IF(ISNUMBER(deployment_raw[[#This Row],[Column14]]), deployment_raw[[#This Row],[Column14]]/IF(OR($E$2="Deployment",deployment_raw[[#This Row],[Column5]]=0),1,deployment_raw[[#This Row],[Column5]]),"")</f>
        <v/>
      </c>
      <c r="H894" s="79" t="str">
        <f>IF(ISNUMBER(deployment_raw[[#This Row],[Column19]]), IF(I894&lt;&gt;0,(deployment_raw[[#This Row],[Column19]]/IF(OR($E$2="Deployment",deployment_raw[[#This Row],[Column5]]=0),1,deployment_raw[[#This Row],[Column5]]))/I894,0),"")</f>
        <v/>
      </c>
      <c r="I894" s="69" t="str">
        <f>IF(ISNUMBER(deployment_raw[[#This Row],[Column6]]), (deployment_raw[[#This Row],[Column6]] * IF($E$2="Deployment",deployment_raw[[#This Row],[Column5]],1)),"")</f>
        <v/>
      </c>
      <c r="J894" s="79" t="str">
        <f>IF(ISNUMBER(deployment_raw[[#This Row],[Column19]]), IF(K894&lt;&gt;0,(deployment_raw[[#This Row],[Column19]]/IF(OR($E$2="Deployment",deployment_raw[[#This Row],[Column5]]=0),1,deployment_raw[[#This Row],[Column5]]))/K894,0),"")</f>
        <v/>
      </c>
      <c r="K894" s="72" t="str">
        <f>IF(ISNUMBER(deployment_raw[[#This Row],[Column8]]), (deployment_raw[[#This Row],[Column8]]  * IF($E$2="Deployment",deployment_raw[[#This Row],[Column5]],1)),"")</f>
        <v/>
      </c>
      <c r="L89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9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94" s="81" t="str">
        <f>IF(ISNUMBER(deployment_raw[[#This Row],[Column20]]), IF(O894&lt;&gt;0,deployment_raw[[#This Row],[Column20]]/IF(OR($E$2="Deployment",deployment_raw[[#This Row],[Column5]]=0),1,deployment_raw[[#This Row],[Column5]])/1048576/O894,0),"")</f>
        <v/>
      </c>
      <c r="O894" s="74" t="str">
        <f>IF(ISNUMBER(deployment_raw[[#This Row],[Column7]]), (deployment_raw[[#This Row],[Column7]] * IF($E$2="Deployment",deployment_raw[[#This Row],[Column5]],1))/1048576,"")</f>
        <v/>
      </c>
      <c r="P894" s="81" t="str">
        <f>IF(ISNUMBER(deployment_raw[[#This Row],[Column20]]), IF(Q894&lt;&gt;0,deployment_raw[[#This Row],[Column20]]/IF(OR($E$2="Deployment",deployment_raw[[#This Row],[Column5]]=0),1,deployment_raw[[#This Row],[Column5]])/1048576/Q894,0),"")</f>
        <v/>
      </c>
      <c r="Q894" s="76" t="str">
        <f>IF(ISNUMBER(deployment_raw[[#This Row],[Column9]]), (deployment_raw[[#This Row],[Column9]] * IF($E$2="Deployment",deployment_raw[[#This Row],[Column5]],1))/1048576,"")</f>
        <v/>
      </c>
      <c r="R894" s="57" t="str">
        <f>IF(ISNUMBER(deployment_raw[[#This Row],[Column10]]), (deployment_raw[[#This Row],[Column10]] * IF($E$2="Deployment",deployment_raw[[#This Row],[Column5]],1)),"")</f>
        <v/>
      </c>
      <c r="S894" s="48" t="str">
        <f>IF(ISNUMBER(deployment_raw[[#This Row],[Column11]]), (deployment_raw[[#This Row],[Column11]] * IF($E$2="Deployment",deployment_raw[[#This Row],[Column5]],1))/1048576,"")</f>
        <v/>
      </c>
      <c r="T894" s="59" t="str">
        <f>IF(ISNUMBER(deployment_raw[[#This Row],[Column8]]),IF(OR(deployment_raw[[#This Row],[Column5]] &lt;&gt; 0,$E$2 &lt;&gt; "Deployment"), MAX(V894, ($T$2 * IF($E$2="Deployment",deployment_raw[[#This Row],[Column5]],1))), 0),"")</f>
        <v/>
      </c>
      <c r="U894" s="50" t="str">
        <f>IF(ISNUMBER(deployment_raw[[#This Row],[Column9]]),IF(OR(deployment_raw[[#This Row],[Column5]] &lt;&gt; 0,$E$2&lt;&gt;"Deployment"), MAX(W894, ($U$2 * IF($E$2="Deployment",deployment_raw[[#This Row],[Column5]],1))), 0),"")</f>
        <v/>
      </c>
      <c r="V894" s="15" t="str">
        <f>IF(ISNUMBER(deployment_raw[[#This Row],[Column12]]), (deployment_raw[[#This Row],[Column12]] * IF($E$2="Deployment",deployment_raw[[#This Row],[Column5]],1)*(1+$V$2)),"")</f>
        <v/>
      </c>
      <c r="W894" s="14" t="str">
        <f>IF(ISNUMBER(deployment_raw[[#This Row],[Column13]]), (deployment_raw[[#This Row],[Column13]] * IF($E$2="Deployment",deployment_raw[[#This Row],[Column5]],1)*(1+$W$2))/1048576,"")</f>
        <v/>
      </c>
    </row>
    <row r="895" spans="1:23" ht="15" customHeight="1" x14ac:dyDescent="0.25">
      <c r="A895" s="5" t="str">
        <f>IF(ISNONTEXT(deployment_raw[[#This Row],[Column1]]), "", deployment_raw[[#This Row],[Column1]])</f>
        <v/>
      </c>
      <c r="B895" s="6" t="str">
        <f>IF(ISNONTEXT(deployment_raw[[#This Row],[Column2]]), "", deployment_raw[[#This Row],[Column2]])</f>
        <v/>
      </c>
      <c r="C895" s="6" t="str">
        <f>IF(ISNONTEXT(deployment_raw[[#This Row],[Column3]]), "", deployment_raw[[#This Row],[Column3]])</f>
        <v/>
      </c>
      <c r="D895" s="6" t="str">
        <f>IF(ISNONTEXT(deployment_raw[[#This Row],[Column4]]), "", deployment_raw[[#This Row],[Column4]])</f>
        <v/>
      </c>
      <c r="E895" s="7" t="str">
        <f>IF(ISNUMBER(deployment_raw[[#This Row],[Column5]]), deployment_raw[[#This Row],[Column5]],"")</f>
        <v/>
      </c>
      <c r="F895" s="32" t="str">
        <f>IF(ISNUMBER(deployment_raw[[#This Row],[Column17]]), deployment_raw[[#This Row],[Column17]]/IF(OR($E$2="Deployment",deployment_raw[[#This Row],[Column5]]=0),1,deployment_raw[[#This Row],[Column5]]),"")</f>
        <v/>
      </c>
      <c r="G895" s="42" t="str">
        <f>IF(ISNUMBER(deployment_raw[[#This Row],[Column14]]), deployment_raw[[#This Row],[Column14]]/IF(OR($E$2="Deployment",deployment_raw[[#This Row],[Column5]]=0),1,deployment_raw[[#This Row],[Column5]]),"")</f>
        <v/>
      </c>
      <c r="H895" s="79" t="str">
        <f>IF(ISNUMBER(deployment_raw[[#This Row],[Column19]]), IF(I895&lt;&gt;0,(deployment_raw[[#This Row],[Column19]]/IF(OR($E$2="Deployment",deployment_raw[[#This Row],[Column5]]=0),1,deployment_raw[[#This Row],[Column5]]))/I895,0),"")</f>
        <v/>
      </c>
      <c r="I895" s="69" t="str">
        <f>IF(ISNUMBER(deployment_raw[[#This Row],[Column6]]), (deployment_raw[[#This Row],[Column6]] * IF($E$2="Deployment",deployment_raw[[#This Row],[Column5]],1)),"")</f>
        <v/>
      </c>
      <c r="J895" s="79" t="str">
        <f>IF(ISNUMBER(deployment_raw[[#This Row],[Column19]]), IF(K895&lt;&gt;0,(deployment_raw[[#This Row],[Column19]]/IF(OR($E$2="Deployment",deployment_raw[[#This Row],[Column5]]=0),1,deployment_raw[[#This Row],[Column5]]))/K895,0),"")</f>
        <v/>
      </c>
      <c r="K895" s="72" t="str">
        <f>IF(ISNUMBER(deployment_raw[[#This Row],[Column8]]), (deployment_raw[[#This Row],[Column8]]  * IF($E$2="Deployment",deployment_raw[[#This Row],[Column5]],1)),"")</f>
        <v/>
      </c>
      <c r="L89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9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95" s="81" t="str">
        <f>IF(ISNUMBER(deployment_raw[[#This Row],[Column20]]), IF(O895&lt;&gt;0,deployment_raw[[#This Row],[Column20]]/IF(OR($E$2="Deployment",deployment_raw[[#This Row],[Column5]]=0),1,deployment_raw[[#This Row],[Column5]])/1048576/O895,0),"")</f>
        <v/>
      </c>
      <c r="O895" s="74" t="str">
        <f>IF(ISNUMBER(deployment_raw[[#This Row],[Column7]]), (deployment_raw[[#This Row],[Column7]] * IF($E$2="Deployment",deployment_raw[[#This Row],[Column5]],1))/1048576,"")</f>
        <v/>
      </c>
      <c r="P895" s="81" t="str">
        <f>IF(ISNUMBER(deployment_raw[[#This Row],[Column20]]), IF(Q895&lt;&gt;0,deployment_raw[[#This Row],[Column20]]/IF(OR($E$2="Deployment",deployment_raw[[#This Row],[Column5]]=0),1,deployment_raw[[#This Row],[Column5]])/1048576/Q895,0),"")</f>
        <v/>
      </c>
      <c r="Q895" s="76" t="str">
        <f>IF(ISNUMBER(deployment_raw[[#This Row],[Column9]]), (deployment_raw[[#This Row],[Column9]] * IF($E$2="Deployment",deployment_raw[[#This Row],[Column5]],1))/1048576,"")</f>
        <v/>
      </c>
      <c r="R895" s="57" t="str">
        <f>IF(ISNUMBER(deployment_raw[[#This Row],[Column10]]), (deployment_raw[[#This Row],[Column10]] * IF($E$2="Deployment",deployment_raw[[#This Row],[Column5]],1)),"")</f>
        <v/>
      </c>
      <c r="S895" s="48" t="str">
        <f>IF(ISNUMBER(deployment_raw[[#This Row],[Column11]]), (deployment_raw[[#This Row],[Column11]] * IF($E$2="Deployment",deployment_raw[[#This Row],[Column5]],1))/1048576,"")</f>
        <v/>
      </c>
      <c r="T895" s="59" t="str">
        <f>IF(ISNUMBER(deployment_raw[[#This Row],[Column8]]),IF(OR(deployment_raw[[#This Row],[Column5]] &lt;&gt; 0,$E$2 &lt;&gt; "Deployment"), MAX(V895, ($T$2 * IF($E$2="Deployment",deployment_raw[[#This Row],[Column5]],1))), 0),"")</f>
        <v/>
      </c>
      <c r="U895" s="50" t="str">
        <f>IF(ISNUMBER(deployment_raw[[#This Row],[Column9]]),IF(OR(deployment_raw[[#This Row],[Column5]] &lt;&gt; 0,$E$2&lt;&gt;"Deployment"), MAX(W895, ($U$2 * IF($E$2="Deployment",deployment_raw[[#This Row],[Column5]],1))), 0),"")</f>
        <v/>
      </c>
      <c r="V895" s="15" t="str">
        <f>IF(ISNUMBER(deployment_raw[[#This Row],[Column12]]), (deployment_raw[[#This Row],[Column12]] * IF($E$2="Deployment",deployment_raw[[#This Row],[Column5]],1)*(1+$V$2)),"")</f>
        <v/>
      </c>
      <c r="W895" s="14" t="str">
        <f>IF(ISNUMBER(deployment_raw[[#This Row],[Column13]]), (deployment_raw[[#This Row],[Column13]] * IF($E$2="Deployment",deployment_raw[[#This Row],[Column5]],1)*(1+$W$2))/1048576,"")</f>
        <v/>
      </c>
    </row>
    <row r="896" spans="1:23" ht="15" customHeight="1" x14ac:dyDescent="0.25">
      <c r="A896" s="5" t="str">
        <f>IF(ISNONTEXT(deployment_raw[[#This Row],[Column1]]), "", deployment_raw[[#This Row],[Column1]])</f>
        <v/>
      </c>
      <c r="B896" s="6" t="str">
        <f>IF(ISNONTEXT(deployment_raw[[#This Row],[Column2]]), "", deployment_raw[[#This Row],[Column2]])</f>
        <v/>
      </c>
      <c r="C896" s="6" t="str">
        <f>IF(ISNONTEXT(deployment_raw[[#This Row],[Column3]]), "", deployment_raw[[#This Row],[Column3]])</f>
        <v/>
      </c>
      <c r="D896" s="6" t="str">
        <f>IF(ISNONTEXT(deployment_raw[[#This Row],[Column4]]), "", deployment_raw[[#This Row],[Column4]])</f>
        <v/>
      </c>
      <c r="E896" s="7" t="str">
        <f>IF(ISNUMBER(deployment_raw[[#This Row],[Column5]]), deployment_raw[[#This Row],[Column5]],"")</f>
        <v/>
      </c>
      <c r="F896" s="32" t="str">
        <f>IF(ISNUMBER(deployment_raw[[#This Row],[Column17]]), deployment_raw[[#This Row],[Column17]]/IF(OR($E$2="Deployment",deployment_raw[[#This Row],[Column5]]=0),1,deployment_raw[[#This Row],[Column5]]),"")</f>
        <v/>
      </c>
      <c r="G896" s="42" t="str">
        <f>IF(ISNUMBER(deployment_raw[[#This Row],[Column14]]), deployment_raw[[#This Row],[Column14]]/IF(OR($E$2="Deployment",deployment_raw[[#This Row],[Column5]]=0),1,deployment_raw[[#This Row],[Column5]]),"")</f>
        <v/>
      </c>
      <c r="H896" s="79" t="str">
        <f>IF(ISNUMBER(deployment_raw[[#This Row],[Column19]]), IF(I896&lt;&gt;0,(deployment_raw[[#This Row],[Column19]]/IF(OR($E$2="Deployment",deployment_raw[[#This Row],[Column5]]=0),1,deployment_raw[[#This Row],[Column5]]))/I896,0),"")</f>
        <v/>
      </c>
      <c r="I896" s="69" t="str">
        <f>IF(ISNUMBER(deployment_raw[[#This Row],[Column6]]), (deployment_raw[[#This Row],[Column6]] * IF($E$2="Deployment",deployment_raw[[#This Row],[Column5]],1)),"")</f>
        <v/>
      </c>
      <c r="J896" s="79" t="str">
        <f>IF(ISNUMBER(deployment_raw[[#This Row],[Column19]]), IF(K896&lt;&gt;0,(deployment_raw[[#This Row],[Column19]]/IF(OR($E$2="Deployment",deployment_raw[[#This Row],[Column5]]=0),1,deployment_raw[[#This Row],[Column5]]))/K896,0),"")</f>
        <v/>
      </c>
      <c r="K896" s="72" t="str">
        <f>IF(ISNUMBER(deployment_raw[[#This Row],[Column8]]), (deployment_raw[[#This Row],[Column8]]  * IF($E$2="Deployment",deployment_raw[[#This Row],[Column5]],1)),"")</f>
        <v/>
      </c>
      <c r="L89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9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96" s="81" t="str">
        <f>IF(ISNUMBER(deployment_raw[[#This Row],[Column20]]), IF(O896&lt;&gt;0,deployment_raw[[#This Row],[Column20]]/IF(OR($E$2="Deployment",deployment_raw[[#This Row],[Column5]]=0),1,deployment_raw[[#This Row],[Column5]])/1048576/O896,0),"")</f>
        <v/>
      </c>
      <c r="O896" s="74" t="str">
        <f>IF(ISNUMBER(deployment_raw[[#This Row],[Column7]]), (deployment_raw[[#This Row],[Column7]] * IF($E$2="Deployment",deployment_raw[[#This Row],[Column5]],1))/1048576,"")</f>
        <v/>
      </c>
      <c r="P896" s="81" t="str">
        <f>IF(ISNUMBER(deployment_raw[[#This Row],[Column20]]), IF(Q896&lt;&gt;0,deployment_raw[[#This Row],[Column20]]/IF(OR($E$2="Deployment",deployment_raw[[#This Row],[Column5]]=0),1,deployment_raw[[#This Row],[Column5]])/1048576/Q896,0),"")</f>
        <v/>
      </c>
      <c r="Q896" s="76" t="str">
        <f>IF(ISNUMBER(deployment_raw[[#This Row],[Column9]]), (deployment_raw[[#This Row],[Column9]] * IF($E$2="Deployment",deployment_raw[[#This Row],[Column5]],1))/1048576,"")</f>
        <v/>
      </c>
      <c r="R896" s="57" t="str">
        <f>IF(ISNUMBER(deployment_raw[[#This Row],[Column10]]), (deployment_raw[[#This Row],[Column10]] * IF($E$2="Deployment",deployment_raw[[#This Row],[Column5]],1)),"")</f>
        <v/>
      </c>
      <c r="S896" s="48" t="str">
        <f>IF(ISNUMBER(deployment_raw[[#This Row],[Column11]]), (deployment_raw[[#This Row],[Column11]] * IF($E$2="Deployment",deployment_raw[[#This Row],[Column5]],1))/1048576,"")</f>
        <v/>
      </c>
      <c r="T896" s="59" t="str">
        <f>IF(ISNUMBER(deployment_raw[[#This Row],[Column8]]),IF(OR(deployment_raw[[#This Row],[Column5]] &lt;&gt; 0,$E$2 &lt;&gt; "Deployment"), MAX(V896, ($T$2 * IF($E$2="Deployment",deployment_raw[[#This Row],[Column5]],1))), 0),"")</f>
        <v/>
      </c>
      <c r="U896" s="50" t="str">
        <f>IF(ISNUMBER(deployment_raw[[#This Row],[Column9]]),IF(OR(deployment_raw[[#This Row],[Column5]] &lt;&gt; 0,$E$2&lt;&gt;"Deployment"), MAX(W896, ($U$2 * IF($E$2="Deployment",deployment_raw[[#This Row],[Column5]],1))), 0),"")</f>
        <v/>
      </c>
      <c r="V896" s="15" t="str">
        <f>IF(ISNUMBER(deployment_raw[[#This Row],[Column12]]), (deployment_raw[[#This Row],[Column12]] * IF($E$2="Deployment",deployment_raw[[#This Row],[Column5]],1)*(1+$V$2)),"")</f>
        <v/>
      </c>
      <c r="W896" s="14" t="str">
        <f>IF(ISNUMBER(deployment_raw[[#This Row],[Column13]]), (deployment_raw[[#This Row],[Column13]] * IF($E$2="Deployment",deployment_raw[[#This Row],[Column5]],1)*(1+$W$2))/1048576,"")</f>
        <v/>
      </c>
    </row>
    <row r="897" spans="1:23" ht="15" customHeight="1" x14ac:dyDescent="0.25">
      <c r="A897" s="5" t="str">
        <f>IF(ISNONTEXT(deployment_raw[[#This Row],[Column1]]), "", deployment_raw[[#This Row],[Column1]])</f>
        <v/>
      </c>
      <c r="B897" s="6" t="str">
        <f>IF(ISNONTEXT(deployment_raw[[#This Row],[Column2]]), "", deployment_raw[[#This Row],[Column2]])</f>
        <v/>
      </c>
      <c r="C897" s="6" t="str">
        <f>IF(ISNONTEXT(deployment_raw[[#This Row],[Column3]]), "", deployment_raw[[#This Row],[Column3]])</f>
        <v/>
      </c>
      <c r="D897" s="6" t="str">
        <f>IF(ISNONTEXT(deployment_raw[[#This Row],[Column4]]), "", deployment_raw[[#This Row],[Column4]])</f>
        <v/>
      </c>
      <c r="E897" s="7" t="str">
        <f>IF(ISNUMBER(deployment_raw[[#This Row],[Column5]]), deployment_raw[[#This Row],[Column5]],"")</f>
        <v/>
      </c>
      <c r="F897" s="32" t="str">
        <f>IF(ISNUMBER(deployment_raw[[#This Row],[Column17]]), deployment_raw[[#This Row],[Column17]]/IF(OR($E$2="Deployment",deployment_raw[[#This Row],[Column5]]=0),1,deployment_raw[[#This Row],[Column5]]),"")</f>
        <v/>
      </c>
      <c r="G897" s="42" t="str">
        <f>IF(ISNUMBER(deployment_raw[[#This Row],[Column14]]), deployment_raw[[#This Row],[Column14]]/IF(OR($E$2="Deployment",deployment_raw[[#This Row],[Column5]]=0),1,deployment_raw[[#This Row],[Column5]]),"")</f>
        <v/>
      </c>
      <c r="H897" s="79" t="str">
        <f>IF(ISNUMBER(deployment_raw[[#This Row],[Column19]]), IF(I897&lt;&gt;0,(deployment_raw[[#This Row],[Column19]]/IF(OR($E$2="Deployment",deployment_raw[[#This Row],[Column5]]=0),1,deployment_raw[[#This Row],[Column5]]))/I897,0),"")</f>
        <v/>
      </c>
      <c r="I897" s="69" t="str">
        <f>IF(ISNUMBER(deployment_raw[[#This Row],[Column6]]), (deployment_raw[[#This Row],[Column6]] * IF($E$2="Deployment",deployment_raw[[#This Row],[Column5]],1)),"")</f>
        <v/>
      </c>
      <c r="J897" s="79" t="str">
        <f>IF(ISNUMBER(deployment_raw[[#This Row],[Column19]]), IF(K897&lt;&gt;0,(deployment_raw[[#This Row],[Column19]]/IF(OR($E$2="Deployment",deployment_raw[[#This Row],[Column5]]=0),1,deployment_raw[[#This Row],[Column5]]))/K897,0),"")</f>
        <v/>
      </c>
      <c r="K897" s="72" t="str">
        <f>IF(ISNUMBER(deployment_raw[[#This Row],[Column8]]), (deployment_raw[[#This Row],[Column8]]  * IF($E$2="Deployment",deployment_raw[[#This Row],[Column5]],1)),"")</f>
        <v/>
      </c>
      <c r="L89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9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97" s="81" t="str">
        <f>IF(ISNUMBER(deployment_raw[[#This Row],[Column20]]), IF(O897&lt;&gt;0,deployment_raw[[#This Row],[Column20]]/IF(OR($E$2="Deployment",deployment_raw[[#This Row],[Column5]]=0),1,deployment_raw[[#This Row],[Column5]])/1048576/O897,0),"")</f>
        <v/>
      </c>
      <c r="O897" s="74" t="str">
        <f>IF(ISNUMBER(deployment_raw[[#This Row],[Column7]]), (deployment_raw[[#This Row],[Column7]] * IF($E$2="Deployment",deployment_raw[[#This Row],[Column5]],1))/1048576,"")</f>
        <v/>
      </c>
      <c r="P897" s="81" t="str">
        <f>IF(ISNUMBER(deployment_raw[[#This Row],[Column20]]), IF(Q897&lt;&gt;0,deployment_raw[[#This Row],[Column20]]/IF(OR($E$2="Deployment",deployment_raw[[#This Row],[Column5]]=0),1,deployment_raw[[#This Row],[Column5]])/1048576/Q897,0),"")</f>
        <v/>
      </c>
      <c r="Q897" s="76" t="str">
        <f>IF(ISNUMBER(deployment_raw[[#This Row],[Column9]]), (deployment_raw[[#This Row],[Column9]] * IF($E$2="Deployment",deployment_raw[[#This Row],[Column5]],1))/1048576,"")</f>
        <v/>
      </c>
      <c r="R897" s="57" t="str">
        <f>IF(ISNUMBER(deployment_raw[[#This Row],[Column10]]), (deployment_raw[[#This Row],[Column10]] * IF($E$2="Deployment",deployment_raw[[#This Row],[Column5]],1)),"")</f>
        <v/>
      </c>
      <c r="S897" s="48" t="str">
        <f>IF(ISNUMBER(deployment_raw[[#This Row],[Column11]]), (deployment_raw[[#This Row],[Column11]] * IF($E$2="Deployment",deployment_raw[[#This Row],[Column5]],1))/1048576,"")</f>
        <v/>
      </c>
      <c r="T897" s="59" t="str">
        <f>IF(ISNUMBER(deployment_raw[[#This Row],[Column8]]),IF(OR(deployment_raw[[#This Row],[Column5]] &lt;&gt; 0,$E$2 &lt;&gt; "Deployment"), MAX(V897, ($T$2 * IF($E$2="Deployment",deployment_raw[[#This Row],[Column5]],1))), 0),"")</f>
        <v/>
      </c>
      <c r="U897" s="50" t="str">
        <f>IF(ISNUMBER(deployment_raw[[#This Row],[Column9]]),IF(OR(deployment_raw[[#This Row],[Column5]] &lt;&gt; 0,$E$2&lt;&gt;"Deployment"), MAX(W897, ($U$2 * IF($E$2="Deployment",deployment_raw[[#This Row],[Column5]],1))), 0),"")</f>
        <v/>
      </c>
      <c r="V897" s="15" t="str">
        <f>IF(ISNUMBER(deployment_raw[[#This Row],[Column12]]), (deployment_raw[[#This Row],[Column12]] * IF($E$2="Deployment",deployment_raw[[#This Row],[Column5]],1)*(1+$V$2)),"")</f>
        <v/>
      </c>
      <c r="W897" s="14" t="str">
        <f>IF(ISNUMBER(deployment_raw[[#This Row],[Column13]]), (deployment_raw[[#This Row],[Column13]] * IF($E$2="Deployment",deployment_raw[[#This Row],[Column5]],1)*(1+$W$2))/1048576,"")</f>
        <v/>
      </c>
    </row>
    <row r="898" spans="1:23" ht="15" customHeight="1" x14ac:dyDescent="0.25">
      <c r="A898" s="5" t="str">
        <f>IF(ISNONTEXT(deployment_raw[[#This Row],[Column1]]), "", deployment_raw[[#This Row],[Column1]])</f>
        <v/>
      </c>
      <c r="B898" s="6" t="str">
        <f>IF(ISNONTEXT(deployment_raw[[#This Row],[Column2]]), "", deployment_raw[[#This Row],[Column2]])</f>
        <v/>
      </c>
      <c r="C898" s="6" t="str">
        <f>IF(ISNONTEXT(deployment_raw[[#This Row],[Column3]]), "", deployment_raw[[#This Row],[Column3]])</f>
        <v/>
      </c>
      <c r="D898" s="6" t="str">
        <f>IF(ISNONTEXT(deployment_raw[[#This Row],[Column4]]), "", deployment_raw[[#This Row],[Column4]])</f>
        <v/>
      </c>
      <c r="E898" s="7" t="str">
        <f>IF(ISNUMBER(deployment_raw[[#This Row],[Column5]]), deployment_raw[[#This Row],[Column5]],"")</f>
        <v/>
      </c>
      <c r="F898" s="32" t="str">
        <f>IF(ISNUMBER(deployment_raw[[#This Row],[Column17]]), deployment_raw[[#This Row],[Column17]]/IF(OR($E$2="Deployment",deployment_raw[[#This Row],[Column5]]=0),1,deployment_raw[[#This Row],[Column5]]),"")</f>
        <v/>
      </c>
      <c r="G898" s="42" t="str">
        <f>IF(ISNUMBER(deployment_raw[[#This Row],[Column14]]), deployment_raw[[#This Row],[Column14]]/IF(OR($E$2="Deployment",deployment_raw[[#This Row],[Column5]]=0),1,deployment_raw[[#This Row],[Column5]]),"")</f>
        <v/>
      </c>
      <c r="H898" s="79" t="str">
        <f>IF(ISNUMBER(deployment_raw[[#This Row],[Column19]]), IF(I898&lt;&gt;0,(deployment_raw[[#This Row],[Column19]]/IF(OR($E$2="Deployment",deployment_raw[[#This Row],[Column5]]=0),1,deployment_raw[[#This Row],[Column5]]))/I898,0),"")</f>
        <v/>
      </c>
      <c r="I898" s="69" t="str">
        <f>IF(ISNUMBER(deployment_raw[[#This Row],[Column6]]), (deployment_raw[[#This Row],[Column6]] * IF($E$2="Deployment",deployment_raw[[#This Row],[Column5]],1)),"")</f>
        <v/>
      </c>
      <c r="J898" s="79" t="str">
        <f>IF(ISNUMBER(deployment_raw[[#This Row],[Column19]]), IF(K898&lt;&gt;0,(deployment_raw[[#This Row],[Column19]]/IF(OR($E$2="Deployment",deployment_raw[[#This Row],[Column5]]=0),1,deployment_raw[[#This Row],[Column5]]))/K898,0),"")</f>
        <v/>
      </c>
      <c r="K898" s="72" t="str">
        <f>IF(ISNUMBER(deployment_raw[[#This Row],[Column8]]), (deployment_raw[[#This Row],[Column8]]  * IF($E$2="Deployment",deployment_raw[[#This Row],[Column5]],1)),"")</f>
        <v/>
      </c>
      <c r="L89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9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98" s="81" t="str">
        <f>IF(ISNUMBER(deployment_raw[[#This Row],[Column20]]), IF(O898&lt;&gt;0,deployment_raw[[#This Row],[Column20]]/IF(OR($E$2="Deployment",deployment_raw[[#This Row],[Column5]]=0),1,deployment_raw[[#This Row],[Column5]])/1048576/O898,0),"")</f>
        <v/>
      </c>
      <c r="O898" s="74" t="str">
        <f>IF(ISNUMBER(deployment_raw[[#This Row],[Column7]]), (deployment_raw[[#This Row],[Column7]] * IF($E$2="Deployment",deployment_raw[[#This Row],[Column5]],1))/1048576,"")</f>
        <v/>
      </c>
      <c r="P898" s="81" t="str">
        <f>IF(ISNUMBER(deployment_raw[[#This Row],[Column20]]), IF(Q898&lt;&gt;0,deployment_raw[[#This Row],[Column20]]/IF(OR($E$2="Deployment",deployment_raw[[#This Row],[Column5]]=0),1,deployment_raw[[#This Row],[Column5]])/1048576/Q898,0),"")</f>
        <v/>
      </c>
      <c r="Q898" s="76" t="str">
        <f>IF(ISNUMBER(deployment_raw[[#This Row],[Column9]]), (deployment_raw[[#This Row],[Column9]] * IF($E$2="Deployment",deployment_raw[[#This Row],[Column5]],1))/1048576,"")</f>
        <v/>
      </c>
      <c r="R898" s="57" t="str">
        <f>IF(ISNUMBER(deployment_raw[[#This Row],[Column10]]), (deployment_raw[[#This Row],[Column10]] * IF($E$2="Deployment",deployment_raw[[#This Row],[Column5]],1)),"")</f>
        <v/>
      </c>
      <c r="S898" s="48" t="str">
        <f>IF(ISNUMBER(deployment_raw[[#This Row],[Column11]]), (deployment_raw[[#This Row],[Column11]] * IF($E$2="Deployment",deployment_raw[[#This Row],[Column5]],1))/1048576,"")</f>
        <v/>
      </c>
      <c r="T898" s="59" t="str">
        <f>IF(ISNUMBER(deployment_raw[[#This Row],[Column8]]),IF(OR(deployment_raw[[#This Row],[Column5]] &lt;&gt; 0,$E$2 &lt;&gt; "Deployment"), MAX(V898, ($T$2 * IF($E$2="Deployment",deployment_raw[[#This Row],[Column5]],1))), 0),"")</f>
        <v/>
      </c>
      <c r="U898" s="50" t="str">
        <f>IF(ISNUMBER(deployment_raw[[#This Row],[Column9]]),IF(OR(deployment_raw[[#This Row],[Column5]] &lt;&gt; 0,$E$2&lt;&gt;"Deployment"), MAX(W898, ($U$2 * IF($E$2="Deployment",deployment_raw[[#This Row],[Column5]],1))), 0),"")</f>
        <v/>
      </c>
      <c r="V898" s="15" t="str">
        <f>IF(ISNUMBER(deployment_raw[[#This Row],[Column12]]), (deployment_raw[[#This Row],[Column12]] * IF($E$2="Deployment",deployment_raw[[#This Row],[Column5]],1)*(1+$V$2)),"")</f>
        <v/>
      </c>
      <c r="W898" s="14" t="str">
        <f>IF(ISNUMBER(deployment_raw[[#This Row],[Column13]]), (deployment_raw[[#This Row],[Column13]] * IF($E$2="Deployment",deployment_raw[[#This Row],[Column5]],1)*(1+$W$2))/1048576,"")</f>
        <v/>
      </c>
    </row>
    <row r="899" spans="1:23" ht="15" customHeight="1" x14ac:dyDescent="0.25">
      <c r="A899" s="5" t="str">
        <f>IF(ISNONTEXT(deployment_raw[[#This Row],[Column1]]), "", deployment_raw[[#This Row],[Column1]])</f>
        <v/>
      </c>
      <c r="B899" s="6" t="str">
        <f>IF(ISNONTEXT(deployment_raw[[#This Row],[Column2]]), "", deployment_raw[[#This Row],[Column2]])</f>
        <v/>
      </c>
      <c r="C899" s="6" t="str">
        <f>IF(ISNONTEXT(deployment_raw[[#This Row],[Column3]]), "", deployment_raw[[#This Row],[Column3]])</f>
        <v/>
      </c>
      <c r="D899" s="6" t="str">
        <f>IF(ISNONTEXT(deployment_raw[[#This Row],[Column4]]), "", deployment_raw[[#This Row],[Column4]])</f>
        <v/>
      </c>
      <c r="E899" s="7" t="str">
        <f>IF(ISNUMBER(deployment_raw[[#This Row],[Column5]]), deployment_raw[[#This Row],[Column5]],"")</f>
        <v/>
      </c>
      <c r="F899" s="32" t="str">
        <f>IF(ISNUMBER(deployment_raw[[#This Row],[Column17]]), deployment_raw[[#This Row],[Column17]]/IF(OR($E$2="Deployment",deployment_raw[[#This Row],[Column5]]=0),1,deployment_raw[[#This Row],[Column5]]),"")</f>
        <v/>
      </c>
      <c r="G899" s="42" t="str">
        <f>IF(ISNUMBER(deployment_raw[[#This Row],[Column14]]), deployment_raw[[#This Row],[Column14]]/IF(OR($E$2="Deployment",deployment_raw[[#This Row],[Column5]]=0),1,deployment_raw[[#This Row],[Column5]]),"")</f>
        <v/>
      </c>
      <c r="H899" s="79" t="str">
        <f>IF(ISNUMBER(deployment_raw[[#This Row],[Column19]]), IF(I899&lt;&gt;0,(deployment_raw[[#This Row],[Column19]]/IF(OR($E$2="Deployment",deployment_raw[[#This Row],[Column5]]=0),1,deployment_raw[[#This Row],[Column5]]))/I899,0),"")</f>
        <v/>
      </c>
      <c r="I899" s="69" t="str">
        <f>IF(ISNUMBER(deployment_raw[[#This Row],[Column6]]), (deployment_raw[[#This Row],[Column6]] * IF($E$2="Deployment",deployment_raw[[#This Row],[Column5]],1)),"")</f>
        <v/>
      </c>
      <c r="J899" s="79" t="str">
        <f>IF(ISNUMBER(deployment_raw[[#This Row],[Column19]]), IF(K899&lt;&gt;0,(deployment_raw[[#This Row],[Column19]]/IF(OR($E$2="Deployment",deployment_raw[[#This Row],[Column5]]=0),1,deployment_raw[[#This Row],[Column5]]))/K899,0),"")</f>
        <v/>
      </c>
      <c r="K899" s="72" t="str">
        <f>IF(ISNUMBER(deployment_raw[[#This Row],[Column8]]), (deployment_raw[[#This Row],[Column8]]  * IF($E$2="Deployment",deployment_raw[[#This Row],[Column5]],1)),"")</f>
        <v/>
      </c>
      <c r="L89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9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99" s="81" t="str">
        <f>IF(ISNUMBER(deployment_raw[[#This Row],[Column20]]), IF(O899&lt;&gt;0,deployment_raw[[#This Row],[Column20]]/IF(OR($E$2="Deployment",deployment_raw[[#This Row],[Column5]]=0),1,deployment_raw[[#This Row],[Column5]])/1048576/O899,0),"")</f>
        <v/>
      </c>
      <c r="O899" s="74" t="str">
        <f>IF(ISNUMBER(deployment_raw[[#This Row],[Column7]]), (deployment_raw[[#This Row],[Column7]] * IF($E$2="Deployment",deployment_raw[[#This Row],[Column5]],1))/1048576,"")</f>
        <v/>
      </c>
      <c r="P899" s="81" t="str">
        <f>IF(ISNUMBER(deployment_raw[[#This Row],[Column20]]), IF(Q899&lt;&gt;0,deployment_raw[[#This Row],[Column20]]/IF(OR($E$2="Deployment",deployment_raw[[#This Row],[Column5]]=0),1,deployment_raw[[#This Row],[Column5]])/1048576/Q899,0),"")</f>
        <v/>
      </c>
      <c r="Q899" s="76" t="str">
        <f>IF(ISNUMBER(deployment_raw[[#This Row],[Column9]]), (deployment_raw[[#This Row],[Column9]] * IF($E$2="Deployment",deployment_raw[[#This Row],[Column5]],1))/1048576,"")</f>
        <v/>
      </c>
      <c r="R899" s="57" t="str">
        <f>IF(ISNUMBER(deployment_raw[[#This Row],[Column10]]), (deployment_raw[[#This Row],[Column10]] * IF($E$2="Deployment",deployment_raw[[#This Row],[Column5]],1)),"")</f>
        <v/>
      </c>
      <c r="S899" s="48" t="str">
        <f>IF(ISNUMBER(deployment_raw[[#This Row],[Column11]]), (deployment_raw[[#This Row],[Column11]] * IF($E$2="Deployment",deployment_raw[[#This Row],[Column5]],1))/1048576,"")</f>
        <v/>
      </c>
      <c r="T899" s="59" t="str">
        <f>IF(ISNUMBER(deployment_raw[[#This Row],[Column8]]),IF(OR(deployment_raw[[#This Row],[Column5]] &lt;&gt; 0,$E$2 &lt;&gt; "Deployment"), MAX(V899, ($T$2 * IF($E$2="Deployment",deployment_raw[[#This Row],[Column5]],1))), 0),"")</f>
        <v/>
      </c>
      <c r="U899" s="50" t="str">
        <f>IF(ISNUMBER(deployment_raw[[#This Row],[Column9]]),IF(OR(deployment_raw[[#This Row],[Column5]] &lt;&gt; 0,$E$2&lt;&gt;"Deployment"), MAX(W899, ($U$2 * IF($E$2="Deployment",deployment_raw[[#This Row],[Column5]],1))), 0),"")</f>
        <v/>
      </c>
      <c r="V899" s="15" t="str">
        <f>IF(ISNUMBER(deployment_raw[[#This Row],[Column12]]), (deployment_raw[[#This Row],[Column12]] * IF($E$2="Deployment",deployment_raw[[#This Row],[Column5]],1)*(1+$V$2)),"")</f>
        <v/>
      </c>
      <c r="W899" s="14" t="str">
        <f>IF(ISNUMBER(deployment_raw[[#This Row],[Column13]]), (deployment_raw[[#This Row],[Column13]] * IF($E$2="Deployment",deployment_raw[[#This Row],[Column5]],1)*(1+$W$2))/1048576,"")</f>
        <v/>
      </c>
    </row>
    <row r="900" spans="1:23" ht="15" customHeight="1" x14ac:dyDescent="0.25">
      <c r="A900" s="5" t="str">
        <f>IF(ISNONTEXT(deployment_raw[[#This Row],[Column1]]), "", deployment_raw[[#This Row],[Column1]])</f>
        <v/>
      </c>
      <c r="B900" s="6" t="str">
        <f>IF(ISNONTEXT(deployment_raw[[#This Row],[Column2]]), "", deployment_raw[[#This Row],[Column2]])</f>
        <v/>
      </c>
      <c r="C900" s="6" t="str">
        <f>IF(ISNONTEXT(deployment_raw[[#This Row],[Column3]]), "", deployment_raw[[#This Row],[Column3]])</f>
        <v/>
      </c>
      <c r="D900" s="6" t="str">
        <f>IF(ISNONTEXT(deployment_raw[[#This Row],[Column4]]), "", deployment_raw[[#This Row],[Column4]])</f>
        <v/>
      </c>
      <c r="E900" s="7" t="str">
        <f>IF(ISNUMBER(deployment_raw[[#This Row],[Column5]]), deployment_raw[[#This Row],[Column5]],"")</f>
        <v/>
      </c>
      <c r="F900" s="32" t="str">
        <f>IF(ISNUMBER(deployment_raw[[#This Row],[Column17]]), deployment_raw[[#This Row],[Column17]]/IF(OR($E$2="Deployment",deployment_raw[[#This Row],[Column5]]=0),1,deployment_raw[[#This Row],[Column5]]),"")</f>
        <v/>
      </c>
      <c r="G900" s="42" t="str">
        <f>IF(ISNUMBER(deployment_raw[[#This Row],[Column14]]), deployment_raw[[#This Row],[Column14]]/IF(OR($E$2="Deployment",deployment_raw[[#This Row],[Column5]]=0),1,deployment_raw[[#This Row],[Column5]]),"")</f>
        <v/>
      </c>
      <c r="H900" s="79" t="str">
        <f>IF(ISNUMBER(deployment_raw[[#This Row],[Column19]]), IF(I900&lt;&gt;0,(deployment_raw[[#This Row],[Column19]]/IF(OR($E$2="Deployment",deployment_raw[[#This Row],[Column5]]=0),1,deployment_raw[[#This Row],[Column5]]))/I900,0),"")</f>
        <v/>
      </c>
      <c r="I900" s="69" t="str">
        <f>IF(ISNUMBER(deployment_raw[[#This Row],[Column6]]), (deployment_raw[[#This Row],[Column6]] * IF($E$2="Deployment",deployment_raw[[#This Row],[Column5]],1)),"")</f>
        <v/>
      </c>
      <c r="J900" s="79" t="str">
        <f>IF(ISNUMBER(deployment_raw[[#This Row],[Column19]]), IF(K900&lt;&gt;0,(deployment_raw[[#This Row],[Column19]]/IF(OR($E$2="Deployment",deployment_raw[[#This Row],[Column5]]=0),1,deployment_raw[[#This Row],[Column5]]))/K900,0),"")</f>
        <v/>
      </c>
      <c r="K900" s="72" t="str">
        <f>IF(ISNUMBER(deployment_raw[[#This Row],[Column8]]), (deployment_raw[[#This Row],[Column8]]  * IF($E$2="Deployment",deployment_raw[[#This Row],[Column5]],1)),"")</f>
        <v/>
      </c>
      <c r="L90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0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00" s="81" t="str">
        <f>IF(ISNUMBER(deployment_raw[[#This Row],[Column20]]), IF(O900&lt;&gt;0,deployment_raw[[#This Row],[Column20]]/IF(OR($E$2="Deployment",deployment_raw[[#This Row],[Column5]]=0),1,deployment_raw[[#This Row],[Column5]])/1048576/O900,0),"")</f>
        <v/>
      </c>
      <c r="O900" s="74" t="str">
        <f>IF(ISNUMBER(deployment_raw[[#This Row],[Column7]]), (deployment_raw[[#This Row],[Column7]] * IF($E$2="Deployment",deployment_raw[[#This Row],[Column5]],1))/1048576,"")</f>
        <v/>
      </c>
      <c r="P900" s="81" t="str">
        <f>IF(ISNUMBER(deployment_raw[[#This Row],[Column20]]), IF(Q900&lt;&gt;0,deployment_raw[[#This Row],[Column20]]/IF(OR($E$2="Deployment",deployment_raw[[#This Row],[Column5]]=0),1,deployment_raw[[#This Row],[Column5]])/1048576/Q900,0),"")</f>
        <v/>
      </c>
      <c r="Q900" s="76" t="str">
        <f>IF(ISNUMBER(deployment_raw[[#This Row],[Column9]]), (deployment_raw[[#This Row],[Column9]] * IF($E$2="Deployment",deployment_raw[[#This Row],[Column5]],1))/1048576,"")</f>
        <v/>
      </c>
      <c r="R900" s="57" t="str">
        <f>IF(ISNUMBER(deployment_raw[[#This Row],[Column10]]), (deployment_raw[[#This Row],[Column10]] * IF($E$2="Deployment",deployment_raw[[#This Row],[Column5]],1)),"")</f>
        <v/>
      </c>
      <c r="S900" s="48" t="str">
        <f>IF(ISNUMBER(deployment_raw[[#This Row],[Column11]]), (deployment_raw[[#This Row],[Column11]] * IF($E$2="Deployment",deployment_raw[[#This Row],[Column5]],1))/1048576,"")</f>
        <v/>
      </c>
      <c r="T900" s="59" t="str">
        <f>IF(ISNUMBER(deployment_raw[[#This Row],[Column8]]),IF(OR(deployment_raw[[#This Row],[Column5]] &lt;&gt; 0,$E$2 &lt;&gt; "Deployment"), MAX(V900, ($T$2 * IF($E$2="Deployment",deployment_raw[[#This Row],[Column5]],1))), 0),"")</f>
        <v/>
      </c>
      <c r="U900" s="50" t="str">
        <f>IF(ISNUMBER(deployment_raw[[#This Row],[Column9]]),IF(OR(deployment_raw[[#This Row],[Column5]] &lt;&gt; 0,$E$2&lt;&gt;"Deployment"), MAX(W900, ($U$2 * IF($E$2="Deployment",deployment_raw[[#This Row],[Column5]],1))), 0),"")</f>
        <v/>
      </c>
      <c r="V900" s="15" t="str">
        <f>IF(ISNUMBER(deployment_raw[[#This Row],[Column12]]), (deployment_raw[[#This Row],[Column12]] * IF($E$2="Deployment",deployment_raw[[#This Row],[Column5]],1)*(1+$V$2)),"")</f>
        <v/>
      </c>
      <c r="W900" s="14" t="str">
        <f>IF(ISNUMBER(deployment_raw[[#This Row],[Column13]]), (deployment_raw[[#This Row],[Column13]] * IF($E$2="Deployment",deployment_raw[[#This Row],[Column5]],1)*(1+$W$2))/1048576,"")</f>
        <v/>
      </c>
    </row>
    <row r="901" spans="1:23" ht="15" customHeight="1" x14ac:dyDescent="0.25">
      <c r="A901" s="5" t="str">
        <f>IF(ISNONTEXT(deployment_raw[[#This Row],[Column1]]), "", deployment_raw[[#This Row],[Column1]])</f>
        <v/>
      </c>
      <c r="B901" s="6" t="str">
        <f>IF(ISNONTEXT(deployment_raw[[#This Row],[Column2]]), "", deployment_raw[[#This Row],[Column2]])</f>
        <v/>
      </c>
      <c r="C901" s="6" t="str">
        <f>IF(ISNONTEXT(deployment_raw[[#This Row],[Column3]]), "", deployment_raw[[#This Row],[Column3]])</f>
        <v/>
      </c>
      <c r="D901" s="6" t="str">
        <f>IF(ISNONTEXT(deployment_raw[[#This Row],[Column4]]), "", deployment_raw[[#This Row],[Column4]])</f>
        <v/>
      </c>
      <c r="E901" s="7" t="str">
        <f>IF(ISNUMBER(deployment_raw[[#This Row],[Column5]]), deployment_raw[[#This Row],[Column5]],"")</f>
        <v/>
      </c>
      <c r="F901" s="32" t="str">
        <f>IF(ISNUMBER(deployment_raw[[#This Row],[Column17]]), deployment_raw[[#This Row],[Column17]]/IF(OR($E$2="Deployment",deployment_raw[[#This Row],[Column5]]=0),1,deployment_raw[[#This Row],[Column5]]),"")</f>
        <v/>
      </c>
      <c r="G901" s="42" t="str">
        <f>IF(ISNUMBER(deployment_raw[[#This Row],[Column14]]), deployment_raw[[#This Row],[Column14]]/IF(OR($E$2="Deployment",deployment_raw[[#This Row],[Column5]]=0),1,deployment_raw[[#This Row],[Column5]]),"")</f>
        <v/>
      </c>
      <c r="H901" s="79" t="str">
        <f>IF(ISNUMBER(deployment_raw[[#This Row],[Column19]]), IF(I901&lt;&gt;0,(deployment_raw[[#This Row],[Column19]]/IF(OR($E$2="Deployment",deployment_raw[[#This Row],[Column5]]=0),1,deployment_raw[[#This Row],[Column5]]))/I901,0),"")</f>
        <v/>
      </c>
      <c r="I901" s="69" t="str">
        <f>IF(ISNUMBER(deployment_raw[[#This Row],[Column6]]), (deployment_raw[[#This Row],[Column6]] * IF($E$2="Deployment",deployment_raw[[#This Row],[Column5]],1)),"")</f>
        <v/>
      </c>
      <c r="J901" s="79" t="str">
        <f>IF(ISNUMBER(deployment_raw[[#This Row],[Column19]]), IF(K901&lt;&gt;0,(deployment_raw[[#This Row],[Column19]]/IF(OR($E$2="Deployment",deployment_raw[[#This Row],[Column5]]=0),1,deployment_raw[[#This Row],[Column5]]))/K901,0),"")</f>
        <v/>
      </c>
      <c r="K901" s="72" t="str">
        <f>IF(ISNUMBER(deployment_raw[[#This Row],[Column8]]), (deployment_raw[[#This Row],[Column8]]  * IF($E$2="Deployment",deployment_raw[[#This Row],[Column5]],1)),"")</f>
        <v/>
      </c>
      <c r="L90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0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01" s="81" t="str">
        <f>IF(ISNUMBER(deployment_raw[[#This Row],[Column20]]), IF(O901&lt;&gt;0,deployment_raw[[#This Row],[Column20]]/IF(OR($E$2="Deployment",deployment_raw[[#This Row],[Column5]]=0),1,deployment_raw[[#This Row],[Column5]])/1048576/O901,0),"")</f>
        <v/>
      </c>
      <c r="O901" s="74" t="str">
        <f>IF(ISNUMBER(deployment_raw[[#This Row],[Column7]]), (deployment_raw[[#This Row],[Column7]] * IF($E$2="Deployment",deployment_raw[[#This Row],[Column5]],1))/1048576,"")</f>
        <v/>
      </c>
      <c r="P901" s="81" t="str">
        <f>IF(ISNUMBER(deployment_raw[[#This Row],[Column20]]), IF(Q901&lt;&gt;0,deployment_raw[[#This Row],[Column20]]/IF(OR($E$2="Deployment",deployment_raw[[#This Row],[Column5]]=0),1,deployment_raw[[#This Row],[Column5]])/1048576/Q901,0),"")</f>
        <v/>
      </c>
      <c r="Q901" s="76" t="str">
        <f>IF(ISNUMBER(deployment_raw[[#This Row],[Column9]]), (deployment_raw[[#This Row],[Column9]] * IF($E$2="Deployment",deployment_raw[[#This Row],[Column5]],1))/1048576,"")</f>
        <v/>
      </c>
      <c r="R901" s="57" t="str">
        <f>IF(ISNUMBER(deployment_raw[[#This Row],[Column10]]), (deployment_raw[[#This Row],[Column10]] * IF($E$2="Deployment",deployment_raw[[#This Row],[Column5]],1)),"")</f>
        <v/>
      </c>
      <c r="S901" s="48" t="str">
        <f>IF(ISNUMBER(deployment_raw[[#This Row],[Column11]]), (deployment_raw[[#This Row],[Column11]] * IF($E$2="Deployment",deployment_raw[[#This Row],[Column5]],1))/1048576,"")</f>
        <v/>
      </c>
      <c r="T901" s="59" t="str">
        <f>IF(ISNUMBER(deployment_raw[[#This Row],[Column8]]),IF(OR(deployment_raw[[#This Row],[Column5]] &lt;&gt; 0,$E$2 &lt;&gt; "Deployment"), MAX(V901, ($T$2 * IF($E$2="Deployment",deployment_raw[[#This Row],[Column5]],1))), 0),"")</f>
        <v/>
      </c>
      <c r="U901" s="50" t="str">
        <f>IF(ISNUMBER(deployment_raw[[#This Row],[Column9]]),IF(OR(deployment_raw[[#This Row],[Column5]] &lt;&gt; 0,$E$2&lt;&gt;"Deployment"), MAX(W901, ($U$2 * IF($E$2="Deployment",deployment_raw[[#This Row],[Column5]],1))), 0),"")</f>
        <v/>
      </c>
      <c r="V901" s="15" t="str">
        <f>IF(ISNUMBER(deployment_raw[[#This Row],[Column12]]), (deployment_raw[[#This Row],[Column12]] * IF($E$2="Deployment",deployment_raw[[#This Row],[Column5]],1)*(1+$V$2)),"")</f>
        <v/>
      </c>
      <c r="W901" s="14" t="str">
        <f>IF(ISNUMBER(deployment_raw[[#This Row],[Column13]]), (deployment_raw[[#This Row],[Column13]] * IF($E$2="Deployment",deployment_raw[[#This Row],[Column5]],1)*(1+$W$2))/1048576,"")</f>
        <v/>
      </c>
    </row>
    <row r="902" spans="1:23" ht="15" customHeight="1" x14ac:dyDescent="0.25">
      <c r="A902" s="5" t="str">
        <f>IF(ISNONTEXT(deployment_raw[[#This Row],[Column1]]), "", deployment_raw[[#This Row],[Column1]])</f>
        <v/>
      </c>
      <c r="B902" s="6" t="str">
        <f>IF(ISNONTEXT(deployment_raw[[#This Row],[Column2]]), "", deployment_raw[[#This Row],[Column2]])</f>
        <v/>
      </c>
      <c r="C902" s="6" t="str">
        <f>IF(ISNONTEXT(deployment_raw[[#This Row],[Column3]]), "", deployment_raw[[#This Row],[Column3]])</f>
        <v/>
      </c>
      <c r="D902" s="6" t="str">
        <f>IF(ISNONTEXT(deployment_raw[[#This Row],[Column4]]), "", deployment_raw[[#This Row],[Column4]])</f>
        <v/>
      </c>
      <c r="E902" s="7" t="str">
        <f>IF(ISNUMBER(deployment_raw[[#This Row],[Column5]]), deployment_raw[[#This Row],[Column5]],"")</f>
        <v/>
      </c>
      <c r="F902" s="32" t="str">
        <f>IF(ISNUMBER(deployment_raw[[#This Row],[Column17]]), deployment_raw[[#This Row],[Column17]]/IF(OR($E$2="Deployment",deployment_raw[[#This Row],[Column5]]=0),1,deployment_raw[[#This Row],[Column5]]),"")</f>
        <v/>
      </c>
      <c r="G902" s="42" t="str">
        <f>IF(ISNUMBER(deployment_raw[[#This Row],[Column14]]), deployment_raw[[#This Row],[Column14]]/IF(OR($E$2="Deployment",deployment_raw[[#This Row],[Column5]]=0),1,deployment_raw[[#This Row],[Column5]]),"")</f>
        <v/>
      </c>
      <c r="H902" s="79" t="str">
        <f>IF(ISNUMBER(deployment_raw[[#This Row],[Column19]]), IF(I902&lt;&gt;0,(deployment_raw[[#This Row],[Column19]]/IF(OR($E$2="Deployment",deployment_raw[[#This Row],[Column5]]=0),1,deployment_raw[[#This Row],[Column5]]))/I902,0),"")</f>
        <v/>
      </c>
      <c r="I902" s="69" t="str">
        <f>IF(ISNUMBER(deployment_raw[[#This Row],[Column6]]), (deployment_raw[[#This Row],[Column6]] * IF($E$2="Deployment",deployment_raw[[#This Row],[Column5]],1)),"")</f>
        <v/>
      </c>
      <c r="J902" s="79" t="str">
        <f>IF(ISNUMBER(deployment_raw[[#This Row],[Column19]]), IF(K902&lt;&gt;0,(deployment_raw[[#This Row],[Column19]]/IF(OR($E$2="Deployment",deployment_raw[[#This Row],[Column5]]=0),1,deployment_raw[[#This Row],[Column5]]))/K902,0),"")</f>
        <v/>
      </c>
      <c r="K902" s="72" t="str">
        <f>IF(ISNUMBER(deployment_raw[[#This Row],[Column8]]), (deployment_raw[[#This Row],[Column8]]  * IF($E$2="Deployment",deployment_raw[[#This Row],[Column5]],1)),"")</f>
        <v/>
      </c>
      <c r="L90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0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02" s="81" t="str">
        <f>IF(ISNUMBER(deployment_raw[[#This Row],[Column20]]), IF(O902&lt;&gt;0,deployment_raw[[#This Row],[Column20]]/IF(OR($E$2="Deployment",deployment_raw[[#This Row],[Column5]]=0),1,deployment_raw[[#This Row],[Column5]])/1048576/O902,0),"")</f>
        <v/>
      </c>
      <c r="O902" s="74" t="str">
        <f>IF(ISNUMBER(deployment_raw[[#This Row],[Column7]]), (deployment_raw[[#This Row],[Column7]] * IF($E$2="Deployment",deployment_raw[[#This Row],[Column5]],1))/1048576,"")</f>
        <v/>
      </c>
      <c r="P902" s="81" t="str">
        <f>IF(ISNUMBER(deployment_raw[[#This Row],[Column20]]), IF(Q902&lt;&gt;0,deployment_raw[[#This Row],[Column20]]/IF(OR($E$2="Deployment",deployment_raw[[#This Row],[Column5]]=0),1,deployment_raw[[#This Row],[Column5]])/1048576/Q902,0),"")</f>
        <v/>
      </c>
      <c r="Q902" s="76" t="str">
        <f>IF(ISNUMBER(deployment_raw[[#This Row],[Column9]]), (deployment_raw[[#This Row],[Column9]] * IF($E$2="Deployment",deployment_raw[[#This Row],[Column5]],1))/1048576,"")</f>
        <v/>
      </c>
      <c r="R902" s="57" t="str">
        <f>IF(ISNUMBER(deployment_raw[[#This Row],[Column10]]), (deployment_raw[[#This Row],[Column10]] * IF($E$2="Deployment",deployment_raw[[#This Row],[Column5]],1)),"")</f>
        <v/>
      </c>
      <c r="S902" s="48" t="str">
        <f>IF(ISNUMBER(deployment_raw[[#This Row],[Column11]]), (deployment_raw[[#This Row],[Column11]] * IF($E$2="Deployment",deployment_raw[[#This Row],[Column5]],1))/1048576,"")</f>
        <v/>
      </c>
      <c r="T902" s="59" t="str">
        <f>IF(ISNUMBER(deployment_raw[[#This Row],[Column8]]),IF(OR(deployment_raw[[#This Row],[Column5]] &lt;&gt; 0,$E$2 &lt;&gt; "Deployment"), MAX(V902, ($T$2 * IF($E$2="Deployment",deployment_raw[[#This Row],[Column5]],1))), 0),"")</f>
        <v/>
      </c>
      <c r="U902" s="50" t="str">
        <f>IF(ISNUMBER(deployment_raw[[#This Row],[Column9]]),IF(OR(deployment_raw[[#This Row],[Column5]] &lt;&gt; 0,$E$2&lt;&gt;"Deployment"), MAX(W902, ($U$2 * IF($E$2="Deployment",deployment_raw[[#This Row],[Column5]],1))), 0),"")</f>
        <v/>
      </c>
      <c r="V902" s="15" t="str">
        <f>IF(ISNUMBER(deployment_raw[[#This Row],[Column12]]), (deployment_raw[[#This Row],[Column12]] * IF($E$2="Deployment",deployment_raw[[#This Row],[Column5]],1)*(1+$V$2)),"")</f>
        <v/>
      </c>
      <c r="W902" s="14" t="str">
        <f>IF(ISNUMBER(deployment_raw[[#This Row],[Column13]]), (deployment_raw[[#This Row],[Column13]] * IF($E$2="Deployment",deployment_raw[[#This Row],[Column5]],1)*(1+$W$2))/1048576,"")</f>
        <v/>
      </c>
    </row>
    <row r="903" spans="1:23" ht="15" customHeight="1" x14ac:dyDescent="0.25">
      <c r="A903" s="5" t="str">
        <f>IF(ISNONTEXT(deployment_raw[[#This Row],[Column1]]), "", deployment_raw[[#This Row],[Column1]])</f>
        <v/>
      </c>
      <c r="B903" s="6" t="str">
        <f>IF(ISNONTEXT(deployment_raw[[#This Row],[Column2]]), "", deployment_raw[[#This Row],[Column2]])</f>
        <v/>
      </c>
      <c r="C903" s="6" t="str">
        <f>IF(ISNONTEXT(deployment_raw[[#This Row],[Column3]]), "", deployment_raw[[#This Row],[Column3]])</f>
        <v/>
      </c>
      <c r="D903" s="6" t="str">
        <f>IF(ISNONTEXT(deployment_raw[[#This Row],[Column4]]), "", deployment_raw[[#This Row],[Column4]])</f>
        <v/>
      </c>
      <c r="E903" s="7" t="str">
        <f>IF(ISNUMBER(deployment_raw[[#This Row],[Column5]]), deployment_raw[[#This Row],[Column5]],"")</f>
        <v/>
      </c>
      <c r="F903" s="32" t="str">
        <f>IF(ISNUMBER(deployment_raw[[#This Row],[Column17]]), deployment_raw[[#This Row],[Column17]]/IF(OR($E$2="Deployment",deployment_raw[[#This Row],[Column5]]=0),1,deployment_raw[[#This Row],[Column5]]),"")</f>
        <v/>
      </c>
      <c r="G903" s="42" t="str">
        <f>IF(ISNUMBER(deployment_raw[[#This Row],[Column14]]), deployment_raw[[#This Row],[Column14]]/IF(OR($E$2="Deployment",deployment_raw[[#This Row],[Column5]]=0),1,deployment_raw[[#This Row],[Column5]]),"")</f>
        <v/>
      </c>
      <c r="H903" s="79" t="str">
        <f>IF(ISNUMBER(deployment_raw[[#This Row],[Column19]]), IF(I903&lt;&gt;0,(deployment_raw[[#This Row],[Column19]]/IF(OR($E$2="Deployment",deployment_raw[[#This Row],[Column5]]=0),1,deployment_raw[[#This Row],[Column5]]))/I903,0),"")</f>
        <v/>
      </c>
      <c r="I903" s="69" t="str">
        <f>IF(ISNUMBER(deployment_raw[[#This Row],[Column6]]), (deployment_raw[[#This Row],[Column6]] * IF($E$2="Deployment",deployment_raw[[#This Row],[Column5]],1)),"")</f>
        <v/>
      </c>
      <c r="J903" s="79" t="str">
        <f>IF(ISNUMBER(deployment_raw[[#This Row],[Column19]]), IF(K903&lt;&gt;0,(deployment_raw[[#This Row],[Column19]]/IF(OR($E$2="Deployment",deployment_raw[[#This Row],[Column5]]=0),1,deployment_raw[[#This Row],[Column5]]))/K903,0),"")</f>
        <v/>
      </c>
      <c r="K903" s="72" t="str">
        <f>IF(ISNUMBER(deployment_raw[[#This Row],[Column8]]), (deployment_raw[[#This Row],[Column8]]  * IF($E$2="Deployment",deployment_raw[[#This Row],[Column5]],1)),"")</f>
        <v/>
      </c>
      <c r="L90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0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03" s="81" t="str">
        <f>IF(ISNUMBER(deployment_raw[[#This Row],[Column20]]), IF(O903&lt;&gt;0,deployment_raw[[#This Row],[Column20]]/IF(OR($E$2="Deployment",deployment_raw[[#This Row],[Column5]]=0),1,deployment_raw[[#This Row],[Column5]])/1048576/O903,0),"")</f>
        <v/>
      </c>
      <c r="O903" s="74" t="str">
        <f>IF(ISNUMBER(deployment_raw[[#This Row],[Column7]]), (deployment_raw[[#This Row],[Column7]] * IF($E$2="Deployment",deployment_raw[[#This Row],[Column5]],1))/1048576,"")</f>
        <v/>
      </c>
      <c r="P903" s="81" t="str">
        <f>IF(ISNUMBER(deployment_raw[[#This Row],[Column20]]), IF(Q903&lt;&gt;0,deployment_raw[[#This Row],[Column20]]/IF(OR($E$2="Deployment",deployment_raw[[#This Row],[Column5]]=0),1,deployment_raw[[#This Row],[Column5]])/1048576/Q903,0),"")</f>
        <v/>
      </c>
      <c r="Q903" s="76" t="str">
        <f>IF(ISNUMBER(deployment_raw[[#This Row],[Column9]]), (deployment_raw[[#This Row],[Column9]] * IF($E$2="Deployment",deployment_raw[[#This Row],[Column5]],1))/1048576,"")</f>
        <v/>
      </c>
      <c r="R903" s="57" t="str">
        <f>IF(ISNUMBER(deployment_raw[[#This Row],[Column10]]), (deployment_raw[[#This Row],[Column10]] * IF($E$2="Deployment",deployment_raw[[#This Row],[Column5]],1)),"")</f>
        <v/>
      </c>
      <c r="S903" s="48" t="str">
        <f>IF(ISNUMBER(deployment_raw[[#This Row],[Column11]]), (deployment_raw[[#This Row],[Column11]] * IF($E$2="Deployment",deployment_raw[[#This Row],[Column5]],1))/1048576,"")</f>
        <v/>
      </c>
      <c r="T903" s="59" t="str">
        <f>IF(ISNUMBER(deployment_raw[[#This Row],[Column8]]),IF(OR(deployment_raw[[#This Row],[Column5]] &lt;&gt; 0,$E$2 &lt;&gt; "Deployment"), MAX(V903, ($T$2 * IF($E$2="Deployment",deployment_raw[[#This Row],[Column5]],1))), 0),"")</f>
        <v/>
      </c>
      <c r="U903" s="50" t="str">
        <f>IF(ISNUMBER(deployment_raw[[#This Row],[Column9]]),IF(OR(deployment_raw[[#This Row],[Column5]] &lt;&gt; 0,$E$2&lt;&gt;"Deployment"), MAX(W903, ($U$2 * IF($E$2="Deployment",deployment_raw[[#This Row],[Column5]],1))), 0),"")</f>
        <v/>
      </c>
      <c r="V903" s="15" t="str">
        <f>IF(ISNUMBER(deployment_raw[[#This Row],[Column12]]), (deployment_raw[[#This Row],[Column12]] * IF($E$2="Deployment",deployment_raw[[#This Row],[Column5]],1)*(1+$V$2)),"")</f>
        <v/>
      </c>
      <c r="W903" s="14" t="str">
        <f>IF(ISNUMBER(deployment_raw[[#This Row],[Column13]]), (deployment_raw[[#This Row],[Column13]] * IF($E$2="Deployment",deployment_raw[[#This Row],[Column5]],1)*(1+$W$2))/1048576,"")</f>
        <v/>
      </c>
    </row>
    <row r="904" spans="1:23" ht="15" customHeight="1" x14ac:dyDescent="0.25">
      <c r="A904" s="5" t="str">
        <f>IF(ISNONTEXT(deployment_raw[[#This Row],[Column1]]), "", deployment_raw[[#This Row],[Column1]])</f>
        <v/>
      </c>
      <c r="B904" s="6" t="str">
        <f>IF(ISNONTEXT(deployment_raw[[#This Row],[Column2]]), "", deployment_raw[[#This Row],[Column2]])</f>
        <v/>
      </c>
      <c r="C904" s="6" t="str">
        <f>IF(ISNONTEXT(deployment_raw[[#This Row],[Column3]]), "", deployment_raw[[#This Row],[Column3]])</f>
        <v/>
      </c>
      <c r="D904" s="6" t="str">
        <f>IF(ISNONTEXT(deployment_raw[[#This Row],[Column4]]), "", deployment_raw[[#This Row],[Column4]])</f>
        <v/>
      </c>
      <c r="E904" s="7" t="str">
        <f>IF(ISNUMBER(deployment_raw[[#This Row],[Column5]]), deployment_raw[[#This Row],[Column5]],"")</f>
        <v/>
      </c>
      <c r="F904" s="32" t="str">
        <f>IF(ISNUMBER(deployment_raw[[#This Row],[Column17]]), deployment_raw[[#This Row],[Column17]]/IF(OR($E$2="Deployment",deployment_raw[[#This Row],[Column5]]=0),1,deployment_raw[[#This Row],[Column5]]),"")</f>
        <v/>
      </c>
      <c r="G904" s="42" t="str">
        <f>IF(ISNUMBER(deployment_raw[[#This Row],[Column14]]), deployment_raw[[#This Row],[Column14]]/IF(OR($E$2="Deployment",deployment_raw[[#This Row],[Column5]]=0),1,deployment_raw[[#This Row],[Column5]]),"")</f>
        <v/>
      </c>
      <c r="H904" s="79" t="str">
        <f>IF(ISNUMBER(deployment_raw[[#This Row],[Column19]]), IF(I904&lt;&gt;0,(deployment_raw[[#This Row],[Column19]]/IF(OR($E$2="Deployment",deployment_raw[[#This Row],[Column5]]=0),1,deployment_raw[[#This Row],[Column5]]))/I904,0),"")</f>
        <v/>
      </c>
      <c r="I904" s="69" t="str">
        <f>IF(ISNUMBER(deployment_raw[[#This Row],[Column6]]), (deployment_raw[[#This Row],[Column6]] * IF($E$2="Deployment",deployment_raw[[#This Row],[Column5]],1)),"")</f>
        <v/>
      </c>
      <c r="J904" s="79" t="str">
        <f>IF(ISNUMBER(deployment_raw[[#This Row],[Column19]]), IF(K904&lt;&gt;0,(deployment_raw[[#This Row],[Column19]]/IF(OR($E$2="Deployment",deployment_raw[[#This Row],[Column5]]=0),1,deployment_raw[[#This Row],[Column5]]))/K904,0),"")</f>
        <v/>
      </c>
      <c r="K904" s="72" t="str">
        <f>IF(ISNUMBER(deployment_raw[[#This Row],[Column8]]), (deployment_raw[[#This Row],[Column8]]  * IF($E$2="Deployment",deployment_raw[[#This Row],[Column5]],1)),"")</f>
        <v/>
      </c>
      <c r="L90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0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04" s="81" t="str">
        <f>IF(ISNUMBER(deployment_raw[[#This Row],[Column20]]), IF(O904&lt;&gt;0,deployment_raw[[#This Row],[Column20]]/IF(OR($E$2="Deployment",deployment_raw[[#This Row],[Column5]]=0),1,deployment_raw[[#This Row],[Column5]])/1048576/O904,0),"")</f>
        <v/>
      </c>
      <c r="O904" s="74" t="str">
        <f>IF(ISNUMBER(deployment_raw[[#This Row],[Column7]]), (deployment_raw[[#This Row],[Column7]] * IF($E$2="Deployment",deployment_raw[[#This Row],[Column5]],1))/1048576,"")</f>
        <v/>
      </c>
      <c r="P904" s="81" t="str">
        <f>IF(ISNUMBER(deployment_raw[[#This Row],[Column20]]), IF(Q904&lt;&gt;0,deployment_raw[[#This Row],[Column20]]/IF(OR($E$2="Deployment",deployment_raw[[#This Row],[Column5]]=0),1,deployment_raw[[#This Row],[Column5]])/1048576/Q904,0),"")</f>
        <v/>
      </c>
      <c r="Q904" s="76" t="str">
        <f>IF(ISNUMBER(deployment_raw[[#This Row],[Column9]]), (deployment_raw[[#This Row],[Column9]] * IF($E$2="Deployment",deployment_raw[[#This Row],[Column5]],1))/1048576,"")</f>
        <v/>
      </c>
      <c r="R904" s="57" t="str">
        <f>IF(ISNUMBER(deployment_raw[[#This Row],[Column10]]), (deployment_raw[[#This Row],[Column10]] * IF($E$2="Deployment",deployment_raw[[#This Row],[Column5]],1)),"")</f>
        <v/>
      </c>
      <c r="S904" s="48" t="str">
        <f>IF(ISNUMBER(deployment_raw[[#This Row],[Column11]]), (deployment_raw[[#This Row],[Column11]] * IF($E$2="Deployment",deployment_raw[[#This Row],[Column5]],1))/1048576,"")</f>
        <v/>
      </c>
      <c r="T904" s="59" t="str">
        <f>IF(ISNUMBER(deployment_raw[[#This Row],[Column8]]),IF(OR(deployment_raw[[#This Row],[Column5]] &lt;&gt; 0,$E$2 &lt;&gt; "Deployment"), MAX(V904, ($T$2 * IF($E$2="Deployment",deployment_raw[[#This Row],[Column5]],1))), 0),"")</f>
        <v/>
      </c>
      <c r="U904" s="50" t="str">
        <f>IF(ISNUMBER(deployment_raw[[#This Row],[Column9]]),IF(OR(deployment_raw[[#This Row],[Column5]] &lt;&gt; 0,$E$2&lt;&gt;"Deployment"), MAX(W904, ($U$2 * IF($E$2="Deployment",deployment_raw[[#This Row],[Column5]],1))), 0),"")</f>
        <v/>
      </c>
      <c r="V904" s="15" t="str">
        <f>IF(ISNUMBER(deployment_raw[[#This Row],[Column12]]), (deployment_raw[[#This Row],[Column12]] * IF($E$2="Deployment",deployment_raw[[#This Row],[Column5]],1)*(1+$V$2)),"")</f>
        <v/>
      </c>
      <c r="W904" s="14" t="str">
        <f>IF(ISNUMBER(deployment_raw[[#This Row],[Column13]]), (deployment_raw[[#This Row],[Column13]] * IF($E$2="Deployment",deployment_raw[[#This Row],[Column5]],1)*(1+$W$2))/1048576,"")</f>
        <v/>
      </c>
    </row>
    <row r="905" spans="1:23" ht="15" customHeight="1" x14ac:dyDescent="0.25">
      <c r="A905" s="5" t="str">
        <f>IF(ISNONTEXT(deployment_raw[[#This Row],[Column1]]), "", deployment_raw[[#This Row],[Column1]])</f>
        <v/>
      </c>
      <c r="B905" s="6" t="str">
        <f>IF(ISNONTEXT(deployment_raw[[#This Row],[Column2]]), "", deployment_raw[[#This Row],[Column2]])</f>
        <v/>
      </c>
      <c r="C905" s="6" t="str">
        <f>IF(ISNONTEXT(deployment_raw[[#This Row],[Column3]]), "", deployment_raw[[#This Row],[Column3]])</f>
        <v/>
      </c>
      <c r="D905" s="6" t="str">
        <f>IF(ISNONTEXT(deployment_raw[[#This Row],[Column4]]), "", deployment_raw[[#This Row],[Column4]])</f>
        <v/>
      </c>
      <c r="E905" s="7" t="str">
        <f>IF(ISNUMBER(deployment_raw[[#This Row],[Column5]]), deployment_raw[[#This Row],[Column5]],"")</f>
        <v/>
      </c>
      <c r="F905" s="32" t="str">
        <f>IF(ISNUMBER(deployment_raw[[#This Row],[Column17]]), deployment_raw[[#This Row],[Column17]]/IF(OR($E$2="Deployment",deployment_raw[[#This Row],[Column5]]=0),1,deployment_raw[[#This Row],[Column5]]),"")</f>
        <v/>
      </c>
      <c r="G905" s="42" t="str">
        <f>IF(ISNUMBER(deployment_raw[[#This Row],[Column14]]), deployment_raw[[#This Row],[Column14]]/IF(OR($E$2="Deployment",deployment_raw[[#This Row],[Column5]]=0),1,deployment_raw[[#This Row],[Column5]]),"")</f>
        <v/>
      </c>
      <c r="H905" s="79" t="str">
        <f>IF(ISNUMBER(deployment_raw[[#This Row],[Column19]]), IF(I905&lt;&gt;0,(deployment_raw[[#This Row],[Column19]]/IF(OR($E$2="Deployment",deployment_raw[[#This Row],[Column5]]=0),1,deployment_raw[[#This Row],[Column5]]))/I905,0),"")</f>
        <v/>
      </c>
      <c r="I905" s="69" t="str">
        <f>IF(ISNUMBER(deployment_raw[[#This Row],[Column6]]), (deployment_raw[[#This Row],[Column6]] * IF($E$2="Deployment",deployment_raw[[#This Row],[Column5]],1)),"")</f>
        <v/>
      </c>
      <c r="J905" s="79" t="str">
        <f>IF(ISNUMBER(deployment_raw[[#This Row],[Column19]]), IF(K905&lt;&gt;0,(deployment_raw[[#This Row],[Column19]]/IF(OR($E$2="Deployment",deployment_raw[[#This Row],[Column5]]=0),1,deployment_raw[[#This Row],[Column5]]))/K905,0),"")</f>
        <v/>
      </c>
      <c r="K905" s="72" t="str">
        <f>IF(ISNUMBER(deployment_raw[[#This Row],[Column8]]), (deployment_raw[[#This Row],[Column8]]  * IF($E$2="Deployment",deployment_raw[[#This Row],[Column5]],1)),"")</f>
        <v/>
      </c>
      <c r="L90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0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05" s="81" t="str">
        <f>IF(ISNUMBER(deployment_raw[[#This Row],[Column20]]), IF(O905&lt;&gt;0,deployment_raw[[#This Row],[Column20]]/IF(OR($E$2="Deployment",deployment_raw[[#This Row],[Column5]]=0),1,deployment_raw[[#This Row],[Column5]])/1048576/O905,0),"")</f>
        <v/>
      </c>
      <c r="O905" s="74" t="str">
        <f>IF(ISNUMBER(deployment_raw[[#This Row],[Column7]]), (deployment_raw[[#This Row],[Column7]] * IF($E$2="Deployment",deployment_raw[[#This Row],[Column5]],1))/1048576,"")</f>
        <v/>
      </c>
      <c r="P905" s="81" t="str">
        <f>IF(ISNUMBER(deployment_raw[[#This Row],[Column20]]), IF(Q905&lt;&gt;0,deployment_raw[[#This Row],[Column20]]/IF(OR($E$2="Deployment",deployment_raw[[#This Row],[Column5]]=0),1,deployment_raw[[#This Row],[Column5]])/1048576/Q905,0),"")</f>
        <v/>
      </c>
      <c r="Q905" s="76" t="str">
        <f>IF(ISNUMBER(deployment_raw[[#This Row],[Column9]]), (deployment_raw[[#This Row],[Column9]] * IF($E$2="Deployment",deployment_raw[[#This Row],[Column5]],1))/1048576,"")</f>
        <v/>
      </c>
      <c r="R905" s="57" t="str">
        <f>IF(ISNUMBER(deployment_raw[[#This Row],[Column10]]), (deployment_raw[[#This Row],[Column10]] * IF($E$2="Deployment",deployment_raw[[#This Row],[Column5]],1)),"")</f>
        <v/>
      </c>
      <c r="S905" s="48" t="str">
        <f>IF(ISNUMBER(deployment_raw[[#This Row],[Column11]]), (deployment_raw[[#This Row],[Column11]] * IF($E$2="Deployment",deployment_raw[[#This Row],[Column5]],1))/1048576,"")</f>
        <v/>
      </c>
      <c r="T905" s="59" t="str">
        <f>IF(ISNUMBER(deployment_raw[[#This Row],[Column8]]),IF(OR(deployment_raw[[#This Row],[Column5]] &lt;&gt; 0,$E$2 &lt;&gt; "Deployment"), MAX(V905, ($T$2 * IF($E$2="Deployment",deployment_raw[[#This Row],[Column5]],1))), 0),"")</f>
        <v/>
      </c>
      <c r="U905" s="50" t="str">
        <f>IF(ISNUMBER(deployment_raw[[#This Row],[Column9]]),IF(OR(deployment_raw[[#This Row],[Column5]] &lt;&gt; 0,$E$2&lt;&gt;"Deployment"), MAX(W905, ($U$2 * IF($E$2="Deployment",deployment_raw[[#This Row],[Column5]],1))), 0),"")</f>
        <v/>
      </c>
      <c r="V905" s="15" t="str">
        <f>IF(ISNUMBER(deployment_raw[[#This Row],[Column12]]), (deployment_raw[[#This Row],[Column12]] * IF($E$2="Deployment",deployment_raw[[#This Row],[Column5]],1)*(1+$V$2)),"")</f>
        <v/>
      </c>
      <c r="W905" s="14" t="str">
        <f>IF(ISNUMBER(deployment_raw[[#This Row],[Column13]]), (deployment_raw[[#This Row],[Column13]] * IF($E$2="Deployment",deployment_raw[[#This Row],[Column5]],1)*(1+$W$2))/1048576,"")</f>
        <v/>
      </c>
    </row>
    <row r="906" spans="1:23" ht="15" customHeight="1" x14ac:dyDescent="0.25">
      <c r="A906" s="5" t="str">
        <f>IF(ISNONTEXT(deployment_raw[[#This Row],[Column1]]), "", deployment_raw[[#This Row],[Column1]])</f>
        <v/>
      </c>
      <c r="B906" s="6" t="str">
        <f>IF(ISNONTEXT(deployment_raw[[#This Row],[Column2]]), "", deployment_raw[[#This Row],[Column2]])</f>
        <v/>
      </c>
      <c r="C906" s="6" t="str">
        <f>IF(ISNONTEXT(deployment_raw[[#This Row],[Column3]]), "", deployment_raw[[#This Row],[Column3]])</f>
        <v/>
      </c>
      <c r="D906" s="6" t="str">
        <f>IF(ISNONTEXT(deployment_raw[[#This Row],[Column4]]), "", deployment_raw[[#This Row],[Column4]])</f>
        <v/>
      </c>
      <c r="E906" s="7" t="str">
        <f>IF(ISNUMBER(deployment_raw[[#This Row],[Column5]]), deployment_raw[[#This Row],[Column5]],"")</f>
        <v/>
      </c>
      <c r="F906" s="32" t="str">
        <f>IF(ISNUMBER(deployment_raw[[#This Row],[Column17]]), deployment_raw[[#This Row],[Column17]]/IF(OR($E$2="Deployment",deployment_raw[[#This Row],[Column5]]=0),1,deployment_raw[[#This Row],[Column5]]),"")</f>
        <v/>
      </c>
      <c r="G906" s="42" t="str">
        <f>IF(ISNUMBER(deployment_raw[[#This Row],[Column14]]), deployment_raw[[#This Row],[Column14]]/IF(OR($E$2="Deployment",deployment_raw[[#This Row],[Column5]]=0),1,deployment_raw[[#This Row],[Column5]]),"")</f>
        <v/>
      </c>
      <c r="H906" s="79" t="str">
        <f>IF(ISNUMBER(deployment_raw[[#This Row],[Column19]]), IF(I906&lt;&gt;0,(deployment_raw[[#This Row],[Column19]]/IF(OR($E$2="Deployment",deployment_raw[[#This Row],[Column5]]=0),1,deployment_raw[[#This Row],[Column5]]))/I906,0),"")</f>
        <v/>
      </c>
      <c r="I906" s="69" t="str">
        <f>IF(ISNUMBER(deployment_raw[[#This Row],[Column6]]), (deployment_raw[[#This Row],[Column6]] * IF($E$2="Deployment",deployment_raw[[#This Row],[Column5]],1)),"")</f>
        <v/>
      </c>
      <c r="J906" s="79" t="str">
        <f>IF(ISNUMBER(deployment_raw[[#This Row],[Column19]]), IF(K906&lt;&gt;0,(deployment_raw[[#This Row],[Column19]]/IF(OR($E$2="Deployment",deployment_raw[[#This Row],[Column5]]=0),1,deployment_raw[[#This Row],[Column5]]))/K906,0),"")</f>
        <v/>
      </c>
      <c r="K906" s="72" t="str">
        <f>IF(ISNUMBER(deployment_raw[[#This Row],[Column8]]), (deployment_raw[[#This Row],[Column8]]  * IF($E$2="Deployment",deployment_raw[[#This Row],[Column5]],1)),"")</f>
        <v/>
      </c>
      <c r="L90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0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06" s="81" t="str">
        <f>IF(ISNUMBER(deployment_raw[[#This Row],[Column20]]), IF(O906&lt;&gt;0,deployment_raw[[#This Row],[Column20]]/IF(OR($E$2="Deployment",deployment_raw[[#This Row],[Column5]]=0),1,deployment_raw[[#This Row],[Column5]])/1048576/O906,0),"")</f>
        <v/>
      </c>
      <c r="O906" s="74" t="str">
        <f>IF(ISNUMBER(deployment_raw[[#This Row],[Column7]]), (deployment_raw[[#This Row],[Column7]] * IF($E$2="Deployment",deployment_raw[[#This Row],[Column5]],1))/1048576,"")</f>
        <v/>
      </c>
      <c r="P906" s="81" t="str">
        <f>IF(ISNUMBER(deployment_raw[[#This Row],[Column20]]), IF(Q906&lt;&gt;0,deployment_raw[[#This Row],[Column20]]/IF(OR($E$2="Deployment",deployment_raw[[#This Row],[Column5]]=0),1,deployment_raw[[#This Row],[Column5]])/1048576/Q906,0),"")</f>
        <v/>
      </c>
      <c r="Q906" s="76" t="str">
        <f>IF(ISNUMBER(deployment_raw[[#This Row],[Column9]]), (deployment_raw[[#This Row],[Column9]] * IF($E$2="Deployment",deployment_raw[[#This Row],[Column5]],1))/1048576,"")</f>
        <v/>
      </c>
      <c r="R906" s="57" t="str">
        <f>IF(ISNUMBER(deployment_raw[[#This Row],[Column10]]), (deployment_raw[[#This Row],[Column10]] * IF($E$2="Deployment",deployment_raw[[#This Row],[Column5]],1)),"")</f>
        <v/>
      </c>
      <c r="S906" s="48" t="str">
        <f>IF(ISNUMBER(deployment_raw[[#This Row],[Column11]]), (deployment_raw[[#This Row],[Column11]] * IF($E$2="Deployment",deployment_raw[[#This Row],[Column5]],1))/1048576,"")</f>
        <v/>
      </c>
      <c r="T906" s="59" t="str">
        <f>IF(ISNUMBER(deployment_raw[[#This Row],[Column8]]),IF(OR(deployment_raw[[#This Row],[Column5]] &lt;&gt; 0,$E$2 &lt;&gt; "Deployment"), MAX(V906, ($T$2 * IF($E$2="Deployment",deployment_raw[[#This Row],[Column5]],1))), 0),"")</f>
        <v/>
      </c>
      <c r="U906" s="50" t="str">
        <f>IF(ISNUMBER(deployment_raw[[#This Row],[Column9]]),IF(OR(deployment_raw[[#This Row],[Column5]] &lt;&gt; 0,$E$2&lt;&gt;"Deployment"), MAX(W906, ($U$2 * IF($E$2="Deployment",deployment_raw[[#This Row],[Column5]],1))), 0),"")</f>
        <v/>
      </c>
      <c r="V906" s="15" t="str">
        <f>IF(ISNUMBER(deployment_raw[[#This Row],[Column12]]), (deployment_raw[[#This Row],[Column12]] * IF($E$2="Deployment",deployment_raw[[#This Row],[Column5]],1)*(1+$V$2)),"")</f>
        <v/>
      </c>
      <c r="W906" s="14" t="str">
        <f>IF(ISNUMBER(deployment_raw[[#This Row],[Column13]]), (deployment_raw[[#This Row],[Column13]] * IF($E$2="Deployment",deployment_raw[[#This Row],[Column5]],1)*(1+$W$2))/1048576,"")</f>
        <v/>
      </c>
    </row>
    <row r="907" spans="1:23" ht="15" customHeight="1" x14ac:dyDescent="0.25">
      <c r="A907" s="5" t="str">
        <f>IF(ISNONTEXT(deployment_raw[[#This Row],[Column1]]), "", deployment_raw[[#This Row],[Column1]])</f>
        <v/>
      </c>
      <c r="B907" s="6" t="str">
        <f>IF(ISNONTEXT(deployment_raw[[#This Row],[Column2]]), "", deployment_raw[[#This Row],[Column2]])</f>
        <v/>
      </c>
      <c r="C907" s="6" t="str">
        <f>IF(ISNONTEXT(deployment_raw[[#This Row],[Column3]]), "", deployment_raw[[#This Row],[Column3]])</f>
        <v/>
      </c>
      <c r="D907" s="6" t="str">
        <f>IF(ISNONTEXT(deployment_raw[[#This Row],[Column4]]), "", deployment_raw[[#This Row],[Column4]])</f>
        <v/>
      </c>
      <c r="E907" s="7" t="str">
        <f>IF(ISNUMBER(deployment_raw[[#This Row],[Column5]]), deployment_raw[[#This Row],[Column5]],"")</f>
        <v/>
      </c>
      <c r="F907" s="32" t="str">
        <f>IF(ISNUMBER(deployment_raw[[#This Row],[Column17]]), deployment_raw[[#This Row],[Column17]]/IF(OR($E$2="Deployment",deployment_raw[[#This Row],[Column5]]=0),1,deployment_raw[[#This Row],[Column5]]),"")</f>
        <v/>
      </c>
      <c r="G907" s="42" t="str">
        <f>IF(ISNUMBER(deployment_raw[[#This Row],[Column14]]), deployment_raw[[#This Row],[Column14]]/IF(OR($E$2="Deployment",deployment_raw[[#This Row],[Column5]]=0),1,deployment_raw[[#This Row],[Column5]]),"")</f>
        <v/>
      </c>
      <c r="H907" s="79" t="str">
        <f>IF(ISNUMBER(deployment_raw[[#This Row],[Column19]]), IF(I907&lt;&gt;0,(deployment_raw[[#This Row],[Column19]]/IF(OR($E$2="Deployment",deployment_raw[[#This Row],[Column5]]=0),1,deployment_raw[[#This Row],[Column5]]))/I907,0),"")</f>
        <v/>
      </c>
      <c r="I907" s="69" t="str">
        <f>IF(ISNUMBER(deployment_raw[[#This Row],[Column6]]), (deployment_raw[[#This Row],[Column6]] * IF($E$2="Deployment",deployment_raw[[#This Row],[Column5]],1)),"")</f>
        <v/>
      </c>
      <c r="J907" s="79" t="str">
        <f>IF(ISNUMBER(deployment_raw[[#This Row],[Column19]]), IF(K907&lt;&gt;0,(deployment_raw[[#This Row],[Column19]]/IF(OR($E$2="Deployment",deployment_raw[[#This Row],[Column5]]=0),1,deployment_raw[[#This Row],[Column5]]))/K907,0),"")</f>
        <v/>
      </c>
      <c r="K907" s="72" t="str">
        <f>IF(ISNUMBER(deployment_raw[[#This Row],[Column8]]), (deployment_raw[[#This Row],[Column8]]  * IF($E$2="Deployment",deployment_raw[[#This Row],[Column5]],1)),"")</f>
        <v/>
      </c>
      <c r="L90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0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07" s="81" t="str">
        <f>IF(ISNUMBER(deployment_raw[[#This Row],[Column20]]), IF(O907&lt;&gt;0,deployment_raw[[#This Row],[Column20]]/IF(OR($E$2="Deployment",deployment_raw[[#This Row],[Column5]]=0),1,deployment_raw[[#This Row],[Column5]])/1048576/O907,0),"")</f>
        <v/>
      </c>
      <c r="O907" s="74" t="str">
        <f>IF(ISNUMBER(deployment_raw[[#This Row],[Column7]]), (deployment_raw[[#This Row],[Column7]] * IF($E$2="Deployment",deployment_raw[[#This Row],[Column5]],1))/1048576,"")</f>
        <v/>
      </c>
      <c r="P907" s="81" t="str">
        <f>IF(ISNUMBER(deployment_raw[[#This Row],[Column20]]), IF(Q907&lt;&gt;0,deployment_raw[[#This Row],[Column20]]/IF(OR($E$2="Deployment",deployment_raw[[#This Row],[Column5]]=0),1,deployment_raw[[#This Row],[Column5]])/1048576/Q907,0),"")</f>
        <v/>
      </c>
      <c r="Q907" s="76" t="str">
        <f>IF(ISNUMBER(deployment_raw[[#This Row],[Column9]]), (deployment_raw[[#This Row],[Column9]] * IF($E$2="Deployment",deployment_raw[[#This Row],[Column5]],1))/1048576,"")</f>
        <v/>
      </c>
      <c r="R907" s="57" t="str">
        <f>IF(ISNUMBER(deployment_raw[[#This Row],[Column10]]), (deployment_raw[[#This Row],[Column10]] * IF($E$2="Deployment",deployment_raw[[#This Row],[Column5]],1)),"")</f>
        <v/>
      </c>
      <c r="S907" s="48" t="str">
        <f>IF(ISNUMBER(deployment_raw[[#This Row],[Column11]]), (deployment_raw[[#This Row],[Column11]] * IF($E$2="Deployment",deployment_raw[[#This Row],[Column5]],1))/1048576,"")</f>
        <v/>
      </c>
      <c r="T907" s="59" t="str">
        <f>IF(ISNUMBER(deployment_raw[[#This Row],[Column8]]),IF(OR(deployment_raw[[#This Row],[Column5]] &lt;&gt; 0,$E$2 &lt;&gt; "Deployment"), MAX(V907, ($T$2 * IF($E$2="Deployment",deployment_raw[[#This Row],[Column5]],1))), 0),"")</f>
        <v/>
      </c>
      <c r="U907" s="50" t="str">
        <f>IF(ISNUMBER(deployment_raw[[#This Row],[Column9]]),IF(OR(deployment_raw[[#This Row],[Column5]] &lt;&gt; 0,$E$2&lt;&gt;"Deployment"), MAX(W907, ($U$2 * IF($E$2="Deployment",deployment_raw[[#This Row],[Column5]],1))), 0),"")</f>
        <v/>
      </c>
      <c r="V907" s="15" t="str">
        <f>IF(ISNUMBER(deployment_raw[[#This Row],[Column12]]), (deployment_raw[[#This Row],[Column12]] * IF($E$2="Deployment",deployment_raw[[#This Row],[Column5]],1)*(1+$V$2)),"")</f>
        <v/>
      </c>
      <c r="W907" s="14" t="str">
        <f>IF(ISNUMBER(deployment_raw[[#This Row],[Column13]]), (deployment_raw[[#This Row],[Column13]] * IF($E$2="Deployment",deployment_raw[[#This Row],[Column5]],1)*(1+$W$2))/1048576,"")</f>
        <v/>
      </c>
    </row>
    <row r="908" spans="1:23" ht="15" customHeight="1" x14ac:dyDescent="0.25">
      <c r="A908" s="5" t="str">
        <f>IF(ISNONTEXT(deployment_raw[[#This Row],[Column1]]), "", deployment_raw[[#This Row],[Column1]])</f>
        <v/>
      </c>
      <c r="B908" s="6" t="str">
        <f>IF(ISNONTEXT(deployment_raw[[#This Row],[Column2]]), "", deployment_raw[[#This Row],[Column2]])</f>
        <v/>
      </c>
      <c r="C908" s="6" t="str">
        <f>IF(ISNONTEXT(deployment_raw[[#This Row],[Column3]]), "", deployment_raw[[#This Row],[Column3]])</f>
        <v/>
      </c>
      <c r="D908" s="6" t="str">
        <f>IF(ISNONTEXT(deployment_raw[[#This Row],[Column4]]), "", deployment_raw[[#This Row],[Column4]])</f>
        <v/>
      </c>
      <c r="E908" s="7" t="str">
        <f>IF(ISNUMBER(deployment_raw[[#This Row],[Column5]]), deployment_raw[[#This Row],[Column5]],"")</f>
        <v/>
      </c>
      <c r="F908" s="32" t="str">
        <f>IF(ISNUMBER(deployment_raw[[#This Row],[Column17]]), deployment_raw[[#This Row],[Column17]]/IF(OR($E$2="Deployment",deployment_raw[[#This Row],[Column5]]=0),1,deployment_raw[[#This Row],[Column5]]),"")</f>
        <v/>
      </c>
      <c r="G908" s="42" t="str">
        <f>IF(ISNUMBER(deployment_raw[[#This Row],[Column14]]), deployment_raw[[#This Row],[Column14]]/IF(OR($E$2="Deployment",deployment_raw[[#This Row],[Column5]]=0),1,deployment_raw[[#This Row],[Column5]]),"")</f>
        <v/>
      </c>
      <c r="H908" s="79" t="str">
        <f>IF(ISNUMBER(deployment_raw[[#This Row],[Column19]]), IF(I908&lt;&gt;0,(deployment_raw[[#This Row],[Column19]]/IF(OR($E$2="Deployment",deployment_raw[[#This Row],[Column5]]=0),1,deployment_raw[[#This Row],[Column5]]))/I908,0),"")</f>
        <v/>
      </c>
      <c r="I908" s="69" t="str">
        <f>IF(ISNUMBER(deployment_raw[[#This Row],[Column6]]), (deployment_raw[[#This Row],[Column6]] * IF($E$2="Deployment",deployment_raw[[#This Row],[Column5]],1)),"")</f>
        <v/>
      </c>
      <c r="J908" s="79" t="str">
        <f>IF(ISNUMBER(deployment_raw[[#This Row],[Column19]]), IF(K908&lt;&gt;0,(deployment_raw[[#This Row],[Column19]]/IF(OR($E$2="Deployment",deployment_raw[[#This Row],[Column5]]=0),1,deployment_raw[[#This Row],[Column5]]))/K908,0),"")</f>
        <v/>
      </c>
      <c r="K908" s="72" t="str">
        <f>IF(ISNUMBER(deployment_raw[[#This Row],[Column8]]), (deployment_raw[[#This Row],[Column8]]  * IF($E$2="Deployment",deployment_raw[[#This Row],[Column5]],1)),"")</f>
        <v/>
      </c>
      <c r="L90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0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08" s="81" t="str">
        <f>IF(ISNUMBER(deployment_raw[[#This Row],[Column20]]), IF(O908&lt;&gt;0,deployment_raw[[#This Row],[Column20]]/IF(OR($E$2="Deployment",deployment_raw[[#This Row],[Column5]]=0),1,deployment_raw[[#This Row],[Column5]])/1048576/O908,0),"")</f>
        <v/>
      </c>
      <c r="O908" s="74" t="str">
        <f>IF(ISNUMBER(deployment_raw[[#This Row],[Column7]]), (deployment_raw[[#This Row],[Column7]] * IF($E$2="Deployment",deployment_raw[[#This Row],[Column5]],1))/1048576,"")</f>
        <v/>
      </c>
      <c r="P908" s="81" t="str">
        <f>IF(ISNUMBER(deployment_raw[[#This Row],[Column20]]), IF(Q908&lt;&gt;0,deployment_raw[[#This Row],[Column20]]/IF(OR($E$2="Deployment",deployment_raw[[#This Row],[Column5]]=0),1,deployment_raw[[#This Row],[Column5]])/1048576/Q908,0),"")</f>
        <v/>
      </c>
      <c r="Q908" s="76" t="str">
        <f>IF(ISNUMBER(deployment_raw[[#This Row],[Column9]]), (deployment_raw[[#This Row],[Column9]] * IF($E$2="Deployment",deployment_raw[[#This Row],[Column5]],1))/1048576,"")</f>
        <v/>
      </c>
      <c r="R908" s="57" t="str">
        <f>IF(ISNUMBER(deployment_raw[[#This Row],[Column10]]), (deployment_raw[[#This Row],[Column10]] * IF($E$2="Deployment",deployment_raw[[#This Row],[Column5]],1)),"")</f>
        <v/>
      </c>
      <c r="S908" s="48" t="str">
        <f>IF(ISNUMBER(deployment_raw[[#This Row],[Column11]]), (deployment_raw[[#This Row],[Column11]] * IF($E$2="Deployment",deployment_raw[[#This Row],[Column5]],1))/1048576,"")</f>
        <v/>
      </c>
      <c r="T908" s="59" t="str">
        <f>IF(ISNUMBER(deployment_raw[[#This Row],[Column8]]),IF(OR(deployment_raw[[#This Row],[Column5]] &lt;&gt; 0,$E$2 &lt;&gt; "Deployment"), MAX(V908, ($T$2 * IF($E$2="Deployment",deployment_raw[[#This Row],[Column5]],1))), 0),"")</f>
        <v/>
      </c>
      <c r="U908" s="50" t="str">
        <f>IF(ISNUMBER(deployment_raw[[#This Row],[Column9]]),IF(OR(deployment_raw[[#This Row],[Column5]] &lt;&gt; 0,$E$2&lt;&gt;"Deployment"), MAX(W908, ($U$2 * IF($E$2="Deployment",deployment_raw[[#This Row],[Column5]],1))), 0),"")</f>
        <v/>
      </c>
      <c r="V908" s="15" t="str">
        <f>IF(ISNUMBER(deployment_raw[[#This Row],[Column12]]), (deployment_raw[[#This Row],[Column12]] * IF($E$2="Deployment",deployment_raw[[#This Row],[Column5]],1)*(1+$V$2)),"")</f>
        <v/>
      </c>
      <c r="W908" s="14" t="str">
        <f>IF(ISNUMBER(deployment_raw[[#This Row],[Column13]]), (deployment_raw[[#This Row],[Column13]] * IF($E$2="Deployment",deployment_raw[[#This Row],[Column5]],1)*(1+$W$2))/1048576,"")</f>
        <v/>
      </c>
    </row>
    <row r="909" spans="1:23" ht="15" customHeight="1" x14ac:dyDescent="0.25">
      <c r="A909" s="5" t="str">
        <f>IF(ISNONTEXT(deployment_raw[[#This Row],[Column1]]), "", deployment_raw[[#This Row],[Column1]])</f>
        <v/>
      </c>
      <c r="B909" s="6" t="str">
        <f>IF(ISNONTEXT(deployment_raw[[#This Row],[Column2]]), "", deployment_raw[[#This Row],[Column2]])</f>
        <v/>
      </c>
      <c r="C909" s="6" t="str">
        <f>IF(ISNONTEXT(deployment_raw[[#This Row],[Column3]]), "", deployment_raw[[#This Row],[Column3]])</f>
        <v/>
      </c>
      <c r="D909" s="6" t="str">
        <f>IF(ISNONTEXT(deployment_raw[[#This Row],[Column4]]), "", deployment_raw[[#This Row],[Column4]])</f>
        <v/>
      </c>
      <c r="E909" s="7" t="str">
        <f>IF(ISNUMBER(deployment_raw[[#This Row],[Column5]]), deployment_raw[[#This Row],[Column5]],"")</f>
        <v/>
      </c>
      <c r="F909" s="32" t="str">
        <f>IF(ISNUMBER(deployment_raw[[#This Row],[Column17]]), deployment_raw[[#This Row],[Column17]]/IF(OR($E$2="Deployment",deployment_raw[[#This Row],[Column5]]=0),1,deployment_raw[[#This Row],[Column5]]),"")</f>
        <v/>
      </c>
      <c r="G909" s="42" t="str">
        <f>IF(ISNUMBER(deployment_raw[[#This Row],[Column14]]), deployment_raw[[#This Row],[Column14]]/IF(OR($E$2="Deployment",deployment_raw[[#This Row],[Column5]]=0),1,deployment_raw[[#This Row],[Column5]]),"")</f>
        <v/>
      </c>
      <c r="H909" s="79" t="str">
        <f>IF(ISNUMBER(deployment_raw[[#This Row],[Column19]]), IF(I909&lt;&gt;0,(deployment_raw[[#This Row],[Column19]]/IF(OR($E$2="Deployment",deployment_raw[[#This Row],[Column5]]=0),1,deployment_raw[[#This Row],[Column5]]))/I909,0),"")</f>
        <v/>
      </c>
      <c r="I909" s="69" t="str">
        <f>IF(ISNUMBER(deployment_raw[[#This Row],[Column6]]), (deployment_raw[[#This Row],[Column6]] * IF($E$2="Deployment",deployment_raw[[#This Row],[Column5]],1)),"")</f>
        <v/>
      </c>
      <c r="J909" s="79" t="str">
        <f>IF(ISNUMBER(deployment_raw[[#This Row],[Column19]]), IF(K909&lt;&gt;0,(deployment_raw[[#This Row],[Column19]]/IF(OR($E$2="Deployment",deployment_raw[[#This Row],[Column5]]=0),1,deployment_raw[[#This Row],[Column5]]))/K909,0),"")</f>
        <v/>
      </c>
      <c r="K909" s="72" t="str">
        <f>IF(ISNUMBER(deployment_raw[[#This Row],[Column8]]), (deployment_raw[[#This Row],[Column8]]  * IF($E$2="Deployment",deployment_raw[[#This Row],[Column5]],1)),"")</f>
        <v/>
      </c>
      <c r="L90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0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09" s="81" t="str">
        <f>IF(ISNUMBER(deployment_raw[[#This Row],[Column20]]), IF(O909&lt;&gt;0,deployment_raw[[#This Row],[Column20]]/IF(OR($E$2="Deployment",deployment_raw[[#This Row],[Column5]]=0),1,deployment_raw[[#This Row],[Column5]])/1048576/O909,0),"")</f>
        <v/>
      </c>
      <c r="O909" s="74" t="str">
        <f>IF(ISNUMBER(deployment_raw[[#This Row],[Column7]]), (deployment_raw[[#This Row],[Column7]] * IF($E$2="Deployment",deployment_raw[[#This Row],[Column5]],1))/1048576,"")</f>
        <v/>
      </c>
      <c r="P909" s="81" t="str">
        <f>IF(ISNUMBER(deployment_raw[[#This Row],[Column20]]), IF(Q909&lt;&gt;0,deployment_raw[[#This Row],[Column20]]/IF(OR($E$2="Deployment",deployment_raw[[#This Row],[Column5]]=0),1,deployment_raw[[#This Row],[Column5]])/1048576/Q909,0),"")</f>
        <v/>
      </c>
      <c r="Q909" s="76" t="str">
        <f>IF(ISNUMBER(deployment_raw[[#This Row],[Column9]]), (deployment_raw[[#This Row],[Column9]] * IF($E$2="Deployment",deployment_raw[[#This Row],[Column5]],1))/1048576,"")</f>
        <v/>
      </c>
      <c r="R909" s="57" t="str">
        <f>IF(ISNUMBER(deployment_raw[[#This Row],[Column10]]), (deployment_raw[[#This Row],[Column10]] * IF($E$2="Deployment",deployment_raw[[#This Row],[Column5]],1)),"")</f>
        <v/>
      </c>
      <c r="S909" s="48" t="str">
        <f>IF(ISNUMBER(deployment_raw[[#This Row],[Column11]]), (deployment_raw[[#This Row],[Column11]] * IF($E$2="Deployment",deployment_raw[[#This Row],[Column5]],1))/1048576,"")</f>
        <v/>
      </c>
      <c r="T909" s="59" t="str">
        <f>IF(ISNUMBER(deployment_raw[[#This Row],[Column8]]),IF(OR(deployment_raw[[#This Row],[Column5]] &lt;&gt; 0,$E$2 &lt;&gt; "Deployment"), MAX(V909, ($T$2 * IF($E$2="Deployment",deployment_raw[[#This Row],[Column5]],1))), 0),"")</f>
        <v/>
      </c>
      <c r="U909" s="50" t="str">
        <f>IF(ISNUMBER(deployment_raw[[#This Row],[Column9]]),IF(OR(deployment_raw[[#This Row],[Column5]] &lt;&gt; 0,$E$2&lt;&gt;"Deployment"), MAX(W909, ($U$2 * IF($E$2="Deployment",deployment_raw[[#This Row],[Column5]],1))), 0),"")</f>
        <v/>
      </c>
      <c r="V909" s="15" t="str">
        <f>IF(ISNUMBER(deployment_raw[[#This Row],[Column12]]), (deployment_raw[[#This Row],[Column12]] * IF($E$2="Deployment",deployment_raw[[#This Row],[Column5]],1)*(1+$V$2)),"")</f>
        <v/>
      </c>
      <c r="W909" s="14" t="str">
        <f>IF(ISNUMBER(deployment_raw[[#This Row],[Column13]]), (deployment_raw[[#This Row],[Column13]] * IF($E$2="Deployment",deployment_raw[[#This Row],[Column5]],1)*(1+$W$2))/1048576,"")</f>
        <v/>
      </c>
    </row>
    <row r="910" spans="1:23" ht="15" customHeight="1" x14ac:dyDescent="0.25">
      <c r="A910" s="5" t="str">
        <f>IF(ISNONTEXT(deployment_raw[[#This Row],[Column1]]), "", deployment_raw[[#This Row],[Column1]])</f>
        <v/>
      </c>
      <c r="B910" s="6" t="str">
        <f>IF(ISNONTEXT(deployment_raw[[#This Row],[Column2]]), "", deployment_raw[[#This Row],[Column2]])</f>
        <v/>
      </c>
      <c r="C910" s="6" t="str">
        <f>IF(ISNONTEXT(deployment_raw[[#This Row],[Column3]]), "", deployment_raw[[#This Row],[Column3]])</f>
        <v/>
      </c>
      <c r="D910" s="6" t="str">
        <f>IF(ISNONTEXT(deployment_raw[[#This Row],[Column4]]), "", deployment_raw[[#This Row],[Column4]])</f>
        <v/>
      </c>
      <c r="E910" s="7" t="str">
        <f>IF(ISNUMBER(deployment_raw[[#This Row],[Column5]]), deployment_raw[[#This Row],[Column5]],"")</f>
        <v/>
      </c>
      <c r="F910" s="32" t="str">
        <f>IF(ISNUMBER(deployment_raw[[#This Row],[Column17]]), deployment_raw[[#This Row],[Column17]]/IF(OR($E$2="Deployment",deployment_raw[[#This Row],[Column5]]=0),1,deployment_raw[[#This Row],[Column5]]),"")</f>
        <v/>
      </c>
      <c r="G910" s="42" t="str">
        <f>IF(ISNUMBER(deployment_raw[[#This Row],[Column14]]), deployment_raw[[#This Row],[Column14]]/IF(OR($E$2="Deployment",deployment_raw[[#This Row],[Column5]]=0),1,deployment_raw[[#This Row],[Column5]]),"")</f>
        <v/>
      </c>
      <c r="H910" s="79" t="str">
        <f>IF(ISNUMBER(deployment_raw[[#This Row],[Column19]]), IF(I910&lt;&gt;0,(deployment_raw[[#This Row],[Column19]]/IF(OR($E$2="Deployment",deployment_raw[[#This Row],[Column5]]=0),1,deployment_raw[[#This Row],[Column5]]))/I910,0),"")</f>
        <v/>
      </c>
      <c r="I910" s="69" t="str">
        <f>IF(ISNUMBER(deployment_raw[[#This Row],[Column6]]), (deployment_raw[[#This Row],[Column6]] * IF($E$2="Deployment",deployment_raw[[#This Row],[Column5]],1)),"")</f>
        <v/>
      </c>
      <c r="J910" s="79" t="str">
        <f>IF(ISNUMBER(deployment_raw[[#This Row],[Column19]]), IF(K910&lt;&gt;0,(deployment_raw[[#This Row],[Column19]]/IF(OR($E$2="Deployment",deployment_raw[[#This Row],[Column5]]=0),1,deployment_raw[[#This Row],[Column5]]))/K910,0),"")</f>
        <v/>
      </c>
      <c r="K910" s="72" t="str">
        <f>IF(ISNUMBER(deployment_raw[[#This Row],[Column8]]), (deployment_raw[[#This Row],[Column8]]  * IF($E$2="Deployment",deployment_raw[[#This Row],[Column5]],1)),"")</f>
        <v/>
      </c>
      <c r="L91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1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10" s="81" t="str">
        <f>IF(ISNUMBER(deployment_raw[[#This Row],[Column20]]), IF(O910&lt;&gt;0,deployment_raw[[#This Row],[Column20]]/IF(OR($E$2="Deployment",deployment_raw[[#This Row],[Column5]]=0),1,deployment_raw[[#This Row],[Column5]])/1048576/O910,0),"")</f>
        <v/>
      </c>
      <c r="O910" s="74" t="str">
        <f>IF(ISNUMBER(deployment_raw[[#This Row],[Column7]]), (deployment_raw[[#This Row],[Column7]] * IF($E$2="Deployment",deployment_raw[[#This Row],[Column5]],1))/1048576,"")</f>
        <v/>
      </c>
      <c r="P910" s="81" t="str">
        <f>IF(ISNUMBER(deployment_raw[[#This Row],[Column20]]), IF(Q910&lt;&gt;0,deployment_raw[[#This Row],[Column20]]/IF(OR($E$2="Deployment",deployment_raw[[#This Row],[Column5]]=0),1,deployment_raw[[#This Row],[Column5]])/1048576/Q910,0),"")</f>
        <v/>
      </c>
      <c r="Q910" s="76" t="str">
        <f>IF(ISNUMBER(deployment_raw[[#This Row],[Column9]]), (deployment_raw[[#This Row],[Column9]] * IF($E$2="Deployment",deployment_raw[[#This Row],[Column5]],1))/1048576,"")</f>
        <v/>
      </c>
      <c r="R910" s="57" t="str">
        <f>IF(ISNUMBER(deployment_raw[[#This Row],[Column10]]), (deployment_raw[[#This Row],[Column10]] * IF($E$2="Deployment",deployment_raw[[#This Row],[Column5]],1)),"")</f>
        <v/>
      </c>
      <c r="S910" s="48" t="str">
        <f>IF(ISNUMBER(deployment_raw[[#This Row],[Column11]]), (deployment_raw[[#This Row],[Column11]] * IF($E$2="Deployment",deployment_raw[[#This Row],[Column5]],1))/1048576,"")</f>
        <v/>
      </c>
      <c r="T910" s="59" t="str">
        <f>IF(ISNUMBER(deployment_raw[[#This Row],[Column8]]),IF(OR(deployment_raw[[#This Row],[Column5]] &lt;&gt; 0,$E$2 &lt;&gt; "Deployment"), MAX(V910, ($T$2 * IF($E$2="Deployment",deployment_raw[[#This Row],[Column5]],1))), 0),"")</f>
        <v/>
      </c>
      <c r="U910" s="50" t="str">
        <f>IF(ISNUMBER(deployment_raw[[#This Row],[Column9]]),IF(OR(deployment_raw[[#This Row],[Column5]] &lt;&gt; 0,$E$2&lt;&gt;"Deployment"), MAX(W910, ($U$2 * IF($E$2="Deployment",deployment_raw[[#This Row],[Column5]],1))), 0),"")</f>
        <v/>
      </c>
      <c r="V910" s="15" t="str">
        <f>IF(ISNUMBER(deployment_raw[[#This Row],[Column12]]), (deployment_raw[[#This Row],[Column12]] * IF($E$2="Deployment",deployment_raw[[#This Row],[Column5]],1)*(1+$V$2)),"")</f>
        <v/>
      </c>
      <c r="W910" s="14" t="str">
        <f>IF(ISNUMBER(deployment_raw[[#This Row],[Column13]]), (deployment_raw[[#This Row],[Column13]] * IF($E$2="Deployment",deployment_raw[[#This Row],[Column5]],1)*(1+$W$2))/1048576,"")</f>
        <v/>
      </c>
    </row>
    <row r="911" spans="1:23" ht="15" customHeight="1" x14ac:dyDescent="0.25">
      <c r="A911" s="5" t="str">
        <f>IF(ISNONTEXT(deployment_raw[[#This Row],[Column1]]), "", deployment_raw[[#This Row],[Column1]])</f>
        <v/>
      </c>
      <c r="B911" s="6" t="str">
        <f>IF(ISNONTEXT(deployment_raw[[#This Row],[Column2]]), "", deployment_raw[[#This Row],[Column2]])</f>
        <v/>
      </c>
      <c r="C911" s="6" t="str">
        <f>IF(ISNONTEXT(deployment_raw[[#This Row],[Column3]]), "", deployment_raw[[#This Row],[Column3]])</f>
        <v/>
      </c>
      <c r="D911" s="6" t="str">
        <f>IF(ISNONTEXT(deployment_raw[[#This Row],[Column4]]), "", deployment_raw[[#This Row],[Column4]])</f>
        <v/>
      </c>
      <c r="E911" s="7" t="str">
        <f>IF(ISNUMBER(deployment_raw[[#This Row],[Column5]]), deployment_raw[[#This Row],[Column5]],"")</f>
        <v/>
      </c>
      <c r="F911" s="32" t="str">
        <f>IF(ISNUMBER(deployment_raw[[#This Row],[Column17]]), deployment_raw[[#This Row],[Column17]]/IF(OR($E$2="Deployment",deployment_raw[[#This Row],[Column5]]=0),1,deployment_raw[[#This Row],[Column5]]),"")</f>
        <v/>
      </c>
      <c r="G911" s="42" t="str">
        <f>IF(ISNUMBER(deployment_raw[[#This Row],[Column14]]), deployment_raw[[#This Row],[Column14]]/IF(OR($E$2="Deployment",deployment_raw[[#This Row],[Column5]]=0),1,deployment_raw[[#This Row],[Column5]]),"")</f>
        <v/>
      </c>
      <c r="H911" s="79" t="str">
        <f>IF(ISNUMBER(deployment_raw[[#This Row],[Column19]]), IF(I911&lt;&gt;0,(deployment_raw[[#This Row],[Column19]]/IF(OR($E$2="Deployment",deployment_raw[[#This Row],[Column5]]=0),1,deployment_raw[[#This Row],[Column5]]))/I911,0),"")</f>
        <v/>
      </c>
      <c r="I911" s="69" t="str">
        <f>IF(ISNUMBER(deployment_raw[[#This Row],[Column6]]), (deployment_raw[[#This Row],[Column6]] * IF($E$2="Deployment",deployment_raw[[#This Row],[Column5]],1)),"")</f>
        <v/>
      </c>
      <c r="J911" s="79" t="str">
        <f>IF(ISNUMBER(deployment_raw[[#This Row],[Column19]]), IF(K911&lt;&gt;0,(deployment_raw[[#This Row],[Column19]]/IF(OR($E$2="Deployment",deployment_raw[[#This Row],[Column5]]=0),1,deployment_raw[[#This Row],[Column5]]))/K911,0),"")</f>
        <v/>
      </c>
      <c r="K911" s="72" t="str">
        <f>IF(ISNUMBER(deployment_raw[[#This Row],[Column8]]), (deployment_raw[[#This Row],[Column8]]  * IF($E$2="Deployment",deployment_raw[[#This Row],[Column5]],1)),"")</f>
        <v/>
      </c>
      <c r="L91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1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11" s="81" t="str">
        <f>IF(ISNUMBER(deployment_raw[[#This Row],[Column20]]), IF(O911&lt;&gt;0,deployment_raw[[#This Row],[Column20]]/IF(OR($E$2="Deployment",deployment_raw[[#This Row],[Column5]]=0),1,deployment_raw[[#This Row],[Column5]])/1048576/O911,0),"")</f>
        <v/>
      </c>
      <c r="O911" s="74" t="str">
        <f>IF(ISNUMBER(deployment_raw[[#This Row],[Column7]]), (deployment_raw[[#This Row],[Column7]] * IF($E$2="Deployment",deployment_raw[[#This Row],[Column5]],1))/1048576,"")</f>
        <v/>
      </c>
      <c r="P911" s="81" t="str">
        <f>IF(ISNUMBER(deployment_raw[[#This Row],[Column20]]), IF(Q911&lt;&gt;0,deployment_raw[[#This Row],[Column20]]/IF(OR($E$2="Deployment",deployment_raw[[#This Row],[Column5]]=0),1,deployment_raw[[#This Row],[Column5]])/1048576/Q911,0),"")</f>
        <v/>
      </c>
      <c r="Q911" s="76" t="str">
        <f>IF(ISNUMBER(deployment_raw[[#This Row],[Column9]]), (deployment_raw[[#This Row],[Column9]] * IF($E$2="Deployment",deployment_raw[[#This Row],[Column5]],1))/1048576,"")</f>
        <v/>
      </c>
      <c r="R911" s="57" t="str">
        <f>IF(ISNUMBER(deployment_raw[[#This Row],[Column10]]), (deployment_raw[[#This Row],[Column10]] * IF($E$2="Deployment",deployment_raw[[#This Row],[Column5]],1)),"")</f>
        <v/>
      </c>
      <c r="S911" s="48" t="str">
        <f>IF(ISNUMBER(deployment_raw[[#This Row],[Column11]]), (deployment_raw[[#This Row],[Column11]] * IF($E$2="Deployment",deployment_raw[[#This Row],[Column5]],1))/1048576,"")</f>
        <v/>
      </c>
      <c r="T911" s="59" t="str">
        <f>IF(ISNUMBER(deployment_raw[[#This Row],[Column8]]),IF(OR(deployment_raw[[#This Row],[Column5]] &lt;&gt; 0,$E$2 &lt;&gt; "Deployment"), MAX(V911, ($T$2 * IF($E$2="Deployment",deployment_raw[[#This Row],[Column5]],1))), 0),"")</f>
        <v/>
      </c>
      <c r="U911" s="50" t="str">
        <f>IF(ISNUMBER(deployment_raw[[#This Row],[Column9]]),IF(OR(deployment_raw[[#This Row],[Column5]] &lt;&gt; 0,$E$2&lt;&gt;"Deployment"), MAX(W911, ($U$2 * IF($E$2="Deployment",deployment_raw[[#This Row],[Column5]],1))), 0),"")</f>
        <v/>
      </c>
      <c r="V911" s="15" t="str">
        <f>IF(ISNUMBER(deployment_raw[[#This Row],[Column12]]), (deployment_raw[[#This Row],[Column12]] * IF($E$2="Deployment",deployment_raw[[#This Row],[Column5]],1)*(1+$V$2)),"")</f>
        <v/>
      </c>
      <c r="W911" s="14" t="str">
        <f>IF(ISNUMBER(deployment_raw[[#This Row],[Column13]]), (deployment_raw[[#This Row],[Column13]] * IF($E$2="Deployment",deployment_raw[[#This Row],[Column5]],1)*(1+$W$2))/1048576,"")</f>
        <v/>
      </c>
    </row>
    <row r="912" spans="1:23" ht="15" customHeight="1" x14ac:dyDescent="0.25">
      <c r="A912" s="5" t="str">
        <f>IF(ISNONTEXT(deployment_raw[[#This Row],[Column1]]), "", deployment_raw[[#This Row],[Column1]])</f>
        <v/>
      </c>
      <c r="B912" s="6" t="str">
        <f>IF(ISNONTEXT(deployment_raw[[#This Row],[Column2]]), "", deployment_raw[[#This Row],[Column2]])</f>
        <v/>
      </c>
      <c r="C912" s="6" t="str">
        <f>IF(ISNONTEXT(deployment_raw[[#This Row],[Column3]]), "", deployment_raw[[#This Row],[Column3]])</f>
        <v/>
      </c>
      <c r="D912" s="6" t="str">
        <f>IF(ISNONTEXT(deployment_raw[[#This Row],[Column4]]), "", deployment_raw[[#This Row],[Column4]])</f>
        <v/>
      </c>
      <c r="E912" s="7" t="str">
        <f>IF(ISNUMBER(deployment_raw[[#This Row],[Column5]]), deployment_raw[[#This Row],[Column5]],"")</f>
        <v/>
      </c>
      <c r="F912" s="32" t="str">
        <f>IF(ISNUMBER(deployment_raw[[#This Row],[Column17]]), deployment_raw[[#This Row],[Column17]]/IF(OR($E$2="Deployment",deployment_raw[[#This Row],[Column5]]=0),1,deployment_raw[[#This Row],[Column5]]),"")</f>
        <v/>
      </c>
      <c r="G912" s="42" t="str">
        <f>IF(ISNUMBER(deployment_raw[[#This Row],[Column14]]), deployment_raw[[#This Row],[Column14]]/IF(OR($E$2="Deployment",deployment_raw[[#This Row],[Column5]]=0),1,deployment_raw[[#This Row],[Column5]]),"")</f>
        <v/>
      </c>
      <c r="H912" s="79" t="str">
        <f>IF(ISNUMBER(deployment_raw[[#This Row],[Column19]]), IF(I912&lt;&gt;0,(deployment_raw[[#This Row],[Column19]]/IF(OR($E$2="Deployment",deployment_raw[[#This Row],[Column5]]=0),1,deployment_raw[[#This Row],[Column5]]))/I912,0),"")</f>
        <v/>
      </c>
      <c r="I912" s="69" t="str">
        <f>IF(ISNUMBER(deployment_raw[[#This Row],[Column6]]), (deployment_raw[[#This Row],[Column6]] * IF($E$2="Deployment",deployment_raw[[#This Row],[Column5]],1)),"")</f>
        <v/>
      </c>
      <c r="J912" s="79" t="str">
        <f>IF(ISNUMBER(deployment_raw[[#This Row],[Column19]]), IF(K912&lt;&gt;0,(deployment_raw[[#This Row],[Column19]]/IF(OR($E$2="Deployment",deployment_raw[[#This Row],[Column5]]=0),1,deployment_raw[[#This Row],[Column5]]))/K912,0),"")</f>
        <v/>
      </c>
      <c r="K912" s="72" t="str">
        <f>IF(ISNUMBER(deployment_raw[[#This Row],[Column8]]), (deployment_raw[[#This Row],[Column8]]  * IF($E$2="Deployment",deployment_raw[[#This Row],[Column5]],1)),"")</f>
        <v/>
      </c>
      <c r="L91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1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12" s="81" t="str">
        <f>IF(ISNUMBER(deployment_raw[[#This Row],[Column20]]), IF(O912&lt;&gt;0,deployment_raw[[#This Row],[Column20]]/IF(OR($E$2="Deployment",deployment_raw[[#This Row],[Column5]]=0),1,deployment_raw[[#This Row],[Column5]])/1048576/O912,0),"")</f>
        <v/>
      </c>
      <c r="O912" s="74" t="str">
        <f>IF(ISNUMBER(deployment_raw[[#This Row],[Column7]]), (deployment_raw[[#This Row],[Column7]] * IF($E$2="Deployment",deployment_raw[[#This Row],[Column5]],1))/1048576,"")</f>
        <v/>
      </c>
      <c r="P912" s="81" t="str">
        <f>IF(ISNUMBER(deployment_raw[[#This Row],[Column20]]), IF(Q912&lt;&gt;0,deployment_raw[[#This Row],[Column20]]/IF(OR($E$2="Deployment",deployment_raw[[#This Row],[Column5]]=0),1,deployment_raw[[#This Row],[Column5]])/1048576/Q912,0),"")</f>
        <v/>
      </c>
      <c r="Q912" s="76" t="str">
        <f>IF(ISNUMBER(deployment_raw[[#This Row],[Column9]]), (deployment_raw[[#This Row],[Column9]] * IF($E$2="Deployment",deployment_raw[[#This Row],[Column5]],1))/1048576,"")</f>
        <v/>
      </c>
      <c r="R912" s="57" t="str">
        <f>IF(ISNUMBER(deployment_raw[[#This Row],[Column10]]), (deployment_raw[[#This Row],[Column10]] * IF($E$2="Deployment",deployment_raw[[#This Row],[Column5]],1)),"")</f>
        <v/>
      </c>
      <c r="S912" s="48" t="str">
        <f>IF(ISNUMBER(deployment_raw[[#This Row],[Column11]]), (deployment_raw[[#This Row],[Column11]] * IF($E$2="Deployment",deployment_raw[[#This Row],[Column5]],1))/1048576,"")</f>
        <v/>
      </c>
      <c r="T912" s="59" t="str">
        <f>IF(ISNUMBER(deployment_raw[[#This Row],[Column8]]),IF(OR(deployment_raw[[#This Row],[Column5]] &lt;&gt; 0,$E$2 &lt;&gt; "Deployment"), MAX(V912, ($T$2 * IF($E$2="Deployment",deployment_raw[[#This Row],[Column5]],1))), 0),"")</f>
        <v/>
      </c>
      <c r="U912" s="50" t="str">
        <f>IF(ISNUMBER(deployment_raw[[#This Row],[Column9]]),IF(OR(deployment_raw[[#This Row],[Column5]] &lt;&gt; 0,$E$2&lt;&gt;"Deployment"), MAX(W912, ($U$2 * IF($E$2="Deployment",deployment_raw[[#This Row],[Column5]],1))), 0),"")</f>
        <v/>
      </c>
      <c r="V912" s="15" t="str">
        <f>IF(ISNUMBER(deployment_raw[[#This Row],[Column12]]), (deployment_raw[[#This Row],[Column12]] * IF($E$2="Deployment",deployment_raw[[#This Row],[Column5]],1)*(1+$V$2)),"")</f>
        <v/>
      </c>
      <c r="W912" s="14" t="str">
        <f>IF(ISNUMBER(deployment_raw[[#This Row],[Column13]]), (deployment_raw[[#This Row],[Column13]] * IF($E$2="Deployment",deployment_raw[[#This Row],[Column5]],1)*(1+$W$2))/1048576,"")</f>
        <v/>
      </c>
    </row>
    <row r="913" spans="1:23" ht="15" customHeight="1" x14ac:dyDescent="0.25">
      <c r="A913" s="5" t="str">
        <f>IF(ISNONTEXT(deployment_raw[[#This Row],[Column1]]), "", deployment_raw[[#This Row],[Column1]])</f>
        <v/>
      </c>
      <c r="B913" s="6" t="str">
        <f>IF(ISNONTEXT(deployment_raw[[#This Row],[Column2]]), "", deployment_raw[[#This Row],[Column2]])</f>
        <v/>
      </c>
      <c r="C913" s="6" t="str">
        <f>IF(ISNONTEXT(deployment_raw[[#This Row],[Column3]]), "", deployment_raw[[#This Row],[Column3]])</f>
        <v/>
      </c>
      <c r="D913" s="6" t="str">
        <f>IF(ISNONTEXT(deployment_raw[[#This Row],[Column4]]), "", deployment_raw[[#This Row],[Column4]])</f>
        <v/>
      </c>
      <c r="E913" s="7" t="str">
        <f>IF(ISNUMBER(deployment_raw[[#This Row],[Column5]]), deployment_raw[[#This Row],[Column5]],"")</f>
        <v/>
      </c>
      <c r="F913" s="32" t="str">
        <f>IF(ISNUMBER(deployment_raw[[#This Row],[Column17]]), deployment_raw[[#This Row],[Column17]]/IF(OR($E$2="Deployment",deployment_raw[[#This Row],[Column5]]=0),1,deployment_raw[[#This Row],[Column5]]),"")</f>
        <v/>
      </c>
      <c r="G913" s="42" t="str">
        <f>IF(ISNUMBER(deployment_raw[[#This Row],[Column14]]), deployment_raw[[#This Row],[Column14]]/IF(OR($E$2="Deployment",deployment_raw[[#This Row],[Column5]]=0),1,deployment_raw[[#This Row],[Column5]]),"")</f>
        <v/>
      </c>
      <c r="H913" s="79" t="str">
        <f>IF(ISNUMBER(deployment_raw[[#This Row],[Column19]]), IF(I913&lt;&gt;0,(deployment_raw[[#This Row],[Column19]]/IF(OR($E$2="Deployment",deployment_raw[[#This Row],[Column5]]=0),1,deployment_raw[[#This Row],[Column5]]))/I913,0),"")</f>
        <v/>
      </c>
      <c r="I913" s="69" t="str">
        <f>IF(ISNUMBER(deployment_raw[[#This Row],[Column6]]), (deployment_raw[[#This Row],[Column6]] * IF($E$2="Deployment",deployment_raw[[#This Row],[Column5]],1)),"")</f>
        <v/>
      </c>
      <c r="J913" s="79" t="str">
        <f>IF(ISNUMBER(deployment_raw[[#This Row],[Column19]]), IF(K913&lt;&gt;0,(deployment_raw[[#This Row],[Column19]]/IF(OR($E$2="Deployment",deployment_raw[[#This Row],[Column5]]=0),1,deployment_raw[[#This Row],[Column5]]))/K913,0),"")</f>
        <v/>
      </c>
      <c r="K913" s="72" t="str">
        <f>IF(ISNUMBER(deployment_raw[[#This Row],[Column8]]), (deployment_raw[[#This Row],[Column8]]  * IF($E$2="Deployment",deployment_raw[[#This Row],[Column5]],1)),"")</f>
        <v/>
      </c>
      <c r="L91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1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13" s="81" t="str">
        <f>IF(ISNUMBER(deployment_raw[[#This Row],[Column20]]), IF(O913&lt;&gt;0,deployment_raw[[#This Row],[Column20]]/IF(OR($E$2="Deployment",deployment_raw[[#This Row],[Column5]]=0),1,deployment_raw[[#This Row],[Column5]])/1048576/O913,0),"")</f>
        <v/>
      </c>
      <c r="O913" s="74" t="str">
        <f>IF(ISNUMBER(deployment_raw[[#This Row],[Column7]]), (deployment_raw[[#This Row],[Column7]] * IF($E$2="Deployment",deployment_raw[[#This Row],[Column5]],1))/1048576,"")</f>
        <v/>
      </c>
      <c r="P913" s="81" t="str">
        <f>IF(ISNUMBER(deployment_raw[[#This Row],[Column20]]), IF(Q913&lt;&gt;0,deployment_raw[[#This Row],[Column20]]/IF(OR($E$2="Deployment",deployment_raw[[#This Row],[Column5]]=0),1,deployment_raw[[#This Row],[Column5]])/1048576/Q913,0),"")</f>
        <v/>
      </c>
      <c r="Q913" s="76" t="str">
        <f>IF(ISNUMBER(deployment_raw[[#This Row],[Column9]]), (deployment_raw[[#This Row],[Column9]] * IF($E$2="Deployment",deployment_raw[[#This Row],[Column5]],1))/1048576,"")</f>
        <v/>
      </c>
      <c r="R913" s="57" t="str">
        <f>IF(ISNUMBER(deployment_raw[[#This Row],[Column10]]), (deployment_raw[[#This Row],[Column10]] * IF($E$2="Deployment",deployment_raw[[#This Row],[Column5]],1)),"")</f>
        <v/>
      </c>
      <c r="S913" s="48" t="str">
        <f>IF(ISNUMBER(deployment_raw[[#This Row],[Column11]]), (deployment_raw[[#This Row],[Column11]] * IF($E$2="Deployment",deployment_raw[[#This Row],[Column5]],1))/1048576,"")</f>
        <v/>
      </c>
      <c r="T913" s="59" t="str">
        <f>IF(ISNUMBER(deployment_raw[[#This Row],[Column8]]),IF(OR(deployment_raw[[#This Row],[Column5]] &lt;&gt; 0,$E$2 &lt;&gt; "Deployment"), MAX(V913, ($T$2 * IF($E$2="Deployment",deployment_raw[[#This Row],[Column5]],1))), 0),"")</f>
        <v/>
      </c>
      <c r="U913" s="50" t="str">
        <f>IF(ISNUMBER(deployment_raw[[#This Row],[Column9]]),IF(OR(deployment_raw[[#This Row],[Column5]] &lt;&gt; 0,$E$2&lt;&gt;"Deployment"), MAX(W913, ($U$2 * IF($E$2="Deployment",deployment_raw[[#This Row],[Column5]],1))), 0),"")</f>
        <v/>
      </c>
      <c r="V913" s="15" t="str">
        <f>IF(ISNUMBER(deployment_raw[[#This Row],[Column12]]), (deployment_raw[[#This Row],[Column12]] * IF($E$2="Deployment",deployment_raw[[#This Row],[Column5]],1)*(1+$V$2)),"")</f>
        <v/>
      </c>
      <c r="W913" s="14" t="str">
        <f>IF(ISNUMBER(deployment_raw[[#This Row],[Column13]]), (deployment_raw[[#This Row],[Column13]] * IF($E$2="Deployment",deployment_raw[[#This Row],[Column5]],1)*(1+$W$2))/1048576,"")</f>
        <v/>
      </c>
    </row>
    <row r="914" spans="1:23" ht="15" customHeight="1" x14ac:dyDescent="0.25">
      <c r="A914" s="5" t="str">
        <f>IF(ISNONTEXT(deployment_raw[[#This Row],[Column1]]), "", deployment_raw[[#This Row],[Column1]])</f>
        <v/>
      </c>
      <c r="B914" s="6" t="str">
        <f>IF(ISNONTEXT(deployment_raw[[#This Row],[Column2]]), "", deployment_raw[[#This Row],[Column2]])</f>
        <v/>
      </c>
      <c r="C914" s="6" t="str">
        <f>IF(ISNONTEXT(deployment_raw[[#This Row],[Column3]]), "", deployment_raw[[#This Row],[Column3]])</f>
        <v/>
      </c>
      <c r="D914" s="6" t="str">
        <f>IF(ISNONTEXT(deployment_raw[[#This Row],[Column4]]), "", deployment_raw[[#This Row],[Column4]])</f>
        <v/>
      </c>
      <c r="E914" s="7" t="str">
        <f>IF(ISNUMBER(deployment_raw[[#This Row],[Column5]]), deployment_raw[[#This Row],[Column5]],"")</f>
        <v/>
      </c>
      <c r="F914" s="32" t="str">
        <f>IF(ISNUMBER(deployment_raw[[#This Row],[Column17]]), deployment_raw[[#This Row],[Column17]]/IF(OR($E$2="Deployment",deployment_raw[[#This Row],[Column5]]=0),1,deployment_raw[[#This Row],[Column5]]),"")</f>
        <v/>
      </c>
      <c r="G914" s="42" t="str">
        <f>IF(ISNUMBER(deployment_raw[[#This Row],[Column14]]), deployment_raw[[#This Row],[Column14]]/IF(OR($E$2="Deployment",deployment_raw[[#This Row],[Column5]]=0),1,deployment_raw[[#This Row],[Column5]]),"")</f>
        <v/>
      </c>
      <c r="H914" s="79" t="str">
        <f>IF(ISNUMBER(deployment_raw[[#This Row],[Column19]]), IF(I914&lt;&gt;0,(deployment_raw[[#This Row],[Column19]]/IF(OR($E$2="Deployment",deployment_raw[[#This Row],[Column5]]=0),1,deployment_raw[[#This Row],[Column5]]))/I914,0),"")</f>
        <v/>
      </c>
      <c r="I914" s="69" t="str">
        <f>IF(ISNUMBER(deployment_raw[[#This Row],[Column6]]), (deployment_raw[[#This Row],[Column6]] * IF($E$2="Deployment",deployment_raw[[#This Row],[Column5]],1)),"")</f>
        <v/>
      </c>
      <c r="J914" s="79" t="str">
        <f>IF(ISNUMBER(deployment_raw[[#This Row],[Column19]]), IF(K914&lt;&gt;0,(deployment_raw[[#This Row],[Column19]]/IF(OR($E$2="Deployment",deployment_raw[[#This Row],[Column5]]=0),1,deployment_raw[[#This Row],[Column5]]))/K914,0),"")</f>
        <v/>
      </c>
      <c r="K914" s="72" t="str">
        <f>IF(ISNUMBER(deployment_raw[[#This Row],[Column8]]), (deployment_raw[[#This Row],[Column8]]  * IF($E$2="Deployment",deployment_raw[[#This Row],[Column5]],1)),"")</f>
        <v/>
      </c>
      <c r="L91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1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14" s="81" t="str">
        <f>IF(ISNUMBER(deployment_raw[[#This Row],[Column20]]), IF(O914&lt;&gt;0,deployment_raw[[#This Row],[Column20]]/IF(OR($E$2="Deployment",deployment_raw[[#This Row],[Column5]]=0),1,deployment_raw[[#This Row],[Column5]])/1048576/O914,0),"")</f>
        <v/>
      </c>
      <c r="O914" s="74" t="str">
        <f>IF(ISNUMBER(deployment_raw[[#This Row],[Column7]]), (deployment_raw[[#This Row],[Column7]] * IF($E$2="Deployment",deployment_raw[[#This Row],[Column5]],1))/1048576,"")</f>
        <v/>
      </c>
      <c r="P914" s="81" t="str">
        <f>IF(ISNUMBER(deployment_raw[[#This Row],[Column20]]), IF(Q914&lt;&gt;0,deployment_raw[[#This Row],[Column20]]/IF(OR($E$2="Deployment",deployment_raw[[#This Row],[Column5]]=0),1,deployment_raw[[#This Row],[Column5]])/1048576/Q914,0),"")</f>
        <v/>
      </c>
      <c r="Q914" s="76" t="str">
        <f>IF(ISNUMBER(deployment_raw[[#This Row],[Column9]]), (deployment_raw[[#This Row],[Column9]] * IF($E$2="Deployment",deployment_raw[[#This Row],[Column5]],1))/1048576,"")</f>
        <v/>
      </c>
      <c r="R914" s="57" t="str">
        <f>IF(ISNUMBER(deployment_raw[[#This Row],[Column10]]), (deployment_raw[[#This Row],[Column10]] * IF($E$2="Deployment",deployment_raw[[#This Row],[Column5]],1)),"")</f>
        <v/>
      </c>
      <c r="S914" s="48" t="str">
        <f>IF(ISNUMBER(deployment_raw[[#This Row],[Column11]]), (deployment_raw[[#This Row],[Column11]] * IF($E$2="Deployment",deployment_raw[[#This Row],[Column5]],1))/1048576,"")</f>
        <v/>
      </c>
      <c r="T914" s="59" t="str">
        <f>IF(ISNUMBER(deployment_raw[[#This Row],[Column8]]),IF(OR(deployment_raw[[#This Row],[Column5]] &lt;&gt; 0,$E$2 &lt;&gt; "Deployment"), MAX(V914, ($T$2 * IF($E$2="Deployment",deployment_raw[[#This Row],[Column5]],1))), 0),"")</f>
        <v/>
      </c>
      <c r="U914" s="50" t="str">
        <f>IF(ISNUMBER(deployment_raw[[#This Row],[Column9]]),IF(OR(deployment_raw[[#This Row],[Column5]] &lt;&gt; 0,$E$2&lt;&gt;"Deployment"), MAX(W914, ($U$2 * IF($E$2="Deployment",deployment_raw[[#This Row],[Column5]],1))), 0),"")</f>
        <v/>
      </c>
      <c r="V914" s="15" t="str">
        <f>IF(ISNUMBER(deployment_raw[[#This Row],[Column12]]), (deployment_raw[[#This Row],[Column12]] * IF($E$2="Deployment",deployment_raw[[#This Row],[Column5]],1)*(1+$V$2)),"")</f>
        <v/>
      </c>
      <c r="W914" s="14" t="str">
        <f>IF(ISNUMBER(deployment_raw[[#This Row],[Column13]]), (deployment_raw[[#This Row],[Column13]] * IF($E$2="Deployment",deployment_raw[[#This Row],[Column5]],1)*(1+$W$2))/1048576,"")</f>
        <v/>
      </c>
    </row>
    <row r="915" spans="1:23" ht="15" customHeight="1" x14ac:dyDescent="0.25">
      <c r="A915" s="5" t="str">
        <f>IF(ISNONTEXT(deployment_raw[[#This Row],[Column1]]), "", deployment_raw[[#This Row],[Column1]])</f>
        <v/>
      </c>
      <c r="B915" s="6" t="str">
        <f>IF(ISNONTEXT(deployment_raw[[#This Row],[Column2]]), "", deployment_raw[[#This Row],[Column2]])</f>
        <v/>
      </c>
      <c r="C915" s="6" t="str">
        <f>IF(ISNONTEXT(deployment_raw[[#This Row],[Column3]]), "", deployment_raw[[#This Row],[Column3]])</f>
        <v/>
      </c>
      <c r="D915" s="6" t="str">
        <f>IF(ISNONTEXT(deployment_raw[[#This Row],[Column4]]), "", deployment_raw[[#This Row],[Column4]])</f>
        <v/>
      </c>
      <c r="E915" s="7" t="str">
        <f>IF(ISNUMBER(deployment_raw[[#This Row],[Column5]]), deployment_raw[[#This Row],[Column5]],"")</f>
        <v/>
      </c>
      <c r="F915" s="32" t="str">
        <f>IF(ISNUMBER(deployment_raw[[#This Row],[Column17]]), deployment_raw[[#This Row],[Column17]]/IF(OR($E$2="Deployment",deployment_raw[[#This Row],[Column5]]=0),1,deployment_raw[[#This Row],[Column5]]),"")</f>
        <v/>
      </c>
      <c r="G915" s="42" t="str">
        <f>IF(ISNUMBER(deployment_raw[[#This Row],[Column14]]), deployment_raw[[#This Row],[Column14]]/IF(OR($E$2="Deployment",deployment_raw[[#This Row],[Column5]]=0),1,deployment_raw[[#This Row],[Column5]]),"")</f>
        <v/>
      </c>
      <c r="H915" s="79" t="str">
        <f>IF(ISNUMBER(deployment_raw[[#This Row],[Column19]]), IF(I915&lt;&gt;0,(deployment_raw[[#This Row],[Column19]]/IF(OR($E$2="Deployment",deployment_raw[[#This Row],[Column5]]=0),1,deployment_raw[[#This Row],[Column5]]))/I915,0),"")</f>
        <v/>
      </c>
      <c r="I915" s="69" t="str">
        <f>IF(ISNUMBER(deployment_raw[[#This Row],[Column6]]), (deployment_raw[[#This Row],[Column6]] * IF($E$2="Deployment",deployment_raw[[#This Row],[Column5]],1)),"")</f>
        <v/>
      </c>
      <c r="J915" s="79" t="str">
        <f>IF(ISNUMBER(deployment_raw[[#This Row],[Column19]]), IF(K915&lt;&gt;0,(deployment_raw[[#This Row],[Column19]]/IF(OR($E$2="Deployment",deployment_raw[[#This Row],[Column5]]=0),1,deployment_raw[[#This Row],[Column5]]))/K915,0),"")</f>
        <v/>
      </c>
      <c r="K915" s="72" t="str">
        <f>IF(ISNUMBER(deployment_raw[[#This Row],[Column8]]), (deployment_raw[[#This Row],[Column8]]  * IF($E$2="Deployment",deployment_raw[[#This Row],[Column5]],1)),"")</f>
        <v/>
      </c>
      <c r="L91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1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15" s="81" t="str">
        <f>IF(ISNUMBER(deployment_raw[[#This Row],[Column20]]), IF(O915&lt;&gt;0,deployment_raw[[#This Row],[Column20]]/IF(OR($E$2="Deployment",deployment_raw[[#This Row],[Column5]]=0),1,deployment_raw[[#This Row],[Column5]])/1048576/O915,0),"")</f>
        <v/>
      </c>
      <c r="O915" s="74" t="str">
        <f>IF(ISNUMBER(deployment_raw[[#This Row],[Column7]]), (deployment_raw[[#This Row],[Column7]] * IF($E$2="Deployment",deployment_raw[[#This Row],[Column5]],1))/1048576,"")</f>
        <v/>
      </c>
      <c r="P915" s="81" t="str">
        <f>IF(ISNUMBER(deployment_raw[[#This Row],[Column20]]), IF(Q915&lt;&gt;0,deployment_raw[[#This Row],[Column20]]/IF(OR($E$2="Deployment",deployment_raw[[#This Row],[Column5]]=0),1,deployment_raw[[#This Row],[Column5]])/1048576/Q915,0),"")</f>
        <v/>
      </c>
      <c r="Q915" s="76" t="str">
        <f>IF(ISNUMBER(deployment_raw[[#This Row],[Column9]]), (deployment_raw[[#This Row],[Column9]] * IF($E$2="Deployment",deployment_raw[[#This Row],[Column5]],1))/1048576,"")</f>
        <v/>
      </c>
      <c r="R915" s="57" t="str">
        <f>IF(ISNUMBER(deployment_raw[[#This Row],[Column10]]), (deployment_raw[[#This Row],[Column10]] * IF($E$2="Deployment",deployment_raw[[#This Row],[Column5]],1)),"")</f>
        <v/>
      </c>
      <c r="S915" s="48" t="str">
        <f>IF(ISNUMBER(deployment_raw[[#This Row],[Column11]]), (deployment_raw[[#This Row],[Column11]] * IF($E$2="Deployment",deployment_raw[[#This Row],[Column5]],1))/1048576,"")</f>
        <v/>
      </c>
      <c r="T915" s="59" t="str">
        <f>IF(ISNUMBER(deployment_raw[[#This Row],[Column8]]),IF(OR(deployment_raw[[#This Row],[Column5]] &lt;&gt; 0,$E$2 &lt;&gt; "Deployment"), MAX(V915, ($T$2 * IF($E$2="Deployment",deployment_raw[[#This Row],[Column5]],1))), 0),"")</f>
        <v/>
      </c>
      <c r="U915" s="50" t="str">
        <f>IF(ISNUMBER(deployment_raw[[#This Row],[Column9]]),IF(OR(deployment_raw[[#This Row],[Column5]] &lt;&gt; 0,$E$2&lt;&gt;"Deployment"), MAX(W915, ($U$2 * IF($E$2="Deployment",deployment_raw[[#This Row],[Column5]],1))), 0),"")</f>
        <v/>
      </c>
      <c r="V915" s="15" t="str">
        <f>IF(ISNUMBER(deployment_raw[[#This Row],[Column12]]), (deployment_raw[[#This Row],[Column12]] * IF($E$2="Deployment",deployment_raw[[#This Row],[Column5]],1)*(1+$V$2)),"")</f>
        <v/>
      </c>
      <c r="W915" s="14" t="str">
        <f>IF(ISNUMBER(deployment_raw[[#This Row],[Column13]]), (deployment_raw[[#This Row],[Column13]] * IF($E$2="Deployment",deployment_raw[[#This Row],[Column5]],1)*(1+$W$2))/1048576,"")</f>
        <v/>
      </c>
    </row>
    <row r="916" spans="1:23" ht="15" customHeight="1" x14ac:dyDescent="0.25">
      <c r="A916" s="5" t="str">
        <f>IF(ISNONTEXT(deployment_raw[[#This Row],[Column1]]), "", deployment_raw[[#This Row],[Column1]])</f>
        <v/>
      </c>
      <c r="B916" s="6" t="str">
        <f>IF(ISNONTEXT(deployment_raw[[#This Row],[Column2]]), "", deployment_raw[[#This Row],[Column2]])</f>
        <v/>
      </c>
      <c r="C916" s="6" t="str">
        <f>IF(ISNONTEXT(deployment_raw[[#This Row],[Column3]]), "", deployment_raw[[#This Row],[Column3]])</f>
        <v/>
      </c>
      <c r="D916" s="6" t="str">
        <f>IF(ISNONTEXT(deployment_raw[[#This Row],[Column4]]), "", deployment_raw[[#This Row],[Column4]])</f>
        <v/>
      </c>
      <c r="E916" s="7" t="str">
        <f>IF(ISNUMBER(deployment_raw[[#This Row],[Column5]]), deployment_raw[[#This Row],[Column5]],"")</f>
        <v/>
      </c>
      <c r="F916" s="32" t="str">
        <f>IF(ISNUMBER(deployment_raw[[#This Row],[Column17]]), deployment_raw[[#This Row],[Column17]]/IF(OR($E$2="Deployment",deployment_raw[[#This Row],[Column5]]=0),1,deployment_raw[[#This Row],[Column5]]),"")</f>
        <v/>
      </c>
      <c r="G916" s="42" t="str">
        <f>IF(ISNUMBER(deployment_raw[[#This Row],[Column14]]), deployment_raw[[#This Row],[Column14]]/IF(OR($E$2="Deployment",deployment_raw[[#This Row],[Column5]]=0),1,deployment_raw[[#This Row],[Column5]]),"")</f>
        <v/>
      </c>
      <c r="H916" s="79" t="str">
        <f>IF(ISNUMBER(deployment_raw[[#This Row],[Column19]]), IF(I916&lt;&gt;0,(deployment_raw[[#This Row],[Column19]]/IF(OR($E$2="Deployment",deployment_raw[[#This Row],[Column5]]=0),1,deployment_raw[[#This Row],[Column5]]))/I916,0),"")</f>
        <v/>
      </c>
      <c r="I916" s="69" t="str">
        <f>IF(ISNUMBER(deployment_raw[[#This Row],[Column6]]), (deployment_raw[[#This Row],[Column6]] * IF($E$2="Deployment",deployment_raw[[#This Row],[Column5]],1)),"")</f>
        <v/>
      </c>
      <c r="J916" s="79" t="str">
        <f>IF(ISNUMBER(deployment_raw[[#This Row],[Column19]]), IF(K916&lt;&gt;0,(deployment_raw[[#This Row],[Column19]]/IF(OR($E$2="Deployment",deployment_raw[[#This Row],[Column5]]=0),1,deployment_raw[[#This Row],[Column5]]))/K916,0),"")</f>
        <v/>
      </c>
      <c r="K916" s="72" t="str">
        <f>IF(ISNUMBER(deployment_raw[[#This Row],[Column8]]), (deployment_raw[[#This Row],[Column8]]  * IF($E$2="Deployment",deployment_raw[[#This Row],[Column5]],1)),"")</f>
        <v/>
      </c>
      <c r="L91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1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16" s="81" t="str">
        <f>IF(ISNUMBER(deployment_raw[[#This Row],[Column20]]), IF(O916&lt;&gt;0,deployment_raw[[#This Row],[Column20]]/IF(OR($E$2="Deployment",deployment_raw[[#This Row],[Column5]]=0),1,deployment_raw[[#This Row],[Column5]])/1048576/O916,0),"")</f>
        <v/>
      </c>
      <c r="O916" s="74" t="str">
        <f>IF(ISNUMBER(deployment_raw[[#This Row],[Column7]]), (deployment_raw[[#This Row],[Column7]] * IF($E$2="Deployment",deployment_raw[[#This Row],[Column5]],1))/1048576,"")</f>
        <v/>
      </c>
      <c r="P916" s="81" t="str">
        <f>IF(ISNUMBER(deployment_raw[[#This Row],[Column20]]), IF(Q916&lt;&gt;0,deployment_raw[[#This Row],[Column20]]/IF(OR($E$2="Deployment",deployment_raw[[#This Row],[Column5]]=0),1,deployment_raw[[#This Row],[Column5]])/1048576/Q916,0),"")</f>
        <v/>
      </c>
      <c r="Q916" s="76" t="str">
        <f>IF(ISNUMBER(deployment_raw[[#This Row],[Column9]]), (deployment_raw[[#This Row],[Column9]] * IF($E$2="Deployment",deployment_raw[[#This Row],[Column5]],1))/1048576,"")</f>
        <v/>
      </c>
      <c r="R916" s="57" t="str">
        <f>IF(ISNUMBER(deployment_raw[[#This Row],[Column10]]), (deployment_raw[[#This Row],[Column10]] * IF($E$2="Deployment",deployment_raw[[#This Row],[Column5]],1)),"")</f>
        <v/>
      </c>
      <c r="S916" s="48" t="str">
        <f>IF(ISNUMBER(deployment_raw[[#This Row],[Column11]]), (deployment_raw[[#This Row],[Column11]] * IF($E$2="Deployment",deployment_raw[[#This Row],[Column5]],1))/1048576,"")</f>
        <v/>
      </c>
      <c r="T916" s="59" t="str">
        <f>IF(ISNUMBER(deployment_raw[[#This Row],[Column8]]),IF(OR(deployment_raw[[#This Row],[Column5]] &lt;&gt; 0,$E$2 &lt;&gt; "Deployment"), MAX(V916, ($T$2 * IF($E$2="Deployment",deployment_raw[[#This Row],[Column5]],1))), 0),"")</f>
        <v/>
      </c>
      <c r="U916" s="50" t="str">
        <f>IF(ISNUMBER(deployment_raw[[#This Row],[Column9]]),IF(OR(deployment_raw[[#This Row],[Column5]] &lt;&gt; 0,$E$2&lt;&gt;"Deployment"), MAX(W916, ($U$2 * IF($E$2="Deployment",deployment_raw[[#This Row],[Column5]],1))), 0),"")</f>
        <v/>
      </c>
      <c r="V916" s="15" t="str">
        <f>IF(ISNUMBER(deployment_raw[[#This Row],[Column12]]), (deployment_raw[[#This Row],[Column12]] * IF($E$2="Deployment",deployment_raw[[#This Row],[Column5]],1)*(1+$V$2)),"")</f>
        <v/>
      </c>
      <c r="W916" s="14" t="str">
        <f>IF(ISNUMBER(deployment_raw[[#This Row],[Column13]]), (deployment_raw[[#This Row],[Column13]] * IF($E$2="Deployment",deployment_raw[[#This Row],[Column5]],1)*(1+$W$2))/1048576,"")</f>
        <v/>
      </c>
    </row>
    <row r="917" spans="1:23" ht="15" customHeight="1" x14ac:dyDescent="0.25">
      <c r="A917" s="5" t="str">
        <f>IF(ISNONTEXT(deployment_raw[[#This Row],[Column1]]), "", deployment_raw[[#This Row],[Column1]])</f>
        <v/>
      </c>
      <c r="B917" s="6" t="str">
        <f>IF(ISNONTEXT(deployment_raw[[#This Row],[Column2]]), "", deployment_raw[[#This Row],[Column2]])</f>
        <v/>
      </c>
      <c r="C917" s="6" t="str">
        <f>IF(ISNONTEXT(deployment_raw[[#This Row],[Column3]]), "", deployment_raw[[#This Row],[Column3]])</f>
        <v/>
      </c>
      <c r="D917" s="6" t="str">
        <f>IF(ISNONTEXT(deployment_raw[[#This Row],[Column4]]), "", deployment_raw[[#This Row],[Column4]])</f>
        <v/>
      </c>
      <c r="E917" s="7" t="str">
        <f>IF(ISNUMBER(deployment_raw[[#This Row],[Column5]]), deployment_raw[[#This Row],[Column5]],"")</f>
        <v/>
      </c>
      <c r="F917" s="32" t="str">
        <f>IF(ISNUMBER(deployment_raw[[#This Row],[Column17]]), deployment_raw[[#This Row],[Column17]]/IF(OR($E$2="Deployment",deployment_raw[[#This Row],[Column5]]=0),1,deployment_raw[[#This Row],[Column5]]),"")</f>
        <v/>
      </c>
      <c r="G917" s="42" t="str">
        <f>IF(ISNUMBER(deployment_raw[[#This Row],[Column14]]), deployment_raw[[#This Row],[Column14]]/IF(OR($E$2="Deployment",deployment_raw[[#This Row],[Column5]]=0),1,deployment_raw[[#This Row],[Column5]]),"")</f>
        <v/>
      </c>
      <c r="H917" s="79" t="str">
        <f>IF(ISNUMBER(deployment_raw[[#This Row],[Column19]]), IF(I917&lt;&gt;0,(deployment_raw[[#This Row],[Column19]]/IF(OR($E$2="Deployment",deployment_raw[[#This Row],[Column5]]=0),1,deployment_raw[[#This Row],[Column5]]))/I917,0),"")</f>
        <v/>
      </c>
      <c r="I917" s="69" t="str">
        <f>IF(ISNUMBER(deployment_raw[[#This Row],[Column6]]), (deployment_raw[[#This Row],[Column6]] * IF($E$2="Deployment",deployment_raw[[#This Row],[Column5]],1)),"")</f>
        <v/>
      </c>
      <c r="J917" s="79" t="str">
        <f>IF(ISNUMBER(deployment_raw[[#This Row],[Column19]]), IF(K917&lt;&gt;0,(deployment_raw[[#This Row],[Column19]]/IF(OR($E$2="Deployment",deployment_raw[[#This Row],[Column5]]=0),1,deployment_raw[[#This Row],[Column5]]))/K917,0),"")</f>
        <v/>
      </c>
      <c r="K917" s="72" t="str">
        <f>IF(ISNUMBER(deployment_raw[[#This Row],[Column8]]), (deployment_raw[[#This Row],[Column8]]  * IF($E$2="Deployment",deployment_raw[[#This Row],[Column5]],1)),"")</f>
        <v/>
      </c>
      <c r="L91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1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17" s="81" t="str">
        <f>IF(ISNUMBER(deployment_raw[[#This Row],[Column20]]), IF(O917&lt;&gt;0,deployment_raw[[#This Row],[Column20]]/IF(OR($E$2="Deployment",deployment_raw[[#This Row],[Column5]]=0),1,deployment_raw[[#This Row],[Column5]])/1048576/O917,0),"")</f>
        <v/>
      </c>
      <c r="O917" s="74" t="str">
        <f>IF(ISNUMBER(deployment_raw[[#This Row],[Column7]]), (deployment_raw[[#This Row],[Column7]] * IF($E$2="Deployment",deployment_raw[[#This Row],[Column5]],1))/1048576,"")</f>
        <v/>
      </c>
      <c r="P917" s="81" t="str">
        <f>IF(ISNUMBER(deployment_raw[[#This Row],[Column20]]), IF(Q917&lt;&gt;0,deployment_raw[[#This Row],[Column20]]/IF(OR($E$2="Deployment",deployment_raw[[#This Row],[Column5]]=0),1,deployment_raw[[#This Row],[Column5]])/1048576/Q917,0),"")</f>
        <v/>
      </c>
      <c r="Q917" s="76" t="str">
        <f>IF(ISNUMBER(deployment_raw[[#This Row],[Column9]]), (deployment_raw[[#This Row],[Column9]] * IF($E$2="Deployment",deployment_raw[[#This Row],[Column5]],1))/1048576,"")</f>
        <v/>
      </c>
      <c r="R917" s="57" t="str">
        <f>IF(ISNUMBER(deployment_raw[[#This Row],[Column10]]), (deployment_raw[[#This Row],[Column10]] * IF($E$2="Deployment",deployment_raw[[#This Row],[Column5]],1)),"")</f>
        <v/>
      </c>
      <c r="S917" s="48" t="str">
        <f>IF(ISNUMBER(deployment_raw[[#This Row],[Column11]]), (deployment_raw[[#This Row],[Column11]] * IF($E$2="Deployment",deployment_raw[[#This Row],[Column5]],1))/1048576,"")</f>
        <v/>
      </c>
      <c r="T917" s="59" t="str">
        <f>IF(ISNUMBER(deployment_raw[[#This Row],[Column8]]),IF(OR(deployment_raw[[#This Row],[Column5]] &lt;&gt; 0,$E$2 &lt;&gt; "Deployment"), MAX(V917, ($T$2 * IF($E$2="Deployment",deployment_raw[[#This Row],[Column5]],1))), 0),"")</f>
        <v/>
      </c>
      <c r="U917" s="50" t="str">
        <f>IF(ISNUMBER(deployment_raw[[#This Row],[Column9]]),IF(OR(deployment_raw[[#This Row],[Column5]] &lt;&gt; 0,$E$2&lt;&gt;"Deployment"), MAX(W917, ($U$2 * IF($E$2="Deployment",deployment_raw[[#This Row],[Column5]],1))), 0),"")</f>
        <v/>
      </c>
      <c r="V917" s="15" t="str">
        <f>IF(ISNUMBER(deployment_raw[[#This Row],[Column12]]), (deployment_raw[[#This Row],[Column12]] * IF($E$2="Deployment",deployment_raw[[#This Row],[Column5]],1)*(1+$V$2)),"")</f>
        <v/>
      </c>
      <c r="W917" s="14" t="str">
        <f>IF(ISNUMBER(deployment_raw[[#This Row],[Column13]]), (deployment_raw[[#This Row],[Column13]] * IF($E$2="Deployment",deployment_raw[[#This Row],[Column5]],1)*(1+$W$2))/1048576,"")</f>
        <v/>
      </c>
    </row>
    <row r="918" spans="1:23" ht="15" customHeight="1" x14ac:dyDescent="0.25">
      <c r="A918" s="5" t="str">
        <f>IF(ISNONTEXT(deployment_raw[[#This Row],[Column1]]), "", deployment_raw[[#This Row],[Column1]])</f>
        <v/>
      </c>
      <c r="B918" s="6" t="str">
        <f>IF(ISNONTEXT(deployment_raw[[#This Row],[Column2]]), "", deployment_raw[[#This Row],[Column2]])</f>
        <v/>
      </c>
      <c r="C918" s="6" t="str">
        <f>IF(ISNONTEXT(deployment_raw[[#This Row],[Column3]]), "", deployment_raw[[#This Row],[Column3]])</f>
        <v/>
      </c>
      <c r="D918" s="6" t="str">
        <f>IF(ISNONTEXT(deployment_raw[[#This Row],[Column4]]), "", deployment_raw[[#This Row],[Column4]])</f>
        <v/>
      </c>
      <c r="E918" s="7" t="str">
        <f>IF(ISNUMBER(deployment_raw[[#This Row],[Column5]]), deployment_raw[[#This Row],[Column5]],"")</f>
        <v/>
      </c>
      <c r="F918" s="32" t="str">
        <f>IF(ISNUMBER(deployment_raw[[#This Row],[Column17]]), deployment_raw[[#This Row],[Column17]]/IF(OR($E$2="Deployment",deployment_raw[[#This Row],[Column5]]=0),1,deployment_raw[[#This Row],[Column5]]),"")</f>
        <v/>
      </c>
      <c r="G918" s="42" t="str">
        <f>IF(ISNUMBER(deployment_raw[[#This Row],[Column14]]), deployment_raw[[#This Row],[Column14]]/IF(OR($E$2="Deployment",deployment_raw[[#This Row],[Column5]]=0),1,deployment_raw[[#This Row],[Column5]]),"")</f>
        <v/>
      </c>
      <c r="H918" s="79" t="str">
        <f>IF(ISNUMBER(deployment_raw[[#This Row],[Column19]]), IF(I918&lt;&gt;0,(deployment_raw[[#This Row],[Column19]]/IF(OR($E$2="Deployment",deployment_raw[[#This Row],[Column5]]=0),1,deployment_raw[[#This Row],[Column5]]))/I918,0),"")</f>
        <v/>
      </c>
      <c r="I918" s="69" t="str">
        <f>IF(ISNUMBER(deployment_raw[[#This Row],[Column6]]), (deployment_raw[[#This Row],[Column6]] * IF($E$2="Deployment",deployment_raw[[#This Row],[Column5]],1)),"")</f>
        <v/>
      </c>
      <c r="J918" s="79" t="str">
        <f>IF(ISNUMBER(deployment_raw[[#This Row],[Column19]]), IF(K918&lt;&gt;0,(deployment_raw[[#This Row],[Column19]]/IF(OR($E$2="Deployment",deployment_raw[[#This Row],[Column5]]=0),1,deployment_raw[[#This Row],[Column5]]))/K918,0),"")</f>
        <v/>
      </c>
      <c r="K918" s="72" t="str">
        <f>IF(ISNUMBER(deployment_raw[[#This Row],[Column8]]), (deployment_raw[[#This Row],[Column8]]  * IF($E$2="Deployment",deployment_raw[[#This Row],[Column5]],1)),"")</f>
        <v/>
      </c>
      <c r="L91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1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18" s="81" t="str">
        <f>IF(ISNUMBER(deployment_raw[[#This Row],[Column20]]), IF(O918&lt;&gt;0,deployment_raw[[#This Row],[Column20]]/IF(OR($E$2="Deployment",deployment_raw[[#This Row],[Column5]]=0),1,deployment_raw[[#This Row],[Column5]])/1048576/O918,0),"")</f>
        <v/>
      </c>
      <c r="O918" s="74" t="str">
        <f>IF(ISNUMBER(deployment_raw[[#This Row],[Column7]]), (deployment_raw[[#This Row],[Column7]] * IF($E$2="Deployment",deployment_raw[[#This Row],[Column5]],1))/1048576,"")</f>
        <v/>
      </c>
      <c r="P918" s="81" t="str">
        <f>IF(ISNUMBER(deployment_raw[[#This Row],[Column20]]), IF(Q918&lt;&gt;0,deployment_raw[[#This Row],[Column20]]/IF(OR($E$2="Deployment",deployment_raw[[#This Row],[Column5]]=0),1,deployment_raw[[#This Row],[Column5]])/1048576/Q918,0),"")</f>
        <v/>
      </c>
      <c r="Q918" s="76" t="str">
        <f>IF(ISNUMBER(deployment_raw[[#This Row],[Column9]]), (deployment_raw[[#This Row],[Column9]] * IF($E$2="Deployment",deployment_raw[[#This Row],[Column5]],1))/1048576,"")</f>
        <v/>
      </c>
      <c r="R918" s="57" t="str">
        <f>IF(ISNUMBER(deployment_raw[[#This Row],[Column10]]), (deployment_raw[[#This Row],[Column10]] * IF($E$2="Deployment",deployment_raw[[#This Row],[Column5]],1)),"")</f>
        <v/>
      </c>
      <c r="S918" s="48" t="str">
        <f>IF(ISNUMBER(deployment_raw[[#This Row],[Column11]]), (deployment_raw[[#This Row],[Column11]] * IF($E$2="Deployment",deployment_raw[[#This Row],[Column5]],1))/1048576,"")</f>
        <v/>
      </c>
      <c r="T918" s="59" t="str">
        <f>IF(ISNUMBER(deployment_raw[[#This Row],[Column8]]),IF(OR(deployment_raw[[#This Row],[Column5]] &lt;&gt; 0,$E$2 &lt;&gt; "Deployment"), MAX(V918, ($T$2 * IF($E$2="Deployment",deployment_raw[[#This Row],[Column5]],1))), 0),"")</f>
        <v/>
      </c>
      <c r="U918" s="50" t="str">
        <f>IF(ISNUMBER(deployment_raw[[#This Row],[Column9]]),IF(OR(deployment_raw[[#This Row],[Column5]] &lt;&gt; 0,$E$2&lt;&gt;"Deployment"), MAX(W918, ($U$2 * IF($E$2="Deployment",deployment_raw[[#This Row],[Column5]],1))), 0),"")</f>
        <v/>
      </c>
      <c r="V918" s="15" t="str">
        <f>IF(ISNUMBER(deployment_raw[[#This Row],[Column12]]), (deployment_raw[[#This Row],[Column12]] * IF($E$2="Deployment",deployment_raw[[#This Row],[Column5]],1)*(1+$V$2)),"")</f>
        <v/>
      </c>
      <c r="W918" s="14" t="str">
        <f>IF(ISNUMBER(deployment_raw[[#This Row],[Column13]]), (deployment_raw[[#This Row],[Column13]] * IF($E$2="Deployment",deployment_raw[[#This Row],[Column5]],1)*(1+$W$2))/1048576,"")</f>
        <v/>
      </c>
    </row>
    <row r="919" spans="1:23" ht="15" customHeight="1" x14ac:dyDescent="0.25">
      <c r="A919" s="5" t="str">
        <f>IF(ISNONTEXT(deployment_raw[[#This Row],[Column1]]), "", deployment_raw[[#This Row],[Column1]])</f>
        <v/>
      </c>
      <c r="B919" s="6" t="str">
        <f>IF(ISNONTEXT(deployment_raw[[#This Row],[Column2]]), "", deployment_raw[[#This Row],[Column2]])</f>
        <v/>
      </c>
      <c r="C919" s="6" t="str">
        <f>IF(ISNONTEXT(deployment_raw[[#This Row],[Column3]]), "", deployment_raw[[#This Row],[Column3]])</f>
        <v/>
      </c>
      <c r="D919" s="6" t="str">
        <f>IF(ISNONTEXT(deployment_raw[[#This Row],[Column4]]), "", deployment_raw[[#This Row],[Column4]])</f>
        <v/>
      </c>
      <c r="E919" s="7" t="str">
        <f>IF(ISNUMBER(deployment_raw[[#This Row],[Column5]]), deployment_raw[[#This Row],[Column5]],"")</f>
        <v/>
      </c>
      <c r="F919" s="32" t="str">
        <f>IF(ISNUMBER(deployment_raw[[#This Row],[Column17]]), deployment_raw[[#This Row],[Column17]]/IF(OR($E$2="Deployment",deployment_raw[[#This Row],[Column5]]=0),1,deployment_raw[[#This Row],[Column5]]),"")</f>
        <v/>
      </c>
      <c r="G919" s="42" t="str">
        <f>IF(ISNUMBER(deployment_raw[[#This Row],[Column14]]), deployment_raw[[#This Row],[Column14]]/IF(OR($E$2="Deployment",deployment_raw[[#This Row],[Column5]]=0),1,deployment_raw[[#This Row],[Column5]]),"")</f>
        <v/>
      </c>
      <c r="H919" s="79" t="str">
        <f>IF(ISNUMBER(deployment_raw[[#This Row],[Column19]]), IF(I919&lt;&gt;0,(deployment_raw[[#This Row],[Column19]]/IF(OR($E$2="Deployment",deployment_raw[[#This Row],[Column5]]=0),1,deployment_raw[[#This Row],[Column5]]))/I919,0),"")</f>
        <v/>
      </c>
      <c r="I919" s="69" t="str">
        <f>IF(ISNUMBER(deployment_raw[[#This Row],[Column6]]), (deployment_raw[[#This Row],[Column6]] * IF($E$2="Deployment",deployment_raw[[#This Row],[Column5]],1)),"")</f>
        <v/>
      </c>
      <c r="J919" s="79" t="str">
        <f>IF(ISNUMBER(deployment_raw[[#This Row],[Column19]]), IF(K919&lt;&gt;0,(deployment_raw[[#This Row],[Column19]]/IF(OR($E$2="Deployment",deployment_raw[[#This Row],[Column5]]=0),1,deployment_raw[[#This Row],[Column5]]))/K919,0),"")</f>
        <v/>
      </c>
      <c r="K919" s="72" t="str">
        <f>IF(ISNUMBER(deployment_raw[[#This Row],[Column8]]), (deployment_raw[[#This Row],[Column8]]  * IF($E$2="Deployment",deployment_raw[[#This Row],[Column5]],1)),"")</f>
        <v/>
      </c>
      <c r="L91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1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19" s="81" t="str">
        <f>IF(ISNUMBER(deployment_raw[[#This Row],[Column20]]), IF(O919&lt;&gt;0,deployment_raw[[#This Row],[Column20]]/IF(OR($E$2="Deployment",deployment_raw[[#This Row],[Column5]]=0),1,deployment_raw[[#This Row],[Column5]])/1048576/O919,0),"")</f>
        <v/>
      </c>
      <c r="O919" s="74" t="str">
        <f>IF(ISNUMBER(deployment_raw[[#This Row],[Column7]]), (deployment_raw[[#This Row],[Column7]] * IF($E$2="Deployment",deployment_raw[[#This Row],[Column5]],1))/1048576,"")</f>
        <v/>
      </c>
      <c r="P919" s="81" t="str">
        <f>IF(ISNUMBER(deployment_raw[[#This Row],[Column20]]), IF(Q919&lt;&gt;0,deployment_raw[[#This Row],[Column20]]/IF(OR($E$2="Deployment",deployment_raw[[#This Row],[Column5]]=0),1,deployment_raw[[#This Row],[Column5]])/1048576/Q919,0),"")</f>
        <v/>
      </c>
      <c r="Q919" s="76" t="str">
        <f>IF(ISNUMBER(deployment_raw[[#This Row],[Column9]]), (deployment_raw[[#This Row],[Column9]] * IF($E$2="Deployment",deployment_raw[[#This Row],[Column5]],1))/1048576,"")</f>
        <v/>
      </c>
      <c r="R919" s="57" t="str">
        <f>IF(ISNUMBER(deployment_raw[[#This Row],[Column10]]), (deployment_raw[[#This Row],[Column10]] * IF($E$2="Deployment",deployment_raw[[#This Row],[Column5]],1)),"")</f>
        <v/>
      </c>
      <c r="S919" s="48" t="str">
        <f>IF(ISNUMBER(deployment_raw[[#This Row],[Column11]]), (deployment_raw[[#This Row],[Column11]] * IF($E$2="Deployment",deployment_raw[[#This Row],[Column5]],1))/1048576,"")</f>
        <v/>
      </c>
      <c r="T919" s="59" t="str">
        <f>IF(ISNUMBER(deployment_raw[[#This Row],[Column8]]),IF(OR(deployment_raw[[#This Row],[Column5]] &lt;&gt; 0,$E$2 &lt;&gt; "Deployment"), MAX(V919, ($T$2 * IF($E$2="Deployment",deployment_raw[[#This Row],[Column5]],1))), 0),"")</f>
        <v/>
      </c>
      <c r="U919" s="50" t="str">
        <f>IF(ISNUMBER(deployment_raw[[#This Row],[Column9]]),IF(OR(deployment_raw[[#This Row],[Column5]] &lt;&gt; 0,$E$2&lt;&gt;"Deployment"), MAX(W919, ($U$2 * IF($E$2="Deployment",deployment_raw[[#This Row],[Column5]],1))), 0),"")</f>
        <v/>
      </c>
      <c r="V919" s="15" t="str">
        <f>IF(ISNUMBER(deployment_raw[[#This Row],[Column12]]), (deployment_raw[[#This Row],[Column12]] * IF($E$2="Deployment",deployment_raw[[#This Row],[Column5]],1)*(1+$V$2)),"")</f>
        <v/>
      </c>
      <c r="W919" s="14" t="str">
        <f>IF(ISNUMBER(deployment_raw[[#This Row],[Column13]]), (deployment_raw[[#This Row],[Column13]] * IF($E$2="Deployment",deployment_raw[[#This Row],[Column5]],1)*(1+$W$2))/1048576,"")</f>
        <v/>
      </c>
    </row>
    <row r="920" spans="1:23" ht="15" customHeight="1" x14ac:dyDescent="0.25">
      <c r="A920" s="5" t="str">
        <f>IF(ISNONTEXT(deployment_raw[[#This Row],[Column1]]), "", deployment_raw[[#This Row],[Column1]])</f>
        <v/>
      </c>
      <c r="B920" s="6" t="str">
        <f>IF(ISNONTEXT(deployment_raw[[#This Row],[Column2]]), "", deployment_raw[[#This Row],[Column2]])</f>
        <v/>
      </c>
      <c r="C920" s="6" t="str">
        <f>IF(ISNONTEXT(deployment_raw[[#This Row],[Column3]]), "", deployment_raw[[#This Row],[Column3]])</f>
        <v/>
      </c>
      <c r="D920" s="6" t="str">
        <f>IF(ISNONTEXT(deployment_raw[[#This Row],[Column4]]), "", deployment_raw[[#This Row],[Column4]])</f>
        <v/>
      </c>
      <c r="E920" s="7" t="str">
        <f>IF(ISNUMBER(deployment_raw[[#This Row],[Column5]]), deployment_raw[[#This Row],[Column5]],"")</f>
        <v/>
      </c>
      <c r="F920" s="32" t="str">
        <f>IF(ISNUMBER(deployment_raw[[#This Row],[Column17]]), deployment_raw[[#This Row],[Column17]]/IF(OR($E$2="Deployment",deployment_raw[[#This Row],[Column5]]=0),1,deployment_raw[[#This Row],[Column5]]),"")</f>
        <v/>
      </c>
      <c r="G920" s="42" t="str">
        <f>IF(ISNUMBER(deployment_raw[[#This Row],[Column14]]), deployment_raw[[#This Row],[Column14]]/IF(OR($E$2="Deployment",deployment_raw[[#This Row],[Column5]]=0),1,deployment_raw[[#This Row],[Column5]]),"")</f>
        <v/>
      </c>
      <c r="H920" s="79" t="str">
        <f>IF(ISNUMBER(deployment_raw[[#This Row],[Column19]]), IF(I920&lt;&gt;0,(deployment_raw[[#This Row],[Column19]]/IF(OR($E$2="Deployment",deployment_raw[[#This Row],[Column5]]=0),1,deployment_raw[[#This Row],[Column5]]))/I920,0),"")</f>
        <v/>
      </c>
      <c r="I920" s="69" t="str">
        <f>IF(ISNUMBER(deployment_raw[[#This Row],[Column6]]), (deployment_raw[[#This Row],[Column6]] * IF($E$2="Deployment",deployment_raw[[#This Row],[Column5]],1)),"")</f>
        <v/>
      </c>
      <c r="J920" s="79" t="str">
        <f>IF(ISNUMBER(deployment_raw[[#This Row],[Column19]]), IF(K920&lt;&gt;0,(deployment_raw[[#This Row],[Column19]]/IF(OR($E$2="Deployment",deployment_raw[[#This Row],[Column5]]=0),1,deployment_raw[[#This Row],[Column5]]))/K920,0),"")</f>
        <v/>
      </c>
      <c r="K920" s="72" t="str">
        <f>IF(ISNUMBER(deployment_raw[[#This Row],[Column8]]), (deployment_raw[[#This Row],[Column8]]  * IF($E$2="Deployment",deployment_raw[[#This Row],[Column5]],1)),"")</f>
        <v/>
      </c>
      <c r="L92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2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20" s="81" t="str">
        <f>IF(ISNUMBER(deployment_raw[[#This Row],[Column20]]), IF(O920&lt;&gt;0,deployment_raw[[#This Row],[Column20]]/IF(OR($E$2="Deployment",deployment_raw[[#This Row],[Column5]]=0),1,deployment_raw[[#This Row],[Column5]])/1048576/O920,0),"")</f>
        <v/>
      </c>
      <c r="O920" s="74" t="str">
        <f>IF(ISNUMBER(deployment_raw[[#This Row],[Column7]]), (deployment_raw[[#This Row],[Column7]] * IF($E$2="Deployment",deployment_raw[[#This Row],[Column5]],1))/1048576,"")</f>
        <v/>
      </c>
      <c r="P920" s="81" t="str">
        <f>IF(ISNUMBER(deployment_raw[[#This Row],[Column20]]), IF(Q920&lt;&gt;0,deployment_raw[[#This Row],[Column20]]/IF(OR($E$2="Deployment",deployment_raw[[#This Row],[Column5]]=0),1,deployment_raw[[#This Row],[Column5]])/1048576/Q920,0),"")</f>
        <v/>
      </c>
      <c r="Q920" s="76" t="str">
        <f>IF(ISNUMBER(deployment_raw[[#This Row],[Column9]]), (deployment_raw[[#This Row],[Column9]] * IF($E$2="Deployment",deployment_raw[[#This Row],[Column5]],1))/1048576,"")</f>
        <v/>
      </c>
      <c r="R920" s="57" t="str">
        <f>IF(ISNUMBER(deployment_raw[[#This Row],[Column10]]), (deployment_raw[[#This Row],[Column10]] * IF($E$2="Deployment",deployment_raw[[#This Row],[Column5]],1)),"")</f>
        <v/>
      </c>
      <c r="S920" s="48" t="str">
        <f>IF(ISNUMBER(deployment_raw[[#This Row],[Column11]]), (deployment_raw[[#This Row],[Column11]] * IF($E$2="Deployment",deployment_raw[[#This Row],[Column5]],1))/1048576,"")</f>
        <v/>
      </c>
      <c r="T920" s="59" t="str">
        <f>IF(ISNUMBER(deployment_raw[[#This Row],[Column8]]),IF(OR(deployment_raw[[#This Row],[Column5]] &lt;&gt; 0,$E$2 &lt;&gt; "Deployment"), MAX(V920, ($T$2 * IF($E$2="Deployment",deployment_raw[[#This Row],[Column5]],1))), 0),"")</f>
        <v/>
      </c>
      <c r="U920" s="50" t="str">
        <f>IF(ISNUMBER(deployment_raw[[#This Row],[Column9]]),IF(OR(deployment_raw[[#This Row],[Column5]] &lt;&gt; 0,$E$2&lt;&gt;"Deployment"), MAX(W920, ($U$2 * IF($E$2="Deployment",deployment_raw[[#This Row],[Column5]],1))), 0),"")</f>
        <v/>
      </c>
      <c r="V920" s="15" t="str">
        <f>IF(ISNUMBER(deployment_raw[[#This Row],[Column12]]), (deployment_raw[[#This Row],[Column12]] * IF($E$2="Deployment",deployment_raw[[#This Row],[Column5]],1)*(1+$V$2)),"")</f>
        <v/>
      </c>
      <c r="W920" s="14" t="str">
        <f>IF(ISNUMBER(deployment_raw[[#This Row],[Column13]]), (deployment_raw[[#This Row],[Column13]] * IF($E$2="Deployment",deployment_raw[[#This Row],[Column5]],1)*(1+$W$2))/1048576,"")</f>
        <v/>
      </c>
    </row>
    <row r="921" spans="1:23" ht="15" customHeight="1" x14ac:dyDescent="0.25">
      <c r="A921" s="5" t="str">
        <f>IF(ISNONTEXT(deployment_raw[[#This Row],[Column1]]), "", deployment_raw[[#This Row],[Column1]])</f>
        <v/>
      </c>
      <c r="B921" s="6" t="str">
        <f>IF(ISNONTEXT(deployment_raw[[#This Row],[Column2]]), "", deployment_raw[[#This Row],[Column2]])</f>
        <v/>
      </c>
      <c r="C921" s="6" t="str">
        <f>IF(ISNONTEXT(deployment_raw[[#This Row],[Column3]]), "", deployment_raw[[#This Row],[Column3]])</f>
        <v/>
      </c>
      <c r="D921" s="6" t="str">
        <f>IF(ISNONTEXT(deployment_raw[[#This Row],[Column4]]), "", deployment_raw[[#This Row],[Column4]])</f>
        <v/>
      </c>
      <c r="E921" s="7" t="str">
        <f>IF(ISNUMBER(deployment_raw[[#This Row],[Column5]]), deployment_raw[[#This Row],[Column5]],"")</f>
        <v/>
      </c>
      <c r="F921" s="32" t="str">
        <f>IF(ISNUMBER(deployment_raw[[#This Row],[Column17]]), deployment_raw[[#This Row],[Column17]]/IF(OR($E$2="Deployment",deployment_raw[[#This Row],[Column5]]=0),1,deployment_raw[[#This Row],[Column5]]),"")</f>
        <v/>
      </c>
      <c r="G921" s="42" t="str">
        <f>IF(ISNUMBER(deployment_raw[[#This Row],[Column14]]), deployment_raw[[#This Row],[Column14]]/IF(OR($E$2="Deployment",deployment_raw[[#This Row],[Column5]]=0),1,deployment_raw[[#This Row],[Column5]]),"")</f>
        <v/>
      </c>
      <c r="H921" s="79" t="str">
        <f>IF(ISNUMBER(deployment_raw[[#This Row],[Column19]]), IF(I921&lt;&gt;0,(deployment_raw[[#This Row],[Column19]]/IF(OR($E$2="Deployment",deployment_raw[[#This Row],[Column5]]=0),1,deployment_raw[[#This Row],[Column5]]))/I921,0),"")</f>
        <v/>
      </c>
      <c r="I921" s="69" t="str">
        <f>IF(ISNUMBER(deployment_raw[[#This Row],[Column6]]), (deployment_raw[[#This Row],[Column6]] * IF($E$2="Deployment",deployment_raw[[#This Row],[Column5]],1)),"")</f>
        <v/>
      </c>
      <c r="J921" s="79" t="str">
        <f>IF(ISNUMBER(deployment_raw[[#This Row],[Column19]]), IF(K921&lt;&gt;0,(deployment_raw[[#This Row],[Column19]]/IF(OR($E$2="Deployment",deployment_raw[[#This Row],[Column5]]=0),1,deployment_raw[[#This Row],[Column5]]))/K921,0),"")</f>
        <v/>
      </c>
      <c r="K921" s="72" t="str">
        <f>IF(ISNUMBER(deployment_raw[[#This Row],[Column8]]), (deployment_raw[[#This Row],[Column8]]  * IF($E$2="Deployment",deployment_raw[[#This Row],[Column5]],1)),"")</f>
        <v/>
      </c>
      <c r="L92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2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21" s="81" t="str">
        <f>IF(ISNUMBER(deployment_raw[[#This Row],[Column20]]), IF(O921&lt;&gt;0,deployment_raw[[#This Row],[Column20]]/IF(OR($E$2="Deployment",deployment_raw[[#This Row],[Column5]]=0),1,deployment_raw[[#This Row],[Column5]])/1048576/O921,0),"")</f>
        <v/>
      </c>
      <c r="O921" s="74" t="str">
        <f>IF(ISNUMBER(deployment_raw[[#This Row],[Column7]]), (deployment_raw[[#This Row],[Column7]] * IF($E$2="Deployment",deployment_raw[[#This Row],[Column5]],1))/1048576,"")</f>
        <v/>
      </c>
      <c r="P921" s="81" t="str">
        <f>IF(ISNUMBER(deployment_raw[[#This Row],[Column20]]), IF(Q921&lt;&gt;0,deployment_raw[[#This Row],[Column20]]/IF(OR($E$2="Deployment",deployment_raw[[#This Row],[Column5]]=0),1,deployment_raw[[#This Row],[Column5]])/1048576/Q921,0),"")</f>
        <v/>
      </c>
      <c r="Q921" s="76" t="str">
        <f>IF(ISNUMBER(deployment_raw[[#This Row],[Column9]]), (deployment_raw[[#This Row],[Column9]] * IF($E$2="Deployment",deployment_raw[[#This Row],[Column5]],1))/1048576,"")</f>
        <v/>
      </c>
      <c r="R921" s="57" t="str">
        <f>IF(ISNUMBER(deployment_raw[[#This Row],[Column10]]), (deployment_raw[[#This Row],[Column10]] * IF($E$2="Deployment",deployment_raw[[#This Row],[Column5]],1)),"")</f>
        <v/>
      </c>
      <c r="S921" s="48" t="str">
        <f>IF(ISNUMBER(deployment_raw[[#This Row],[Column11]]), (deployment_raw[[#This Row],[Column11]] * IF($E$2="Deployment",deployment_raw[[#This Row],[Column5]],1))/1048576,"")</f>
        <v/>
      </c>
      <c r="T921" s="59" t="str">
        <f>IF(ISNUMBER(deployment_raw[[#This Row],[Column8]]),IF(OR(deployment_raw[[#This Row],[Column5]] &lt;&gt; 0,$E$2 &lt;&gt; "Deployment"), MAX(V921, ($T$2 * IF($E$2="Deployment",deployment_raw[[#This Row],[Column5]],1))), 0),"")</f>
        <v/>
      </c>
      <c r="U921" s="50" t="str">
        <f>IF(ISNUMBER(deployment_raw[[#This Row],[Column9]]),IF(OR(deployment_raw[[#This Row],[Column5]] &lt;&gt; 0,$E$2&lt;&gt;"Deployment"), MAX(W921, ($U$2 * IF($E$2="Deployment",deployment_raw[[#This Row],[Column5]],1))), 0),"")</f>
        <v/>
      </c>
      <c r="V921" s="15" t="str">
        <f>IF(ISNUMBER(deployment_raw[[#This Row],[Column12]]), (deployment_raw[[#This Row],[Column12]] * IF($E$2="Deployment",deployment_raw[[#This Row],[Column5]],1)*(1+$V$2)),"")</f>
        <v/>
      </c>
      <c r="W921" s="14" t="str">
        <f>IF(ISNUMBER(deployment_raw[[#This Row],[Column13]]), (deployment_raw[[#This Row],[Column13]] * IF($E$2="Deployment",deployment_raw[[#This Row],[Column5]],1)*(1+$W$2))/1048576,"")</f>
        <v/>
      </c>
    </row>
    <row r="922" spans="1:23" ht="15" customHeight="1" x14ac:dyDescent="0.25">
      <c r="A922" s="5" t="str">
        <f>IF(ISNONTEXT(deployment_raw[[#This Row],[Column1]]), "", deployment_raw[[#This Row],[Column1]])</f>
        <v/>
      </c>
      <c r="B922" s="6" t="str">
        <f>IF(ISNONTEXT(deployment_raw[[#This Row],[Column2]]), "", deployment_raw[[#This Row],[Column2]])</f>
        <v/>
      </c>
      <c r="C922" s="6" t="str">
        <f>IF(ISNONTEXT(deployment_raw[[#This Row],[Column3]]), "", deployment_raw[[#This Row],[Column3]])</f>
        <v/>
      </c>
      <c r="D922" s="6" t="str">
        <f>IF(ISNONTEXT(deployment_raw[[#This Row],[Column4]]), "", deployment_raw[[#This Row],[Column4]])</f>
        <v/>
      </c>
      <c r="E922" s="7" t="str">
        <f>IF(ISNUMBER(deployment_raw[[#This Row],[Column5]]), deployment_raw[[#This Row],[Column5]],"")</f>
        <v/>
      </c>
      <c r="F922" s="32" t="str">
        <f>IF(ISNUMBER(deployment_raw[[#This Row],[Column17]]), deployment_raw[[#This Row],[Column17]]/IF(OR($E$2="Deployment",deployment_raw[[#This Row],[Column5]]=0),1,deployment_raw[[#This Row],[Column5]]),"")</f>
        <v/>
      </c>
      <c r="G922" s="42" t="str">
        <f>IF(ISNUMBER(deployment_raw[[#This Row],[Column14]]), deployment_raw[[#This Row],[Column14]]/IF(OR($E$2="Deployment",deployment_raw[[#This Row],[Column5]]=0),1,deployment_raw[[#This Row],[Column5]]),"")</f>
        <v/>
      </c>
      <c r="H922" s="79" t="str">
        <f>IF(ISNUMBER(deployment_raw[[#This Row],[Column19]]), IF(I922&lt;&gt;0,(deployment_raw[[#This Row],[Column19]]/IF(OR($E$2="Deployment",deployment_raw[[#This Row],[Column5]]=0),1,deployment_raw[[#This Row],[Column5]]))/I922,0),"")</f>
        <v/>
      </c>
      <c r="I922" s="69" t="str">
        <f>IF(ISNUMBER(deployment_raw[[#This Row],[Column6]]), (deployment_raw[[#This Row],[Column6]] * IF($E$2="Deployment",deployment_raw[[#This Row],[Column5]],1)),"")</f>
        <v/>
      </c>
      <c r="J922" s="79" t="str">
        <f>IF(ISNUMBER(deployment_raw[[#This Row],[Column19]]), IF(K922&lt;&gt;0,(deployment_raw[[#This Row],[Column19]]/IF(OR($E$2="Deployment",deployment_raw[[#This Row],[Column5]]=0),1,deployment_raw[[#This Row],[Column5]]))/K922,0),"")</f>
        <v/>
      </c>
      <c r="K922" s="72" t="str">
        <f>IF(ISNUMBER(deployment_raw[[#This Row],[Column8]]), (deployment_raw[[#This Row],[Column8]]  * IF($E$2="Deployment",deployment_raw[[#This Row],[Column5]],1)),"")</f>
        <v/>
      </c>
      <c r="L92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2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22" s="81" t="str">
        <f>IF(ISNUMBER(deployment_raw[[#This Row],[Column20]]), IF(O922&lt;&gt;0,deployment_raw[[#This Row],[Column20]]/IF(OR($E$2="Deployment",deployment_raw[[#This Row],[Column5]]=0),1,deployment_raw[[#This Row],[Column5]])/1048576/O922,0),"")</f>
        <v/>
      </c>
      <c r="O922" s="74" t="str">
        <f>IF(ISNUMBER(deployment_raw[[#This Row],[Column7]]), (deployment_raw[[#This Row],[Column7]] * IF($E$2="Deployment",deployment_raw[[#This Row],[Column5]],1))/1048576,"")</f>
        <v/>
      </c>
      <c r="P922" s="81" t="str">
        <f>IF(ISNUMBER(deployment_raw[[#This Row],[Column20]]), IF(Q922&lt;&gt;0,deployment_raw[[#This Row],[Column20]]/IF(OR($E$2="Deployment",deployment_raw[[#This Row],[Column5]]=0),1,deployment_raw[[#This Row],[Column5]])/1048576/Q922,0),"")</f>
        <v/>
      </c>
      <c r="Q922" s="76" t="str">
        <f>IF(ISNUMBER(deployment_raw[[#This Row],[Column9]]), (deployment_raw[[#This Row],[Column9]] * IF($E$2="Deployment",deployment_raw[[#This Row],[Column5]],1))/1048576,"")</f>
        <v/>
      </c>
      <c r="R922" s="57" t="str">
        <f>IF(ISNUMBER(deployment_raw[[#This Row],[Column10]]), (deployment_raw[[#This Row],[Column10]] * IF($E$2="Deployment",deployment_raw[[#This Row],[Column5]],1)),"")</f>
        <v/>
      </c>
      <c r="S922" s="48" t="str">
        <f>IF(ISNUMBER(deployment_raw[[#This Row],[Column11]]), (deployment_raw[[#This Row],[Column11]] * IF($E$2="Deployment",deployment_raw[[#This Row],[Column5]],1))/1048576,"")</f>
        <v/>
      </c>
      <c r="T922" s="59" t="str">
        <f>IF(ISNUMBER(deployment_raw[[#This Row],[Column8]]),IF(OR(deployment_raw[[#This Row],[Column5]] &lt;&gt; 0,$E$2 &lt;&gt; "Deployment"), MAX(V922, ($T$2 * IF($E$2="Deployment",deployment_raw[[#This Row],[Column5]],1))), 0),"")</f>
        <v/>
      </c>
      <c r="U922" s="50" t="str">
        <f>IF(ISNUMBER(deployment_raw[[#This Row],[Column9]]),IF(OR(deployment_raw[[#This Row],[Column5]] &lt;&gt; 0,$E$2&lt;&gt;"Deployment"), MAX(W922, ($U$2 * IF($E$2="Deployment",deployment_raw[[#This Row],[Column5]],1))), 0),"")</f>
        <v/>
      </c>
      <c r="V922" s="15" t="str">
        <f>IF(ISNUMBER(deployment_raw[[#This Row],[Column12]]), (deployment_raw[[#This Row],[Column12]] * IF($E$2="Deployment",deployment_raw[[#This Row],[Column5]],1)*(1+$V$2)),"")</f>
        <v/>
      </c>
      <c r="W922" s="14" t="str">
        <f>IF(ISNUMBER(deployment_raw[[#This Row],[Column13]]), (deployment_raw[[#This Row],[Column13]] * IF($E$2="Deployment",deployment_raw[[#This Row],[Column5]],1)*(1+$W$2))/1048576,"")</f>
        <v/>
      </c>
    </row>
    <row r="923" spans="1:23" ht="15" customHeight="1" x14ac:dyDescent="0.25">
      <c r="A923" s="5" t="str">
        <f>IF(ISNONTEXT(deployment_raw[[#This Row],[Column1]]), "", deployment_raw[[#This Row],[Column1]])</f>
        <v/>
      </c>
      <c r="B923" s="6" t="str">
        <f>IF(ISNONTEXT(deployment_raw[[#This Row],[Column2]]), "", deployment_raw[[#This Row],[Column2]])</f>
        <v/>
      </c>
      <c r="C923" s="6" t="str">
        <f>IF(ISNONTEXT(deployment_raw[[#This Row],[Column3]]), "", deployment_raw[[#This Row],[Column3]])</f>
        <v/>
      </c>
      <c r="D923" s="6" t="str">
        <f>IF(ISNONTEXT(deployment_raw[[#This Row],[Column4]]), "", deployment_raw[[#This Row],[Column4]])</f>
        <v/>
      </c>
      <c r="E923" s="7" t="str">
        <f>IF(ISNUMBER(deployment_raw[[#This Row],[Column5]]), deployment_raw[[#This Row],[Column5]],"")</f>
        <v/>
      </c>
      <c r="F923" s="32" t="str">
        <f>IF(ISNUMBER(deployment_raw[[#This Row],[Column17]]), deployment_raw[[#This Row],[Column17]]/IF(OR($E$2="Deployment",deployment_raw[[#This Row],[Column5]]=0),1,deployment_raw[[#This Row],[Column5]]),"")</f>
        <v/>
      </c>
      <c r="G923" s="42" t="str">
        <f>IF(ISNUMBER(deployment_raw[[#This Row],[Column14]]), deployment_raw[[#This Row],[Column14]]/IF(OR($E$2="Deployment",deployment_raw[[#This Row],[Column5]]=0),1,deployment_raw[[#This Row],[Column5]]),"")</f>
        <v/>
      </c>
      <c r="H923" s="79" t="str">
        <f>IF(ISNUMBER(deployment_raw[[#This Row],[Column19]]), IF(I923&lt;&gt;0,(deployment_raw[[#This Row],[Column19]]/IF(OR($E$2="Deployment",deployment_raw[[#This Row],[Column5]]=0),1,deployment_raw[[#This Row],[Column5]]))/I923,0),"")</f>
        <v/>
      </c>
      <c r="I923" s="69" t="str">
        <f>IF(ISNUMBER(deployment_raw[[#This Row],[Column6]]), (deployment_raw[[#This Row],[Column6]] * IF($E$2="Deployment",deployment_raw[[#This Row],[Column5]],1)),"")</f>
        <v/>
      </c>
      <c r="J923" s="79" t="str">
        <f>IF(ISNUMBER(deployment_raw[[#This Row],[Column19]]), IF(K923&lt;&gt;0,(deployment_raw[[#This Row],[Column19]]/IF(OR($E$2="Deployment",deployment_raw[[#This Row],[Column5]]=0),1,deployment_raw[[#This Row],[Column5]]))/K923,0),"")</f>
        <v/>
      </c>
      <c r="K923" s="72" t="str">
        <f>IF(ISNUMBER(deployment_raw[[#This Row],[Column8]]), (deployment_raw[[#This Row],[Column8]]  * IF($E$2="Deployment",deployment_raw[[#This Row],[Column5]],1)),"")</f>
        <v/>
      </c>
      <c r="L92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2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23" s="81" t="str">
        <f>IF(ISNUMBER(deployment_raw[[#This Row],[Column20]]), IF(O923&lt;&gt;0,deployment_raw[[#This Row],[Column20]]/IF(OR($E$2="Deployment",deployment_raw[[#This Row],[Column5]]=0),1,deployment_raw[[#This Row],[Column5]])/1048576/O923,0),"")</f>
        <v/>
      </c>
      <c r="O923" s="74" t="str">
        <f>IF(ISNUMBER(deployment_raw[[#This Row],[Column7]]), (deployment_raw[[#This Row],[Column7]] * IF($E$2="Deployment",deployment_raw[[#This Row],[Column5]],1))/1048576,"")</f>
        <v/>
      </c>
      <c r="P923" s="81" t="str">
        <f>IF(ISNUMBER(deployment_raw[[#This Row],[Column20]]), IF(Q923&lt;&gt;0,deployment_raw[[#This Row],[Column20]]/IF(OR($E$2="Deployment",deployment_raw[[#This Row],[Column5]]=0),1,deployment_raw[[#This Row],[Column5]])/1048576/Q923,0),"")</f>
        <v/>
      </c>
      <c r="Q923" s="76" t="str">
        <f>IF(ISNUMBER(deployment_raw[[#This Row],[Column9]]), (deployment_raw[[#This Row],[Column9]] * IF($E$2="Deployment",deployment_raw[[#This Row],[Column5]],1))/1048576,"")</f>
        <v/>
      </c>
      <c r="R923" s="57" t="str">
        <f>IF(ISNUMBER(deployment_raw[[#This Row],[Column10]]), (deployment_raw[[#This Row],[Column10]] * IF($E$2="Deployment",deployment_raw[[#This Row],[Column5]],1)),"")</f>
        <v/>
      </c>
      <c r="S923" s="48" t="str">
        <f>IF(ISNUMBER(deployment_raw[[#This Row],[Column11]]), (deployment_raw[[#This Row],[Column11]] * IF($E$2="Deployment",deployment_raw[[#This Row],[Column5]],1))/1048576,"")</f>
        <v/>
      </c>
      <c r="T923" s="59" t="str">
        <f>IF(ISNUMBER(deployment_raw[[#This Row],[Column8]]),IF(OR(deployment_raw[[#This Row],[Column5]] &lt;&gt; 0,$E$2 &lt;&gt; "Deployment"), MAX(V923, ($T$2 * IF($E$2="Deployment",deployment_raw[[#This Row],[Column5]],1))), 0),"")</f>
        <v/>
      </c>
      <c r="U923" s="50" t="str">
        <f>IF(ISNUMBER(deployment_raw[[#This Row],[Column9]]),IF(OR(deployment_raw[[#This Row],[Column5]] &lt;&gt; 0,$E$2&lt;&gt;"Deployment"), MAX(W923, ($U$2 * IF($E$2="Deployment",deployment_raw[[#This Row],[Column5]],1))), 0),"")</f>
        <v/>
      </c>
      <c r="V923" s="15" t="str">
        <f>IF(ISNUMBER(deployment_raw[[#This Row],[Column12]]), (deployment_raw[[#This Row],[Column12]] * IF($E$2="Deployment",deployment_raw[[#This Row],[Column5]],1)*(1+$V$2)),"")</f>
        <v/>
      </c>
      <c r="W923" s="14" t="str">
        <f>IF(ISNUMBER(deployment_raw[[#This Row],[Column13]]), (deployment_raw[[#This Row],[Column13]] * IF($E$2="Deployment",deployment_raw[[#This Row],[Column5]],1)*(1+$W$2))/1048576,"")</f>
        <v/>
      </c>
    </row>
    <row r="924" spans="1:23" ht="15" customHeight="1" x14ac:dyDescent="0.25">
      <c r="A924" s="5" t="str">
        <f>IF(ISNONTEXT(deployment_raw[[#This Row],[Column1]]), "", deployment_raw[[#This Row],[Column1]])</f>
        <v/>
      </c>
      <c r="B924" s="6" t="str">
        <f>IF(ISNONTEXT(deployment_raw[[#This Row],[Column2]]), "", deployment_raw[[#This Row],[Column2]])</f>
        <v/>
      </c>
      <c r="C924" s="6" t="str">
        <f>IF(ISNONTEXT(deployment_raw[[#This Row],[Column3]]), "", deployment_raw[[#This Row],[Column3]])</f>
        <v/>
      </c>
      <c r="D924" s="6" t="str">
        <f>IF(ISNONTEXT(deployment_raw[[#This Row],[Column4]]), "", deployment_raw[[#This Row],[Column4]])</f>
        <v/>
      </c>
      <c r="E924" s="7" t="str">
        <f>IF(ISNUMBER(deployment_raw[[#This Row],[Column5]]), deployment_raw[[#This Row],[Column5]],"")</f>
        <v/>
      </c>
      <c r="F924" s="32" t="str">
        <f>IF(ISNUMBER(deployment_raw[[#This Row],[Column17]]), deployment_raw[[#This Row],[Column17]]/IF(OR($E$2="Deployment",deployment_raw[[#This Row],[Column5]]=0),1,deployment_raw[[#This Row],[Column5]]),"")</f>
        <v/>
      </c>
      <c r="G924" s="42" t="str">
        <f>IF(ISNUMBER(deployment_raw[[#This Row],[Column14]]), deployment_raw[[#This Row],[Column14]]/IF(OR($E$2="Deployment",deployment_raw[[#This Row],[Column5]]=0),1,deployment_raw[[#This Row],[Column5]]),"")</f>
        <v/>
      </c>
      <c r="H924" s="79" t="str">
        <f>IF(ISNUMBER(deployment_raw[[#This Row],[Column19]]), IF(I924&lt;&gt;0,(deployment_raw[[#This Row],[Column19]]/IF(OR($E$2="Deployment",deployment_raw[[#This Row],[Column5]]=0),1,deployment_raw[[#This Row],[Column5]]))/I924,0),"")</f>
        <v/>
      </c>
      <c r="I924" s="69" t="str">
        <f>IF(ISNUMBER(deployment_raw[[#This Row],[Column6]]), (deployment_raw[[#This Row],[Column6]] * IF($E$2="Deployment",deployment_raw[[#This Row],[Column5]],1)),"")</f>
        <v/>
      </c>
      <c r="J924" s="79" t="str">
        <f>IF(ISNUMBER(deployment_raw[[#This Row],[Column19]]), IF(K924&lt;&gt;0,(deployment_raw[[#This Row],[Column19]]/IF(OR($E$2="Deployment",deployment_raw[[#This Row],[Column5]]=0),1,deployment_raw[[#This Row],[Column5]]))/K924,0),"")</f>
        <v/>
      </c>
      <c r="K924" s="72" t="str">
        <f>IF(ISNUMBER(deployment_raw[[#This Row],[Column8]]), (deployment_raw[[#This Row],[Column8]]  * IF($E$2="Deployment",deployment_raw[[#This Row],[Column5]],1)),"")</f>
        <v/>
      </c>
      <c r="L92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2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24" s="81" t="str">
        <f>IF(ISNUMBER(deployment_raw[[#This Row],[Column20]]), IF(O924&lt;&gt;0,deployment_raw[[#This Row],[Column20]]/IF(OR($E$2="Deployment",deployment_raw[[#This Row],[Column5]]=0),1,deployment_raw[[#This Row],[Column5]])/1048576/O924,0),"")</f>
        <v/>
      </c>
      <c r="O924" s="74" t="str">
        <f>IF(ISNUMBER(deployment_raw[[#This Row],[Column7]]), (deployment_raw[[#This Row],[Column7]] * IF($E$2="Deployment",deployment_raw[[#This Row],[Column5]],1))/1048576,"")</f>
        <v/>
      </c>
      <c r="P924" s="81" t="str">
        <f>IF(ISNUMBER(deployment_raw[[#This Row],[Column20]]), IF(Q924&lt;&gt;0,deployment_raw[[#This Row],[Column20]]/IF(OR($E$2="Deployment",deployment_raw[[#This Row],[Column5]]=0),1,deployment_raw[[#This Row],[Column5]])/1048576/Q924,0),"")</f>
        <v/>
      </c>
      <c r="Q924" s="76" t="str">
        <f>IF(ISNUMBER(deployment_raw[[#This Row],[Column9]]), (deployment_raw[[#This Row],[Column9]] * IF($E$2="Deployment",deployment_raw[[#This Row],[Column5]],1))/1048576,"")</f>
        <v/>
      </c>
      <c r="R924" s="57" t="str">
        <f>IF(ISNUMBER(deployment_raw[[#This Row],[Column10]]), (deployment_raw[[#This Row],[Column10]] * IF($E$2="Deployment",deployment_raw[[#This Row],[Column5]],1)),"")</f>
        <v/>
      </c>
      <c r="S924" s="48" t="str">
        <f>IF(ISNUMBER(deployment_raw[[#This Row],[Column11]]), (deployment_raw[[#This Row],[Column11]] * IF($E$2="Deployment",deployment_raw[[#This Row],[Column5]],1))/1048576,"")</f>
        <v/>
      </c>
      <c r="T924" s="59" t="str">
        <f>IF(ISNUMBER(deployment_raw[[#This Row],[Column8]]),IF(OR(deployment_raw[[#This Row],[Column5]] &lt;&gt; 0,$E$2 &lt;&gt; "Deployment"), MAX(V924, ($T$2 * IF($E$2="Deployment",deployment_raw[[#This Row],[Column5]],1))), 0),"")</f>
        <v/>
      </c>
      <c r="U924" s="50" t="str">
        <f>IF(ISNUMBER(deployment_raw[[#This Row],[Column9]]),IF(OR(deployment_raw[[#This Row],[Column5]] &lt;&gt; 0,$E$2&lt;&gt;"Deployment"), MAX(W924, ($U$2 * IF($E$2="Deployment",deployment_raw[[#This Row],[Column5]],1))), 0),"")</f>
        <v/>
      </c>
      <c r="V924" s="15" t="str">
        <f>IF(ISNUMBER(deployment_raw[[#This Row],[Column12]]), (deployment_raw[[#This Row],[Column12]] * IF($E$2="Deployment",deployment_raw[[#This Row],[Column5]],1)*(1+$V$2)),"")</f>
        <v/>
      </c>
      <c r="W924" s="14" t="str">
        <f>IF(ISNUMBER(deployment_raw[[#This Row],[Column13]]), (deployment_raw[[#This Row],[Column13]] * IF($E$2="Deployment",deployment_raw[[#This Row],[Column5]],1)*(1+$W$2))/1048576,"")</f>
        <v/>
      </c>
    </row>
    <row r="925" spans="1:23" ht="15" customHeight="1" x14ac:dyDescent="0.25">
      <c r="A925" s="5" t="str">
        <f>IF(ISNONTEXT(deployment_raw[[#This Row],[Column1]]), "", deployment_raw[[#This Row],[Column1]])</f>
        <v/>
      </c>
      <c r="B925" s="6" t="str">
        <f>IF(ISNONTEXT(deployment_raw[[#This Row],[Column2]]), "", deployment_raw[[#This Row],[Column2]])</f>
        <v/>
      </c>
      <c r="C925" s="6" t="str">
        <f>IF(ISNONTEXT(deployment_raw[[#This Row],[Column3]]), "", deployment_raw[[#This Row],[Column3]])</f>
        <v/>
      </c>
      <c r="D925" s="6" t="str">
        <f>IF(ISNONTEXT(deployment_raw[[#This Row],[Column4]]), "", deployment_raw[[#This Row],[Column4]])</f>
        <v/>
      </c>
      <c r="E925" s="7" t="str">
        <f>IF(ISNUMBER(deployment_raw[[#This Row],[Column5]]), deployment_raw[[#This Row],[Column5]],"")</f>
        <v/>
      </c>
      <c r="F925" s="32" t="str">
        <f>IF(ISNUMBER(deployment_raw[[#This Row],[Column17]]), deployment_raw[[#This Row],[Column17]]/IF(OR($E$2="Deployment",deployment_raw[[#This Row],[Column5]]=0),1,deployment_raw[[#This Row],[Column5]]),"")</f>
        <v/>
      </c>
      <c r="G925" s="42" t="str">
        <f>IF(ISNUMBER(deployment_raw[[#This Row],[Column14]]), deployment_raw[[#This Row],[Column14]]/IF(OR($E$2="Deployment",deployment_raw[[#This Row],[Column5]]=0),1,deployment_raw[[#This Row],[Column5]]),"")</f>
        <v/>
      </c>
      <c r="H925" s="79" t="str">
        <f>IF(ISNUMBER(deployment_raw[[#This Row],[Column19]]), IF(I925&lt;&gt;0,(deployment_raw[[#This Row],[Column19]]/IF(OR($E$2="Deployment",deployment_raw[[#This Row],[Column5]]=0),1,deployment_raw[[#This Row],[Column5]]))/I925,0),"")</f>
        <v/>
      </c>
      <c r="I925" s="69" t="str">
        <f>IF(ISNUMBER(deployment_raw[[#This Row],[Column6]]), (deployment_raw[[#This Row],[Column6]] * IF($E$2="Deployment",deployment_raw[[#This Row],[Column5]],1)),"")</f>
        <v/>
      </c>
      <c r="J925" s="79" t="str">
        <f>IF(ISNUMBER(deployment_raw[[#This Row],[Column19]]), IF(K925&lt;&gt;0,(deployment_raw[[#This Row],[Column19]]/IF(OR($E$2="Deployment",deployment_raw[[#This Row],[Column5]]=0),1,deployment_raw[[#This Row],[Column5]]))/K925,0),"")</f>
        <v/>
      </c>
      <c r="K925" s="72" t="str">
        <f>IF(ISNUMBER(deployment_raw[[#This Row],[Column8]]), (deployment_raw[[#This Row],[Column8]]  * IF($E$2="Deployment",deployment_raw[[#This Row],[Column5]],1)),"")</f>
        <v/>
      </c>
      <c r="L92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2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25" s="81" t="str">
        <f>IF(ISNUMBER(deployment_raw[[#This Row],[Column20]]), IF(O925&lt;&gt;0,deployment_raw[[#This Row],[Column20]]/IF(OR($E$2="Deployment",deployment_raw[[#This Row],[Column5]]=0),1,deployment_raw[[#This Row],[Column5]])/1048576/O925,0),"")</f>
        <v/>
      </c>
      <c r="O925" s="74" t="str">
        <f>IF(ISNUMBER(deployment_raw[[#This Row],[Column7]]), (deployment_raw[[#This Row],[Column7]] * IF($E$2="Deployment",deployment_raw[[#This Row],[Column5]],1))/1048576,"")</f>
        <v/>
      </c>
      <c r="P925" s="81" t="str">
        <f>IF(ISNUMBER(deployment_raw[[#This Row],[Column20]]), IF(Q925&lt;&gt;0,deployment_raw[[#This Row],[Column20]]/IF(OR($E$2="Deployment",deployment_raw[[#This Row],[Column5]]=0),1,deployment_raw[[#This Row],[Column5]])/1048576/Q925,0),"")</f>
        <v/>
      </c>
      <c r="Q925" s="76" t="str">
        <f>IF(ISNUMBER(deployment_raw[[#This Row],[Column9]]), (deployment_raw[[#This Row],[Column9]] * IF($E$2="Deployment",deployment_raw[[#This Row],[Column5]],1))/1048576,"")</f>
        <v/>
      </c>
      <c r="R925" s="57" t="str">
        <f>IF(ISNUMBER(deployment_raw[[#This Row],[Column10]]), (deployment_raw[[#This Row],[Column10]] * IF($E$2="Deployment",deployment_raw[[#This Row],[Column5]],1)),"")</f>
        <v/>
      </c>
      <c r="S925" s="48" t="str">
        <f>IF(ISNUMBER(deployment_raw[[#This Row],[Column11]]), (deployment_raw[[#This Row],[Column11]] * IF($E$2="Deployment",deployment_raw[[#This Row],[Column5]],1))/1048576,"")</f>
        <v/>
      </c>
      <c r="T925" s="59" t="str">
        <f>IF(ISNUMBER(deployment_raw[[#This Row],[Column8]]),IF(OR(deployment_raw[[#This Row],[Column5]] &lt;&gt; 0,$E$2 &lt;&gt; "Deployment"), MAX(V925, ($T$2 * IF($E$2="Deployment",deployment_raw[[#This Row],[Column5]],1))), 0),"")</f>
        <v/>
      </c>
      <c r="U925" s="50" t="str">
        <f>IF(ISNUMBER(deployment_raw[[#This Row],[Column9]]),IF(OR(deployment_raw[[#This Row],[Column5]] &lt;&gt; 0,$E$2&lt;&gt;"Deployment"), MAX(W925, ($U$2 * IF($E$2="Deployment",deployment_raw[[#This Row],[Column5]],1))), 0),"")</f>
        <v/>
      </c>
      <c r="V925" s="15" t="str">
        <f>IF(ISNUMBER(deployment_raw[[#This Row],[Column12]]), (deployment_raw[[#This Row],[Column12]] * IF($E$2="Deployment",deployment_raw[[#This Row],[Column5]],1)*(1+$V$2)),"")</f>
        <v/>
      </c>
      <c r="W925" s="14" t="str">
        <f>IF(ISNUMBER(deployment_raw[[#This Row],[Column13]]), (deployment_raw[[#This Row],[Column13]] * IF($E$2="Deployment",deployment_raw[[#This Row],[Column5]],1)*(1+$W$2))/1048576,"")</f>
        <v/>
      </c>
    </row>
    <row r="926" spans="1:23" ht="15" customHeight="1" x14ac:dyDescent="0.25">
      <c r="A926" s="5" t="str">
        <f>IF(ISNONTEXT(deployment_raw[[#This Row],[Column1]]), "", deployment_raw[[#This Row],[Column1]])</f>
        <v/>
      </c>
      <c r="B926" s="6" t="str">
        <f>IF(ISNONTEXT(deployment_raw[[#This Row],[Column2]]), "", deployment_raw[[#This Row],[Column2]])</f>
        <v/>
      </c>
      <c r="C926" s="6" t="str">
        <f>IF(ISNONTEXT(deployment_raw[[#This Row],[Column3]]), "", deployment_raw[[#This Row],[Column3]])</f>
        <v/>
      </c>
      <c r="D926" s="6" t="str">
        <f>IF(ISNONTEXT(deployment_raw[[#This Row],[Column4]]), "", deployment_raw[[#This Row],[Column4]])</f>
        <v/>
      </c>
      <c r="E926" s="7" t="str">
        <f>IF(ISNUMBER(deployment_raw[[#This Row],[Column5]]), deployment_raw[[#This Row],[Column5]],"")</f>
        <v/>
      </c>
      <c r="F926" s="32" t="str">
        <f>IF(ISNUMBER(deployment_raw[[#This Row],[Column17]]), deployment_raw[[#This Row],[Column17]]/IF(OR($E$2="Deployment",deployment_raw[[#This Row],[Column5]]=0),1,deployment_raw[[#This Row],[Column5]]),"")</f>
        <v/>
      </c>
      <c r="G926" s="42" t="str">
        <f>IF(ISNUMBER(deployment_raw[[#This Row],[Column14]]), deployment_raw[[#This Row],[Column14]]/IF(OR($E$2="Deployment",deployment_raw[[#This Row],[Column5]]=0),1,deployment_raw[[#This Row],[Column5]]),"")</f>
        <v/>
      </c>
      <c r="H926" s="79" t="str">
        <f>IF(ISNUMBER(deployment_raw[[#This Row],[Column19]]), IF(I926&lt;&gt;0,(deployment_raw[[#This Row],[Column19]]/IF(OR($E$2="Deployment",deployment_raw[[#This Row],[Column5]]=0),1,deployment_raw[[#This Row],[Column5]]))/I926,0),"")</f>
        <v/>
      </c>
      <c r="I926" s="69" t="str">
        <f>IF(ISNUMBER(deployment_raw[[#This Row],[Column6]]), (deployment_raw[[#This Row],[Column6]] * IF($E$2="Deployment",deployment_raw[[#This Row],[Column5]],1)),"")</f>
        <v/>
      </c>
      <c r="J926" s="79" t="str">
        <f>IF(ISNUMBER(deployment_raw[[#This Row],[Column19]]), IF(K926&lt;&gt;0,(deployment_raw[[#This Row],[Column19]]/IF(OR($E$2="Deployment",deployment_raw[[#This Row],[Column5]]=0),1,deployment_raw[[#This Row],[Column5]]))/K926,0),"")</f>
        <v/>
      </c>
      <c r="K926" s="72" t="str">
        <f>IF(ISNUMBER(deployment_raw[[#This Row],[Column8]]), (deployment_raw[[#This Row],[Column8]]  * IF($E$2="Deployment",deployment_raw[[#This Row],[Column5]],1)),"")</f>
        <v/>
      </c>
      <c r="L92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2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26" s="81" t="str">
        <f>IF(ISNUMBER(deployment_raw[[#This Row],[Column20]]), IF(O926&lt;&gt;0,deployment_raw[[#This Row],[Column20]]/IF(OR($E$2="Deployment",deployment_raw[[#This Row],[Column5]]=0),1,deployment_raw[[#This Row],[Column5]])/1048576/O926,0),"")</f>
        <v/>
      </c>
      <c r="O926" s="74" t="str">
        <f>IF(ISNUMBER(deployment_raw[[#This Row],[Column7]]), (deployment_raw[[#This Row],[Column7]] * IF($E$2="Deployment",deployment_raw[[#This Row],[Column5]],1))/1048576,"")</f>
        <v/>
      </c>
      <c r="P926" s="81" t="str">
        <f>IF(ISNUMBER(deployment_raw[[#This Row],[Column20]]), IF(Q926&lt;&gt;0,deployment_raw[[#This Row],[Column20]]/IF(OR($E$2="Deployment",deployment_raw[[#This Row],[Column5]]=0),1,deployment_raw[[#This Row],[Column5]])/1048576/Q926,0),"")</f>
        <v/>
      </c>
      <c r="Q926" s="76" t="str">
        <f>IF(ISNUMBER(deployment_raw[[#This Row],[Column9]]), (deployment_raw[[#This Row],[Column9]] * IF($E$2="Deployment",deployment_raw[[#This Row],[Column5]],1))/1048576,"")</f>
        <v/>
      </c>
      <c r="R926" s="57" t="str">
        <f>IF(ISNUMBER(deployment_raw[[#This Row],[Column10]]), (deployment_raw[[#This Row],[Column10]] * IF($E$2="Deployment",deployment_raw[[#This Row],[Column5]],1)),"")</f>
        <v/>
      </c>
      <c r="S926" s="48" t="str">
        <f>IF(ISNUMBER(deployment_raw[[#This Row],[Column11]]), (deployment_raw[[#This Row],[Column11]] * IF($E$2="Deployment",deployment_raw[[#This Row],[Column5]],1))/1048576,"")</f>
        <v/>
      </c>
      <c r="T926" s="59" t="str">
        <f>IF(ISNUMBER(deployment_raw[[#This Row],[Column8]]),IF(OR(deployment_raw[[#This Row],[Column5]] &lt;&gt; 0,$E$2 &lt;&gt; "Deployment"), MAX(V926, ($T$2 * IF($E$2="Deployment",deployment_raw[[#This Row],[Column5]],1))), 0),"")</f>
        <v/>
      </c>
      <c r="U926" s="50" t="str">
        <f>IF(ISNUMBER(deployment_raw[[#This Row],[Column9]]),IF(OR(deployment_raw[[#This Row],[Column5]] &lt;&gt; 0,$E$2&lt;&gt;"Deployment"), MAX(W926, ($U$2 * IF($E$2="Deployment",deployment_raw[[#This Row],[Column5]],1))), 0),"")</f>
        <v/>
      </c>
      <c r="V926" s="15" t="str">
        <f>IF(ISNUMBER(deployment_raw[[#This Row],[Column12]]), (deployment_raw[[#This Row],[Column12]] * IF($E$2="Deployment",deployment_raw[[#This Row],[Column5]],1)*(1+$V$2)),"")</f>
        <v/>
      </c>
      <c r="W926" s="14" t="str">
        <f>IF(ISNUMBER(deployment_raw[[#This Row],[Column13]]), (deployment_raw[[#This Row],[Column13]] * IF($E$2="Deployment",deployment_raw[[#This Row],[Column5]],1)*(1+$W$2))/1048576,"")</f>
        <v/>
      </c>
    </row>
    <row r="927" spans="1:23" ht="15" customHeight="1" x14ac:dyDescent="0.25">
      <c r="A927" s="5" t="str">
        <f>IF(ISNONTEXT(deployment_raw[[#This Row],[Column1]]), "", deployment_raw[[#This Row],[Column1]])</f>
        <v/>
      </c>
      <c r="B927" s="6" t="str">
        <f>IF(ISNONTEXT(deployment_raw[[#This Row],[Column2]]), "", deployment_raw[[#This Row],[Column2]])</f>
        <v/>
      </c>
      <c r="C927" s="6" t="str">
        <f>IF(ISNONTEXT(deployment_raw[[#This Row],[Column3]]), "", deployment_raw[[#This Row],[Column3]])</f>
        <v/>
      </c>
      <c r="D927" s="6" t="str">
        <f>IF(ISNONTEXT(deployment_raw[[#This Row],[Column4]]), "", deployment_raw[[#This Row],[Column4]])</f>
        <v/>
      </c>
      <c r="E927" s="7" t="str">
        <f>IF(ISNUMBER(deployment_raw[[#This Row],[Column5]]), deployment_raw[[#This Row],[Column5]],"")</f>
        <v/>
      </c>
      <c r="F927" s="32" t="str">
        <f>IF(ISNUMBER(deployment_raw[[#This Row],[Column17]]), deployment_raw[[#This Row],[Column17]]/IF(OR($E$2="Deployment",deployment_raw[[#This Row],[Column5]]=0),1,deployment_raw[[#This Row],[Column5]]),"")</f>
        <v/>
      </c>
      <c r="G927" s="42" t="str">
        <f>IF(ISNUMBER(deployment_raw[[#This Row],[Column14]]), deployment_raw[[#This Row],[Column14]]/IF(OR($E$2="Deployment",deployment_raw[[#This Row],[Column5]]=0),1,deployment_raw[[#This Row],[Column5]]),"")</f>
        <v/>
      </c>
      <c r="H927" s="79" t="str">
        <f>IF(ISNUMBER(deployment_raw[[#This Row],[Column19]]), IF(I927&lt;&gt;0,(deployment_raw[[#This Row],[Column19]]/IF(OR($E$2="Deployment",deployment_raw[[#This Row],[Column5]]=0),1,deployment_raw[[#This Row],[Column5]]))/I927,0),"")</f>
        <v/>
      </c>
      <c r="I927" s="69" t="str">
        <f>IF(ISNUMBER(deployment_raw[[#This Row],[Column6]]), (deployment_raw[[#This Row],[Column6]] * IF($E$2="Deployment",deployment_raw[[#This Row],[Column5]],1)),"")</f>
        <v/>
      </c>
      <c r="J927" s="79" t="str">
        <f>IF(ISNUMBER(deployment_raw[[#This Row],[Column19]]), IF(K927&lt;&gt;0,(deployment_raw[[#This Row],[Column19]]/IF(OR($E$2="Deployment",deployment_raw[[#This Row],[Column5]]=0),1,deployment_raw[[#This Row],[Column5]]))/K927,0),"")</f>
        <v/>
      </c>
      <c r="K927" s="72" t="str">
        <f>IF(ISNUMBER(deployment_raw[[#This Row],[Column8]]), (deployment_raw[[#This Row],[Column8]]  * IF($E$2="Deployment",deployment_raw[[#This Row],[Column5]],1)),"")</f>
        <v/>
      </c>
      <c r="L92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2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27" s="81" t="str">
        <f>IF(ISNUMBER(deployment_raw[[#This Row],[Column20]]), IF(O927&lt;&gt;0,deployment_raw[[#This Row],[Column20]]/IF(OR($E$2="Deployment",deployment_raw[[#This Row],[Column5]]=0),1,deployment_raw[[#This Row],[Column5]])/1048576/O927,0),"")</f>
        <v/>
      </c>
      <c r="O927" s="74" t="str">
        <f>IF(ISNUMBER(deployment_raw[[#This Row],[Column7]]), (deployment_raw[[#This Row],[Column7]] * IF($E$2="Deployment",deployment_raw[[#This Row],[Column5]],1))/1048576,"")</f>
        <v/>
      </c>
      <c r="P927" s="81" t="str">
        <f>IF(ISNUMBER(deployment_raw[[#This Row],[Column20]]), IF(Q927&lt;&gt;0,deployment_raw[[#This Row],[Column20]]/IF(OR($E$2="Deployment",deployment_raw[[#This Row],[Column5]]=0),1,deployment_raw[[#This Row],[Column5]])/1048576/Q927,0),"")</f>
        <v/>
      </c>
      <c r="Q927" s="76" t="str">
        <f>IF(ISNUMBER(deployment_raw[[#This Row],[Column9]]), (deployment_raw[[#This Row],[Column9]] * IF($E$2="Deployment",deployment_raw[[#This Row],[Column5]],1))/1048576,"")</f>
        <v/>
      </c>
      <c r="R927" s="57" t="str">
        <f>IF(ISNUMBER(deployment_raw[[#This Row],[Column10]]), (deployment_raw[[#This Row],[Column10]] * IF($E$2="Deployment",deployment_raw[[#This Row],[Column5]],1)),"")</f>
        <v/>
      </c>
      <c r="S927" s="48" t="str">
        <f>IF(ISNUMBER(deployment_raw[[#This Row],[Column11]]), (deployment_raw[[#This Row],[Column11]] * IF($E$2="Deployment",deployment_raw[[#This Row],[Column5]],1))/1048576,"")</f>
        <v/>
      </c>
      <c r="T927" s="59" t="str">
        <f>IF(ISNUMBER(deployment_raw[[#This Row],[Column8]]),IF(OR(deployment_raw[[#This Row],[Column5]] &lt;&gt; 0,$E$2 &lt;&gt; "Deployment"), MAX(V927, ($T$2 * IF($E$2="Deployment",deployment_raw[[#This Row],[Column5]],1))), 0),"")</f>
        <v/>
      </c>
      <c r="U927" s="50" t="str">
        <f>IF(ISNUMBER(deployment_raw[[#This Row],[Column9]]),IF(OR(deployment_raw[[#This Row],[Column5]] &lt;&gt; 0,$E$2&lt;&gt;"Deployment"), MAX(W927, ($U$2 * IF($E$2="Deployment",deployment_raw[[#This Row],[Column5]],1))), 0),"")</f>
        <v/>
      </c>
      <c r="V927" s="15" t="str">
        <f>IF(ISNUMBER(deployment_raw[[#This Row],[Column12]]), (deployment_raw[[#This Row],[Column12]] * IF($E$2="Deployment",deployment_raw[[#This Row],[Column5]],1)*(1+$V$2)),"")</f>
        <v/>
      </c>
      <c r="W927" s="14" t="str">
        <f>IF(ISNUMBER(deployment_raw[[#This Row],[Column13]]), (deployment_raw[[#This Row],[Column13]] * IF($E$2="Deployment",deployment_raw[[#This Row],[Column5]],1)*(1+$W$2))/1048576,"")</f>
        <v/>
      </c>
    </row>
    <row r="928" spans="1:23" ht="15" customHeight="1" x14ac:dyDescent="0.25">
      <c r="A928" s="5" t="str">
        <f>IF(ISNONTEXT(deployment_raw[[#This Row],[Column1]]), "", deployment_raw[[#This Row],[Column1]])</f>
        <v/>
      </c>
      <c r="B928" s="6" t="str">
        <f>IF(ISNONTEXT(deployment_raw[[#This Row],[Column2]]), "", deployment_raw[[#This Row],[Column2]])</f>
        <v/>
      </c>
      <c r="C928" s="6" t="str">
        <f>IF(ISNONTEXT(deployment_raw[[#This Row],[Column3]]), "", deployment_raw[[#This Row],[Column3]])</f>
        <v/>
      </c>
      <c r="D928" s="6" t="str">
        <f>IF(ISNONTEXT(deployment_raw[[#This Row],[Column4]]), "", deployment_raw[[#This Row],[Column4]])</f>
        <v/>
      </c>
      <c r="E928" s="7" t="str">
        <f>IF(ISNUMBER(deployment_raw[[#This Row],[Column5]]), deployment_raw[[#This Row],[Column5]],"")</f>
        <v/>
      </c>
      <c r="F928" s="32" t="str">
        <f>IF(ISNUMBER(deployment_raw[[#This Row],[Column17]]), deployment_raw[[#This Row],[Column17]]/IF(OR($E$2="Deployment",deployment_raw[[#This Row],[Column5]]=0),1,deployment_raw[[#This Row],[Column5]]),"")</f>
        <v/>
      </c>
      <c r="G928" s="42" t="str">
        <f>IF(ISNUMBER(deployment_raw[[#This Row],[Column14]]), deployment_raw[[#This Row],[Column14]]/IF(OR($E$2="Deployment",deployment_raw[[#This Row],[Column5]]=0),1,deployment_raw[[#This Row],[Column5]]),"")</f>
        <v/>
      </c>
      <c r="H928" s="79" t="str">
        <f>IF(ISNUMBER(deployment_raw[[#This Row],[Column19]]), IF(I928&lt;&gt;0,(deployment_raw[[#This Row],[Column19]]/IF(OR($E$2="Deployment",deployment_raw[[#This Row],[Column5]]=0),1,deployment_raw[[#This Row],[Column5]]))/I928,0),"")</f>
        <v/>
      </c>
      <c r="I928" s="69" t="str">
        <f>IF(ISNUMBER(deployment_raw[[#This Row],[Column6]]), (deployment_raw[[#This Row],[Column6]] * IF($E$2="Deployment",deployment_raw[[#This Row],[Column5]],1)),"")</f>
        <v/>
      </c>
      <c r="J928" s="79" t="str">
        <f>IF(ISNUMBER(deployment_raw[[#This Row],[Column19]]), IF(K928&lt;&gt;0,(deployment_raw[[#This Row],[Column19]]/IF(OR($E$2="Deployment",deployment_raw[[#This Row],[Column5]]=0),1,deployment_raw[[#This Row],[Column5]]))/K928,0),"")</f>
        <v/>
      </c>
      <c r="K928" s="72" t="str">
        <f>IF(ISNUMBER(deployment_raw[[#This Row],[Column8]]), (deployment_raw[[#This Row],[Column8]]  * IF($E$2="Deployment",deployment_raw[[#This Row],[Column5]],1)),"")</f>
        <v/>
      </c>
      <c r="L92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2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28" s="81" t="str">
        <f>IF(ISNUMBER(deployment_raw[[#This Row],[Column20]]), IF(O928&lt;&gt;0,deployment_raw[[#This Row],[Column20]]/IF(OR($E$2="Deployment",deployment_raw[[#This Row],[Column5]]=0),1,deployment_raw[[#This Row],[Column5]])/1048576/O928,0),"")</f>
        <v/>
      </c>
      <c r="O928" s="74" t="str">
        <f>IF(ISNUMBER(deployment_raw[[#This Row],[Column7]]), (deployment_raw[[#This Row],[Column7]] * IF($E$2="Deployment",deployment_raw[[#This Row],[Column5]],1))/1048576,"")</f>
        <v/>
      </c>
      <c r="P928" s="81" t="str">
        <f>IF(ISNUMBER(deployment_raw[[#This Row],[Column20]]), IF(Q928&lt;&gt;0,deployment_raw[[#This Row],[Column20]]/IF(OR($E$2="Deployment",deployment_raw[[#This Row],[Column5]]=0),1,deployment_raw[[#This Row],[Column5]])/1048576/Q928,0),"")</f>
        <v/>
      </c>
      <c r="Q928" s="76" t="str">
        <f>IF(ISNUMBER(deployment_raw[[#This Row],[Column9]]), (deployment_raw[[#This Row],[Column9]] * IF($E$2="Deployment",deployment_raw[[#This Row],[Column5]],1))/1048576,"")</f>
        <v/>
      </c>
      <c r="R928" s="57" t="str">
        <f>IF(ISNUMBER(deployment_raw[[#This Row],[Column10]]), (deployment_raw[[#This Row],[Column10]] * IF($E$2="Deployment",deployment_raw[[#This Row],[Column5]],1)),"")</f>
        <v/>
      </c>
      <c r="S928" s="48" t="str">
        <f>IF(ISNUMBER(deployment_raw[[#This Row],[Column11]]), (deployment_raw[[#This Row],[Column11]] * IF($E$2="Deployment",deployment_raw[[#This Row],[Column5]],1))/1048576,"")</f>
        <v/>
      </c>
      <c r="T928" s="59" t="str">
        <f>IF(ISNUMBER(deployment_raw[[#This Row],[Column8]]),IF(OR(deployment_raw[[#This Row],[Column5]] &lt;&gt; 0,$E$2 &lt;&gt; "Deployment"), MAX(V928, ($T$2 * IF($E$2="Deployment",deployment_raw[[#This Row],[Column5]],1))), 0),"")</f>
        <v/>
      </c>
      <c r="U928" s="50" t="str">
        <f>IF(ISNUMBER(deployment_raw[[#This Row],[Column9]]),IF(OR(deployment_raw[[#This Row],[Column5]] &lt;&gt; 0,$E$2&lt;&gt;"Deployment"), MAX(W928, ($U$2 * IF($E$2="Deployment",deployment_raw[[#This Row],[Column5]],1))), 0),"")</f>
        <v/>
      </c>
      <c r="V928" s="15" t="str">
        <f>IF(ISNUMBER(deployment_raw[[#This Row],[Column12]]), (deployment_raw[[#This Row],[Column12]] * IF($E$2="Deployment",deployment_raw[[#This Row],[Column5]],1)*(1+$V$2)),"")</f>
        <v/>
      </c>
      <c r="W928" s="14" t="str">
        <f>IF(ISNUMBER(deployment_raw[[#This Row],[Column13]]), (deployment_raw[[#This Row],[Column13]] * IF($E$2="Deployment",deployment_raw[[#This Row],[Column5]],1)*(1+$W$2))/1048576,"")</f>
        <v/>
      </c>
    </row>
    <row r="929" spans="1:23" ht="15" customHeight="1" x14ac:dyDescent="0.25">
      <c r="A929" s="5" t="str">
        <f>IF(ISNONTEXT(deployment_raw[[#This Row],[Column1]]), "", deployment_raw[[#This Row],[Column1]])</f>
        <v/>
      </c>
      <c r="B929" s="6" t="str">
        <f>IF(ISNONTEXT(deployment_raw[[#This Row],[Column2]]), "", deployment_raw[[#This Row],[Column2]])</f>
        <v/>
      </c>
      <c r="C929" s="6" t="str">
        <f>IF(ISNONTEXT(deployment_raw[[#This Row],[Column3]]), "", deployment_raw[[#This Row],[Column3]])</f>
        <v/>
      </c>
      <c r="D929" s="6" t="str">
        <f>IF(ISNONTEXT(deployment_raw[[#This Row],[Column4]]), "", deployment_raw[[#This Row],[Column4]])</f>
        <v/>
      </c>
      <c r="E929" s="7" t="str">
        <f>IF(ISNUMBER(deployment_raw[[#This Row],[Column5]]), deployment_raw[[#This Row],[Column5]],"")</f>
        <v/>
      </c>
      <c r="F929" s="32" t="str">
        <f>IF(ISNUMBER(deployment_raw[[#This Row],[Column17]]), deployment_raw[[#This Row],[Column17]]/IF(OR($E$2="Deployment",deployment_raw[[#This Row],[Column5]]=0),1,deployment_raw[[#This Row],[Column5]]),"")</f>
        <v/>
      </c>
      <c r="G929" s="42" t="str">
        <f>IF(ISNUMBER(deployment_raw[[#This Row],[Column14]]), deployment_raw[[#This Row],[Column14]]/IF(OR($E$2="Deployment",deployment_raw[[#This Row],[Column5]]=0),1,deployment_raw[[#This Row],[Column5]]),"")</f>
        <v/>
      </c>
      <c r="H929" s="79" t="str">
        <f>IF(ISNUMBER(deployment_raw[[#This Row],[Column19]]), IF(I929&lt;&gt;0,(deployment_raw[[#This Row],[Column19]]/IF(OR($E$2="Deployment",deployment_raw[[#This Row],[Column5]]=0),1,deployment_raw[[#This Row],[Column5]]))/I929,0),"")</f>
        <v/>
      </c>
      <c r="I929" s="69" t="str">
        <f>IF(ISNUMBER(deployment_raw[[#This Row],[Column6]]), (deployment_raw[[#This Row],[Column6]] * IF($E$2="Deployment",deployment_raw[[#This Row],[Column5]],1)),"")</f>
        <v/>
      </c>
      <c r="J929" s="79" t="str">
        <f>IF(ISNUMBER(deployment_raw[[#This Row],[Column19]]), IF(K929&lt;&gt;0,(deployment_raw[[#This Row],[Column19]]/IF(OR($E$2="Deployment",deployment_raw[[#This Row],[Column5]]=0),1,deployment_raw[[#This Row],[Column5]]))/K929,0),"")</f>
        <v/>
      </c>
      <c r="K929" s="72" t="str">
        <f>IF(ISNUMBER(deployment_raw[[#This Row],[Column8]]), (deployment_raw[[#This Row],[Column8]]  * IF($E$2="Deployment",deployment_raw[[#This Row],[Column5]],1)),"")</f>
        <v/>
      </c>
      <c r="L92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2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29" s="81" t="str">
        <f>IF(ISNUMBER(deployment_raw[[#This Row],[Column20]]), IF(O929&lt;&gt;0,deployment_raw[[#This Row],[Column20]]/IF(OR($E$2="Deployment",deployment_raw[[#This Row],[Column5]]=0),1,deployment_raw[[#This Row],[Column5]])/1048576/O929,0),"")</f>
        <v/>
      </c>
      <c r="O929" s="74" t="str">
        <f>IF(ISNUMBER(deployment_raw[[#This Row],[Column7]]), (deployment_raw[[#This Row],[Column7]] * IF($E$2="Deployment",deployment_raw[[#This Row],[Column5]],1))/1048576,"")</f>
        <v/>
      </c>
      <c r="P929" s="81" t="str">
        <f>IF(ISNUMBER(deployment_raw[[#This Row],[Column20]]), IF(Q929&lt;&gt;0,deployment_raw[[#This Row],[Column20]]/IF(OR($E$2="Deployment",deployment_raw[[#This Row],[Column5]]=0),1,deployment_raw[[#This Row],[Column5]])/1048576/Q929,0),"")</f>
        <v/>
      </c>
      <c r="Q929" s="76" t="str">
        <f>IF(ISNUMBER(deployment_raw[[#This Row],[Column9]]), (deployment_raw[[#This Row],[Column9]] * IF($E$2="Deployment",deployment_raw[[#This Row],[Column5]],1))/1048576,"")</f>
        <v/>
      </c>
      <c r="R929" s="57" t="str">
        <f>IF(ISNUMBER(deployment_raw[[#This Row],[Column10]]), (deployment_raw[[#This Row],[Column10]] * IF($E$2="Deployment",deployment_raw[[#This Row],[Column5]],1)),"")</f>
        <v/>
      </c>
      <c r="S929" s="48" t="str">
        <f>IF(ISNUMBER(deployment_raw[[#This Row],[Column11]]), (deployment_raw[[#This Row],[Column11]] * IF($E$2="Deployment",deployment_raw[[#This Row],[Column5]],1))/1048576,"")</f>
        <v/>
      </c>
      <c r="T929" s="59" t="str">
        <f>IF(ISNUMBER(deployment_raw[[#This Row],[Column8]]),IF(OR(deployment_raw[[#This Row],[Column5]] &lt;&gt; 0,$E$2 &lt;&gt; "Deployment"), MAX(V929, ($T$2 * IF($E$2="Deployment",deployment_raw[[#This Row],[Column5]],1))), 0),"")</f>
        <v/>
      </c>
      <c r="U929" s="50" t="str">
        <f>IF(ISNUMBER(deployment_raw[[#This Row],[Column9]]),IF(OR(deployment_raw[[#This Row],[Column5]] &lt;&gt; 0,$E$2&lt;&gt;"Deployment"), MAX(W929, ($U$2 * IF($E$2="Deployment",deployment_raw[[#This Row],[Column5]],1))), 0),"")</f>
        <v/>
      </c>
      <c r="V929" s="15" t="str">
        <f>IF(ISNUMBER(deployment_raw[[#This Row],[Column12]]), (deployment_raw[[#This Row],[Column12]] * IF($E$2="Deployment",deployment_raw[[#This Row],[Column5]],1)*(1+$V$2)),"")</f>
        <v/>
      </c>
      <c r="W929" s="14" t="str">
        <f>IF(ISNUMBER(deployment_raw[[#This Row],[Column13]]), (deployment_raw[[#This Row],[Column13]] * IF($E$2="Deployment",deployment_raw[[#This Row],[Column5]],1)*(1+$W$2))/1048576,"")</f>
        <v/>
      </c>
    </row>
    <row r="930" spans="1:23" ht="15" customHeight="1" x14ac:dyDescent="0.25">
      <c r="A930" s="5" t="str">
        <f>IF(ISNONTEXT(deployment_raw[[#This Row],[Column1]]), "", deployment_raw[[#This Row],[Column1]])</f>
        <v/>
      </c>
      <c r="B930" s="6" t="str">
        <f>IF(ISNONTEXT(deployment_raw[[#This Row],[Column2]]), "", deployment_raw[[#This Row],[Column2]])</f>
        <v/>
      </c>
      <c r="C930" s="6" t="str">
        <f>IF(ISNONTEXT(deployment_raw[[#This Row],[Column3]]), "", deployment_raw[[#This Row],[Column3]])</f>
        <v/>
      </c>
      <c r="D930" s="6" t="str">
        <f>IF(ISNONTEXT(deployment_raw[[#This Row],[Column4]]), "", deployment_raw[[#This Row],[Column4]])</f>
        <v/>
      </c>
      <c r="E930" s="7" t="str">
        <f>IF(ISNUMBER(deployment_raw[[#This Row],[Column5]]), deployment_raw[[#This Row],[Column5]],"")</f>
        <v/>
      </c>
      <c r="F930" s="32" t="str">
        <f>IF(ISNUMBER(deployment_raw[[#This Row],[Column17]]), deployment_raw[[#This Row],[Column17]]/IF(OR($E$2="Deployment",deployment_raw[[#This Row],[Column5]]=0),1,deployment_raw[[#This Row],[Column5]]),"")</f>
        <v/>
      </c>
      <c r="G930" s="42" t="str">
        <f>IF(ISNUMBER(deployment_raw[[#This Row],[Column14]]), deployment_raw[[#This Row],[Column14]]/IF(OR($E$2="Deployment",deployment_raw[[#This Row],[Column5]]=0),1,deployment_raw[[#This Row],[Column5]]),"")</f>
        <v/>
      </c>
      <c r="H930" s="79" t="str">
        <f>IF(ISNUMBER(deployment_raw[[#This Row],[Column19]]), IF(I930&lt;&gt;0,(deployment_raw[[#This Row],[Column19]]/IF(OR($E$2="Deployment",deployment_raw[[#This Row],[Column5]]=0),1,deployment_raw[[#This Row],[Column5]]))/I930,0),"")</f>
        <v/>
      </c>
      <c r="I930" s="69" t="str">
        <f>IF(ISNUMBER(deployment_raw[[#This Row],[Column6]]), (deployment_raw[[#This Row],[Column6]] * IF($E$2="Deployment",deployment_raw[[#This Row],[Column5]],1)),"")</f>
        <v/>
      </c>
      <c r="J930" s="79" t="str">
        <f>IF(ISNUMBER(deployment_raw[[#This Row],[Column19]]), IF(K930&lt;&gt;0,(deployment_raw[[#This Row],[Column19]]/IF(OR($E$2="Deployment",deployment_raw[[#This Row],[Column5]]=0),1,deployment_raw[[#This Row],[Column5]]))/K930,0),"")</f>
        <v/>
      </c>
      <c r="K930" s="72" t="str">
        <f>IF(ISNUMBER(deployment_raw[[#This Row],[Column8]]), (deployment_raw[[#This Row],[Column8]]  * IF($E$2="Deployment",deployment_raw[[#This Row],[Column5]],1)),"")</f>
        <v/>
      </c>
      <c r="L93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3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30" s="81" t="str">
        <f>IF(ISNUMBER(deployment_raw[[#This Row],[Column20]]), IF(O930&lt;&gt;0,deployment_raw[[#This Row],[Column20]]/IF(OR($E$2="Deployment",deployment_raw[[#This Row],[Column5]]=0),1,deployment_raw[[#This Row],[Column5]])/1048576/O930,0),"")</f>
        <v/>
      </c>
      <c r="O930" s="74" t="str">
        <f>IF(ISNUMBER(deployment_raw[[#This Row],[Column7]]), (deployment_raw[[#This Row],[Column7]] * IF($E$2="Deployment",deployment_raw[[#This Row],[Column5]],1))/1048576,"")</f>
        <v/>
      </c>
      <c r="P930" s="81" t="str">
        <f>IF(ISNUMBER(deployment_raw[[#This Row],[Column20]]), IF(Q930&lt;&gt;0,deployment_raw[[#This Row],[Column20]]/IF(OR($E$2="Deployment",deployment_raw[[#This Row],[Column5]]=0),1,deployment_raw[[#This Row],[Column5]])/1048576/Q930,0),"")</f>
        <v/>
      </c>
      <c r="Q930" s="76" t="str">
        <f>IF(ISNUMBER(deployment_raw[[#This Row],[Column9]]), (deployment_raw[[#This Row],[Column9]] * IF($E$2="Deployment",deployment_raw[[#This Row],[Column5]],1))/1048576,"")</f>
        <v/>
      </c>
      <c r="R930" s="57" t="str">
        <f>IF(ISNUMBER(deployment_raw[[#This Row],[Column10]]), (deployment_raw[[#This Row],[Column10]] * IF($E$2="Deployment",deployment_raw[[#This Row],[Column5]],1)),"")</f>
        <v/>
      </c>
      <c r="S930" s="48" t="str">
        <f>IF(ISNUMBER(deployment_raw[[#This Row],[Column11]]), (deployment_raw[[#This Row],[Column11]] * IF($E$2="Deployment",deployment_raw[[#This Row],[Column5]],1))/1048576,"")</f>
        <v/>
      </c>
      <c r="T930" s="59" t="str">
        <f>IF(ISNUMBER(deployment_raw[[#This Row],[Column8]]),IF(OR(deployment_raw[[#This Row],[Column5]] &lt;&gt; 0,$E$2 &lt;&gt; "Deployment"), MAX(V930, ($T$2 * IF($E$2="Deployment",deployment_raw[[#This Row],[Column5]],1))), 0),"")</f>
        <v/>
      </c>
      <c r="U930" s="50" t="str">
        <f>IF(ISNUMBER(deployment_raw[[#This Row],[Column9]]),IF(OR(deployment_raw[[#This Row],[Column5]] &lt;&gt; 0,$E$2&lt;&gt;"Deployment"), MAX(W930, ($U$2 * IF($E$2="Deployment",deployment_raw[[#This Row],[Column5]],1))), 0),"")</f>
        <v/>
      </c>
      <c r="V930" s="15" t="str">
        <f>IF(ISNUMBER(deployment_raw[[#This Row],[Column12]]), (deployment_raw[[#This Row],[Column12]] * IF($E$2="Deployment",deployment_raw[[#This Row],[Column5]],1)*(1+$V$2)),"")</f>
        <v/>
      </c>
      <c r="W930" s="14" t="str">
        <f>IF(ISNUMBER(deployment_raw[[#This Row],[Column13]]), (deployment_raw[[#This Row],[Column13]] * IF($E$2="Deployment",deployment_raw[[#This Row],[Column5]],1)*(1+$W$2))/1048576,"")</f>
        <v/>
      </c>
    </row>
    <row r="931" spans="1:23" ht="15" customHeight="1" x14ac:dyDescent="0.25">
      <c r="A931" s="5" t="str">
        <f>IF(ISNONTEXT(deployment_raw[[#This Row],[Column1]]), "", deployment_raw[[#This Row],[Column1]])</f>
        <v/>
      </c>
      <c r="B931" s="6" t="str">
        <f>IF(ISNONTEXT(deployment_raw[[#This Row],[Column2]]), "", deployment_raw[[#This Row],[Column2]])</f>
        <v/>
      </c>
      <c r="C931" s="6" t="str">
        <f>IF(ISNONTEXT(deployment_raw[[#This Row],[Column3]]), "", deployment_raw[[#This Row],[Column3]])</f>
        <v/>
      </c>
      <c r="D931" s="6" t="str">
        <f>IF(ISNONTEXT(deployment_raw[[#This Row],[Column4]]), "", deployment_raw[[#This Row],[Column4]])</f>
        <v/>
      </c>
      <c r="E931" s="7" t="str">
        <f>IF(ISNUMBER(deployment_raw[[#This Row],[Column5]]), deployment_raw[[#This Row],[Column5]],"")</f>
        <v/>
      </c>
      <c r="F931" s="32" t="str">
        <f>IF(ISNUMBER(deployment_raw[[#This Row],[Column17]]), deployment_raw[[#This Row],[Column17]]/IF(OR($E$2="Deployment",deployment_raw[[#This Row],[Column5]]=0),1,deployment_raw[[#This Row],[Column5]]),"")</f>
        <v/>
      </c>
      <c r="G931" s="42" t="str">
        <f>IF(ISNUMBER(deployment_raw[[#This Row],[Column14]]), deployment_raw[[#This Row],[Column14]]/IF(OR($E$2="Deployment",deployment_raw[[#This Row],[Column5]]=0),1,deployment_raw[[#This Row],[Column5]]),"")</f>
        <v/>
      </c>
      <c r="H931" s="79" t="str">
        <f>IF(ISNUMBER(deployment_raw[[#This Row],[Column19]]), IF(I931&lt;&gt;0,(deployment_raw[[#This Row],[Column19]]/IF(OR($E$2="Deployment",deployment_raw[[#This Row],[Column5]]=0),1,deployment_raw[[#This Row],[Column5]]))/I931,0),"")</f>
        <v/>
      </c>
      <c r="I931" s="69" t="str">
        <f>IF(ISNUMBER(deployment_raw[[#This Row],[Column6]]), (deployment_raw[[#This Row],[Column6]] * IF($E$2="Deployment",deployment_raw[[#This Row],[Column5]],1)),"")</f>
        <v/>
      </c>
      <c r="J931" s="79" t="str">
        <f>IF(ISNUMBER(deployment_raw[[#This Row],[Column19]]), IF(K931&lt;&gt;0,(deployment_raw[[#This Row],[Column19]]/IF(OR($E$2="Deployment",deployment_raw[[#This Row],[Column5]]=0),1,deployment_raw[[#This Row],[Column5]]))/K931,0),"")</f>
        <v/>
      </c>
      <c r="K931" s="72" t="str">
        <f>IF(ISNUMBER(deployment_raw[[#This Row],[Column8]]), (deployment_raw[[#This Row],[Column8]]  * IF($E$2="Deployment",deployment_raw[[#This Row],[Column5]],1)),"")</f>
        <v/>
      </c>
      <c r="L93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3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31" s="81" t="str">
        <f>IF(ISNUMBER(deployment_raw[[#This Row],[Column20]]), IF(O931&lt;&gt;0,deployment_raw[[#This Row],[Column20]]/IF(OR($E$2="Deployment",deployment_raw[[#This Row],[Column5]]=0),1,deployment_raw[[#This Row],[Column5]])/1048576/O931,0),"")</f>
        <v/>
      </c>
      <c r="O931" s="74" t="str">
        <f>IF(ISNUMBER(deployment_raw[[#This Row],[Column7]]), (deployment_raw[[#This Row],[Column7]] * IF($E$2="Deployment",deployment_raw[[#This Row],[Column5]],1))/1048576,"")</f>
        <v/>
      </c>
      <c r="P931" s="81" t="str">
        <f>IF(ISNUMBER(deployment_raw[[#This Row],[Column20]]), IF(Q931&lt;&gt;0,deployment_raw[[#This Row],[Column20]]/IF(OR($E$2="Deployment",deployment_raw[[#This Row],[Column5]]=0),1,deployment_raw[[#This Row],[Column5]])/1048576/Q931,0),"")</f>
        <v/>
      </c>
      <c r="Q931" s="76" t="str">
        <f>IF(ISNUMBER(deployment_raw[[#This Row],[Column9]]), (deployment_raw[[#This Row],[Column9]] * IF($E$2="Deployment",deployment_raw[[#This Row],[Column5]],1))/1048576,"")</f>
        <v/>
      </c>
      <c r="R931" s="57" t="str">
        <f>IF(ISNUMBER(deployment_raw[[#This Row],[Column10]]), (deployment_raw[[#This Row],[Column10]] * IF($E$2="Deployment",deployment_raw[[#This Row],[Column5]],1)),"")</f>
        <v/>
      </c>
      <c r="S931" s="48" t="str">
        <f>IF(ISNUMBER(deployment_raw[[#This Row],[Column11]]), (deployment_raw[[#This Row],[Column11]] * IF($E$2="Deployment",deployment_raw[[#This Row],[Column5]],1))/1048576,"")</f>
        <v/>
      </c>
      <c r="T931" s="59" t="str">
        <f>IF(ISNUMBER(deployment_raw[[#This Row],[Column8]]),IF(OR(deployment_raw[[#This Row],[Column5]] &lt;&gt; 0,$E$2 &lt;&gt; "Deployment"), MAX(V931, ($T$2 * IF($E$2="Deployment",deployment_raw[[#This Row],[Column5]],1))), 0),"")</f>
        <v/>
      </c>
      <c r="U931" s="50" t="str">
        <f>IF(ISNUMBER(deployment_raw[[#This Row],[Column9]]),IF(OR(deployment_raw[[#This Row],[Column5]] &lt;&gt; 0,$E$2&lt;&gt;"Deployment"), MAX(W931, ($U$2 * IF($E$2="Deployment",deployment_raw[[#This Row],[Column5]],1))), 0),"")</f>
        <v/>
      </c>
      <c r="V931" s="15" t="str">
        <f>IF(ISNUMBER(deployment_raw[[#This Row],[Column12]]), (deployment_raw[[#This Row],[Column12]] * IF($E$2="Deployment",deployment_raw[[#This Row],[Column5]],1)*(1+$V$2)),"")</f>
        <v/>
      </c>
      <c r="W931" s="14" t="str">
        <f>IF(ISNUMBER(deployment_raw[[#This Row],[Column13]]), (deployment_raw[[#This Row],[Column13]] * IF($E$2="Deployment",deployment_raw[[#This Row],[Column5]],1)*(1+$W$2))/1048576,"")</f>
        <v/>
      </c>
    </row>
    <row r="932" spans="1:23" ht="15" customHeight="1" x14ac:dyDescent="0.25">
      <c r="A932" s="5" t="str">
        <f>IF(ISNONTEXT(deployment_raw[[#This Row],[Column1]]), "", deployment_raw[[#This Row],[Column1]])</f>
        <v/>
      </c>
      <c r="B932" s="6" t="str">
        <f>IF(ISNONTEXT(deployment_raw[[#This Row],[Column2]]), "", deployment_raw[[#This Row],[Column2]])</f>
        <v/>
      </c>
      <c r="C932" s="6" t="str">
        <f>IF(ISNONTEXT(deployment_raw[[#This Row],[Column3]]), "", deployment_raw[[#This Row],[Column3]])</f>
        <v/>
      </c>
      <c r="D932" s="6" t="str">
        <f>IF(ISNONTEXT(deployment_raw[[#This Row],[Column4]]), "", deployment_raw[[#This Row],[Column4]])</f>
        <v/>
      </c>
      <c r="E932" s="7" t="str">
        <f>IF(ISNUMBER(deployment_raw[[#This Row],[Column5]]), deployment_raw[[#This Row],[Column5]],"")</f>
        <v/>
      </c>
      <c r="F932" s="32" t="str">
        <f>IF(ISNUMBER(deployment_raw[[#This Row],[Column17]]), deployment_raw[[#This Row],[Column17]]/IF(OR($E$2="Deployment",deployment_raw[[#This Row],[Column5]]=0),1,deployment_raw[[#This Row],[Column5]]),"")</f>
        <v/>
      </c>
      <c r="G932" s="42" t="str">
        <f>IF(ISNUMBER(deployment_raw[[#This Row],[Column14]]), deployment_raw[[#This Row],[Column14]]/IF(OR($E$2="Deployment",deployment_raw[[#This Row],[Column5]]=0),1,deployment_raw[[#This Row],[Column5]]),"")</f>
        <v/>
      </c>
      <c r="H932" s="79" t="str">
        <f>IF(ISNUMBER(deployment_raw[[#This Row],[Column19]]), IF(I932&lt;&gt;0,(deployment_raw[[#This Row],[Column19]]/IF(OR($E$2="Deployment",deployment_raw[[#This Row],[Column5]]=0),1,deployment_raw[[#This Row],[Column5]]))/I932,0),"")</f>
        <v/>
      </c>
      <c r="I932" s="69" t="str">
        <f>IF(ISNUMBER(deployment_raw[[#This Row],[Column6]]), (deployment_raw[[#This Row],[Column6]] * IF($E$2="Deployment",deployment_raw[[#This Row],[Column5]],1)),"")</f>
        <v/>
      </c>
      <c r="J932" s="79" t="str">
        <f>IF(ISNUMBER(deployment_raw[[#This Row],[Column19]]), IF(K932&lt;&gt;0,(deployment_raw[[#This Row],[Column19]]/IF(OR($E$2="Deployment",deployment_raw[[#This Row],[Column5]]=0),1,deployment_raw[[#This Row],[Column5]]))/K932,0),"")</f>
        <v/>
      </c>
      <c r="K932" s="72" t="str">
        <f>IF(ISNUMBER(deployment_raw[[#This Row],[Column8]]), (deployment_raw[[#This Row],[Column8]]  * IF($E$2="Deployment",deployment_raw[[#This Row],[Column5]],1)),"")</f>
        <v/>
      </c>
      <c r="L93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3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32" s="81" t="str">
        <f>IF(ISNUMBER(deployment_raw[[#This Row],[Column20]]), IF(O932&lt;&gt;0,deployment_raw[[#This Row],[Column20]]/IF(OR($E$2="Deployment",deployment_raw[[#This Row],[Column5]]=0),1,deployment_raw[[#This Row],[Column5]])/1048576/O932,0),"")</f>
        <v/>
      </c>
      <c r="O932" s="74" t="str">
        <f>IF(ISNUMBER(deployment_raw[[#This Row],[Column7]]), (deployment_raw[[#This Row],[Column7]] * IF($E$2="Deployment",deployment_raw[[#This Row],[Column5]],1))/1048576,"")</f>
        <v/>
      </c>
      <c r="P932" s="81" t="str">
        <f>IF(ISNUMBER(deployment_raw[[#This Row],[Column20]]), IF(Q932&lt;&gt;0,deployment_raw[[#This Row],[Column20]]/IF(OR($E$2="Deployment",deployment_raw[[#This Row],[Column5]]=0),1,deployment_raw[[#This Row],[Column5]])/1048576/Q932,0),"")</f>
        <v/>
      </c>
      <c r="Q932" s="76" t="str">
        <f>IF(ISNUMBER(deployment_raw[[#This Row],[Column9]]), (deployment_raw[[#This Row],[Column9]] * IF($E$2="Deployment",deployment_raw[[#This Row],[Column5]],1))/1048576,"")</f>
        <v/>
      </c>
      <c r="R932" s="57" t="str">
        <f>IF(ISNUMBER(deployment_raw[[#This Row],[Column10]]), (deployment_raw[[#This Row],[Column10]] * IF($E$2="Deployment",deployment_raw[[#This Row],[Column5]],1)),"")</f>
        <v/>
      </c>
      <c r="S932" s="48" t="str">
        <f>IF(ISNUMBER(deployment_raw[[#This Row],[Column11]]), (deployment_raw[[#This Row],[Column11]] * IF($E$2="Deployment",deployment_raw[[#This Row],[Column5]],1))/1048576,"")</f>
        <v/>
      </c>
      <c r="T932" s="59" t="str">
        <f>IF(ISNUMBER(deployment_raw[[#This Row],[Column8]]),IF(OR(deployment_raw[[#This Row],[Column5]] &lt;&gt; 0,$E$2 &lt;&gt; "Deployment"), MAX(V932, ($T$2 * IF($E$2="Deployment",deployment_raw[[#This Row],[Column5]],1))), 0),"")</f>
        <v/>
      </c>
      <c r="U932" s="50" t="str">
        <f>IF(ISNUMBER(deployment_raw[[#This Row],[Column9]]),IF(OR(deployment_raw[[#This Row],[Column5]] &lt;&gt; 0,$E$2&lt;&gt;"Deployment"), MAX(W932, ($U$2 * IF($E$2="Deployment",deployment_raw[[#This Row],[Column5]],1))), 0),"")</f>
        <v/>
      </c>
      <c r="V932" s="15" t="str">
        <f>IF(ISNUMBER(deployment_raw[[#This Row],[Column12]]), (deployment_raw[[#This Row],[Column12]] * IF($E$2="Deployment",deployment_raw[[#This Row],[Column5]],1)*(1+$V$2)),"")</f>
        <v/>
      </c>
      <c r="W932" s="14" t="str">
        <f>IF(ISNUMBER(deployment_raw[[#This Row],[Column13]]), (deployment_raw[[#This Row],[Column13]] * IF($E$2="Deployment",deployment_raw[[#This Row],[Column5]],1)*(1+$W$2))/1048576,"")</f>
        <v/>
      </c>
    </row>
    <row r="933" spans="1:23" ht="15" customHeight="1" x14ac:dyDescent="0.25">
      <c r="A933" s="5" t="str">
        <f>IF(ISNONTEXT(deployment_raw[[#This Row],[Column1]]), "", deployment_raw[[#This Row],[Column1]])</f>
        <v/>
      </c>
      <c r="B933" s="6" t="str">
        <f>IF(ISNONTEXT(deployment_raw[[#This Row],[Column2]]), "", deployment_raw[[#This Row],[Column2]])</f>
        <v/>
      </c>
      <c r="C933" s="6" t="str">
        <f>IF(ISNONTEXT(deployment_raw[[#This Row],[Column3]]), "", deployment_raw[[#This Row],[Column3]])</f>
        <v/>
      </c>
      <c r="D933" s="6" t="str">
        <f>IF(ISNONTEXT(deployment_raw[[#This Row],[Column4]]), "", deployment_raw[[#This Row],[Column4]])</f>
        <v/>
      </c>
      <c r="E933" s="7" t="str">
        <f>IF(ISNUMBER(deployment_raw[[#This Row],[Column5]]), deployment_raw[[#This Row],[Column5]],"")</f>
        <v/>
      </c>
      <c r="F933" s="32" t="str">
        <f>IF(ISNUMBER(deployment_raw[[#This Row],[Column17]]), deployment_raw[[#This Row],[Column17]]/IF(OR($E$2="Deployment",deployment_raw[[#This Row],[Column5]]=0),1,deployment_raw[[#This Row],[Column5]]),"")</f>
        <v/>
      </c>
      <c r="G933" s="42" t="str">
        <f>IF(ISNUMBER(deployment_raw[[#This Row],[Column14]]), deployment_raw[[#This Row],[Column14]]/IF(OR($E$2="Deployment",deployment_raw[[#This Row],[Column5]]=0),1,deployment_raw[[#This Row],[Column5]]),"")</f>
        <v/>
      </c>
      <c r="H933" s="79" t="str">
        <f>IF(ISNUMBER(deployment_raw[[#This Row],[Column19]]), IF(I933&lt;&gt;0,(deployment_raw[[#This Row],[Column19]]/IF(OR($E$2="Deployment",deployment_raw[[#This Row],[Column5]]=0),1,deployment_raw[[#This Row],[Column5]]))/I933,0),"")</f>
        <v/>
      </c>
      <c r="I933" s="69" t="str">
        <f>IF(ISNUMBER(deployment_raw[[#This Row],[Column6]]), (deployment_raw[[#This Row],[Column6]] * IF($E$2="Deployment",deployment_raw[[#This Row],[Column5]],1)),"")</f>
        <v/>
      </c>
      <c r="J933" s="79" t="str">
        <f>IF(ISNUMBER(deployment_raw[[#This Row],[Column19]]), IF(K933&lt;&gt;0,(deployment_raw[[#This Row],[Column19]]/IF(OR($E$2="Deployment",deployment_raw[[#This Row],[Column5]]=0),1,deployment_raw[[#This Row],[Column5]]))/K933,0),"")</f>
        <v/>
      </c>
      <c r="K933" s="72" t="str">
        <f>IF(ISNUMBER(deployment_raw[[#This Row],[Column8]]), (deployment_raw[[#This Row],[Column8]]  * IF($E$2="Deployment",deployment_raw[[#This Row],[Column5]],1)),"")</f>
        <v/>
      </c>
      <c r="L93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3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33" s="81" t="str">
        <f>IF(ISNUMBER(deployment_raw[[#This Row],[Column20]]), IF(O933&lt;&gt;0,deployment_raw[[#This Row],[Column20]]/IF(OR($E$2="Deployment",deployment_raw[[#This Row],[Column5]]=0),1,deployment_raw[[#This Row],[Column5]])/1048576/O933,0),"")</f>
        <v/>
      </c>
      <c r="O933" s="74" t="str">
        <f>IF(ISNUMBER(deployment_raw[[#This Row],[Column7]]), (deployment_raw[[#This Row],[Column7]] * IF($E$2="Deployment",deployment_raw[[#This Row],[Column5]],1))/1048576,"")</f>
        <v/>
      </c>
      <c r="P933" s="81" t="str">
        <f>IF(ISNUMBER(deployment_raw[[#This Row],[Column20]]), IF(Q933&lt;&gt;0,deployment_raw[[#This Row],[Column20]]/IF(OR($E$2="Deployment",deployment_raw[[#This Row],[Column5]]=0),1,deployment_raw[[#This Row],[Column5]])/1048576/Q933,0),"")</f>
        <v/>
      </c>
      <c r="Q933" s="76" t="str">
        <f>IF(ISNUMBER(deployment_raw[[#This Row],[Column9]]), (deployment_raw[[#This Row],[Column9]] * IF($E$2="Deployment",deployment_raw[[#This Row],[Column5]],1))/1048576,"")</f>
        <v/>
      </c>
      <c r="R933" s="57" t="str">
        <f>IF(ISNUMBER(deployment_raw[[#This Row],[Column10]]), (deployment_raw[[#This Row],[Column10]] * IF($E$2="Deployment",deployment_raw[[#This Row],[Column5]],1)),"")</f>
        <v/>
      </c>
      <c r="S933" s="48" t="str">
        <f>IF(ISNUMBER(deployment_raw[[#This Row],[Column11]]), (deployment_raw[[#This Row],[Column11]] * IF($E$2="Deployment",deployment_raw[[#This Row],[Column5]],1))/1048576,"")</f>
        <v/>
      </c>
      <c r="T933" s="59" t="str">
        <f>IF(ISNUMBER(deployment_raw[[#This Row],[Column8]]),IF(OR(deployment_raw[[#This Row],[Column5]] &lt;&gt; 0,$E$2 &lt;&gt; "Deployment"), MAX(V933, ($T$2 * IF($E$2="Deployment",deployment_raw[[#This Row],[Column5]],1))), 0),"")</f>
        <v/>
      </c>
      <c r="U933" s="50" t="str">
        <f>IF(ISNUMBER(deployment_raw[[#This Row],[Column9]]),IF(OR(deployment_raw[[#This Row],[Column5]] &lt;&gt; 0,$E$2&lt;&gt;"Deployment"), MAX(W933, ($U$2 * IF($E$2="Deployment",deployment_raw[[#This Row],[Column5]],1))), 0),"")</f>
        <v/>
      </c>
      <c r="V933" s="15" t="str">
        <f>IF(ISNUMBER(deployment_raw[[#This Row],[Column12]]), (deployment_raw[[#This Row],[Column12]] * IF($E$2="Deployment",deployment_raw[[#This Row],[Column5]],1)*(1+$V$2)),"")</f>
        <v/>
      </c>
      <c r="W933" s="14" t="str">
        <f>IF(ISNUMBER(deployment_raw[[#This Row],[Column13]]), (deployment_raw[[#This Row],[Column13]] * IF($E$2="Deployment",deployment_raw[[#This Row],[Column5]],1)*(1+$W$2))/1048576,"")</f>
        <v/>
      </c>
    </row>
    <row r="934" spans="1:23" ht="15" customHeight="1" x14ac:dyDescent="0.25">
      <c r="A934" s="5" t="str">
        <f>IF(ISNONTEXT(deployment_raw[[#This Row],[Column1]]), "", deployment_raw[[#This Row],[Column1]])</f>
        <v/>
      </c>
      <c r="B934" s="6" t="str">
        <f>IF(ISNONTEXT(deployment_raw[[#This Row],[Column2]]), "", deployment_raw[[#This Row],[Column2]])</f>
        <v/>
      </c>
      <c r="C934" s="6" t="str">
        <f>IF(ISNONTEXT(deployment_raw[[#This Row],[Column3]]), "", deployment_raw[[#This Row],[Column3]])</f>
        <v/>
      </c>
      <c r="D934" s="6" t="str">
        <f>IF(ISNONTEXT(deployment_raw[[#This Row],[Column4]]), "", deployment_raw[[#This Row],[Column4]])</f>
        <v/>
      </c>
      <c r="E934" s="7" t="str">
        <f>IF(ISNUMBER(deployment_raw[[#This Row],[Column5]]), deployment_raw[[#This Row],[Column5]],"")</f>
        <v/>
      </c>
      <c r="F934" s="32" t="str">
        <f>IF(ISNUMBER(deployment_raw[[#This Row],[Column17]]), deployment_raw[[#This Row],[Column17]]/IF(OR($E$2="Deployment",deployment_raw[[#This Row],[Column5]]=0),1,deployment_raw[[#This Row],[Column5]]),"")</f>
        <v/>
      </c>
      <c r="G934" s="42" t="str">
        <f>IF(ISNUMBER(deployment_raw[[#This Row],[Column14]]), deployment_raw[[#This Row],[Column14]]/IF(OR($E$2="Deployment",deployment_raw[[#This Row],[Column5]]=0),1,deployment_raw[[#This Row],[Column5]]),"")</f>
        <v/>
      </c>
      <c r="H934" s="79" t="str">
        <f>IF(ISNUMBER(deployment_raw[[#This Row],[Column19]]), IF(I934&lt;&gt;0,(deployment_raw[[#This Row],[Column19]]/IF(OR($E$2="Deployment",deployment_raw[[#This Row],[Column5]]=0),1,deployment_raw[[#This Row],[Column5]]))/I934,0),"")</f>
        <v/>
      </c>
      <c r="I934" s="69" t="str">
        <f>IF(ISNUMBER(deployment_raw[[#This Row],[Column6]]), (deployment_raw[[#This Row],[Column6]] * IF($E$2="Deployment",deployment_raw[[#This Row],[Column5]],1)),"")</f>
        <v/>
      </c>
      <c r="J934" s="79" t="str">
        <f>IF(ISNUMBER(deployment_raw[[#This Row],[Column19]]), IF(K934&lt;&gt;0,(deployment_raw[[#This Row],[Column19]]/IF(OR($E$2="Deployment",deployment_raw[[#This Row],[Column5]]=0),1,deployment_raw[[#This Row],[Column5]]))/K934,0),"")</f>
        <v/>
      </c>
      <c r="K934" s="72" t="str">
        <f>IF(ISNUMBER(deployment_raw[[#This Row],[Column8]]), (deployment_raw[[#This Row],[Column8]]  * IF($E$2="Deployment",deployment_raw[[#This Row],[Column5]],1)),"")</f>
        <v/>
      </c>
      <c r="L93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3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34" s="81" t="str">
        <f>IF(ISNUMBER(deployment_raw[[#This Row],[Column20]]), IF(O934&lt;&gt;0,deployment_raw[[#This Row],[Column20]]/IF(OR($E$2="Deployment",deployment_raw[[#This Row],[Column5]]=0),1,deployment_raw[[#This Row],[Column5]])/1048576/O934,0),"")</f>
        <v/>
      </c>
      <c r="O934" s="74" t="str">
        <f>IF(ISNUMBER(deployment_raw[[#This Row],[Column7]]), (deployment_raw[[#This Row],[Column7]] * IF($E$2="Deployment",deployment_raw[[#This Row],[Column5]],1))/1048576,"")</f>
        <v/>
      </c>
      <c r="P934" s="81" t="str">
        <f>IF(ISNUMBER(deployment_raw[[#This Row],[Column20]]), IF(Q934&lt;&gt;0,deployment_raw[[#This Row],[Column20]]/IF(OR($E$2="Deployment",deployment_raw[[#This Row],[Column5]]=0),1,deployment_raw[[#This Row],[Column5]])/1048576/Q934,0),"")</f>
        <v/>
      </c>
      <c r="Q934" s="76" t="str">
        <f>IF(ISNUMBER(deployment_raw[[#This Row],[Column9]]), (deployment_raw[[#This Row],[Column9]] * IF($E$2="Deployment",deployment_raw[[#This Row],[Column5]],1))/1048576,"")</f>
        <v/>
      </c>
      <c r="R934" s="57" t="str">
        <f>IF(ISNUMBER(deployment_raw[[#This Row],[Column10]]), (deployment_raw[[#This Row],[Column10]] * IF($E$2="Deployment",deployment_raw[[#This Row],[Column5]],1)),"")</f>
        <v/>
      </c>
      <c r="S934" s="48" t="str">
        <f>IF(ISNUMBER(deployment_raw[[#This Row],[Column11]]), (deployment_raw[[#This Row],[Column11]] * IF($E$2="Deployment",deployment_raw[[#This Row],[Column5]],1))/1048576,"")</f>
        <v/>
      </c>
      <c r="T934" s="59" t="str">
        <f>IF(ISNUMBER(deployment_raw[[#This Row],[Column8]]),IF(OR(deployment_raw[[#This Row],[Column5]] &lt;&gt; 0,$E$2 &lt;&gt; "Deployment"), MAX(V934, ($T$2 * IF($E$2="Deployment",deployment_raw[[#This Row],[Column5]],1))), 0),"")</f>
        <v/>
      </c>
      <c r="U934" s="50" t="str">
        <f>IF(ISNUMBER(deployment_raw[[#This Row],[Column9]]),IF(OR(deployment_raw[[#This Row],[Column5]] &lt;&gt; 0,$E$2&lt;&gt;"Deployment"), MAX(W934, ($U$2 * IF($E$2="Deployment",deployment_raw[[#This Row],[Column5]],1))), 0),"")</f>
        <v/>
      </c>
      <c r="V934" s="15" t="str">
        <f>IF(ISNUMBER(deployment_raw[[#This Row],[Column12]]), (deployment_raw[[#This Row],[Column12]] * IF($E$2="Deployment",deployment_raw[[#This Row],[Column5]],1)*(1+$V$2)),"")</f>
        <v/>
      </c>
      <c r="W934" s="14" t="str">
        <f>IF(ISNUMBER(deployment_raw[[#This Row],[Column13]]), (deployment_raw[[#This Row],[Column13]] * IF($E$2="Deployment",deployment_raw[[#This Row],[Column5]],1)*(1+$W$2))/1048576,"")</f>
        <v/>
      </c>
    </row>
    <row r="935" spans="1:23" ht="15" customHeight="1" x14ac:dyDescent="0.25">
      <c r="A935" s="5" t="str">
        <f>IF(ISNONTEXT(deployment_raw[[#This Row],[Column1]]), "", deployment_raw[[#This Row],[Column1]])</f>
        <v/>
      </c>
      <c r="B935" s="6" t="str">
        <f>IF(ISNONTEXT(deployment_raw[[#This Row],[Column2]]), "", deployment_raw[[#This Row],[Column2]])</f>
        <v/>
      </c>
      <c r="C935" s="6" t="str">
        <f>IF(ISNONTEXT(deployment_raw[[#This Row],[Column3]]), "", deployment_raw[[#This Row],[Column3]])</f>
        <v/>
      </c>
      <c r="D935" s="6" t="str">
        <f>IF(ISNONTEXT(deployment_raw[[#This Row],[Column4]]), "", deployment_raw[[#This Row],[Column4]])</f>
        <v/>
      </c>
      <c r="E935" s="7" t="str">
        <f>IF(ISNUMBER(deployment_raw[[#This Row],[Column5]]), deployment_raw[[#This Row],[Column5]],"")</f>
        <v/>
      </c>
      <c r="F935" s="32" t="str">
        <f>IF(ISNUMBER(deployment_raw[[#This Row],[Column17]]), deployment_raw[[#This Row],[Column17]]/IF(OR($E$2="Deployment",deployment_raw[[#This Row],[Column5]]=0),1,deployment_raw[[#This Row],[Column5]]),"")</f>
        <v/>
      </c>
      <c r="G935" s="42" t="str">
        <f>IF(ISNUMBER(deployment_raw[[#This Row],[Column14]]), deployment_raw[[#This Row],[Column14]]/IF(OR($E$2="Deployment",deployment_raw[[#This Row],[Column5]]=0),1,deployment_raw[[#This Row],[Column5]]),"")</f>
        <v/>
      </c>
      <c r="H935" s="79" t="str">
        <f>IF(ISNUMBER(deployment_raw[[#This Row],[Column19]]), IF(I935&lt;&gt;0,(deployment_raw[[#This Row],[Column19]]/IF(OR($E$2="Deployment",deployment_raw[[#This Row],[Column5]]=0),1,deployment_raw[[#This Row],[Column5]]))/I935,0),"")</f>
        <v/>
      </c>
      <c r="I935" s="69" t="str">
        <f>IF(ISNUMBER(deployment_raw[[#This Row],[Column6]]), (deployment_raw[[#This Row],[Column6]] * IF($E$2="Deployment",deployment_raw[[#This Row],[Column5]],1)),"")</f>
        <v/>
      </c>
      <c r="J935" s="79" t="str">
        <f>IF(ISNUMBER(deployment_raw[[#This Row],[Column19]]), IF(K935&lt;&gt;0,(deployment_raw[[#This Row],[Column19]]/IF(OR($E$2="Deployment",deployment_raw[[#This Row],[Column5]]=0),1,deployment_raw[[#This Row],[Column5]]))/K935,0),"")</f>
        <v/>
      </c>
      <c r="K935" s="72" t="str">
        <f>IF(ISNUMBER(deployment_raw[[#This Row],[Column8]]), (deployment_raw[[#This Row],[Column8]]  * IF($E$2="Deployment",deployment_raw[[#This Row],[Column5]],1)),"")</f>
        <v/>
      </c>
      <c r="L93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3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35" s="81" t="str">
        <f>IF(ISNUMBER(deployment_raw[[#This Row],[Column20]]), IF(O935&lt;&gt;0,deployment_raw[[#This Row],[Column20]]/IF(OR($E$2="Deployment",deployment_raw[[#This Row],[Column5]]=0),1,deployment_raw[[#This Row],[Column5]])/1048576/O935,0),"")</f>
        <v/>
      </c>
      <c r="O935" s="74" t="str">
        <f>IF(ISNUMBER(deployment_raw[[#This Row],[Column7]]), (deployment_raw[[#This Row],[Column7]] * IF($E$2="Deployment",deployment_raw[[#This Row],[Column5]],1))/1048576,"")</f>
        <v/>
      </c>
      <c r="P935" s="81" t="str">
        <f>IF(ISNUMBER(deployment_raw[[#This Row],[Column20]]), IF(Q935&lt;&gt;0,deployment_raw[[#This Row],[Column20]]/IF(OR($E$2="Deployment",deployment_raw[[#This Row],[Column5]]=0),1,deployment_raw[[#This Row],[Column5]])/1048576/Q935,0),"")</f>
        <v/>
      </c>
      <c r="Q935" s="76" t="str">
        <f>IF(ISNUMBER(deployment_raw[[#This Row],[Column9]]), (deployment_raw[[#This Row],[Column9]] * IF($E$2="Deployment",deployment_raw[[#This Row],[Column5]],1))/1048576,"")</f>
        <v/>
      </c>
      <c r="R935" s="57" t="str">
        <f>IF(ISNUMBER(deployment_raw[[#This Row],[Column10]]), (deployment_raw[[#This Row],[Column10]] * IF($E$2="Deployment",deployment_raw[[#This Row],[Column5]],1)),"")</f>
        <v/>
      </c>
      <c r="S935" s="48" t="str">
        <f>IF(ISNUMBER(deployment_raw[[#This Row],[Column11]]), (deployment_raw[[#This Row],[Column11]] * IF($E$2="Deployment",deployment_raw[[#This Row],[Column5]],1))/1048576,"")</f>
        <v/>
      </c>
      <c r="T935" s="59" t="str">
        <f>IF(ISNUMBER(deployment_raw[[#This Row],[Column8]]),IF(OR(deployment_raw[[#This Row],[Column5]] &lt;&gt; 0,$E$2 &lt;&gt; "Deployment"), MAX(V935, ($T$2 * IF($E$2="Deployment",deployment_raw[[#This Row],[Column5]],1))), 0),"")</f>
        <v/>
      </c>
      <c r="U935" s="50" t="str">
        <f>IF(ISNUMBER(deployment_raw[[#This Row],[Column9]]),IF(OR(deployment_raw[[#This Row],[Column5]] &lt;&gt; 0,$E$2&lt;&gt;"Deployment"), MAX(W935, ($U$2 * IF($E$2="Deployment",deployment_raw[[#This Row],[Column5]],1))), 0),"")</f>
        <v/>
      </c>
      <c r="V935" s="15" t="str">
        <f>IF(ISNUMBER(deployment_raw[[#This Row],[Column12]]), (deployment_raw[[#This Row],[Column12]] * IF($E$2="Deployment",deployment_raw[[#This Row],[Column5]],1)*(1+$V$2)),"")</f>
        <v/>
      </c>
      <c r="W935" s="14" t="str">
        <f>IF(ISNUMBER(deployment_raw[[#This Row],[Column13]]), (deployment_raw[[#This Row],[Column13]] * IF($E$2="Deployment",deployment_raw[[#This Row],[Column5]],1)*(1+$W$2))/1048576,"")</f>
        <v/>
      </c>
    </row>
    <row r="936" spans="1:23" ht="15" customHeight="1" x14ac:dyDescent="0.25">
      <c r="A936" s="5" t="str">
        <f>IF(ISNONTEXT(deployment_raw[[#This Row],[Column1]]), "", deployment_raw[[#This Row],[Column1]])</f>
        <v/>
      </c>
      <c r="B936" s="6" t="str">
        <f>IF(ISNONTEXT(deployment_raw[[#This Row],[Column2]]), "", deployment_raw[[#This Row],[Column2]])</f>
        <v/>
      </c>
      <c r="C936" s="6" t="str">
        <f>IF(ISNONTEXT(deployment_raw[[#This Row],[Column3]]), "", deployment_raw[[#This Row],[Column3]])</f>
        <v/>
      </c>
      <c r="D936" s="6" t="str">
        <f>IF(ISNONTEXT(deployment_raw[[#This Row],[Column4]]), "", deployment_raw[[#This Row],[Column4]])</f>
        <v/>
      </c>
      <c r="E936" s="7" t="str">
        <f>IF(ISNUMBER(deployment_raw[[#This Row],[Column5]]), deployment_raw[[#This Row],[Column5]],"")</f>
        <v/>
      </c>
      <c r="F936" s="32" t="str">
        <f>IF(ISNUMBER(deployment_raw[[#This Row],[Column17]]), deployment_raw[[#This Row],[Column17]]/IF(OR($E$2="Deployment",deployment_raw[[#This Row],[Column5]]=0),1,deployment_raw[[#This Row],[Column5]]),"")</f>
        <v/>
      </c>
      <c r="G936" s="42" t="str">
        <f>IF(ISNUMBER(deployment_raw[[#This Row],[Column14]]), deployment_raw[[#This Row],[Column14]]/IF(OR($E$2="Deployment",deployment_raw[[#This Row],[Column5]]=0),1,deployment_raw[[#This Row],[Column5]]),"")</f>
        <v/>
      </c>
      <c r="H936" s="79" t="str">
        <f>IF(ISNUMBER(deployment_raw[[#This Row],[Column19]]), IF(I936&lt;&gt;0,(deployment_raw[[#This Row],[Column19]]/IF(OR($E$2="Deployment",deployment_raw[[#This Row],[Column5]]=0),1,deployment_raw[[#This Row],[Column5]]))/I936,0),"")</f>
        <v/>
      </c>
      <c r="I936" s="69" t="str">
        <f>IF(ISNUMBER(deployment_raw[[#This Row],[Column6]]), (deployment_raw[[#This Row],[Column6]] * IF($E$2="Deployment",deployment_raw[[#This Row],[Column5]],1)),"")</f>
        <v/>
      </c>
      <c r="J936" s="79" t="str">
        <f>IF(ISNUMBER(deployment_raw[[#This Row],[Column19]]), IF(K936&lt;&gt;0,(deployment_raw[[#This Row],[Column19]]/IF(OR($E$2="Deployment",deployment_raw[[#This Row],[Column5]]=0),1,deployment_raw[[#This Row],[Column5]]))/K936,0),"")</f>
        <v/>
      </c>
      <c r="K936" s="72" t="str">
        <f>IF(ISNUMBER(deployment_raw[[#This Row],[Column8]]), (deployment_raw[[#This Row],[Column8]]  * IF($E$2="Deployment",deployment_raw[[#This Row],[Column5]],1)),"")</f>
        <v/>
      </c>
      <c r="L93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3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36" s="81" t="str">
        <f>IF(ISNUMBER(deployment_raw[[#This Row],[Column20]]), IF(O936&lt;&gt;0,deployment_raw[[#This Row],[Column20]]/IF(OR($E$2="Deployment",deployment_raw[[#This Row],[Column5]]=0),1,deployment_raw[[#This Row],[Column5]])/1048576/O936,0),"")</f>
        <v/>
      </c>
      <c r="O936" s="74" t="str">
        <f>IF(ISNUMBER(deployment_raw[[#This Row],[Column7]]), (deployment_raw[[#This Row],[Column7]] * IF($E$2="Deployment",deployment_raw[[#This Row],[Column5]],1))/1048576,"")</f>
        <v/>
      </c>
      <c r="P936" s="81" t="str">
        <f>IF(ISNUMBER(deployment_raw[[#This Row],[Column20]]), IF(Q936&lt;&gt;0,deployment_raw[[#This Row],[Column20]]/IF(OR($E$2="Deployment",deployment_raw[[#This Row],[Column5]]=0),1,deployment_raw[[#This Row],[Column5]])/1048576/Q936,0),"")</f>
        <v/>
      </c>
      <c r="Q936" s="76" t="str">
        <f>IF(ISNUMBER(deployment_raw[[#This Row],[Column9]]), (deployment_raw[[#This Row],[Column9]] * IF($E$2="Deployment",deployment_raw[[#This Row],[Column5]],1))/1048576,"")</f>
        <v/>
      </c>
      <c r="R936" s="57" t="str">
        <f>IF(ISNUMBER(deployment_raw[[#This Row],[Column10]]), (deployment_raw[[#This Row],[Column10]] * IF($E$2="Deployment",deployment_raw[[#This Row],[Column5]],1)),"")</f>
        <v/>
      </c>
      <c r="S936" s="48" t="str">
        <f>IF(ISNUMBER(deployment_raw[[#This Row],[Column11]]), (deployment_raw[[#This Row],[Column11]] * IF($E$2="Deployment",deployment_raw[[#This Row],[Column5]],1))/1048576,"")</f>
        <v/>
      </c>
      <c r="T936" s="59" t="str">
        <f>IF(ISNUMBER(deployment_raw[[#This Row],[Column8]]),IF(OR(deployment_raw[[#This Row],[Column5]] &lt;&gt; 0,$E$2 &lt;&gt; "Deployment"), MAX(V936, ($T$2 * IF($E$2="Deployment",deployment_raw[[#This Row],[Column5]],1))), 0),"")</f>
        <v/>
      </c>
      <c r="U936" s="50" t="str">
        <f>IF(ISNUMBER(deployment_raw[[#This Row],[Column9]]),IF(OR(deployment_raw[[#This Row],[Column5]] &lt;&gt; 0,$E$2&lt;&gt;"Deployment"), MAX(W936, ($U$2 * IF($E$2="Deployment",deployment_raw[[#This Row],[Column5]],1))), 0),"")</f>
        <v/>
      </c>
      <c r="V936" s="15" t="str">
        <f>IF(ISNUMBER(deployment_raw[[#This Row],[Column12]]), (deployment_raw[[#This Row],[Column12]] * IF($E$2="Deployment",deployment_raw[[#This Row],[Column5]],1)*(1+$V$2)),"")</f>
        <v/>
      </c>
      <c r="W936" s="14" t="str">
        <f>IF(ISNUMBER(deployment_raw[[#This Row],[Column13]]), (deployment_raw[[#This Row],[Column13]] * IF($E$2="Deployment",deployment_raw[[#This Row],[Column5]],1)*(1+$W$2))/1048576,"")</f>
        <v/>
      </c>
    </row>
    <row r="937" spans="1:23" ht="15" customHeight="1" x14ac:dyDescent="0.25">
      <c r="A937" s="5" t="str">
        <f>IF(ISNONTEXT(deployment_raw[[#This Row],[Column1]]), "", deployment_raw[[#This Row],[Column1]])</f>
        <v/>
      </c>
      <c r="B937" s="6" t="str">
        <f>IF(ISNONTEXT(deployment_raw[[#This Row],[Column2]]), "", deployment_raw[[#This Row],[Column2]])</f>
        <v/>
      </c>
      <c r="C937" s="6" t="str">
        <f>IF(ISNONTEXT(deployment_raw[[#This Row],[Column3]]), "", deployment_raw[[#This Row],[Column3]])</f>
        <v/>
      </c>
      <c r="D937" s="6" t="str">
        <f>IF(ISNONTEXT(deployment_raw[[#This Row],[Column4]]), "", deployment_raw[[#This Row],[Column4]])</f>
        <v/>
      </c>
      <c r="E937" s="7" t="str">
        <f>IF(ISNUMBER(deployment_raw[[#This Row],[Column5]]), deployment_raw[[#This Row],[Column5]],"")</f>
        <v/>
      </c>
      <c r="F937" s="32" t="str">
        <f>IF(ISNUMBER(deployment_raw[[#This Row],[Column17]]), deployment_raw[[#This Row],[Column17]]/IF(OR($E$2="Deployment",deployment_raw[[#This Row],[Column5]]=0),1,deployment_raw[[#This Row],[Column5]]),"")</f>
        <v/>
      </c>
      <c r="G937" s="42" t="str">
        <f>IF(ISNUMBER(deployment_raw[[#This Row],[Column14]]), deployment_raw[[#This Row],[Column14]]/IF(OR($E$2="Deployment",deployment_raw[[#This Row],[Column5]]=0),1,deployment_raw[[#This Row],[Column5]]),"")</f>
        <v/>
      </c>
      <c r="H937" s="79" t="str">
        <f>IF(ISNUMBER(deployment_raw[[#This Row],[Column19]]), IF(I937&lt;&gt;0,(deployment_raw[[#This Row],[Column19]]/IF(OR($E$2="Deployment",deployment_raw[[#This Row],[Column5]]=0),1,deployment_raw[[#This Row],[Column5]]))/I937,0),"")</f>
        <v/>
      </c>
      <c r="I937" s="69" t="str">
        <f>IF(ISNUMBER(deployment_raw[[#This Row],[Column6]]), (deployment_raw[[#This Row],[Column6]] * IF($E$2="Deployment",deployment_raw[[#This Row],[Column5]],1)),"")</f>
        <v/>
      </c>
      <c r="J937" s="79" t="str">
        <f>IF(ISNUMBER(deployment_raw[[#This Row],[Column19]]), IF(K937&lt;&gt;0,(deployment_raw[[#This Row],[Column19]]/IF(OR($E$2="Deployment",deployment_raw[[#This Row],[Column5]]=0),1,deployment_raw[[#This Row],[Column5]]))/K937,0),"")</f>
        <v/>
      </c>
      <c r="K937" s="72" t="str">
        <f>IF(ISNUMBER(deployment_raw[[#This Row],[Column8]]), (deployment_raw[[#This Row],[Column8]]  * IF($E$2="Deployment",deployment_raw[[#This Row],[Column5]],1)),"")</f>
        <v/>
      </c>
      <c r="L93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3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37" s="81" t="str">
        <f>IF(ISNUMBER(deployment_raw[[#This Row],[Column20]]), IF(O937&lt;&gt;0,deployment_raw[[#This Row],[Column20]]/IF(OR($E$2="Deployment",deployment_raw[[#This Row],[Column5]]=0),1,deployment_raw[[#This Row],[Column5]])/1048576/O937,0),"")</f>
        <v/>
      </c>
      <c r="O937" s="74" t="str">
        <f>IF(ISNUMBER(deployment_raw[[#This Row],[Column7]]), (deployment_raw[[#This Row],[Column7]] * IF($E$2="Deployment",deployment_raw[[#This Row],[Column5]],1))/1048576,"")</f>
        <v/>
      </c>
      <c r="P937" s="81" t="str">
        <f>IF(ISNUMBER(deployment_raw[[#This Row],[Column20]]), IF(Q937&lt;&gt;0,deployment_raw[[#This Row],[Column20]]/IF(OR($E$2="Deployment",deployment_raw[[#This Row],[Column5]]=0),1,deployment_raw[[#This Row],[Column5]])/1048576/Q937,0),"")</f>
        <v/>
      </c>
      <c r="Q937" s="76" t="str">
        <f>IF(ISNUMBER(deployment_raw[[#This Row],[Column9]]), (deployment_raw[[#This Row],[Column9]] * IF($E$2="Deployment",deployment_raw[[#This Row],[Column5]],1))/1048576,"")</f>
        <v/>
      </c>
      <c r="R937" s="57" t="str">
        <f>IF(ISNUMBER(deployment_raw[[#This Row],[Column10]]), (deployment_raw[[#This Row],[Column10]] * IF($E$2="Deployment",deployment_raw[[#This Row],[Column5]],1)),"")</f>
        <v/>
      </c>
      <c r="S937" s="48" t="str">
        <f>IF(ISNUMBER(deployment_raw[[#This Row],[Column11]]), (deployment_raw[[#This Row],[Column11]] * IF($E$2="Deployment",deployment_raw[[#This Row],[Column5]],1))/1048576,"")</f>
        <v/>
      </c>
      <c r="T937" s="59" t="str">
        <f>IF(ISNUMBER(deployment_raw[[#This Row],[Column8]]),IF(OR(deployment_raw[[#This Row],[Column5]] &lt;&gt; 0,$E$2 &lt;&gt; "Deployment"), MAX(V937, ($T$2 * IF($E$2="Deployment",deployment_raw[[#This Row],[Column5]],1))), 0),"")</f>
        <v/>
      </c>
      <c r="U937" s="50" t="str">
        <f>IF(ISNUMBER(deployment_raw[[#This Row],[Column9]]),IF(OR(deployment_raw[[#This Row],[Column5]] &lt;&gt; 0,$E$2&lt;&gt;"Deployment"), MAX(W937, ($U$2 * IF($E$2="Deployment",deployment_raw[[#This Row],[Column5]],1))), 0),"")</f>
        <v/>
      </c>
      <c r="V937" s="15" t="str">
        <f>IF(ISNUMBER(deployment_raw[[#This Row],[Column12]]), (deployment_raw[[#This Row],[Column12]] * IF($E$2="Deployment",deployment_raw[[#This Row],[Column5]],1)*(1+$V$2)),"")</f>
        <v/>
      </c>
      <c r="W937" s="14" t="str">
        <f>IF(ISNUMBER(deployment_raw[[#This Row],[Column13]]), (deployment_raw[[#This Row],[Column13]] * IF($E$2="Deployment",deployment_raw[[#This Row],[Column5]],1)*(1+$W$2))/1048576,"")</f>
        <v/>
      </c>
    </row>
    <row r="938" spans="1:23" ht="15" customHeight="1" x14ac:dyDescent="0.25">
      <c r="A938" s="5" t="str">
        <f>IF(ISNONTEXT(deployment_raw[[#This Row],[Column1]]), "", deployment_raw[[#This Row],[Column1]])</f>
        <v/>
      </c>
      <c r="B938" s="6" t="str">
        <f>IF(ISNONTEXT(deployment_raw[[#This Row],[Column2]]), "", deployment_raw[[#This Row],[Column2]])</f>
        <v/>
      </c>
      <c r="C938" s="6" t="str">
        <f>IF(ISNONTEXT(deployment_raw[[#This Row],[Column3]]), "", deployment_raw[[#This Row],[Column3]])</f>
        <v/>
      </c>
      <c r="D938" s="6" t="str">
        <f>IF(ISNONTEXT(deployment_raw[[#This Row],[Column4]]), "", deployment_raw[[#This Row],[Column4]])</f>
        <v/>
      </c>
      <c r="E938" s="7" t="str">
        <f>IF(ISNUMBER(deployment_raw[[#This Row],[Column5]]), deployment_raw[[#This Row],[Column5]],"")</f>
        <v/>
      </c>
      <c r="F938" s="32" t="str">
        <f>IF(ISNUMBER(deployment_raw[[#This Row],[Column17]]), deployment_raw[[#This Row],[Column17]]/IF(OR($E$2="Deployment",deployment_raw[[#This Row],[Column5]]=0),1,deployment_raw[[#This Row],[Column5]]),"")</f>
        <v/>
      </c>
      <c r="G938" s="42" t="str">
        <f>IF(ISNUMBER(deployment_raw[[#This Row],[Column14]]), deployment_raw[[#This Row],[Column14]]/IF(OR($E$2="Deployment",deployment_raw[[#This Row],[Column5]]=0),1,deployment_raw[[#This Row],[Column5]]),"")</f>
        <v/>
      </c>
      <c r="H938" s="79" t="str">
        <f>IF(ISNUMBER(deployment_raw[[#This Row],[Column19]]), IF(I938&lt;&gt;0,(deployment_raw[[#This Row],[Column19]]/IF(OR($E$2="Deployment",deployment_raw[[#This Row],[Column5]]=0),1,deployment_raw[[#This Row],[Column5]]))/I938,0),"")</f>
        <v/>
      </c>
      <c r="I938" s="69" t="str">
        <f>IF(ISNUMBER(deployment_raw[[#This Row],[Column6]]), (deployment_raw[[#This Row],[Column6]] * IF($E$2="Deployment",deployment_raw[[#This Row],[Column5]],1)),"")</f>
        <v/>
      </c>
      <c r="J938" s="79" t="str">
        <f>IF(ISNUMBER(deployment_raw[[#This Row],[Column19]]), IF(K938&lt;&gt;0,(deployment_raw[[#This Row],[Column19]]/IF(OR($E$2="Deployment",deployment_raw[[#This Row],[Column5]]=0),1,deployment_raw[[#This Row],[Column5]]))/K938,0),"")</f>
        <v/>
      </c>
      <c r="K938" s="72" t="str">
        <f>IF(ISNUMBER(deployment_raw[[#This Row],[Column8]]), (deployment_raw[[#This Row],[Column8]]  * IF($E$2="Deployment",deployment_raw[[#This Row],[Column5]],1)),"")</f>
        <v/>
      </c>
      <c r="L93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3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38" s="81" t="str">
        <f>IF(ISNUMBER(deployment_raw[[#This Row],[Column20]]), IF(O938&lt;&gt;0,deployment_raw[[#This Row],[Column20]]/IF(OR($E$2="Deployment",deployment_raw[[#This Row],[Column5]]=0),1,deployment_raw[[#This Row],[Column5]])/1048576/O938,0),"")</f>
        <v/>
      </c>
      <c r="O938" s="74" t="str">
        <f>IF(ISNUMBER(deployment_raw[[#This Row],[Column7]]), (deployment_raw[[#This Row],[Column7]] * IF($E$2="Deployment",deployment_raw[[#This Row],[Column5]],1))/1048576,"")</f>
        <v/>
      </c>
      <c r="P938" s="81" t="str">
        <f>IF(ISNUMBER(deployment_raw[[#This Row],[Column20]]), IF(Q938&lt;&gt;0,deployment_raw[[#This Row],[Column20]]/IF(OR($E$2="Deployment",deployment_raw[[#This Row],[Column5]]=0),1,deployment_raw[[#This Row],[Column5]])/1048576/Q938,0),"")</f>
        <v/>
      </c>
      <c r="Q938" s="76" t="str">
        <f>IF(ISNUMBER(deployment_raw[[#This Row],[Column9]]), (deployment_raw[[#This Row],[Column9]] * IF($E$2="Deployment",deployment_raw[[#This Row],[Column5]],1))/1048576,"")</f>
        <v/>
      </c>
      <c r="R938" s="57" t="str">
        <f>IF(ISNUMBER(deployment_raw[[#This Row],[Column10]]), (deployment_raw[[#This Row],[Column10]] * IF($E$2="Deployment",deployment_raw[[#This Row],[Column5]],1)),"")</f>
        <v/>
      </c>
      <c r="S938" s="48" t="str">
        <f>IF(ISNUMBER(deployment_raw[[#This Row],[Column11]]), (deployment_raw[[#This Row],[Column11]] * IF($E$2="Deployment",deployment_raw[[#This Row],[Column5]],1))/1048576,"")</f>
        <v/>
      </c>
      <c r="T938" s="59" t="str">
        <f>IF(ISNUMBER(deployment_raw[[#This Row],[Column8]]),IF(OR(deployment_raw[[#This Row],[Column5]] &lt;&gt; 0,$E$2 &lt;&gt; "Deployment"), MAX(V938, ($T$2 * IF($E$2="Deployment",deployment_raw[[#This Row],[Column5]],1))), 0),"")</f>
        <v/>
      </c>
      <c r="U938" s="50" t="str">
        <f>IF(ISNUMBER(deployment_raw[[#This Row],[Column9]]),IF(OR(deployment_raw[[#This Row],[Column5]] &lt;&gt; 0,$E$2&lt;&gt;"Deployment"), MAX(W938, ($U$2 * IF($E$2="Deployment",deployment_raw[[#This Row],[Column5]],1))), 0),"")</f>
        <v/>
      </c>
      <c r="V938" s="15" t="str">
        <f>IF(ISNUMBER(deployment_raw[[#This Row],[Column12]]), (deployment_raw[[#This Row],[Column12]] * IF($E$2="Deployment",deployment_raw[[#This Row],[Column5]],1)*(1+$V$2)),"")</f>
        <v/>
      </c>
      <c r="W938" s="14" t="str">
        <f>IF(ISNUMBER(deployment_raw[[#This Row],[Column13]]), (deployment_raw[[#This Row],[Column13]] * IF($E$2="Deployment",deployment_raw[[#This Row],[Column5]],1)*(1+$W$2))/1048576,"")</f>
        <v/>
      </c>
    </row>
    <row r="939" spans="1:23" ht="15" customHeight="1" x14ac:dyDescent="0.25">
      <c r="A939" s="5" t="str">
        <f>IF(ISNONTEXT(deployment_raw[[#This Row],[Column1]]), "", deployment_raw[[#This Row],[Column1]])</f>
        <v/>
      </c>
      <c r="B939" s="6" t="str">
        <f>IF(ISNONTEXT(deployment_raw[[#This Row],[Column2]]), "", deployment_raw[[#This Row],[Column2]])</f>
        <v/>
      </c>
      <c r="C939" s="6" t="str">
        <f>IF(ISNONTEXT(deployment_raw[[#This Row],[Column3]]), "", deployment_raw[[#This Row],[Column3]])</f>
        <v/>
      </c>
      <c r="D939" s="6" t="str">
        <f>IF(ISNONTEXT(deployment_raw[[#This Row],[Column4]]), "", deployment_raw[[#This Row],[Column4]])</f>
        <v/>
      </c>
      <c r="E939" s="7" t="str">
        <f>IF(ISNUMBER(deployment_raw[[#This Row],[Column5]]), deployment_raw[[#This Row],[Column5]],"")</f>
        <v/>
      </c>
      <c r="F939" s="32" t="str">
        <f>IF(ISNUMBER(deployment_raw[[#This Row],[Column17]]), deployment_raw[[#This Row],[Column17]]/IF(OR($E$2="Deployment",deployment_raw[[#This Row],[Column5]]=0),1,deployment_raw[[#This Row],[Column5]]),"")</f>
        <v/>
      </c>
      <c r="G939" s="42" t="str">
        <f>IF(ISNUMBER(deployment_raw[[#This Row],[Column14]]), deployment_raw[[#This Row],[Column14]]/IF(OR($E$2="Deployment",deployment_raw[[#This Row],[Column5]]=0),1,deployment_raw[[#This Row],[Column5]]),"")</f>
        <v/>
      </c>
      <c r="H939" s="79" t="str">
        <f>IF(ISNUMBER(deployment_raw[[#This Row],[Column19]]), IF(I939&lt;&gt;0,(deployment_raw[[#This Row],[Column19]]/IF(OR($E$2="Deployment",deployment_raw[[#This Row],[Column5]]=0),1,deployment_raw[[#This Row],[Column5]]))/I939,0),"")</f>
        <v/>
      </c>
      <c r="I939" s="69" t="str">
        <f>IF(ISNUMBER(deployment_raw[[#This Row],[Column6]]), (deployment_raw[[#This Row],[Column6]] * IF($E$2="Deployment",deployment_raw[[#This Row],[Column5]],1)),"")</f>
        <v/>
      </c>
      <c r="J939" s="79" t="str">
        <f>IF(ISNUMBER(deployment_raw[[#This Row],[Column19]]), IF(K939&lt;&gt;0,(deployment_raw[[#This Row],[Column19]]/IF(OR($E$2="Deployment",deployment_raw[[#This Row],[Column5]]=0),1,deployment_raw[[#This Row],[Column5]]))/K939,0),"")</f>
        <v/>
      </c>
      <c r="K939" s="72" t="str">
        <f>IF(ISNUMBER(deployment_raw[[#This Row],[Column8]]), (deployment_raw[[#This Row],[Column8]]  * IF($E$2="Deployment",deployment_raw[[#This Row],[Column5]],1)),"")</f>
        <v/>
      </c>
      <c r="L93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3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39" s="81" t="str">
        <f>IF(ISNUMBER(deployment_raw[[#This Row],[Column20]]), IF(O939&lt;&gt;0,deployment_raw[[#This Row],[Column20]]/IF(OR($E$2="Deployment",deployment_raw[[#This Row],[Column5]]=0),1,deployment_raw[[#This Row],[Column5]])/1048576/O939,0),"")</f>
        <v/>
      </c>
      <c r="O939" s="74" t="str">
        <f>IF(ISNUMBER(deployment_raw[[#This Row],[Column7]]), (deployment_raw[[#This Row],[Column7]] * IF($E$2="Deployment",deployment_raw[[#This Row],[Column5]],1))/1048576,"")</f>
        <v/>
      </c>
      <c r="P939" s="81" t="str">
        <f>IF(ISNUMBER(deployment_raw[[#This Row],[Column20]]), IF(Q939&lt;&gt;0,deployment_raw[[#This Row],[Column20]]/IF(OR($E$2="Deployment",deployment_raw[[#This Row],[Column5]]=0),1,deployment_raw[[#This Row],[Column5]])/1048576/Q939,0),"")</f>
        <v/>
      </c>
      <c r="Q939" s="76" t="str">
        <f>IF(ISNUMBER(deployment_raw[[#This Row],[Column9]]), (deployment_raw[[#This Row],[Column9]] * IF($E$2="Deployment",deployment_raw[[#This Row],[Column5]],1))/1048576,"")</f>
        <v/>
      </c>
      <c r="R939" s="57" t="str">
        <f>IF(ISNUMBER(deployment_raw[[#This Row],[Column10]]), (deployment_raw[[#This Row],[Column10]] * IF($E$2="Deployment",deployment_raw[[#This Row],[Column5]],1)),"")</f>
        <v/>
      </c>
      <c r="S939" s="48" t="str">
        <f>IF(ISNUMBER(deployment_raw[[#This Row],[Column11]]), (deployment_raw[[#This Row],[Column11]] * IF($E$2="Deployment",deployment_raw[[#This Row],[Column5]],1))/1048576,"")</f>
        <v/>
      </c>
      <c r="T939" s="59" t="str">
        <f>IF(ISNUMBER(deployment_raw[[#This Row],[Column8]]),IF(OR(deployment_raw[[#This Row],[Column5]] &lt;&gt; 0,$E$2 &lt;&gt; "Deployment"), MAX(V939, ($T$2 * IF($E$2="Deployment",deployment_raw[[#This Row],[Column5]],1))), 0),"")</f>
        <v/>
      </c>
      <c r="U939" s="50" t="str">
        <f>IF(ISNUMBER(deployment_raw[[#This Row],[Column9]]),IF(OR(deployment_raw[[#This Row],[Column5]] &lt;&gt; 0,$E$2&lt;&gt;"Deployment"), MAX(W939, ($U$2 * IF($E$2="Deployment",deployment_raw[[#This Row],[Column5]],1))), 0),"")</f>
        <v/>
      </c>
      <c r="V939" s="15" t="str">
        <f>IF(ISNUMBER(deployment_raw[[#This Row],[Column12]]), (deployment_raw[[#This Row],[Column12]] * IF($E$2="Deployment",deployment_raw[[#This Row],[Column5]],1)*(1+$V$2)),"")</f>
        <v/>
      </c>
      <c r="W939" s="14" t="str">
        <f>IF(ISNUMBER(deployment_raw[[#This Row],[Column13]]), (deployment_raw[[#This Row],[Column13]] * IF($E$2="Deployment",deployment_raw[[#This Row],[Column5]],1)*(1+$W$2))/1048576,"")</f>
        <v/>
      </c>
    </row>
    <row r="940" spans="1:23" ht="15" customHeight="1" x14ac:dyDescent="0.25">
      <c r="A940" s="5" t="str">
        <f>IF(ISNONTEXT(deployment_raw[[#This Row],[Column1]]), "", deployment_raw[[#This Row],[Column1]])</f>
        <v/>
      </c>
      <c r="B940" s="6" t="str">
        <f>IF(ISNONTEXT(deployment_raw[[#This Row],[Column2]]), "", deployment_raw[[#This Row],[Column2]])</f>
        <v/>
      </c>
      <c r="C940" s="6" t="str">
        <f>IF(ISNONTEXT(deployment_raw[[#This Row],[Column3]]), "", deployment_raw[[#This Row],[Column3]])</f>
        <v/>
      </c>
      <c r="D940" s="6" t="str">
        <f>IF(ISNONTEXT(deployment_raw[[#This Row],[Column4]]), "", deployment_raw[[#This Row],[Column4]])</f>
        <v/>
      </c>
      <c r="E940" s="7" t="str">
        <f>IF(ISNUMBER(deployment_raw[[#This Row],[Column5]]), deployment_raw[[#This Row],[Column5]],"")</f>
        <v/>
      </c>
      <c r="F940" s="32" t="str">
        <f>IF(ISNUMBER(deployment_raw[[#This Row],[Column17]]), deployment_raw[[#This Row],[Column17]]/IF(OR($E$2="Deployment",deployment_raw[[#This Row],[Column5]]=0),1,deployment_raw[[#This Row],[Column5]]),"")</f>
        <v/>
      </c>
      <c r="G940" s="42" t="str">
        <f>IF(ISNUMBER(deployment_raw[[#This Row],[Column14]]), deployment_raw[[#This Row],[Column14]]/IF(OR($E$2="Deployment",deployment_raw[[#This Row],[Column5]]=0),1,deployment_raw[[#This Row],[Column5]]),"")</f>
        <v/>
      </c>
      <c r="H940" s="79" t="str">
        <f>IF(ISNUMBER(deployment_raw[[#This Row],[Column19]]), IF(I940&lt;&gt;0,(deployment_raw[[#This Row],[Column19]]/IF(OR($E$2="Deployment",deployment_raw[[#This Row],[Column5]]=0),1,deployment_raw[[#This Row],[Column5]]))/I940,0),"")</f>
        <v/>
      </c>
      <c r="I940" s="69" t="str">
        <f>IF(ISNUMBER(deployment_raw[[#This Row],[Column6]]), (deployment_raw[[#This Row],[Column6]] * IF($E$2="Deployment",deployment_raw[[#This Row],[Column5]],1)),"")</f>
        <v/>
      </c>
      <c r="J940" s="79" t="str">
        <f>IF(ISNUMBER(deployment_raw[[#This Row],[Column19]]), IF(K940&lt;&gt;0,(deployment_raw[[#This Row],[Column19]]/IF(OR($E$2="Deployment",deployment_raw[[#This Row],[Column5]]=0),1,deployment_raw[[#This Row],[Column5]]))/K940,0),"")</f>
        <v/>
      </c>
      <c r="K940" s="72" t="str">
        <f>IF(ISNUMBER(deployment_raw[[#This Row],[Column8]]), (deployment_raw[[#This Row],[Column8]]  * IF($E$2="Deployment",deployment_raw[[#This Row],[Column5]],1)),"")</f>
        <v/>
      </c>
      <c r="L94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4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40" s="81" t="str">
        <f>IF(ISNUMBER(deployment_raw[[#This Row],[Column20]]), IF(O940&lt;&gt;0,deployment_raw[[#This Row],[Column20]]/IF(OR($E$2="Deployment",deployment_raw[[#This Row],[Column5]]=0),1,deployment_raw[[#This Row],[Column5]])/1048576/O940,0),"")</f>
        <v/>
      </c>
      <c r="O940" s="74" t="str">
        <f>IF(ISNUMBER(deployment_raw[[#This Row],[Column7]]), (deployment_raw[[#This Row],[Column7]] * IF($E$2="Deployment",deployment_raw[[#This Row],[Column5]],1))/1048576,"")</f>
        <v/>
      </c>
      <c r="P940" s="81" t="str">
        <f>IF(ISNUMBER(deployment_raw[[#This Row],[Column20]]), IF(Q940&lt;&gt;0,deployment_raw[[#This Row],[Column20]]/IF(OR($E$2="Deployment",deployment_raw[[#This Row],[Column5]]=0),1,deployment_raw[[#This Row],[Column5]])/1048576/Q940,0),"")</f>
        <v/>
      </c>
      <c r="Q940" s="76" t="str">
        <f>IF(ISNUMBER(deployment_raw[[#This Row],[Column9]]), (deployment_raw[[#This Row],[Column9]] * IF($E$2="Deployment",deployment_raw[[#This Row],[Column5]],1))/1048576,"")</f>
        <v/>
      </c>
      <c r="R940" s="57" t="str">
        <f>IF(ISNUMBER(deployment_raw[[#This Row],[Column10]]), (deployment_raw[[#This Row],[Column10]] * IF($E$2="Deployment",deployment_raw[[#This Row],[Column5]],1)),"")</f>
        <v/>
      </c>
      <c r="S940" s="48" t="str">
        <f>IF(ISNUMBER(deployment_raw[[#This Row],[Column11]]), (deployment_raw[[#This Row],[Column11]] * IF($E$2="Deployment",deployment_raw[[#This Row],[Column5]],1))/1048576,"")</f>
        <v/>
      </c>
      <c r="T940" s="59" t="str">
        <f>IF(ISNUMBER(deployment_raw[[#This Row],[Column8]]),IF(OR(deployment_raw[[#This Row],[Column5]] &lt;&gt; 0,$E$2 &lt;&gt; "Deployment"), MAX(V940, ($T$2 * IF($E$2="Deployment",deployment_raw[[#This Row],[Column5]],1))), 0),"")</f>
        <v/>
      </c>
      <c r="U940" s="50" t="str">
        <f>IF(ISNUMBER(deployment_raw[[#This Row],[Column9]]),IF(OR(deployment_raw[[#This Row],[Column5]] &lt;&gt; 0,$E$2&lt;&gt;"Deployment"), MAX(W940, ($U$2 * IF($E$2="Deployment",deployment_raw[[#This Row],[Column5]],1))), 0),"")</f>
        <v/>
      </c>
      <c r="V940" s="15" t="str">
        <f>IF(ISNUMBER(deployment_raw[[#This Row],[Column12]]), (deployment_raw[[#This Row],[Column12]] * IF($E$2="Deployment",deployment_raw[[#This Row],[Column5]],1)*(1+$V$2)),"")</f>
        <v/>
      </c>
      <c r="W940" s="14" t="str">
        <f>IF(ISNUMBER(deployment_raw[[#This Row],[Column13]]), (deployment_raw[[#This Row],[Column13]] * IF($E$2="Deployment",deployment_raw[[#This Row],[Column5]],1)*(1+$W$2))/1048576,"")</f>
        <v/>
      </c>
    </row>
    <row r="941" spans="1:23" ht="15" customHeight="1" x14ac:dyDescent="0.25">
      <c r="A941" s="5" t="str">
        <f>IF(ISNONTEXT(deployment_raw[[#This Row],[Column1]]), "", deployment_raw[[#This Row],[Column1]])</f>
        <v/>
      </c>
      <c r="B941" s="6" t="str">
        <f>IF(ISNONTEXT(deployment_raw[[#This Row],[Column2]]), "", deployment_raw[[#This Row],[Column2]])</f>
        <v/>
      </c>
      <c r="C941" s="6" t="str">
        <f>IF(ISNONTEXT(deployment_raw[[#This Row],[Column3]]), "", deployment_raw[[#This Row],[Column3]])</f>
        <v/>
      </c>
      <c r="D941" s="6" t="str">
        <f>IF(ISNONTEXT(deployment_raw[[#This Row],[Column4]]), "", deployment_raw[[#This Row],[Column4]])</f>
        <v/>
      </c>
      <c r="E941" s="7" t="str">
        <f>IF(ISNUMBER(deployment_raw[[#This Row],[Column5]]), deployment_raw[[#This Row],[Column5]],"")</f>
        <v/>
      </c>
      <c r="F941" s="32" t="str">
        <f>IF(ISNUMBER(deployment_raw[[#This Row],[Column17]]), deployment_raw[[#This Row],[Column17]]/IF(OR($E$2="Deployment",deployment_raw[[#This Row],[Column5]]=0),1,deployment_raw[[#This Row],[Column5]]),"")</f>
        <v/>
      </c>
      <c r="G941" s="42" t="str">
        <f>IF(ISNUMBER(deployment_raw[[#This Row],[Column14]]), deployment_raw[[#This Row],[Column14]]/IF(OR($E$2="Deployment",deployment_raw[[#This Row],[Column5]]=0),1,deployment_raw[[#This Row],[Column5]]),"")</f>
        <v/>
      </c>
      <c r="H941" s="79" t="str">
        <f>IF(ISNUMBER(deployment_raw[[#This Row],[Column19]]), IF(I941&lt;&gt;0,(deployment_raw[[#This Row],[Column19]]/IF(OR($E$2="Deployment",deployment_raw[[#This Row],[Column5]]=0),1,deployment_raw[[#This Row],[Column5]]))/I941,0),"")</f>
        <v/>
      </c>
      <c r="I941" s="69" t="str">
        <f>IF(ISNUMBER(deployment_raw[[#This Row],[Column6]]), (deployment_raw[[#This Row],[Column6]] * IF($E$2="Deployment",deployment_raw[[#This Row],[Column5]],1)),"")</f>
        <v/>
      </c>
      <c r="J941" s="79" t="str">
        <f>IF(ISNUMBER(deployment_raw[[#This Row],[Column19]]), IF(K941&lt;&gt;0,(deployment_raw[[#This Row],[Column19]]/IF(OR($E$2="Deployment",deployment_raw[[#This Row],[Column5]]=0),1,deployment_raw[[#This Row],[Column5]]))/K941,0),"")</f>
        <v/>
      </c>
      <c r="K941" s="72" t="str">
        <f>IF(ISNUMBER(deployment_raw[[#This Row],[Column8]]), (deployment_raw[[#This Row],[Column8]]  * IF($E$2="Deployment",deployment_raw[[#This Row],[Column5]],1)),"")</f>
        <v/>
      </c>
      <c r="L94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4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41" s="81" t="str">
        <f>IF(ISNUMBER(deployment_raw[[#This Row],[Column20]]), IF(O941&lt;&gt;0,deployment_raw[[#This Row],[Column20]]/IF(OR($E$2="Deployment",deployment_raw[[#This Row],[Column5]]=0),1,deployment_raw[[#This Row],[Column5]])/1048576/O941,0),"")</f>
        <v/>
      </c>
      <c r="O941" s="74" t="str">
        <f>IF(ISNUMBER(deployment_raw[[#This Row],[Column7]]), (deployment_raw[[#This Row],[Column7]] * IF($E$2="Deployment",deployment_raw[[#This Row],[Column5]],1))/1048576,"")</f>
        <v/>
      </c>
      <c r="P941" s="81" t="str">
        <f>IF(ISNUMBER(deployment_raw[[#This Row],[Column20]]), IF(Q941&lt;&gt;0,deployment_raw[[#This Row],[Column20]]/IF(OR($E$2="Deployment",deployment_raw[[#This Row],[Column5]]=0),1,deployment_raw[[#This Row],[Column5]])/1048576/Q941,0),"")</f>
        <v/>
      </c>
      <c r="Q941" s="76" t="str">
        <f>IF(ISNUMBER(deployment_raw[[#This Row],[Column9]]), (deployment_raw[[#This Row],[Column9]] * IF($E$2="Deployment",deployment_raw[[#This Row],[Column5]],1))/1048576,"")</f>
        <v/>
      </c>
      <c r="R941" s="57" t="str">
        <f>IF(ISNUMBER(deployment_raw[[#This Row],[Column10]]), (deployment_raw[[#This Row],[Column10]] * IF($E$2="Deployment",deployment_raw[[#This Row],[Column5]],1)),"")</f>
        <v/>
      </c>
      <c r="S941" s="48" t="str">
        <f>IF(ISNUMBER(deployment_raw[[#This Row],[Column11]]), (deployment_raw[[#This Row],[Column11]] * IF($E$2="Deployment",deployment_raw[[#This Row],[Column5]],1))/1048576,"")</f>
        <v/>
      </c>
      <c r="T941" s="59" t="str">
        <f>IF(ISNUMBER(deployment_raw[[#This Row],[Column8]]),IF(OR(deployment_raw[[#This Row],[Column5]] &lt;&gt; 0,$E$2 &lt;&gt; "Deployment"), MAX(V941, ($T$2 * IF($E$2="Deployment",deployment_raw[[#This Row],[Column5]],1))), 0),"")</f>
        <v/>
      </c>
      <c r="U941" s="50" t="str">
        <f>IF(ISNUMBER(deployment_raw[[#This Row],[Column9]]),IF(OR(deployment_raw[[#This Row],[Column5]] &lt;&gt; 0,$E$2&lt;&gt;"Deployment"), MAX(W941, ($U$2 * IF($E$2="Deployment",deployment_raw[[#This Row],[Column5]],1))), 0),"")</f>
        <v/>
      </c>
      <c r="V941" s="15" t="str">
        <f>IF(ISNUMBER(deployment_raw[[#This Row],[Column12]]), (deployment_raw[[#This Row],[Column12]] * IF($E$2="Deployment",deployment_raw[[#This Row],[Column5]],1)*(1+$V$2)),"")</f>
        <v/>
      </c>
      <c r="W941" s="14" t="str">
        <f>IF(ISNUMBER(deployment_raw[[#This Row],[Column13]]), (deployment_raw[[#This Row],[Column13]] * IF($E$2="Deployment",deployment_raw[[#This Row],[Column5]],1)*(1+$W$2))/1048576,"")</f>
        <v/>
      </c>
    </row>
    <row r="942" spans="1:23" ht="15" customHeight="1" x14ac:dyDescent="0.25">
      <c r="A942" s="5" t="str">
        <f>IF(ISNONTEXT(deployment_raw[[#This Row],[Column1]]), "", deployment_raw[[#This Row],[Column1]])</f>
        <v/>
      </c>
      <c r="B942" s="6" t="str">
        <f>IF(ISNONTEXT(deployment_raw[[#This Row],[Column2]]), "", deployment_raw[[#This Row],[Column2]])</f>
        <v/>
      </c>
      <c r="C942" s="6" t="str">
        <f>IF(ISNONTEXT(deployment_raw[[#This Row],[Column3]]), "", deployment_raw[[#This Row],[Column3]])</f>
        <v/>
      </c>
      <c r="D942" s="6" t="str">
        <f>IF(ISNONTEXT(deployment_raw[[#This Row],[Column4]]), "", deployment_raw[[#This Row],[Column4]])</f>
        <v/>
      </c>
      <c r="E942" s="7" t="str">
        <f>IF(ISNUMBER(deployment_raw[[#This Row],[Column5]]), deployment_raw[[#This Row],[Column5]],"")</f>
        <v/>
      </c>
      <c r="F942" s="32" t="str">
        <f>IF(ISNUMBER(deployment_raw[[#This Row],[Column17]]), deployment_raw[[#This Row],[Column17]]/IF(OR($E$2="Deployment",deployment_raw[[#This Row],[Column5]]=0),1,deployment_raw[[#This Row],[Column5]]),"")</f>
        <v/>
      </c>
      <c r="G942" s="42" t="str">
        <f>IF(ISNUMBER(deployment_raw[[#This Row],[Column14]]), deployment_raw[[#This Row],[Column14]]/IF(OR($E$2="Deployment",deployment_raw[[#This Row],[Column5]]=0),1,deployment_raw[[#This Row],[Column5]]),"")</f>
        <v/>
      </c>
      <c r="H942" s="79" t="str">
        <f>IF(ISNUMBER(deployment_raw[[#This Row],[Column19]]), IF(I942&lt;&gt;0,(deployment_raw[[#This Row],[Column19]]/IF(OR($E$2="Deployment",deployment_raw[[#This Row],[Column5]]=0),1,deployment_raw[[#This Row],[Column5]]))/I942,0),"")</f>
        <v/>
      </c>
      <c r="I942" s="69" t="str">
        <f>IF(ISNUMBER(deployment_raw[[#This Row],[Column6]]), (deployment_raw[[#This Row],[Column6]] * IF($E$2="Deployment",deployment_raw[[#This Row],[Column5]],1)),"")</f>
        <v/>
      </c>
      <c r="J942" s="79" t="str">
        <f>IF(ISNUMBER(deployment_raw[[#This Row],[Column19]]), IF(K942&lt;&gt;0,(deployment_raw[[#This Row],[Column19]]/IF(OR($E$2="Deployment",deployment_raw[[#This Row],[Column5]]=0),1,deployment_raw[[#This Row],[Column5]]))/K942,0),"")</f>
        <v/>
      </c>
      <c r="K942" s="72" t="str">
        <f>IF(ISNUMBER(deployment_raw[[#This Row],[Column8]]), (deployment_raw[[#This Row],[Column8]]  * IF($E$2="Deployment",deployment_raw[[#This Row],[Column5]],1)),"")</f>
        <v/>
      </c>
      <c r="L94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4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42" s="81" t="str">
        <f>IF(ISNUMBER(deployment_raw[[#This Row],[Column20]]), IF(O942&lt;&gt;0,deployment_raw[[#This Row],[Column20]]/IF(OR($E$2="Deployment",deployment_raw[[#This Row],[Column5]]=0),1,deployment_raw[[#This Row],[Column5]])/1048576/O942,0),"")</f>
        <v/>
      </c>
      <c r="O942" s="74" t="str">
        <f>IF(ISNUMBER(deployment_raw[[#This Row],[Column7]]), (deployment_raw[[#This Row],[Column7]] * IF($E$2="Deployment",deployment_raw[[#This Row],[Column5]],1))/1048576,"")</f>
        <v/>
      </c>
      <c r="P942" s="81" t="str">
        <f>IF(ISNUMBER(deployment_raw[[#This Row],[Column20]]), IF(Q942&lt;&gt;0,deployment_raw[[#This Row],[Column20]]/IF(OR($E$2="Deployment",deployment_raw[[#This Row],[Column5]]=0),1,deployment_raw[[#This Row],[Column5]])/1048576/Q942,0),"")</f>
        <v/>
      </c>
      <c r="Q942" s="76" t="str">
        <f>IF(ISNUMBER(deployment_raw[[#This Row],[Column9]]), (deployment_raw[[#This Row],[Column9]] * IF($E$2="Deployment",deployment_raw[[#This Row],[Column5]],1))/1048576,"")</f>
        <v/>
      </c>
      <c r="R942" s="57" t="str">
        <f>IF(ISNUMBER(deployment_raw[[#This Row],[Column10]]), (deployment_raw[[#This Row],[Column10]] * IF($E$2="Deployment",deployment_raw[[#This Row],[Column5]],1)),"")</f>
        <v/>
      </c>
      <c r="S942" s="48" t="str">
        <f>IF(ISNUMBER(deployment_raw[[#This Row],[Column11]]), (deployment_raw[[#This Row],[Column11]] * IF($E$2="Deployment",deployment_raw[[#This Row],[Column5]],1))/1048576,"")</f>
        <v/>
      </c>
      <c r="T942" s="59" t="str">
        <f>IF(ISNUMBER(deployment_raw[[#This Row],[Column8]]),IF(OR(deployment_raw[[#This Row],[Column5]] &lt;&gt; 0,$E$2 &lt;&gt; "Deployment"), MAX(V942, ($T$2 * IF($E$2="Deployment",deployment_raw[[#This Row],[Column5]],1))), 0),"")</f>
        <v/>
      </c>
      <c r="U942" s="50" t="str">
        <f>IF(ISNUMBER(deployment_raw[[#This Row],[Column9]]),IF(OR(deployment_raw[[#This Row],[Column5]] &lt;&gt; 0,$E$2&lt;&gt;"Deployment"), MAX(W942, ($U$2 * IF($E$2="Deployment",deployment_raw[[#This Row],[Column5]],1))), 0),"")</f>
        <v/>
      </c>
      <c r="V942" s="15" t="str">
        <f>IF(ISNUMBER(deployment_raw[[#This Row],[Column12]]), (deployment_raw[[#This Row],[Column12]] * IF($E$2="Deployment",deployment_raw[[#This Row],[Column5]],1)*(1+$V$2)),"")</f>
        <v/>
      </c>
      <c r="W942" s="14" t="str">
        <f>IF(ISNUMBER(deployment_raw[[#This Row],[Column13]]), (deployment_raw[[#This Row],[Column13]] * IF($E$2="Deployment",deployment_raw[[#This Row],[Column5]],1)*(1+$W$2))/1048576,"")</f>
        <v/>
      </c>
    </row>
    <row r="943" spans="1:23" ht="15" customHeight="1" x14ac:dyDescent="0.25">
      <c r="A943" s="5" t="str">
        <f>IF(ISNONTEXT(deployment_raw[[#This Row],[Column1]]), "", deployment_raw[[#This Row],[Column1]])</f>
        <v/>
      </c>
      <c r="B943" s="6" t="str">
        <f>IF(ISNONTEXT(deployment_raw[[#This Row],[Column2]]), "", deployment_raw[[#This Row],[Column2]])</f>
        <v/>
      </c>
      <c r="C943" s="6" t="str">
        <f>IF(ISNONTEXT(deployment_raw[[#This Row],[Column3]]), "", deployment_raw[[#This Row],[Column3]])</f>
        <v/>
      </c>
      <c r="D943" s="6" t="str">
        <f>IF(ISNONTEXT(deployment_raw[[#This Row],[Column4]]), "", deployment_raw[[#This Row],[Column4]])</f>
        <v/>
      </c>
      <c r="E943" s="7" t="str">
        <f>IF(ISNUMBER(deployment_raw[[#This Row],[Column5]]), deployment_raw[[#This Row],[Column5]],"")</f>
        <v/>
      </c>
      <c r="F943" s="32" t="str">
        <f>IF(ISNUMBER(deployment_raw[[#This Row],[Column17]]), deployment_raw[[#This Row],[Column17]]/IF(OR($E$2="Deployment",deployment_raw[[#This Row],[Column5]]=0),1,deployment_raw[[#This Row],[Column5]]),"")</f>
        <v/>
      </c>
      <c r="G943" s="42" t="str">
        <f>IF(ISNUMBER(deployment_raw[[#This Row],[Column14]]), deployment_raw[[#This Row],[Column14]]/IF(OR($E$2="Deployment",deployment_raw[[#This Row],[Column5]]=0),1,deployment_raw[[#This Row],[Column5]]),"")</f>
        <v/>
      </c>
      <c r="H943" s="79" t="str">
        <f>IF(ISNUMBER(deployment_raw[[#This Row],[Column19]]), IF(I943&lt;&gt;0,(deployment_raw[[#This Row],[Column19]]/IF(OR($E$2="Deployment",deployment_raw[[#This Row],[Column5]]=0),1,deployment_raw[[#This Row],[Column5]]))/I943,0),"")</f>
        <v/>
      </c>
      <c r="I943" s="69" t="str">
        <f>IF(ISNUMBER(deployment_raw[[#This Row],[Column6]]), (deployment_raw[[#This Row],[Column6]] * IF($E$2="Deployment",deployment_raw[[#This Row],[Column5]],1)),"")</f>
        <v/>
      </c>
      <c r="J943" s="79" t="str">
        <f>IF(ISNUMBER(deployment_raw[[#This Row],[Column19]]), IF(K943&lt;&gt;0,(deployment_raw[[#This Row],[Column19]]/IF(OR($E$2="Deployment",deployment_raw[[#This Row],[Column5]]=0),1,deployment_raw[[#This Row],[Column5]]))/K943,0),"")</f>
        <v/>
      </c>
      <c r="K943" s="72" t="str">
        <f>IF(ISNUMBER(deployment_raw[[#This Row],[Column8]]), (deployment_raw[[#This Row],[Column8]]  * IF($E$2="Deployment",deployment_raw[[#This Row],[Column5]],1)),"")</f>
        <v/>
      </c>
      <c r="L94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4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43" s="81" t="str">
        <f>IF(ISNUMBER(deployment_raw[[#This Row],[Column20]]), IF(O943&lt;&gt;0,deployment_raw[[#This Row],[Column20]]/IF(OR($E$2="Deployment",deployment_raw[[#This Row],[Column5]]=0),1,deployment_raw[[#This Row],[Column5]])/1048576/O943,0),"")</f>
        <v/>
      </c>
      <c r="O943" s="74" t="str">
        <f>IF(ISNUMBER(deployment_raw[[#This Row],[Column7]]), (deployment_raw[[#This Row],[Column7]] * IF($E$2="Deployment",deployment_raw[[#This Row],[Column5]],1))/1048576,"")</f>
        <v/>
      </c>
      <c r="P943" s="81" t="str">
        <f>IF(ISNUMBER(deployment_raw[[#This Row],[Column20]]), IF(Q943&lt;&gt;0,deployment_raw[[#This Row],[Column20]]/IF(OR($E$2="Deployment",deployment_raw[[#This Row],[Column5]]=0),1,deployment_raw[[#This Row],[Column5]])/1048576/Q943,0),"")</f>
        <v/>
      </c>
      <c r="Q943" s="76" t="str">
        <f>IF(ISNUMBER(deployment_raw[[#This Row],[Column9]]), (deployment_raw[[#This Row],[Column9]] * IF($E$2="Deployment",deployment_raw[[#This Row],[Column5]],1))/1048576,"")</f>
        <v/>
      </c>
      <c r="R943" s="57" t="str">
        <f>IF(ISNUMBER(deployment_raw[[#This Row],[Column10]]), (deployment_raw[[#This Row],[Column10]] * IF($E$2="Deployment",deployment_raw[[#This Row],[Column5]],1)),"")</f>
        <v/>
      </c>
      <c r="S943" s="48" t="str">
        <f>IF(ISNUMBER(deployment_raw[[#This Row],[Column11]]), (deployment_raw[[#This Row],[Column11]] * IF($E$2="Deployment",deployment_raw[[#This Row],[Column5]],1))/1048576,"")</f>
        <v/>
      </c>
      <c r="T943" s="59" t="str">
        <f>IF(ISNUMBER(deployment_raw[[#This Row],[Column8]]),IF(OR(deployment_raw[[#This Row],[Column5]] &lt;&gt; 0,$E$2 &lt;&gt; "Deployment"), MAX(V943, ($T$2 * IF($E$2="Deployment",deployment_raw[[#This Row],[Column5]],1))), 0),"")</f>
        <v/>
      </c>
      <c r="U943" s="50" t="str">
        <f>IF(ISNUMBER(deployment_raw[[#This Row],[Column9]]),IF(OR(deployment_raw[[#This Row],[Column5]] &lt;&gt; 0,$E$2&lt;&gt;"Deployment"), MAX(W943, ($U$2 * IF($E$2="Deployment",deployment_raw[[#This Row],[Column5]],1))), 0),"")</f>
        <v/>
      </c>
      <c r="V943" s="15" t="str">
        <f>IF(ISNUMBER(deployment_raw[[#This Row],[Column12]]), (deployment_raw[[#This Row],[Column12]] * IF($E$2="Deployment",deployment_raw[[#This Row],[Column5]],1)*(1+$V$2)),"")</f>
        <v/>
      </c>
      <c r="W943" s="14" t="str">
        <f>IF(ISNUMBER(deployment_raw[[#This Row],[Column13]]), (deployment_raw[[#This Row],[Column13]] * IF($E$2="Deployment",deployment_raw[[#This Row],[Column5]],1)*(1+$W$2))/1048576,"")</f>
        <v/>
      </c>
    </row>
    <row r="944" spans="1:23" ht="15" customHeight="1" x14ac:dyDescent="0.25">
      <c r="A944" s="5" t="str">
        <f>IF(ISNONTEXT(deployment_raw[[#This Row],[Column1]]), "", deployment_raw[[#This Row],[Column1]])</f>
        <v/>
      </c>
      <c r="B944" s="6" t="str">
        <f>IF(ISNONTEXT(deployment_raw[[#This Row],[Column2]]), "", deployment_raw[[#This Row],[Column2]])</f>
        <v/>
      </c>
      <c r="C944" s="6" t="str">
        <f>IF(ISNONTEXT(deployment_raw[[#This Row],[Column3]]), "", deployment_raw[[#This Row],[Column3]])</f>
        <v/>
      </c>
      <c r="D944" s="6" t="str">
        <f>IF(ISNONTEXT(deployment_raw[[#This Row],[Column4]]), "", deployment_raw[[#This Row],[Column4]])</f>
        <v/>
      </c>
      <c r="E944" s="7" t="str">
        <f>IF(ISNUMBER(deployment_raw[[#This Row],[Column5]]), deployment_raw[[#This Row],[Column5]],"")</f>
        <v/>
      </c>
      <c r="F944" s="32" t="str">
        <f>IF(ISNUMBER(deployment_raw[[#This Row],[Column17]]), deployment_raw[[#This Row],[Column17]]/IF(OR($E$2="Deployment",deployment_raw[[#This Row],[Column5]]=0),1,deployment_raw[[#This Row],[Column5]]),"")</f>
        <v/>
      </c>
      <c r="G944" s="42" t="str">
        <f>IF(ISNUMBER(deployment_raw[[#This Row],[Column14]]), deployment_raw[[#This Row],[Column14]]/IF(OR($E$2="Deployment",deployment_raw[[#This Row],[Column5]]=0),1,deployment_raw[[#This Row],[Column5]]),"")</f>
        <v/>
      </c>
      <c r="H944" s="79" t="str">
        <f>IF(ISNUMBER(deployment_raw[[#This Row],[Column19]]), IF(I944&lt;&gt;0,(deployment_raw[[#This Row],[Column19]]/IF(OR($E$2="Deployment",deployment_raw[[#This Row],[Column5]]=0),1,deployment_raw[[#This Row],[Column5]]))/I944,0),"")</f>
        <v/>
      </c>
      <c r="I944" s="69" t="str">
        <f>IF(ISNUMBER(deployment_raw[[#This Row],[Column6]]), (deployment_raw[[#This Row],[Column6]] * IF($E$2="Deployment",deployment_raw[[#This Row],[Column5]],1)),"")</f>
        <v/>
      </c>
      <c r="J944" s="79" t="str">
        <f>IF(ISNUMBER(deployment_raw[[#This Row],[Column19]]), IF(K944&lt;&gt;0,(deployment_raw[[#This Row],[Column19]]/IF(OR($E$2="Deployment",deployment_raw[[#This Row],[Column5]]=0),1,deployment_raw[[#This Row],[Column5]]))/K944,0),"")</f>
        <v/>
      </c>
      <c r="K944" s="72" t="str">
        <f>IF(ISNUMBER(deployment_raw[[#This Row],[Column8]]), (deployment_raw[[#This Row],[Column8]]  * IF($E$2="Deployment",deployment_raw[[#This Row],[Column5]],1)),"")</f>
        <v/>
      </c>
      <c r="L94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4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44" s="81" t="str">
        <f>IF(ISNUMBER(deployment_raw[[#This Row],[Column20]]), IF(O944&lt;&gt;0,deployment_raw[[#This Row],[Column20]]/IF(OR($E$2="Deployment",deployment_raw[[#This Row],[Column5]]=0),1,deployment_raw[[#This Row],[Column5]])/1048576/O944,0),"")</f>
        <v/>
      </c>
      <c r="O944" s="74" t="str">
        <f>IF(ISNUMBER(deployment_raw[[#This Row],[Column7]]), (deployment_raw[[#This Row],[Column7]] * IF($E$2="Deployment",deployment_raw[[#This Row],[Column5]],1))/1048576,"")</f>
        <v/>
      </c>
      <c r="P944" s="81" t="str">
        <f>IF(ISNUMBER(deployment_raw[[#This Row],[Column20]]), IF(Q944&lt;&gt;0,deployment_raw[[#This Row],[Column20]]/IF(OR($E$2="Deployment",deployment_raw[[#This Row],[Column5]]=0),1,deployment_raw[[#This Row],[Column5]])/1048576/Q944,0),"")</f>
        <v/>
      </c>
      <c r="Q944" s="76" t="str">
        <f>IF(ISNUMBER(deployment_raw[[#This Row],[Column9]]), (deployment_raw[[#This Row],[Column9]] * IF($E$2="Deployment",deployment_raw[[#This Row],[Column5]],1))/1048576,"")</f>
        <v/>
      </c>
      <c r="R944" s="57" t="str">
        <f>IF(ISNUMBER(deployment_raw[[#This Row],[Column10]]), (deployment_raw[[#This Row],[Column10]] * IF($E$2="Deployment",deployment_raw[[#This Row],[Column5]],1)),"")</f>
        <v/>
      </c>
      <c r="S944" s="48" t="str">
        <f>IF(ISNUMBER(deployment_raw[[#This Row],[Column11]]), (deployment_raw[[#This Row],[Column11]] * IF($E$2="Deployment",deployment_raw[[#This Row],[Column5]],1))/1048576,"")</f>
        <v/>
      </c>
      <c r="T944" s="59" t="str">
        <f>IF(ISNUMBER(deployment_raw[[#This Row],[Column8]]),IF(OR(deployment_raw[[#This Row],[Column5]] &lt;&gt; 0,$E$2 &lt;&gt; "Deployment"), MAX(V944, ($T$2 * IF($E$2="Deployment",deployment_raw[[#This Row],[Column5]],1))), 0),"")</f>
        <v/>
      </c>
      <c r="U944" s="50" t="str">
        <f>IF(ISNUMBER(deployment_raw[[#This Row],[Column9]]),IF(OR(deployment_raw[[#This Row],[Column5]] &lt;&gt; 0,$E$2&lt;&gt;"Deployment"), MAX(W944, ($U$2 * IF($E$2="Deployment",deployment_raw[[#This Row],[Column5]],1))), 0),"")</f>
        <v/>
      </c>
      <c r="V944" s="15" t="str">
        <f>IF(ISNUMBER(deployment_raw[[#This Row],[Column12]]), (deployment_raw[[#This Row],[Column12]] * IF($E$2="Deployment",deployment_raw[[#This Row],[Column5]],1)*(1+$V$2)),"")</f>
        <v/>
      </c>
      <c r="W944" s="14" t="str">
        <f>IF(ISNUMBER(deployment_raw[[#This Row],[Column13]]), (deployment_raw[[#This Row],[Column13]] * IF($E$2="Deployment",deployment_raw[[#This Row],[Column5]],1)*(1+$W$2))/1048576,"")</f>
        <v/>
      </c>
    </row>
    <row r="945" spans="1:23" ht="15" customHeight="1" x14ac:dyDescent="0.25">
      <c r="A945" s="5" t="str">
        <f>IF(ISNONTEXT(deployment_raw[[#This Row],[Column1]]), "", deployment_raw[[#This Row],[Column1]])</f>
        <v/>
      </c>
      <c r="B945" s="6" t="str">
        <f>IF(ISNONTEXT(deployment_raw[[#This Row],[Column2]]), "", deployment_raw[[#This Row],[Column2]])</f>
        <v/>
      </c>
      <c r="C945" s="6" t="str">
        <f>IF(ISNONTEXT(deployment_raw[[#This Row],[Column3]]), "", deployment_raw[[#This Row],[Column3]])</f>
        <v/>
      </c>
      <c r="D945" s="6" t="str">
        <f>IF(ISNONTEXT(deployment_raw[[#This Row],[Column4]]), "", deployment_raw[[#This Row],[Column4]])</f>
        <v/>
      </c>
      <c r="E945" s="7" t="str">
        <f>IF(ISNUMBER(deployment_raw[[#This Row],[Column5]]), deployment_raw[[#This Row],[Column5]],"")</f>
        <v/>
      </c>
      <c r="F945" s="32" t="str">
        <f>IF(ISNUMBER(deployment_raw[[#This Row],[Column17]]), deployment_raw[[#This Row],[Column17]]/IF(OR($E$2="Deployment",deployment_raw[[#This Row],[Column5]]=0),1,deployment_raw[[#This Row],[Column5]]),"")</f>
        <v/>
      </c>
      <c r="G945" s="42" t="str">
        <f>IF(ISNUMBER(deployment_raw[[#This Row],[Column14]]), deployment_raw[[#This Row],[Column14]]/IF(OR($E$2="Deployment",deployment_raw[[#This Row],[Column5]]=0),1,deployment_raw[[#This Row],[Column5]]),"")</f>
        <v/>
      </c>
      <c r="H945" s="79" t="str">
        <f>IF(ISNUMBER(deployment_raw[[#This Row],[Column19]]), IF(I945&lt;&gt;0,(deployment_raw[[#This Row],[Column19]]/IF(OR($E$2="Deployment",deployment_raw[[#This Row],[Column5]]=0),1,deployment_raw[[#This Row],[Column5]]))/I945,0),"")</f>
        <v/>
      </c>
      <c r="I945" s="69" t="str">
        <f>IF(ISNUMBER(deployment_raw[[#This Row],[Column6]]), (deployment_raw[[#This Row],[Column6]] * IF($E$2="Deployment",deployment_raw[[#This Row],[Column5]],1)),"")</f>
        <v/>
      </c>
      <c r="J945" s="79" t="str">
        <f>IF(ISNUMBER(deployment_raw[[#This Row],[Column19]]), IF(K945&lt;&gt;0,(deployment_raw[[#This Row],[Column19]]/IF(OR($E$2="Deployment",deployment_raw[[#This Row],[Column5]]=0),1,deployment_raw[[#This Row],[Column5]]))/K945,0),"")</f>
        <v/>
      </c>
      <c r="K945" s="72" t="str">
        <f>IF(ISNUMBER(deployment_raw[[#This Row],[Column8]]), (deployment_raw[[#This Row],[Column8]]  * IF($E$2="Deployment",deployment_raw[[#This Row],[Column5]],1)),"")</f>
        <v/>
      </c>
      <c r="L94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4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45" s="81" t="str">
        <f>IF(ISNUMBER(deployment_raw[[#This Row],[Column20]]), IF(O945&lt;&gt;0,deployment_raw[[#This Row],[Column20]]/IF(OR($E$2="Deployment",deployment_raw[[#This Row],[Column5]]=0),1,deployment_raw[[#This Row],[Column5]])/1048576/O945,0),"")</f>
        <v/>
      </c>
      <c r="O945" s="74" t="str">
        <f>IF(ISNUMBER(deployment_raw[[#This Row],[Column7]]), (deployment_raw[[#This Row],[Column7]] * IF($E$2="Deployment",deployment_raw[[#This Row],[Column5]],1))/1048576,"")</f>
        <v/>
      </c>
      <c r="P945" s="81" t="str">
        <f>IF(ISNUMBER(deployment_raw[[#This Row],[Column20]]), IF(Q945&lt;&gt;0,deployment_raw[[#This Row],[Column20]]/IF(OR($E$2="Deployment",deployment_raw[[#This Row],[Column5]]=0),1,deployment_raw[[#This Row],[Column5]])/1048576/Q945,0),"")</f>
        <v/>
      </c>
      <c r="Q945" s="76" t="str">
        <f>IF(ISNUMBER(deployment_raw[[#This Row],[Column9]]), (deployment_raw[[#This Row],[Column9]] * IF($E$2="Deployment",deployment_raw[[#This Row],[Column5]],1))/1048576,"")</f>
        <v/>
      </c>
      <c r="R945" s="57" t="str">
        <f>IF(ISNUMBER(deployment_raw[[#This Row],[Column10]]), (deployment_raw[[#This Row],[Column10]] * IF($E$2="Deployment",deployment_raw[[#This Row],[Column5]],1)),"")</f>
        <v/>
      </c>
      <c r="S945" s="48" t="str">
        <f>IF(ISNUMBER(deployment_raw[[#This Row],[Column11]]), (deployment_raw[[#This Row],[Column11]] * IF($E$2="Deployment",deployment_raw[[#This Row],[Column5]],1))/1048576,"")</f>
        <v/>
      </c>
      <c r="T945" s="59" t="str">
        <f>IF(ISNUMBER(deployment_raw[[#This Row],[Column8]]),IF(OR(deployment_raw[[#This Row],[Column5]] &lt;&gt; 0,$E$2 &lt;&gt; "Deployment"), MAX(V945, ($T$2 * IF($E$2="Deployment",deployment_raw[[#This Row],[Column5]],1))), 0),"")</f>
        <v/>
      </c>
      <c r="U945" s="50" t="str">
        <f>IF(ISNUMBER(deployment_raw[[#This Row],[Column9]]),IF(OR(deployment_raw[[#This Row],[Column5]] &lt;&gt; 0,$E$2&lt;&gt;"Deployment"), MAX(W945, ($U$2 * IF($E$2="Deployment",deployment_raw[[#This Row],[Column5]],1))), 0),"")</f>
        <v/>
      </c>
      <c r="V945" s="15" t="str">
        <f>IF(ISNUMBER(deployment_raw[[#This Row],[Column12]]), (deployment_raw[[#This Row],[Column12]] * IF($E$2="Deployment",deployment_raw[[#This Row],[Column5]],1)*(1+$V$2)),"")</f>
        <v/>
      </c>
      <c r="W945" s="14" t="str">
        <f>IF(ISNUMBER(deployment_raw[[#This Row],[Column13]]), (deployment_raw[[#This Row],[Column13]] * IF($E$2="Deployment",deployment_raw[[#This Row],[Column5]],1)*(1+$W$2))/1048576,"")</f>
        <v/>
      </c>
    </row>
    <row r="946" spans="1:23" ht="15" customHeight="1" x14ac:dyDescent="0.25">
      <c r="A946" s="5" t="str">
        <f>IF(ISNONTEXT(deployment_raw[[#This Row],[Column1]]), "", deployment_raw[[#This Row],[Column1]])</f>
        <v/>
      </c>
      <c r="B946" s="6" t="str">
        <f>IF(ISNONTEXT(deployment_raw[[#This Row],[Column2]]), "", deployment_raw[[#This Row],[Column2]])</f>
        <v/>
      </c>
      <c r="C946" s="6" t="str">
        <f>IF(ISNONTEXT(deployment_raw[[#This Row],[Column3]]), "", deployment_raw[[#This Row],[Column3]])</f>
        <v/>
      </c>
      <c r="D946" s="6" t="str">
        <f>IF(ISNONTEXT(deployment_raw[[#This Row],[Column4]]), "", deployment_raw[[#This Row],[Column4]])</f>
        <v/>
      </c>
      <c r="E946" s="7" t="str">
        <f>IF(ISNUMBER(deployment_raw[[#This Row],[Column5]]), deployment_raw[[#This Row],[Column5]],"")</f>
        <v/>
      </c>
      <c r="F946" s="32" t="str">
        <f>IF(ISNUMBER(deployment_raw[[#This Row],[Column17]]), deployment_raw[[#This Row],[Column17]]/IF(OR($E$2="Deployment",deployment_raw[[#This Row],[Column5]]=0),1,deployment_raw[[#This Row],[Column5]]),"")</f>
        <v/>
      </c>
      <c r="G946" s="42" t="str">
        <f>IF(ISNUMBER(deployment_raw[[#This Row],[Column14]]), deployment_raw[[#This Row],[Column14]]/IF(OR($E$2="Deployment",deployment_raw[[#This Row],[Column5]]=0),1,deployment_raw[[#This Row],[Column5]]),"")</f>
        <v/>
      </c>
      <c r="H946" s="79" t="str">
        <f>IF(ISNUMBER(deployment_raw[[#This Row],[Column19]]), IF(I946&lt;&gt;0,(deployment_raw[[#This Row],[Column19]]/IF(OR($E$2="Deployment",deployment_raw[[#This Row],[Column5]]=0),1,deployment_raw[[#This Row],[Column5]]))/I946,0),"")</f>
        <v/>
      </c>
      <c r="I946" s="69" t="str">
        <f>IF(ISNUMBER(deployment_raw[[#This Row],[Column6]]), (deployment_raw[[#This Row],[Column6]] * IF($E$2="Deployment",deployment_raw[[#This Row],[Column5]],1)),"")</f>
        <v/>
      </c>
      <c r="J946" s="79" t="str">
        <f>IF(ISNUMBER(deployment_raw[[#This Row],[Column19]]), IF(K946&lt;&gt;0,(deployment_raw[[#This Row],[Column19]]/IF(OR($E$2="Deployment",deployment_raw[[#This Row],[Column5]]=0),1,deployment_raw[[#This Row],[Column5]]))/K946,0),"")</f>
        <v/>
      </c>
      <c r="K946" s="72" t="str">
        <f>IF(ISNUMBER(deployment_raw[[#This Row],[Column8]]), (deployment_raw[[#This Row],[Column8]]  * IF($E$2="Deployment",deployment_raw[[#This Row],[Column5]],1)),"")</f>
        <v/>
      </c>
      <c r="L94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4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46" s="81" t="str">
        <f>IF(ISNUMBER(deployment_raw[[#This Row],[Column20]]), IF(O946&lt;&gt;0,deployment_raw[[#This Row],[Column20]]/IF(OR($E$2="Deployment",deployment_raw[[#This Row],[Column5]]=0),1,deployment_raw[[#This Row],[Column5]])/1048576/O946,0),"")</f>
        <v/>
      </c>
      <c r="O946" s="74" t="str">
        <f>IF(ISNUMBER(deployment_raw[[#This Row],[Column7]]), (deployment_raw[[#This Row],[Column7]] * IF($E$2="Deployment",deployment_raw[[#This Row],[Column5]],1))/1048576,"")</f>
        <v/>
      </c>
      <c r="P946" s="81" t="str">
        <f>IF(ISNUMBER(deployment_raw[[#This Row],[Column20]]), IF(Q946&lt;&gt;0,deployment_raw[[#This Row],[Column20]]/IF(OR($E$2="Deployment",deployment_raw[[#This Row],[Column5]]=0),1,deployment_raw[[#This Row],[Column5]])/1048576/Q946,0),"")</f>
        <v/>
      </c>
      <c r="Q946" s="76" t="str">
        <f>IF(ISNUMBER(deployment_raw[[#This Row],[Column9]]), (deployment_raw[[#This Row],[Column9]] * IF($E$2="Deployment",deployment_raw[[#This Row],[Column5]],1))/1048576,"")</f>
        <v/>
      </c>
      <c r="R946" s="57" t="str">
        <f>IF(ISNUMBER(deployment_raw[[#This Row],[Column10]]), (deployment_raw[[#This Row],[Column10]] * IF($E$2="Deployment",deployment_raw[[#This Row],[Column5]],1)),"")</f>
        <v/>
      </c>
      <c r="S946" s="48" t="str">
        <f>IF(ISNUMBER(deployment_raw[[#This Row],[Column11]]), (deployment_raw[[#This Row],[Column11]] * IF($E$2="Deployment",deployment_raw[[#This Row],[Column5]],1))/1048576,"")</f>
        <v/>
      </c>
      <c r="T946" s="59" t="str">
        <f>IF(ISNUMBER(deployment_raw[[#This Row],[Column8]]),IF(OR(deployment_raw[[#This Row],[Column5]] &lt;&gt; 0,$E$2 &lt;&gt; "Deployment"), MAX(V946, ($T$2 * IF($E$2="Deployment",deployment_raw[[#This Row],[Column5]],1))), 0),"")</f>
        <v/>
      </c>
      <c r="U946" s="50" t="str">
        <f>IF(ISNUMBER(deployment_raw[[#This Row],[Column9]]),IF(OR(deployment_raw[[#This Row],[Column5]] &lt;&gt; 0,$E$2&lt;&gt;"Deployment"), MAX(W946, ($U$2 * IF($E$2="Deployment",deployment_raw[[#This Row],[Column5]],1))), 0),"")</f>
        <v/>
      </c>
      <c r="V946" s="15" t="str">
        <f>IF(ISNUMBER(deployment_raw[[#This Row],[Column12]]), (deployment_raw[[#This Row],[Column12]] * IF($E$2="Deployment",deployment_raw[[#This Row],[Column5]],1)*(1+$V$2)),"")</f>
        <v/>
      </c>
      <c r="W946" s="14" t="str">
        <f>IF(ISNUMBER(deployment_raw[[#This Row],[Column13]]), (deployment_raw[[#This Row],[Column13]] * IF($E$2="Deployment",deployment_raw[[#This Row],[Column5]],1)*(1+$W$2))/1048576,"")</f>
        <v/>
      </c>
    </row>
    <row r="947" spans="1:23" ht="15" customHeight="1" x14ac:dyDescent="0.25">
      <c r="A947" s="5" t="str">
        <f>IF(ISNONTEXT(deployment_raw[[#This Row],[Column1]]), "", deployment_raw[[#This Row],[Column1]])</f>
        <v/>
      </c>
      <c r="B947" s="6" t="str">
        <f>IF(ISNONTEXT(deployment_raw[[#This Row],[Column2]]), "", deployment_raw[[#This Row],[Column2]])</f>
        <v/>
      </c>
      <c r="C947" s="6" t="str">
        <f>IF(ISNONTEXT(deployment_raw[[#This Row],[Column3]]), "", deployment_raw[[#This Row],[Column3]])</f>
        <v/>
      </c>
      <c r="D947" s="6" t="str">
        <f>IF(ISNONTEXT(deployment_raw[[#This Row],[Column4]]), "", deployment_raw[[#This Row],[Column4]])</f>
        <v/>
      </c>
      <c r="E947" s="7" t="str">
        <f>IF(ISNUMBER(deployment_raw[[#This Row],[Column5]]), deployment_raw[[#This Row],[Column5]],"")</f>
        <v/>
      </c>
      <c r="F947" s="32" t="str">
        <f>IF(ISNUMBER(deployment_raw[[#This Row],[Column17]]), deployment_raw[[#This Row],[Column17]]/IF(OR($E$2="Deployment",deployment_raw[[#This Row],[Column5]]=0),1,deployment_raw[[#This Row],[Column5]]),"")</f>
        <v/>
      </c>
      <c r="G947" s="42" t="str">
        <f>IF(ISNUMBER(deployment_raw[[#This Row],[Column14]]), deployment_raw[[#This Row],[Column14]]/IF(OR($E$2="Deployment",deployment_raw[[#This Row],[Column5]]=0),1,deployment_raw[[#This Row],[Column5]]),"")</f>
        <v/>
      </c>
      <c r="H947" s="79" t="str">
        <f>IF(ISNUMBER(deployment_raw[[#This Row],[Column19]]), IF(I947&lt;&gt;0,(deployment_raw[[#This Row],[Column19]]/IF(OR($E$2="Deployment",deployment_raw[[#This Row],[Column5]]=0),1,deployment_raw[[#This Row],[Column5]]))/I947,0),"")</f>
        <v/>
      </c>
      <c r="I947" s="69" t="str">
        <f>IF(ISNUMBER(deployment_raw[[#This Row],[Column6]]), (deployment_raw[[#This Row],[Column6]] * IF($E$2="Deployment",deployment_raw[[#This Row],[Column5]],1)),"")</f>
        <v/>
      </c>
      <c r="J947" s="79" t="str">
        <f>IF(ISNUMBER(deployment_raw[[#This Row],[Column19]]), IF(K947&lt;&gt;0,(deployment_raw[[#This Row],[Column19]]/IF(OR($E$2="Deployment",deployment_raw[[#This Row],[Column5]]=0),1,deployment_raw[[#This Row],[Column5]]))/K947,0),"")</f>
        <v/>
      </c>
      <c r="K947" s="72" t="str">
        <f>IF(ISNUMBER(deployment_raw[[#This Row],[Column8]]), (deployment_raw[[#This Row],[Column8]]  * IF($E$2="Deployment",deployment_raw[[#This Row],[Column5]],1)),"")</f>
        <v/>
      </c>
      <c r="L94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4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47" s="81" t="str">
        <f>IF(ISNUMBER(deployment_raw[[#This Row],[Column20]]), IF(O947&lt;&gt;0,deployment_raw[[#This Row],[Column20]]/IF(OR($E$2="Deployment",deployment_raw[[#This Row],[Column5]]=0),1,deployment_raw[[#This Row],[Column5]])/1048576/O947,0),"")</f>
        <v/>
      </c>
      <c r="O947" s="74" t="str">
        <f>IF(ISNUMBER(deployment_raw[[#This Row],[Column7]]), (deployment_raw[[#This Row],[Column7]] * IF($E$2="Deployment",deployment_raw[[#This Row],[Column5]],1))/1048576,"")</f>
        <v/>
      </c>
      <c r="P947" s="81" t="str">
        <f>IF(ISNUMBER(deployment_raw[[#This Row],[Column20]]), IF(Q947&lt;&gt;0,deployment_raw[[#This Row],[Column20]]/IF(OR($E$2="Deployment",deployment_raw[[#This Row],[Column5]]=0),1,deployment_raw[[#This Row],[Column5]])/1048576/Q947,0),"")</f>
        <v/>
      </c>
      <c r="Q947" s="76" t="str">
        <f>IF(ISNUMBER(deployment_raw[[#This Row],[Column9]]), (deployment_raw[[#This Row],[Column9]] * IF($E$2="Deployment",deployment_raw[[#This Row],[Column5]],1))/1048576,"")</f>
        <v/>
      </c>
      <c r="R947" s="57" t="str">
        <f>IF(ISNUMBER(deployment_raw[[#This Row],[Column10]]), (deployment_raw[[#This Row],[Column10]] * IF($E$2="Deployment",deployment_raw[[#This Row],[Column5]],1)),"")</f>
        <v/>
      </c>
      <c r="S947" s="48" t="str">
        <f>IF(ISNUMBER(deployment_raw[[#This Row],[Column11]]), (deployment_raw[[#This Row],[Column11]] * IF($E$2="Deployment",deployment_raw[[#This Row],[Column5]],1))/1048576,"")</f>
        <v/>
      </c>
      <c r="T947" s="59" t="str">
        <f>IF(ISNUMBER(deployment_raw[[#This Row],[Column8]]),IF(OR(deployment_raw[[#This Row],[Column5]] &lt;&gt; 0,$E$2 &lt;&gt; "Deployment"), MAX(V947, ($T$2 * IF($E$2="Deployment",deployment_raw[[#This Row],[Column5]],1))), 0),"")</f>
        <v/>
      </c>
      <c r="U947" s="50" t="str">
        <f>IF(ISNUMBER(deployment_raw[[#This Row],[Column9]]),IF(OR(deployment_raw[[#This Row],[Column5]] &lt;&gt; 0,$E$2&lt;&gt;"Deployment"), MAX(W947, ($U$2 * IF($E$2="Deployment",deployment_raw[[#This Row],[Column5]],1))), 0),"")</f>
        <v/>
      </c>
      <c r="V947" s="15" t="str">
        <f>IF(ISNUMBER(deployment_raw[[#This Row],[Column12]]), (deployment_raw[[#This Row],[Column12]] * IF($E$2="Deployment",deployment_raw[[#This Row],[Column5]],1)*(1+$V$2)),"")</f>
        <v/>
      </c>
      <c r="W947" s="14" t="str">
        <f>IF(ISNUMBER(deployment_raw[[#This Row],[Column13]]), (deployment_raw[[#This Row],[Column13]] * IF($E$2="Deployment",deployment_raw[[#This Row],[Column5]],1)*(1+$W$2))/1048576,"")</f>
        <v/>
      </c>
    </row>
    <row r="948" spans="1:23" ht="15" customHeight="1" x14ac:dyDescent="0.25">
      <c r="A948" s="5" t="str">
        <f>IF(ISNONTEXT(deployment_raw[[#This Row],[Column1]]), "", deployment_raw[[#This Row],[Column1]])</f>
        <v/>
      </c>
      <c r="B948" s="6" t="str">
        <f>IF(ISNONTEXT(deployment_raw[[#This Row],[Column2]]), "", deployment_raw[[#This Row],[Column2]])</f>
        <v/>
      </c>
      <c r="C948" s="6" t="str">
        <f>IF(ISNONTEXT(deployment_raw[[#This Row],[Column3]]), "", deployment_raw[[#This Row],[Column3]])</f>
        <v/>
      </c>
      <c r="D948" s="6" t="str">
        <f>IF(ISNONTEXT(deployment_raw[[#This Row],[Column4]]), "", deployment_raw[[#This Row],[Column4]])</f>
        <v/>
      </c>
      <c r="E948" s="7" t="str">
        <f>IF(ISNUMBER(deployment_raw[[#This Row],[Column5]]), deployment_raw[[#This Row],[Column5]],"")</f>
        <v/>
      </c>
      <c r="F948" s="32" t="str">
        <f>IF(ISNUMBER(deployment_raw[[#This Row],[Column17]]), deployment_raw[[#This Row],[Column17]]/IF(OR($E$2="Deployment",deployment_raw[[#This Row],[Column5]]=0),1,deployment_raw[[#This Row],[Column5]]),"")</f>
        <v/>
      </c>
      <c r="G948" s="42" t="str">
        <f>IF(ISNUMBER(deployment_raw[[#This Row],[Column14]]), deployment_raw[[#This Row],[Column14]]/IF(OR($E$2="Deployment",deployment_raw[[#This Row],[Column5]]=0),1,deployment_raw[[#This Row],[Column5]]),"")</f>
        <v/>
      </c>
      <c r="H948" s="79" t="str">
        <f>IF(ISNUMBER(deployment_raw[[#This Row],[Column19]]), IF(I948&lt;&gt;0,(deployment_raw[[#This Row],[Column19]]/IF(OR($E$2="Deployment",deployment_raw[[#This Row],[Column5]]=0),1,deployment_raw[[#This Row],[Column5]]))/I948,0),"")</f>
        <v/>
      </c>
      <c r="I948" s="69" t="str">
        <f>IF(ISNUMBER(deployment_raw[[#This Row],[Column6]]), (deployment_raw[[#This Row],[Column6]] * IF($E$2="Deployment",deployment_raw[[#This Row],[Column5]],1)),"")</f>
        <v/>
      </c>
      <c r="J948" s="79" t="str">
        <f>IF(ISNUMBER(deployment_raw[[#This Row],[Column19]]), IF(K948&lt;&gt;0,(deployment_raw[[#This Row],[Column19]]/IF(OR($E$2="Deployment",deployment_raw[[#This Row],[Column5]]=0),1,deployment_raw[[#This Row],[Column5]]))/K948,0),"")</f>
        <v/>
      </c>
      <c r="K948" s="72" t="str">
        <f>IF(ISNUMBER(deployment_raw[[#This Row],[Column8]]), (deployment_raw[[#This Row],[Column8]]  * IF($E$2="Deployment",deployment_raw[[#This Row],[Column5]],1)),"")</f>
        <v/>
      </c>
      <c r="L94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4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48" s="81" t="str">
        <f>IF(ISNUMBER(deployment_raw[[#This Row],[Column20]]), IF(O948&lt;&gt;0,deployment_raw[[#This Row],[Column20]]/IF(OR($E$2="Deployment",deployment_raw[[#This Row],[Column5]]=0),1,deployment_raw[[#This Row],[Column5]])/1048576/O948,0),"")</f>
        <v/>
      </c>
      <c r="O948" s="74" t="str">
        <f>IF(ISNUMBER(deployment_raw[[#This Row],[Column7]]), (deployment_raw[[#This Row],[Column7]] * IF($E$2="Deployment",deployment_raw[[#This Row],[Column5]],1))/1048576,"")</f>
        <v/>
      </c>
      <c r="P948" s="81" t="str">
        <f>IF(ISNUMBER(deployment_raw[[#This Row],[Column20]]), IF(Q948&lt;&gt;0,deployment_raw[[#This Row],[Column20]]/IF(OR($E$2="Deployment",deployment_raw[[#This Row],[Column5]]=0),1,deployment_raw[[#This Row],[Column5]])/1048576/Q948,0),"")</f>
        <v/>
      </c>
      <c r="Q948" s="76" t="str">
        <f>IF(ISNUMBER(deployment_raw[[#This Row],[Column9]]), (deployment_raw[[#This Row],[Column9]] * IF($E$2="Deployment",deployment_raw[[#This Row],[Column5]],1))/1048576,"")</f>
        <v/>
      </c>
      <c r="R948" s="57" t="str">
        <f>IF(ISNUMBER(deployment_raw[[#This Row],[Column10]]), (deployment_raw[[#This Row],[Column10]] * IF($E$2="Deployment",deployment_raw[[#This Row],[Column5]],1)),"")</f>
        <v/>
      </c>
      <c r="S948" s="48" t="str">
        <f>IF(ISNUMBER(deployment_raw[[#This Row],[Column11]]), (deployment_raw[[#This Row],[Column11]] * IF($E$2="Deployment",deployment_raw[[#This Row],[Column5]],1))/1048576,"")</f>
        <v/>
      </c>
      <c r="T948" s="59" t="str">
        <f>IF(ISNUMBER(deployment_raw[[#This Row],[Column8]]),IF(OR(deployment_raw[[#This Row],[Column5]] &lt;&gt; 0,$E$2 &lt;&gt; "Deployment"), MAX(V948, ($T$2 * IF($E$2="Deployment",deployment_raw[[#This Row],[Column5]],1))), 0),"")</f>
        <v/>
      </c>
      <c r="U948" s="50" t="str">
        <f>IF(ISNUMBER(deployment_raw[[#This Row],[Column9]]),IF(OR(deployment_raw[[#This Row],[Column5]] &lt;&gt; 0,$E$2&lt;&gt;"Deployment"), MAX(W948, ($U$2 * IF($E$2="Deployment",deployment_raw[[#This Row],[Column5]],1))), 0),"")</f>
        <v/>
      </c>
      <c r="V948" s="15" t="str">
        <f>IF(ISNUMBER(deployment_raw[[#This Row],[Column12]]), (deployment_raw[[#This Row],[Column12]] * IF($E$2="Deployment",deployment_raw[[#This Row],[Column5]],1)*(1+$V$2)),"")</f>
        <v/>
      </c>
      <c r="W948" s="14" t="str">
        <f>IF(ISNUMBER(deployment_raw[[#This Row],[Column13]]), (deployment_raw[[#This Row],[Column13]] * IF($E$2="Deployment",deployment_raw[[#This Row],[Column5]],1)*(1+$W$2))/1048576,"")</f>
        <v/>
      </c>
    </row>
    <row r="949" spans="1:23" ht="15" customHeight="1" x14ac:dyDescent="0.25">
      <c r="A949" s="5" t="str">
        <f>IF(ISNONTEXT(deployment_raw[[#This Row],[Column1]]), "", deployment_raw[[#This Row],[Column1]])</f>
        <v/>
      </c>
      <c r="B949" s="6" t="str">
        <f>IF(ISNONTEXT(deployment_raw[[#This Row],[Column2]]), "", deployment_raw[[#This Row],[Column2]])</f>
        <v/>
      </c>
      <c r="C949" s="6" t="str">
        <f>IF(ISNONTEXT(deployment_raw[[#This Row],[Column3]]), "", deployment_raw[[#This Row],[Column3]])</f>
        <v/>
      </c>
      <c r="D949" s="6" t="str">
        <f>IF(ISNONTEXT(deployment_raw[[#This Row],[Column4]]), "", deployment_raw[[#This Row],[Column4]])</f>
        <v/>
      </c>
      <c r="E949" s="7" t="str">
        <f>IF(ISNUMBER(deployment_raw[[#This Row],[Column5]]), deployment_raw[[#This Row],[Column5]],"")</f>
        <v/>
      </c>
      <c r="F949" s="32" t="str">
        <f>IF(ISNUMBER(deployment_raw[[#This Row],[Column17]]), deployment_raw[[#This Row],[Column17]]/IF(OR($E$2="Deployment",deployment_raw[[#This Row],[Column5]]=0),1,deployment_raw[[#This Row],[Column5]]),"")</f>
        <v/>
      </c>
      <c r="G949" s="42" t="str">
        <f>IF(ISNUMBER(deployment_raw[[#This Row],[Column14]]), deployment_raw[[#This Row],[Column14]]/IF(OR($E$2="Deployment",deployment_raw[[#This Row],[Column5]]=0),1,deployment_raw[[#This Row],[Column5]]),"")</f>
        <v/>
      </c>
      <c r="H949" s="79" t="str">
        <f>IF(ISNUMBER(deployment_raw[[#This Row],[Column19]]), IF(I949&lt;&gt;0,(deployment_raw[[#This Row],[Column19]]/IF(OR($E$2="Deployment",deployment_raw[[#This Row],[Column5]]=0),1,deployment_raw[[#This Row],[Column5]]))/I949,0),"")</f>
        <v/>
      </c>
      <c r="I949" s="69" t="str">
        <f>IF(ISNUMBER(deployment_raw[[#This Row],[Column6]]), (deployment_raw[[#This Row],[Column6]] * IF($E$2="Deployment",deployment_raw[[#This Row],[Column5]],1)),"")</f>
        <v/>
      </c>
      <c r="J949" s="79" t="str">
        <f>IF(ISNUMBER(deployment_raw[[#This Row],[Column19]]), IF(K949&lt;&gt;0,(deployment_raw[[#This Row],[Column19]]/IF(OR($E$2="Deployment",deployment_raw[[#This Row],[Column5]]=0),1,deployment_raw[[#This Row],[Column5]]))/K949,0),"")</f>
        <v/>
      </c>
      <c r="K949" s="72" t="str">
        <f>IF(ISNUMBER(deployment_raw[[#This Row],[Column8]]), (deployment_raw[[#This Row],[Column8]]  * IF($E$2="Deployment",deployment_raw[[#This Row],[Column5]],1)),"")</f>
        <v/>
      </c>
      <c r="L94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4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49" s="81" t="str">
        <f>IF(ISNUMBER(deployment_raw[[#This Row],[Column20]]), IF(O949&lt;&gt;0,deployment_raw[[#This Row],[Column20]]/IF(OR($E$2="Deployment",deployment_raw[[#This Row],[Column5]]=0),1,deployment_raw[[#This Row],[Column5]])/1048576/O949,0),"")</f>
        <v/>
      </c>
      <c r="O949" s="74" t="str">
        <f>IF(ISNUMBER(deployment_raw[[#This Row],[Column7]]), (deployment_raw[[#This Row],[Column7]] * IF($E$2="Deployment",deployment_raw[[#This Row],[Column5]],1))/1048576,"")</f>
        <v/>
      </c>
      <c r="P949" s="81" t="str">
        <f>IF(ISNUMBER(deployment_raw[[#This Row],[Column20]]), IF(Q949&lt;&gt;0,deployment_raw[[#This Row],[Column20]]/IF(OR($E$2="Deployment",deployment_raw[[#This Row],[Column5]]=0),1,deployment_raw[[#This Row],[Column5]])/1048576/Q949,0),"")</f>
        <v/>
      </c>
      <c r="Q949" s="76" t="str">
        <f>IF(ISNUMBER(deployment_raw[[#This Row],[Column9]]), (deployment_raw[[#This Row],[Column9]] * IF($E$2="Deployment",deployment_raw[[#This Row],[Column5]],1))/1048576,"")</f>
        <v/>
      </c>
      <c r="R949" s="57" t="str">
        <f>IF(ISNUMBER(deployment_raw[[#This Row],[Column10]]), (deployment_raw[[#This Row],[Column10]] * IF($E$2="Deployment",deployment_raw[[#This Row],[Column5]],1)),"")</f>
        <v/>
      </c>
      <c r="S949" s="48" t="str">
        <f>IF(ISNUMBER(deployment_raw[[#This Row],[Column11]]), (deployment_raw[[#This Row],[Column11]] * IF($E$2="Deployment",deployment_raw[[#This Row],[Column5]],1))/1048576,"")</f>
        <v/>
      </c>
      <c r="T949" s="59" t="str">
        <f>IF(ISNUMBER(deployment_raw[[#This Row],[Column8]]),IF(OR(deployment_raw[[#This Row],[Column5]] &lt;&gt; 0,$E$2 &lt;&gt; "Deployment"), MAX(V949, ($T$2 * IF($E$2="Deployment",deployment_raw[[#This Row],[Column5]],1))), 0),"")</f>
        <v/>
      </c>
      <c r="U949" s="50" t="str">
        <f>IF(ISNUMBER(deployment_raw[[#This Row],[Column9]]),IF(OR(deployment_raw[[#This Row],[Column5]] &lt;&gt; 0,$E$2&lt;&gt;"Deployment"), MAX(W949, ($U$2 * IF($E$2="Deployment",deployment_raw[[#This Row],[Column5]],1))), 0),"")</f>
        <v/>
      </c>
      <c r="V949" s="15" t="str">
        <f>IF(ISNUMBER(deployment_raw[[#This Row],[Column12]]), (deployment_raw[[#This Row],[Column12]] * IF($E$2="Deployment",deployment_raw[[#This Row],[Column5]],1)*(1+$V$2)),"")</f>
        <v/>
      </c>
      <c r="W949" s="14" t="str">
        <f>IF(ISNUMBER(deployment_raw[[#This Row],[Column13]]), (deployment_raw[[#This Row],[Column13]] * IF($E$2="Deployment",deployment_raw[[#This Row],[Column5]],1)*(1+$W$2))/1048576,"")</f>
        <v/>
      </c>
    </row>
    <row r="950" spans="1:23" ht="15" customHeight="1" x14ac:dyDescent="0.25">
      <c r="A950" s="5" t="str">
        <f>IF(ISNONTEXT(deployment_raw[[#This Row],[Column1]]), "", deployment_raw[[#This Row],[Column1]])</f>
        <v/>
      </c>
      <c r="B950" s="6" t="str">
        <f>IF(ISNONTEXT(deployment_raw[[#This Row],[Column2]]), "", deployment_raw[[#This Row],[Column2]])</f>
        <v/>
      </c>
      <c r="C950" s="6" t="str">
        <f>IF(ISNONTEXT(deployment_raw[[#This Row],[Column3]]), "", deployment_raw[[#This Row],[Column3]])</f>
        <v/>
      </c>
      <c r="D950" s="6" t="str">
        <f>IF(ISNONTEXT(deployment_raw[[#This Row],[Column4]]), "", deployment_raw[[#This Row],[Column4]])</f>
        <v/>
      </c>
      <c r="E950" s="7" t="str">
        <f>IF(ISNUMBER(deployment_raw[[#This Row],[Column5]]), deployment_raw[[#This Row],[Column5]],"")</f>
        <v/>
      </c>
      <c r="F950" s="32" t="str">
        <f>IF(ISNUMBER(deployment_raw[[#This Row],[Column17]]), deployment_raw[[#This Row],[Column17]]/IF(OR($E$2="Deployment",deployment_raw[[#This Row],[Column5]]=0),1,deployment_raw[[#This Row],[Column5]]),"")</f>
        <v/>
      </c>
      <c r="G950" s="42" t="str">
        <f>IF(ISNUMBER(deployment_raw[[#This Row],[Column14]]), deployment_raw[[#This Row],[Column14]]/IF(OR($E$2="Deployment",deployment_raw[[#This Row],[Column5]]=0),1,deployment_raw[[#This Row],[Column5]]),"")</f>
        <v/>
      </c>
      <c r="H950" s="79" t="str">
        <f>IF(ISNUMBER(deployment_raw[[#This Row],[Column19]]), IF(I950&lt;&gt;0,(deployment_raw[[#This Row],[Column19]]/IF(OR($E$2="Deployment",deployment_raw[[#This Row],[Column5]]=0),1,deployment_raw[[#This Row],[Column5]]))/I950,0),"")</f>
        <v/>
      </c>
      <c r="I950" s="69" t="str">
        <f>IF(ISNUMBER(deployment_raw[[#This Row],[Column6]]), (deployment_raw[[#This Row],[Column6]] * IF($E$2="Deployment",deployment_raw[[#This Row],[Column5]],1)),"")</f>
        <v/>
      </c>
      <c r="J950" s="79" t="str">
        <f>IF(ISNUMBER(deployment_raw[[#This Row],[Column19]]), IF(K950&lt;&gt;0,(deployment_raw[[#This Row],[Column19]]/IF(OR($E$2="Deployment",deployment_raw[[#This Row],[Column5]]=0),1,deployment_raw[[#This Row],[Column5]]))/K950,0),"")</f>
        <v/>
      </c>
      <c r="K950" s="72" t="str">
        <f>IF(ISNUMBER(deployment_raw[[#This Row],[Column8]]), (deployment_raw[[#This Row],[Column8]]  * IF($E$2="Deployment",deployment_raw[[#This Row],[Column5]],1)),"")</f>
        <v/>
      </c>
      <c r="L95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5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50" s="81" t="str">
        <f>IF(ISNUMBER(deployment_raw[[#This Row],[Column20]]), IF(O950&lt;&gt;0,deployment_raw[[#This Row],[Column20]]/IF(OR($E$2="Deployment",deployment_raw[[#This Row],[Column5]]=0),1,deployment_raw[[#This Row],[Column5]])/1048576/O950,0),"")</f>
        <v/>
      </c>
      <c r="O950" s="74" t="str">
        <f>IF(ISNUMBER(deployment_raw[[#This Row],[Column7]]), (deployment_raw[[#This Row],[Column7]] * IF($E$2="Deployment",deployment_raw[[#This Row],[Column5]],1))/1048576,"")</f>
        <v/>
      </c>
      <c r="P950" s="81" t="str">
        <f>IF(ISNUMBER(deployment_raw[[#This Row],[Column20]]), IF(Q950&lt;&gt;0,deployment_raw[[#This Row],[Column20]]/IF(OR($E$2="Deployment",deployment_raw[[#This Row],[Column5]]=0),1,deployment_raw[[#This Row],[Column5]])/1048576/Q950,0),"")</f>
        <v/>
      </c>
      <c r="Q950" s="76" t="str">
        <f>IF(ISNUMBER(deployment_raw[[#This Row],[Column9]]), (deployment_raw[[#This Row],[Column9]] * IF($E$2="Deployment",deployment_raw[[#This Row],[Column5]],1))/1048576,"")</f>
        <v/>
      </c>
      <c r="R950" s="57" t="str">
        <f>IF(ISNUMBER(deployment_raw[[#This Row],[Column10]]), (deployment_raw[[#This Row],[Column10]] * IF($E$2="Deployment",deployment_raw[[#This Row],[Column5]],1)),"")</f>
        <v/>
      </c>
      <c r="S950" s="48" t="str">
        <f>IF(ISNUMBER(deployment_raw[[#This Row],[Column11]]), (deployment_raw[[#This Row],[Column11]] * IF($E$2="Deployment",deployment_raw[[#This Row],[Column5]],1))/1048576,"")</f>
        <v/>
      </c>
      <c r="T950" s="59" t="str">
        <f>IF(ISNUMBER(deployment_raw[[#This Row],[Column8]]),IF(OR(deployment_raw[[#This Row],[Column5]] &lt;&gt; 0,$E$2 &lt;&gt; "Deployment"), MAX(V950, ($T$2 * IF($E$2="Deployment",deployment_raw[[#This Row],[Column5]],1))), 0),"")</f>
        <v/>
      </c>
      <c r="U950" s="50" t="str">
        <f>IF(ISNUMBER(deployment_raw[[#This Row],[Column9]]),IF(OR(deployment_raw[[#This Row],[Column5]] &lt;&gt; 0,$E$2&lt;&gt;"Deployment"), MAX(W950, ($U$2 * IF($E$2="Deployment",deployment_raw[[#This Row],[Column5]],1))), 0),"")</f>
        <v/>
      </c>
      <c r="V950" s="15" t="str">
        <f>IF(ISNUMBER(deployment_raw[[#This Row],[Column12]]), (deployment_raw[[#This Row],[Column12]] * IF($E$2="Deployment",deployment_raw[[#This Row],[Column5]],1)*(1+$V$2)),"")</f>
        <v/>
      </c>
      <c r="W950" s="14" t="str">
        <f>IF(ISNUMBER(deployment_raw[[#This Row],[Column13]]), (deployment_raw[[#This Row],[Column13]] * IF($E$2="Deployment",deployment_raw[[#This Row],[Column5]],1)*(1+$W$2))/1048576,"")</f>
        <v/>
      </c>
    </row>
    <row r="951" spans="1:23" ht="15" customHeight="1" x14ac:dyDescent="0.25">
      <c r="A951" s="5" t="str">
        <f>IF(ISNONTEXT(deployment_raw[[#This Row],[Column1]]), "", deployment_raw[[#This Row],[Column1]])</f>
        <v/>
      </c>
      <c r="B951" s="6" t="str">
        <f>IF(ISNONTEXT(deployment_raw[[#This Row],[Column2]]), "", deployment_raw[[#This Row],[Column2]])</f>
        <v/>
      </c>
      <c r="C951" s="6" t="str">
        <f>IF(ISNONTEXT(deployment_raw[[#This Row],[Column3]]), "", deployment_raw[[#This Row],[Column3]])</f>
        <v/>
      </c>
      <c r="D951" s="6" t="str">
        <f>IF(ISNONTEXT(deployment_raw[[#This Row],[Column4]]), "", deployment_raw[[#This Row],[Column4]])</f>
        <v/>
      </c>
      <c r="E951" s="7" t="str">
        <f>IF(ISNUMBER(deployment_raw[[#This Row],[Column5]]), deployment_raw[[#This Row],[Column5]],"")</f>
        <v/>
      </c>
      <c r="F951" s="32" t="str">
        <f>IF(ISNUMBER(deployment_raw[[#This Row],[Column17]]), deployment_raw[[#This Row],[Column17]]/IF(OR($E$2="Deployment",deployment_raw[[#This Row],[Column5]]=0),1,deployment_raw[[#This Row],[Column5]]),"")</f>
        <v/>
      </c>
      <c r="G951" s="42" t="str">
        <f>IF(ISNUMBER(deployment_raw[[#This Row],[Column14]]), deployment_raw[[#This Row],[Column14]]/IF(OR($E$2="Deployment",deployment_raw[[#This Row],[Column5]]=0),1,deployment_raw[[#This Row],[Column5]]),"")</f>
        <v/>
      </c>
      <c r="H951" s="79" t="str">
        <f>IF(ISNUMBER(deployment_raw[[#This Row],[Column19]]), IF(I951&lt;&gt;0,(deployment_raw[[#This Row],[Column19]]/IF(OR($E$2="Deployment",deployment_raw[[#This Row],[Column5]]=0),1,deployment_raw[[#This Row],[Column5]]))/I951,0),"")</f>
        <v/>
      </c>
      <c r="I951" s="69" t="str">
        <f>IF(ISNUMBER(deployment_raw[[#This Row],[Column6]]), (deployment_raw[[#This Row],[Column6]] * IF($E$2="Deployment",deployment_raw[[#This Row],[Column5]],1)),"")</f>
        <v/>
      </c>
      <c r="J951" s="79" t="str">
        <f>IF(ISNUMBER(deployment_raw[[#This Row],[Column19]]), IF(K951&lt;&gt;0,(deployment_raw[[#This Row],[Column19]]/IF(OR($E$2="Deployment",deployment_raw[[#This Row],[Column5]]=0),1,deployment_raw[[#This Row],[Column5]]))/K951,0),"")</f>
        <v/>
      </c>
      <c r="K951" s="72" t="str">
        <f>IF(ISNUMBER(deployment_raw[[#This Row],[Column8]]), (deployment_raw[[#This Row],[Column8]]  * IF($E$2="Deployment",deployment_raw[[#This Row],[Column5]],1)),"")</f>
        <v/>
      </c>
      <c r="L95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5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51" s="81" t="str">
        <f>IF(ISNUMBER(deployment_raw[[#This Row],[Column20]]), IF(O951&lt;&gt;0,deployment_raw[[#This Row],[Column20]]/IF(OR($E$2="Deployment",deployment_raw[[#This Row],[Column5]]=0),1,deployment_raw[[#This Row],[Column5]])/1048576/O951,0),"")</f>
        <v/>
      </c>
      <c r="O951" s="74" t="str">
        <f>IF(ISNUMBER(deployment_raw[[#This Row],[Column7]]), (deployment_raw[[#This Row],[Column7]] * IF($E$2="Deployment",deployment_raw[[#This Row],[Column5]],1))/1048576,"")</f>
        <v/>
      </c>
      <c r="P951" s="81" t="str">
        <f>IF(ISNUMBER(deployment_raw[[#This Row],[Column20]]), IF(Q951&lt;&gt;0,deployment_raw[[#This Row],[Column20]]/IF(OR($E$2="Deployment",deployment_raw[[#This Row],[Column5]]=0),1,deployment_raw[[#This Row],[Column5]])/1048576/Q951,0),"")</f>
        <v/>
      </c>
      <c r="Q951" s="76" t="str">
        <f>IF(ISNUMBER(deployment_raw[[#This Row],[Column9]]), (deployment_raw[[#This Row],[Column9]] * IF($E$2="Deployment",deployment_raw[[#This Row],[Column5]],1))/1048576,"")</f>
        <v/>
      </c>
      <c r="R951" s="57" t="str">
        <f>IF(ISNUMBER(deployment_raw[[#This Row],[Column10]]), (deployment_raw[[#This Row],[Column10]] * IF($E$2="Deployment",deployment_raw[[#This Row],[Column5]],1)),"")</f>
        <v/>
      </c>
      <c r="S951" s="48" t="str">
        <f>IF(ISNUMBER(deployment_raw[[#This Row],[Column11]]), (deployment_raw[[#This Row],[Column11]] * IF($E$2="Deployment",deployment_raw[[#This Row],[Column5]],1))/1048576,"")</f>
        <v/>
      </c>
      <c r="T951" s="59" t="str">
        <f>IF(ISNUMBER(deployment_raw[[#This Row],[Column8]]),IF(OR(deployment_raw[[#This Row],[Column5]] &lt;&gt; 0,$E$2 &lt;&gt; "Deployment"), MAX(V951, ($T$2 * IF($E$2="Deployment",deployment_raw[[#This Row],[Column5]],1))), 0),"")</f>
        <v/>
      </c>
      <c r="U951" s="50" t="str">
        <f>IF(ISNUMBER(deployment_raw[[#This Row],[Column9]]),IF(OR(deployment_raw[[#This Row],[Column5]] &lt;&gt; 0,$E$2&lt;&gt;"Deployment"), MAX(W951, ($U$2 * IF($E$2="Deployment",deployment_raw[[#This Row],[Column5]],1))), 0),"")</f>
        <v/>
      </c>
      <c r="V951" s="15" t="str">
        <f>IF(ISNUMBER(deployment_raw[[#This Row],[Column12]]), (deployment_raw[[#This Row],[Column12]] * IF($E$2="Deployment",deployment_raw[[#This Row],[Column5]],1)*(1+$V$2)),"")</f>
        <v/>
      </c>
      <c r="W951" s="14" t="str">
        <f>IF(ISNUMBER(deployment_raw[[#This Row],[Column13]]), (deployment_raw[[#This Row],[Column13]] * IF($E$2="Deployment",deployment_raw[[#This Row],[Column5]],1)*(1+$W$2))/1048576,"")</f>
        <v/>
      </c>
    </row>
    <row r="952" spans="1:23" ht="15" customHeight="1" x14ac:dyDescent="0.25">
      <c r="A952" s="5" t="str">
        <f>IF(ISNONTEXT(deployment_raw[[#This Row],[Column1]]), "", deployment_raw[[#This Row],[Column1]])</f>
        <v/>
      </c>
      <c r="B952" s="6" t="str">
        <f>IF(ISNONTEXT(deployment_raw[[#This Row],[Column2]]), "", deployment_raw[[#This Row],[Column2]])</f>
        <v/>
      </c>
      <c r="C952" s="6" t="str">
        <f>IF(ISNONTEXT(deployment_raw[[#This Row],[Column3]]), "", deployment_raw[[#This Row],[Column3]])</f>
        <v/>
      </c>
      <c r="D952" s="6" t="str">
        <f>IF(ISNONTEXT(deployment_raw[[#This Row],[Column4]]), "", deployment_raw[[#This Row],[Column4]])</f>
        <v/>
      </c>
      <c r="E952" s="7" t="str">
        <f>IF(ISNUMBER(deployment_raw[[#This Row],[Column5]]), deployment_raw[[#This Row],[Column5]],"")</f>
        <v/>
      </c>
      <c r="F952" s="32" t="str">
        <f>IF(ISNUMBER(deployment_raw[[#This Row],[Column17]]), deployment_raw[[#This Row],[Column17]]/IF(OR($E$2="Deployment",deployment_raw[[#This Row],[Column5]]=0),1,deployment_raw[[#This Row],[Column5]]),"")</f>
        <v/>
      </c>
      <c r="G952" s="42" t="str">
        <f>IF(ISNUMBER(deployment_raw[[#This Row],[Column14]]), deployment_raw[[#This Row],[Column14]]/IF(OR($E$2="Deployment",deployment_raw[[#This Row],[Column5]]=0),1,deployment_raw[[#This Row],[Column5]]),"")</f>
        <v/>
      </c>
      <c r="H952" s="79" t="str">
        <f>IF(ISNUMBER(deployment_raw[[#This Row],[Column19]]), IF(I952&lt;&gt;0,(deployment_raw[[#This Row],[Column19]]/IF(OR($E$2="Deployment",deployment_raw[[#This Row],[Column5]]=0),1,deployment_raw[[#This Row],[Column5]]))/I952,0),"")</f>
        <v/>
      </c>
      <c r="I952" s="69" t="str">
        <f>IF(ISNUMBER(deployment_raw[[#This Row],[Column6]]), (deployment_raw[[#This Row],[Column6]] * IF($E$2="Deployment",deployment_raw[[#This Row],[Column5]],1)),"")</f>
        <v/>
      </c>
      <c r="J952" s="79" t="str">
        <f>IF(ISNUMBER(deployment_raw[[#This Row],[Column19]]), IF(K952&lt;&gt;0,(deployment_raw[[#This Row],[Column19]]/IF(OR($E$2="Deployment",deployment_raw[[#This Row],[Column5]]=0),1,deployment_raw[[#This Row],[Column5]]))/K952,0),"")</f>
        <v/>
      </c>
      <c r="K952" s="72" t="str">
        <f>IF(ISNUMBER(deployment_raw[[#This Row],[Column8]]), (deployment_raw[[#This Row],[Column8]]  * IF($E$2="Deployment",deployment_raw[[#This Row],[Column5]],1)),"")</f>
        <v/>
      </c>
      <c r="L95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5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52" s="81" t="str">
        <f>IF(ISNUMBER(deployment_raw[[#This Row],[Column20]]), IF(O952&lt;&gt;0,deployment_raw[[#This Row],[Column20]]/IF(OR($E$2="Deployment",deployment_raw[[#This Row],[Column5]]=0),1,deployment_raw[[#This Row],[Column5]])/1048576/O952,0),"")</f>
        <v/>
      </c>
      <c r="O952" s="74" t="str">
        <f>IF(ISNUMBER(deployment_raw[[#This Row],[Column7]]), (deployment_raw[[#This Row],[Column7]] * IF($E$2="Deployment",deployment_raw[[#This Row],[Column5]],1))/1048576,"")</f>
        <v/>
      </c>
      <c r="P952" s="81" t="str">
        <f>IF(ISNUMBER(deployment_raw[[#This Row],[Column20]]), IF(Q952&lt;&gt;0,deployment_raw[[#This Row],[Column20]]/IF(OR($E$2="Deployment",deployment_raw[[#This Row],[Column5]]=0),1,deployment_raw[[#This Row],[Column5]])/1048576/Q952,0),"")</f>
        <v/>
      </c>
      <c r="Q952" s="76" t="str">
        <f>IF(ISNUMBER(deployment_raw[[#This Row],[Column9]]), (deployment_raw[[#This Row],[Column9]] * IF($E$2="Deployment",deployment_raw[[#This Row],[Column5]],1))/1048576,"")</f>
        <v/>
      </c>
      <c r="R952" s="57" t="str">
        <f>IF(ISNUMBER(deployment_raw[[#This Row],[Column10]]), (deployment_raw[[#This Row],[Column10]] * IF($E$2="Deployment",deployment_raw[[#This Row],[Column5]],1)),"")</f>
        <v/>
      </c>
      <c r="S952" s="48" t="str">
        <f>IF(ISNUMBER(deployment_raw[[#This Row],[Column11]]), (deployment_raw[[#This Row],[Column11]] * IF($E$2="Deployment",deployment_raw[[#This Row],[Column5]],1))/1048576,"")</f>
        <v/>
      </c>
      <c r="T952" s="59" t="str">
        <f>IF(ISNUMBER(deployment_raw[[#This Row],[Column8]]),IF(OR(deployment_raw[[#This Row],[Column5]] &lt;&gt; 0,$E$2 &lt;&gt; "Deployment"), MAX(V952, ($T$2 * IF($E$2="Deployment",deployment_raw[[#This Row],[Column5]],1))), 0),"")</f>
        <v/>
      </c>
      <c r="U952" s="50" t="str">
        <f>IF(ISNUMBER(deployment_raw[[#This Row],[Column9]]),IF(OR(deployment_raw[[#This Row],[Column5]] &lt;&gt; 0,$E$2&lt;&gt;"Deployment"), MAX(W952, ($U$2 * IF($E$2="Deployment",deployment_raw[[#This Row],[Column5]],1))), 0),"")</f>
        <v/>
      </c>
      <c r="V952" s="15" t="str">
        <f>IF(ISNUMBER(deployment_raw[[#This Row],[Column12]]), (deployment_raw[[#This Row],[Column12]] * IF($E$2="Deployment",deployment_raw[[#This Row],[Column5]],1)*(1+$V$2)),"")</f>
        <v/>
      </c>
      <c r="W952" s="14" t="str">
        <f>IF(ISNUMBER(deployment_raw[[#This Row],[Column13]]), (deployment_raw[[#This Row],[Column13]] * IF($E$2="Deployment",deployment_raw[[#This Row],[Column5]],1)*(1+$W$2))/1048576,"")</f>
        <v/>
      </c>
    </row>
    <row r="953" spans="1:23" ht="15" customHeight="1" x14ac:dyDescent="0.25">
      <c r="A953" s="5" t="str">
        <f>IF(ISNONTEXT(deployment_raw[[#This Row],[Column1]]), "", deployment_raw[[#This Row],[Column1]])</f>
        <v/>
      </c>
      <c r="B953" s="6" t="str">
        <f>IF(ISNONTEXT(deployment_raw[[#This Row],[Column2]]), "", deployment_raw[[#This Row],[Column2]])</f>
        <v/>
      </c>
      <c r="C953" s="6" t="str">
        <f>IF(ISNONTEXT(deployment_raw[[#This Row],[Column3]]), "", deployment_raw[[#This Row],[Column3]])</f>
        <v/>
      </c>
      <c r="D953" s="6" t="str">
        <f>IF(ISNONTEXT(deployment_raw[[#This Row],[Column4]]), "", deployment_raw[[#This Row],[Column4]])</f>
        <v/>
      </c>
      <c r="E953" s="7" t="str">
        <f>IF(ISNUMBER(deployment_raw[[#This Row],[Column5]]), deployment_raw[[#This Row],[Column5]],"")</f>
        <v/>
      </c>
      <c r="F953" s="32" t="str">
        <f>IF(ISNUMBER(deployment_raw[[#This Row],[Column17]]), deployment_raw[[#This Row],[Column17]]/IF(OR($E$2="Deployment",deployment_raw[[#This Row],[Column5]]=0),1,deployment_raw[[#This Row],[Column5]]),"")</f>
        <v/>
      </c>
      <c r="G953" s="42" t="str">
        <f>IF(ISNUMBER(deployment_raw[[#This Row],[Column14]]), deployment_raw[[#This Row],[Column14]]/IF(OR($E$2="Deployment",deployment_raw[[#This Row],[Column5]]=0),1,deployment_raw[[#This Row],[Column5]]),"")</f>
        <v/>
      </c>
      <c r="H953" s="79" t="str">
        <f>IF(ISNUMBER(deployment_raw[[#This Row],[Column19]]), IF(I953&lt;&gt;0,(deployment_raw[[#This Row],[Column19]]/IF(OR($E$2="Deployment",deployment_raw[[#This Row],[Column5]]=0),1,deployment_raw[[#This Row],[Column5]]))/I953,0),"")</f>
        <v/>
      </c>
      <c r="I953" s="69" t="str">
        <f>IF(ISNUMBER(deployment_raw[[#This Row],[Column6]]), (deployment_raw[[#This Row],[Column6]] * IF($E$2="Deployment",deployment_raw[[#This Row],[Column5]],1)),"")</f>
        <v/>
      </c>
      <c r="J953" s="79" t="str">
        <f>IF(ISNUMBER(deployment_raw[[#This Row],[Column19]]), IF(K953&lt;&gt;0,(deployment_raw[[#This Row],[Column19]]/IF(OR($E$2="Deployment",deployment_raw[[#This Row],[Column5]]=0),1,deployment_raw[[#This Row],[Column5]]))/K953,0),"")</f>
        <v/>
      </c>
      <c r="K953" s="72" t="str">
        <f>IF(ISNUMBER(deployment_raw[[#This Row],[Column8]]), (deployment_raw[[#This Row],[Column8]]  * IF($E$2="Deployment",deployment_raw[[#This Row],[Column5]],1)),"")</f>
        <v/>
      </c>
      <c r="L95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5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53" s="81" t="str">
        <f>IF(ISNUMBER(deployment_raw[[#This Row],[Column20]]), IF(O953&lt;&gt;0,deployment_raw[[#This Row],[Column20]]/IF(OR($E$2="Deployment",deployment_raw[[#This Row],[Column5]]=0),1,deployment_raw[[#This Row],[Column5]])/1048576/O953,0),"")</f>
        <v/>
      </c>
      <c r="O953" s="74" t="str">
        <f>IF(ISNUMBER(deployment_raw[[#This Row],[Column7]]), (deployment_raw[[#This Row],[Column7]] * IF($E$2="Deployment",deployment_raw[[#This Row],[Column5]],1))/1048576,"")</f>
        <v/>
      </c>
      <c r="P953" s="81" t="str">
        <f>IF(ISNUMBER(deployment_raw[[#This Row],[Column20]]), IF(Q953&lt;&gt;0,deployment_raw[[#This Row],[Column20]]/IF(OR($E$2="Deployment",deployment_raw[[#This Row],[Column5]]=0),1,deployment_raw[[#This Row],[Column5]])/1048576/Q953,0),"")</f>
        <v/>
      </c>
      <c r="Q953" s="76" t="str">
        <f>IF(ISNUMBER(deployment_raw[[#This Row],[Column9]]), (deployment_raw[[#This Row],[Column9]] * IF($E$2="Deployment",deployment_raw[[#This Row],[Column5]],1))/1048576,"")</f>
        <v/>
      </c>
      <c r="R953" s="57" t="str">
        <f>IF(ISNUMBER(deployment_raw[[#This Row],[Column10]]), (deployment_raw[[#This Row],[Column10]] * IF($E$2="Deployment",deployment_raw[[#This Row],[Column5]],1)),"")</f>
        <v/>
      </c>
      <c r="S953" s="48" t="str">
        <f>IF(ISNUMBER(deployment_raw[[#This Row],[Column11]]), (deployment_raw[[#This Row],[Column11]] * IF($E$2="Deployment",deployment_raw[[#This Row],[Column5]],1))/1048576,"")</f>
        <v/>
      </c>
      <c r="T953" s="59" t="str">
        <f>IF(ISNUMBER(deployment_raw[[#This Row],[Column8]]),IF(OR(deployment_raw[[#This Row],[Column5]] &lt;&gt; 0,$E$2 &lt;&gt; "Deployment"), MAX(V953, ($T$2 * IF($E$2="Deployment",deployment_raw[[#This Row],[Column5]],1))), 0),"")</f>
        <v/>
      </c>
      <c r="U953" s="50" t="str">
        <f>IF(ISNUMBER(deployment_raw[[#This Row],[Column9]]),IF(OR(deployment_raw[[#This Row],[Column5]] &lt;&gt; 0,$E$2&lt;&gt;"Deployment"), MAX(W953, ($U$2 * IF($E$2="Deployment",deployment_raw[[#This Row],[Column5]],1))), 0),"")</f>
        <v/>
      </c>
      <c r="V953" s="15" t="str">
        <f>IF(ISNUMBER(deployment_raw[[#This Row],[Column12]]), (deployment_raw[[#This Row],[Column12]] * IF($E$2="Deployment",deployment_raw[[#This Row],[Column5]],1)*(1+$V$2)),"")</f>
        <v/>
      </c>
      <c r="W953" s="14" t="str">
        <f>IF(ISNUMBER(deployment_raw[[#This Row],[Column13]]), (deployment_raw[[#This Row],[Column13]] * IF($E$2="Deployment",deployment_raw[[#This Row],[Column5]],1)*(1+$W$2))/1048576,"")</f>
        <v/>
      </c>
    </row>
    <row r="954" spans="1:23" ht="15" customHeight="1" x14ac:dyDescent="0.25">
      <c r="A954" s="5" t="str">
        <f>IF(ISNONTEXT(deployment_raw[[#This Row],[Column1]]), "", deployment_raw[[#This Row],[Column1]])</f>
        <v/>
      </c>
      <c r="B954" s="6" t="str">
        <f>IF(ISNONTEXT(deployment_raw[[#This Row],[Column2]]), "", deployment_raw[[#This Row],[Column2]])</f>
        <v/>
      </c>
      <c r="C954" s="6" t="str">
        <f>IF(ISNONTEXT(deployment_raw[[#This Row],[Column3]]), "", deployment_raw[[#This Row],[Column3]])</f>
        <v/>
      </c>
      <c r="D954" s="6" t="str">
        <f>IF(ISNONTEXT(deployment_raw[[#This Row],[Column4]]), "", deployment_raw[[#This Row],[Column4]])</f>
        <v/>
      </c>
      <c r="E954" s="7" t="str">
        <f>IF(ISNUMBER(deployment_raw[[#This Row],[Column5]]), deployment_raw[[#This Row],[Column5]],"")</f>
        <v/>
      </c>
      <c r="F954" s="32" t="str">
        <f>IF(ISNUMBER(deployment_raw[[#This Row],[Column17]]), deployment_raw[[#This Row],[Column17]]/IF(OR($E$2="Deployment",deployment_raw[[#This Row],[Column5]]=0),1,deployment_raw[[#This Row],[Column5]]),"")</f>
        <v/>
      </c>
      <c r="G954" s="42" t="str">
        <f>IF(ISNUMBER(deployment_raw[[#This Row],[Column14]]), deployment_raw[[#This Row],[Column14]]/IF(OR($E$2="Deployment",deployment_raw[[#This Row],[Column5]]=0),1,deployment_raw[[#This Row],[Column5]]),"")</f>
        <v/>
      </c>
      <c r="H954" s="79" t="str">
        <f>IF(ISNUMBER(deployment_raw[[#This Row],[Column19]]), IF(I954&lt;&gt;0,(deployment_raw[[#This Row],[Column19]]/IF(OR($E$2="Deployment",deployment_raw[[#This Row],[Column5]]=0),1,deployment_raw[[#This Row],[Column5]]))/I954,0),"")</f>
        <v/>
      </c>
      <c r="I954" s="69" t="str">
        <f>IF(ISNUMBER(deployment_raw[[#This Row],[Column6]]), (deployment_raw[[#This Row],[Column6]] * IF($E$2="Deployment",deployment_raw[[#This Row],[Column5]],1)),"")</f>
        <v/>
      </c>
      <c r="J954" s="79" t="str">
        <f>IF(ISNUMBER(deployment_raw[[#This Row],[Column19]]), IF(K954&lt;&gt;0,(deployment_raw[[#This Row],[Column19]]/IF(OR($E$2="Deployment",deployment_raw[[#This Row],[Column5]]=0),1,deployment_raw[[#This Row],[Column5]]))/K954,0),"")</f>
        <v/>
      </c>
      <c r="K954" s="72" t="str">
        <f>IF(ISNUMBER(deployment_raw[[#This Row],[Column8]]), (deployment_raw[[#This Row],[Column8]]  * IF($E$2="Deployment",deployment_raw[[#This Row],[Column5]],1)),"")</f>
        <v/>
      </c>
      <c r="L95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5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54" s="81" t="str">
        <f>IF(ISNUMBER(deployment_raw[[#This Row],[Column20]]), IF(O954&lt;&gt;0,deployment_raw[[#This Row],[Column20]]/IF(OR($E$2="Deployment",deployment_raw[[#This Row],[Column5]]=0),1,deployment_raw[[#This Row],[Column5]])/1048576/O954,0),"")</f>
        <v/>
      </c>
      <c r="O954" s="74" t="str">
        <f>IF(ISNUMBER(deployment_raw[[#This Row],[Column7]]), (deployment_raw[[#This Row],[Column7]] * IF($E$2="Deployment",deployment_raw[[#This Row],[Column5]],1))/1048576,"")</f>
        <v/>
      </c>
      <c r="P954" s="81" t="str">
        <f>IF(ISNUMBER(deployment_raw[[#This Row],[Column20]]), IF(Q954&lt;&gt;0,deployment_raw[[#This Row],[Column20]]/IF(OR($E$2="Deployment",deployment_raw[[#This Row],[Column5]]=0),1,deployment_raw[[#This Row],[Column5]])/1048576/Q954,0),"")</f>
        <v/>
      </c>
      <c r="Q954" s="76" t="str">
        <f>IF(ISNUMBER(deployment_raw[[#This Row],[Column9]]), (deployment_raw[[#This Row],[Column9]] * IF($E$2="Deployment",deployment_raw[[#This Row],[Column5]],1))/1048576,"")</f>
        <v/>
      </c>
      <c r="R954" s="57" t="str">
        <f>IF(ISNUMBER(deployment_raw[[#This Row],[Column10]]), (deployment_raw[[#This Row],[Column10]] * IF($E$2="Deployment",deployment_raw[[#This Row],[Column5]],1)),"")</f>
        <v/>
      </c>
      <c r="S954" s="48" t="str">
        <f>IF(ISNUMBER(deployment_raw[[#This Row],[Column11]]), (deployment_raw[[#This Row],[Column11]] * IF($E$2="Deployment",deployment_raw[[#This Row],[Column5]],1))/1048576,"")</f>
        <v/>
      </c>
      <c r="T954" s="59" t="str">
        <f>IF(ISNUMBER(deployment_raw[[#This Row],[Column8]]),IF(OR(deployment_raw[[#This Row],[Column5]] &lt;&gt; 0,$E$2 &lt;&gt; "Deployment"), MAX(V954, ($T$2 * IF($E$2="Deployment",deployment_raw[[#This Row],[Column5]],1))), 0),"")</f>
        <v/>
      </c>
      <c r="U954" s="50" t="str">
        <f>IF(ISNUMBER(deployment_raw[[#This Row],[Column9]]),IF(OR(deployment_raw[[#This Row],[Column5]] &lt;&gt; 0,$E$2&lt;&gt;"Deployment"), MAX(W954, ($U$2 * IF($E$2="Deployment",deployment_raw[[#This Row],[Column5]],1))), 0),"")</f>
        <v/>
      </c>
      <c r="V954" s="15" t="str">
        <f>IF(ISNUMBER(deployment_raw[[#This Row],[Column12]]), (deployment_raw[[#This Row],[Column12]] * IF($E$2="Deployment",deployment_raw[[#This Row],[Column5]],1)*(1+$V$2)),"")</f>
        <v/>
      </c>
      <c r="W954" s="14" t="str">
        <f>IF(ISNUMBER(deployment_raw[[#This Row],[Column13]]), (deployment_raw[[#This Row],[Column13]] * IF($E$2="Deployment",deployment_raw[[#This Row],[Column5]],1)*(1+$W$2))/1048576,"")</f>
        <v/>
      </c>
    </row>
    <row r="955" spans="1:23" ht="15" customHeight="1" x14ac:dyDescent="0.25">
      <c r="A955" s="5" t="str">
        <f>IF(ISNONTEXT(deployment_raw[[#This Row],[Column1]]), "", deployment_raw[[#This Row],[Column1]])</f>
        <v/>
      </c>
      <c r="B955" s="6" t="str">
        <f>IF(ISNONTEXT(deployment_raw[[#This Row],[Column2]]), "", deployment_raw[[#This Row],[Column2]])</f>
        <v/>
      </c>
      <c r="C955" s="6" t="str">
        <f>IF(ISNONTEXT(deployment_raw[[#This Row],[Column3]]), "", deployment_raw[[#This Row],[Column3]])</f>
        <v/>
      </c>
      <c r="D955" s="6" t="str">
        <f>IF(ISNONTEXT(deployment_raw[[#This Row],[Column4]]), "", deployment_raw[[#This Row],[Column4]])</f>
        <v/>
      </c>
      <c r="E955" s="7" t="str">
        <f>IF(ISNUMBER(deployment_raw[[#This Row],[Column5]]), deployment_raw[[#This Row],[Column5]],"")</f>
        <v/>
      </c>
      <c r="F955" s="32" t="str">
        <f>IF(ISNUMBER(deployment_raw[[#This Row],[Column17]]), deployment_raw[[#This Row],[Column17]]/IF(OR($E$2="Deployment",deployment_raw[[#This Row],[Column5]]=0),1,deployment_raw[[#This Row],[Column5]]),"")</f>
        <v/>
      </c>
      <c r="G955" s="42" t="str">
        <f>IF(ISNUMBER(deployment_raw[[#This Row],[Column14]]), deployment_raw[[#This Row],[Column14]]/IF(OR($E$2="Deployment",deployment_raw[[#This Row],[Column5]]=0),1,deployment_raw[[#This Row],[Column5]]),"")</f>
        <v/>
      </c>
      <c r="H955" s="79" t="str">
        <f>IF(ISNUMBER(deployment_raw[[#This Row],[Column19]]), IF(I955&lt;&gt;0,(deployment_raw[[#This Row],[Column19]]/IF(OR($E$2="Deployment",deployment_raw[[#This Row],[Column5]]=0),1,deployment_raw[[#This Row],[Column5]]))/I955,0),"")</f>
        <v/>
      </c>
      <c r="I955" s="69" t="str">
        <f>IF(ISNUMBER(deployment_raw[[#This Row],[Column6]]), (deployment_raw[[#This Row],[Column6]] * IF($E$2="Deployment",deployment_raw[[#This Row],[Column5]],1)),"")</f>
        <v/>
      </c>
      <c r="J955" s="79" t="str">
        <f>IF(ISNUMBER(deployment_raw[[#This Row],[Column19]]), IF(K955&lt;&gt;0,(deployment_raw[[#This Row],[Column19]]/IF(OR($E$2="Deployment",deployment_raw[[#This Row],[Column5]]=0),1,deployment_raw[[#This Row],[Column5]]))/K955,0),"")</f>
        <v/>
      </c>
      <c r="K955" s="72" t="str">
        <f>IF(ISNUMBER(deployment_raw[[#This Row],[Column8]]), (deployment_raw[[#This Row],[Column8]]  * IF($E$2="Deployment",deployment_raw[[#This Row],[Column5]],1)),"")</f>
        <v/>
      </c>
      <c r="L95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5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55" s="81" t="str">
        <f>IF(ISNUMBER(deployment_raw[[#This Row],[Column20]]), IF(O955&lt;&gt;0,deployment_raw[[#This Row],[Column20]]/IF(OR($E$2="Deployment",deployment_raw[[#This Row],[Column5]]=0),1,deployment_raw[[#This Row],[Column5]])/1048576/O955,0),"")</f>
        <v/>
      </c>
      <c r="O955" s="74" t="str">
        <f>IF(ISNUMBER(deployment_raw[[#This Row],[Column7]]), (deployment_raw[[#This Row],[Column7]] * IF($E$2="Deployment",deployment_raw[[#This Row],[Column5]],1))/1048576,"")</f>
        <v/>
      </c>
      <c r="P955" s="81" t="str">
        <f>IF(ISNUMBER(deployment_raw[[#This Row],[Column20]]), IF(Q955&lt;&gt;0,deployment_raw[[#This Row],[Column20]]/IF(OR($E$2="Deployment",deployment_raw[[#This Row],[Column5]]=0),1,deployment_raw[[#This Row],[Column5]])/1048576/Q955,0),"")</f>
        <v/>
      </c>
      <c r="Q955" s="76" t="str">
        <f>IF(ISNUMBER(deployment_raw[[#This Row],[Column9]]), (deployment_raw[[#This Row],[Column9]] * IF($E$2="Deployment",deployment_raw[[#This Row],[Column5]],1))/1048576,"")</f>
        <v/>
      </c>
      <c r="R955" s="57" t="str">
        <f>IF(ISNUMBER(deployment_raw[[#This Row],[Column10]]), (deployment_raw[[#This Row],[Column10]] * IF($E$2="Deployment",deployment_raw[[#This Row],[Column5]],1)),"")</f>
        <v/>
      </c>
      <c r="S955" s="48" t="str">
        <f>IF(ISNUMBER(deployment_raw[[#This Row],[Column11]]), (deployment_raw[[#This Row],[Column11]] * IF($E$2="Deployment",deployment_raw[[#This Row],[Column5]],1))/1048576,"")</f>
        <v/>
      </c>
      <c r="T955" s="59" t="str">
        <f>IF(ISNUMBER(deployment_raw[[#This Row],[Column8]]),IF(OR(deployment_raw[[#This Row],[Column5]] &lt;&gt; 0,$E$2 &lt;&gt; "Deployment"), MAX(V955, ($T$2 * IF($E$2="Deployment",deployment_raw[[#This Row],[Column5]],1))), 0),"")</f>
        <v/>
      </c>
      <c r="U955" s="50" t="str">
        <f>IF(ISNUMBER(deployment_raw[[#This Row],[Column9]]),IF(OR(deployment_raw[[#This Row],[Column5]] &lt;&gt; 0,$E$2&lt;&gt;"Deployment"), MAX(W955, ($U$2 * IF($E$2="Deployment",deployment_raw[[#This Row],[Column5]],1))), 0),"")</f>
        <v/>
      </c>
      <c r="V955" s="15" t="str">
        <f>IF(ISNUMBER(deployment_raw[[#This Row],[Column12]]), (deployment_raw[[#This Row],[Column12]] * IF($E$2="Deployment",deployment_raw[[#This Row],[Column5]],1)*(1+$V$2)),"")</f>
        <v/>
      </c>
      <c r="W955" s="14" t="str">
        <f>IF(ISNUMBER(deployment_raw[[#This Row],[Column13]]), (deployment_raw[[#This Row],[Column13]] * IF($E$2="Deployment",deployment_raw[[#This Row],[Column5]],1)*(1+$W$2))/1048576,"")</f>
        <v/>
      </c>
    </row>
    <row r="956" spans="1:23" ht="15" customHeight="1" x14ac:dyDescent="0.25">
      <c r="A956" s="5" t="str">
        <f>IF(ISNONTEXT(deployment_raw[[#This Row],[Column1]]), "", deployment_raw[[#This Row],[Column1]])</f>
        <v/>
      </c>
      <c r="B956" s="6" t="str">
        <f>IF(ISNONTEXT(deployment_raw[[#This Row],[Column2]]), "", deployment_raw[[#This Row],[Column2]])</f>
        <v/>
      </c>
      <c r="C956" s="6" t="str">
        <f>IF(ISNONTEXT(deployment_raw[[#This Row],[Column3]]), "", deployment_raw[[#This Row],[Column3]])</f>
        <v/>
      </c>
      <c r="D956" s="6" t="str">
        <f>IF(ISNONTEXT(deployment_raw[[#This Row],[Column4]]), "", deployment_raw[[#This Row],[Column4]])</f>
        <v/>
      </c>
      <c r="E956" s="7" t="str">
        <f>IF(ISNUMBER(deployment_raw[[#This Row],[Column5]]), deployment_raw[[#This Row],[Column5]],"")</f>
        <v/>
      </c>
      <c r="F956" s="32" t="str">
        <f>IF(ISNUMBER(deployment_raw[[#This Row],[Column17]]), deployment_raw[[#This Row],[Column17]]/IF(OR($E$2="Deployment",deployment_raw[[#This Row],[Column5]]=0),1,deployment_raw[[#This Row],[Column5]]),"")</f>
        <v/>
      </c>
      <c r="G956" s="42" t="str">
        <f>IF(ISNUMBER(deployment_raw[[#This Row],[Column14]]), deployment_raw[[#This Row],[Column14]]/IF(OR($E$2="Deployment",deployment_raw[[#This Row],[Column5]]=0),1,deployment_raw[[#This Row],[Column5]]),"")</f>
        <v/>
      </c>
      <c r="H956" s="79" t="str">
        <f>IF(ISNUMBER(deployment_raw[[#This Row],[Column19]]), IF(I956&lt;&gt;0,(deployment_raw[[#This Row],[Column19]]/IF(OR($E$2="Deployment",deployment_raw[[#This Row],[Column5]]=0),1,deployment_raw[[#This Row],[Column5]]))/I956,0),"")</f>
        <v/>
      </c>
      <c r="I956" s="69" t="str">
        <f>IF(ISNUMBER(deployment_raw[[#This Row],[Column6]]), (deployment_raw[[#This Row],[Column6]] * IF($E$2="Deployment",deployment_raw[[#This Row],[Column5]],1)),"")</f>
        <v/>
      </c>
      <c r="J956" s="79" t="str">
        <f>IF(ISNUMBER(deployment_raw[[#This Row],[Column19]]), IF(K956&lt;&gt;0,(deployment_raw[[#This Row],[Column19]]/IF(OR($E$2="Deployment",deployment_raw[[#This Row],[Column5]]=0),1,deployment_raw[[#This Row],[Column5]]))/K956,0),"")</f>
        <v/>
      </c>
      <c r="K956" s="72" t="str">
        <f>IF(ISNUMBER(deployment_raw[[#This Row],[Column8]]), (deployment_raw[[#This Row],[Column8]]  * IF($E$2="Deployment",deployment_raw[[#This Row],[Column5]],1)),"")</f>
        <v/>
      </c>
      <c r="L95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5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56" s="81" t="str">
        <f>IF(ISNUMBER(deployment_raw[[#This Row],[Column20]]), IF(O956&lt;&gt;0,deployment_raw[[#This Row],[Column20]]/IF(OR($E$2="Deployment",deployment_raw[[#This Row],[Column5]]=0),1,deployment_raw[[#This Row],[Column5]])/1048576/O956,0),"")</f>
        <v/>
      </c>
      <c r="O956" s="74" t="str">
        <f>IF(ISNUMBER(deployment_raw[[#This Row],[Column7]]), (deployment_raw[[#This Row],[Column7]] * IF($E$2="Deployment",deployment_raw[[#This Row],[Column5]],1))/1048576,"")</f>
        <v/>
      </c>
      <c r="P956" s="81" t="str">
        <f>IF(ISNUMBER(deployment_raw[[#This Row],[Column20]]), IF(Q956&lt;&gt;0,deployment_raw[[#This Row],[Column20]]/IF(OR($E$2="Deployment",deployment_raw[[#This Row],[Column5]]=0),1,deployment_raw[[#This Row],[Column5]])/1048576/Q956,0),"")</f>
        <v/>
      </c>
      <c r="Q956" s="76" t="str">
        <f>IF(ISNUMBER(deployment_raw[[#This Row],[Column9]]), (deployment_raw[[#This Row],[Column9]] * IF($E$2="Deployment",deployment_raw[[#This Row],[Column5]],1))/1048576,"")</f>
        <v/>
      </c>
      <c r="R956" s="57" t="str">
        <f>IF(ISNUMBER(deployment_raw[[#This Row],[Column10]]), (deployment_raw[[#This Row],[Column10]] * IF($E$2="Deployment",deployment_raw[[#This Row],[Column5]],1)),"")</f>
        <v/>
      </c>
      <c r="S956" s="48" t="str">
        <f>IF(ISNUMBER(deployment_raw[[#This Row],[Column11]]), (deployment_raw[[#This Row],[Column11]] * IF($E$2="Deployment",deployment_raw[[#This Row],[Column5]],1))/1048576,"")</f>
        <v/>
      </c>
      <c r="T956" s="59" t="str">
        <f>IF(ISNUMBER(deployment_raw[[#This Row],[Column8]]),IF(OR(deployment_raw[[#This Row],[Column5]] &lt;&gt; 0,$E$2 &lt;&gt; "Deployment"), MAX(V956, ($T$2 * IF($E$2="Deployment",deployment_raw[[#This Row],[Column5]],1))), 0),"")</f>
        <v/>
      </c>
      <c r="U956" s="50" t="str">
        <f>IF(ISNUMBER(deployment_raw[[#This Row],[Column9]]),IF(OR(deployment_raw[[#This Row],[Column5]] &lt;&gt; 0,$E$2&lt;&gt;"Deployment"), MAX(W956, ($U$2 * IF($E$2="Deployment",deployment_raw[[#This Row],[Column5]],1))), 0),"")</f>
        <v/>
      </c>
      <c r="V956" s="15" t="str">
        <f>IF(ISNUMBER(deployment_raw[[#This Row],[Column12]]), (deployment_raw[[#This Row],[Column12]] * IF($E$2="Deployment",deployment_raw[[#This Row],[Column5]],1)*(1+$V$2)),"")</f>
        <v/>
      </c>
      <c r="W956" s="14" t="str">
        <f>IF(ISNUMBER(deployment_raw[[#This Row],[Column13]]), (deployment_raw[[#This Row],[Column13]] * IF($E$2="Deployment",deployment_raw[[#This Row],[Column5]],1)*(1+$W$2))/1048576,"")</f>
        <v/>
      </c>
    </row>
    <row r="957" spans="1:23" ht="15" customHeight="1" x14ac:dyDescent="0.25">
      <c r="A957" s="5" t="str">
        <f>IF(ISNONTEXT(deployment_raw[[#This Row],[Column1]]), "", deployment_raw[[#This Row],[Column1]])</f>
        <v/>
      </c>
      <c r="B957" s="6" t="str">
        <f>IF(ISNONTEXT(deployment_raw[[#This Row],[Column2]]), "", deployment_raw[[#This Row],[Column2]])</f>
        <v/>
      </c>
      <c r="C957" s="6" t="str">
        <f>IF(ISNONTEXT(deployment_raw[[#This Row],[Column3]]), "", deployment_raw[[#This Row],[Column3]])</f>
        <v/>
      </c>
      <c r="D957" s="6" t="str">
        <f>IF(ISNONTEXT(deployment_raw[[#This Row],[Column4]]), "", deployment_raw[[#This Row],[Column4]])</f>
        <v/>
      </c>
      <c r="E957" s="7" t="str">
        <f>IF(ISNUMBER(deployment_raw[[#This Row],[Column5]]), deployment_raw[[#This Row],[Column5]],"")</f>
        <v/>
      </c>
      <c r="F957" s="32" t="str">
        <f>IF(ISNUMBER(deployment_raw[[#This Row],[Column17]]), deployment_raw[[#This Row],[Column17]]/IF(OR($E$2="Deployment",deployment_raw[[#This Row],[Column5]]=0),1,deployment_raw[[#This Row],[Column5]]),"")</f>
        <v/>
      </c>
      <c r="G957" s="42" t="str">
        <f>IF(ISNUMBER(deployment_raw[[#This Row],[Column14]]), deployment_raw[[#This Row],[Column14]]/IF(OR($E$2="Deployment",deployment_raw[[#This Row],[Column5]]=0),1,deployment_raw[[#This Row],[Column5]]),"")</f>
        <v/>
      </c>
      <c r="H957" s="79" t="str">
        <f>IF(ISNUMBER(deployment_raw[[#This Row],[Column19]]), IF(I957&lt;&gt;0,(deployment_raw[[#This Row],[Column19]]/IF(OR($E$2="Deployment",deployment_raw[[#This Row],[Column5]]=0),1,deployment_raw[[#This Row],[Column5]]))/I957,0),"")</f>
        <v/>
      </c>
      <c r="I957" s="69" t="str">
        <f>IF(ISNUMBER(deployment_raw[[#This Row],[Column6]]), (deployment_raw[[#This Row],[Column6]] * IF($E$2="Deployment",deployment_raw[[#This Row],[Column5]],1)),"")</f>
        <v/>
      </c>
      <c r="J957" s="79" t="str">
        <f>IF(ISNUMBER(deployment_raw[[#This Row],[Column19]]), IF(K957&lt;&gt;0,(deployment_raw[[#This Row],[Column19]]/IF(OR($E$2="Deployment",deployment_raw[[#This Row],[Column5]]=0),1,deployment_raw[[#This Row],[Column5]]))/K957,0),"")</f>
        <v/>
      </c>
      <c r="K957" s="72" t="str">
        <f>IF(ISNUMBER(deployment_raw[[#This Row],[Column8]]), (deployment_raw[[#This Row],[Column8]]  * IF($E$2="Deployment",deployment_raw[[#This Row],[Column5]],1)),"")</f>
        <v/>
      </c>
      <c r="L95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5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57" s="81" t="str">
        <f>IF(ISNUMBER(deployment_raw[[#This Row],[Column20]]), IF(O957&lt;&gt;0,deployment_raw[[#This Row],[Column20]]/IF(OR($E$2="Deployment",deployment_raw[[#This Row],[Column5]]=0),1,deployment_raw[[#This Row],[Column5]])/1048576/O957,0),"")</f>
        <v/>
      </c>
      <c r="O957" s="74" t="str">
        <f>IF(ISNUMBER(deployment_raw[[#This Row],[Column7]]), (deployment_raw[[#This Row],[Column7]] * IF($E$2="Deployment",deployment_raw[[#This Row],[Column5]],1))/1048576,"")</f>
        <v/>
      </c>
      <c r="P957" s="81" t="str">
        <f>IF(ISNUMBER(deployment_raw[[#This Row],[Column20]]), IF(Q957&lt;&gt;0,deployment_raw[[#This Row],[Column20]]/IF(OR($E$2="Deployment",deployment_raw[[#This Row],[Column5]]=0),1,deployment_raw[[#This Row],[Column5]])/1048576/Q957,0),"")</f>
        <v/>
      </c>
      <c r="Q957" s="76" t="str">
        <f>IF(ISNUMBER(deployment_raw[[#This Row],[Column9]]), (deployment_raw[[#This Row],[Column9]] * IF($E$2="Deployment",deployment_raw[[#This Row],[Column5]],1))/1048576,"")</f>
        <v/>
      </c>
      <c r="R957" s="57" t="str">
        <f>IF(ISNUMBER(deployment_raw[[#This Row],[Column10]]), (deployment_raw[[#This Row],[Column10]] * IF($E$2="Deployment",deployment_raw[[#This Row],[Column5]],1)),"")</f>
        <v/>
      </c>
      <c r="S957" s="48" t="str">
        <f>IF(ISNUMBER(deployment_raw[[#This Row],[Column11]]), (deployment_raw[[#This Row],[Column11]] * IF($E$2="Deployment",deployment_raw[[#This Row],[Column5]],1))/1048576,"")</f>
        <v/>
      </c>
      <c r="T957" s="59" t="str">
        <f>IF(ISNUMBER(deployment_raw[[#This Row],[Column8]]),IF(OR(deployment_raw[[#This Row],[Column5]] &lt;&gt; 0,$E$2 &lt;&gt; "Deployment"), MAX(V957, ($T$2 * IF($E$2="Deployment",deployment_raw[[#This Row],[Column5]],1))), 0),"")</f>
        <v/>
      </c>
      <c r="U957" s="50" t="str">
        <f>IF(ISNUMBER(deployment_raw[[#This Row],[Column9]]),IF(OR(deployment_raw[[#This Row],[Column5]] &lt;&gt; 0,$E$2&lt;&gt;"Deployment"), MAX(W957, ($U$2 * IF($E$2="Deployment",deployment_raw[[#This Row],[Column5]],1))), 0),"")</f>
        <v/>
      </c>
      <c r="V957" s="15" t="str">
        <f>IF(ISNUMBER(deployment_raw[[#This Row],[Column12]]), (deployment_raw[[#This Row],[Column12]] * IF($E$2="Deployment",deployment_raw[[#This Row],[Column5]],1)*(1+$V$2)),"")</f>
        <v/>
      </c>
      <c r="W957" s="14" t="str">
        <f>IF(ISNUMBER(deployment_raw[[#This Row],[Column13]]), (deployment_raw[[#This Row],[Column13]] * IF($E$2="Deployment",deployment_raw[[#This Row],[Column5]],1)*(1+$W$2))/1048576,"")</f>
        <v/>
      </c>
    </row>
    <row r="958" spans="1:23" ht="15" customHeight="1" x14ac:dyDescent="0.25">
      <c r="A958" s="5" t="str">
        <f>IF(ISNONTEXT(deployment_raw[[#This Row],[Column1]]), "", deployment_raw[[#This Row],[Column1]])</f>
        <v/>
      </c>
      <c r="B958" s="6" t="str">
        <f>IF(ISNONTEXT(deployment_raw[[#This Row],[Column2]]), "", deployment_raw[[#This Row],[Column2]])</f>
        <v/>
      </c>
      <c r="C958" s="6" t="str">
        <f>IF(ISNONTEXT(deployment_raw[[#This Row],[Column3]]), "", deployment_raw[[#This Row],[Column3]])</f>
        <v/>
      </c>
      <c r="D958" s="6" t="str">
        <f>IF(ISNONTEXT(deployment_raw[[#This Row],[Column4]]), "", deployment_raw[[#This Row],[Column4]])</f>
        <v/>
      </c>
      <c r="E958" s="7" t="str">
        <f>IF(ISNUMBER(deployment_raw[[#This Row],[Column5]]), deployment_raw[[#This Row],[Column5]],"")</f>
        <v/>
      </c>
      <c r="F958" s="32" t="str">
        <f>IF(ISNUMBER(deployment_raw[[#This Row],[Column17]]), deployment_raw[[#This Row],[Column17]]/IF(OR($E$2="Deployment",deployment_raw[[#This Row],[Column5]]=0),1,deployment_raw[[#This Row],[Column5]]),"")</f>
        <v/>
      </c>
      <c r="G958" s="42" t="str">
        <f>IF(ISNUMBER(deployment_raw[[#This Row],[Column14]]), deployment_raw[[#This Row],[Column14]]/IF(OR($E$2="Deployment",deployment_raw[[#This Row],[Column5]]=0),1,deployment_raw[[#This Row],[Column5]]),"")</f>
        <v/>
      </c>
      <c r="H958" s="79" t="str">
        <f>IF(ISNUMBER(deployment_raw[[#This Row],[Column19]]), IF(I958&lt;&gt;0,(deployment_raw[[#This Row],[Column19]]/IF(OR($E$2="Deployment",deployment_raw[[#This Row],[Column5]]=0),1,deployment_raw[[#This Row],[Column5]]))/I958,0),"")</f>
        <v/>
      </c>
      <c r="I958" s="69" t="str">
        <f>IF(ISNUMBER(deployment_raw[[#This Row],[Column6]]), (deployment_raw[[#This Row],[Column6]] * IF($E$2="Deployment",deployment_raw[[#This Row],[Column5]],1)),"")</f>
        <v/>
      </c>
      <c r="J958" s="79" t="str">
        <f>IF(ISNUMBER(deployment_raw[[#This Row],[Column19]]), IF(K958&lt;&gt;0,(deployment_raw[[#This Row],[Column19]]/IF(OR($E$2="Deployment",deployment_raw[[#This Row],[Column5]]=0),1,deployment_raw[[#This Row],[Column5]]))/K958,0),"")</f>
        <v/>
      </c>
      <c r="K958" s="72" t="str">
        <f>IF(ISNUMBER(deployment_raw[[#This Row],[Column8]]), (deployment_raw[[#This Row],[Column8]]  * IF($E$2="Deployment",deployment_raw[[#This Row],[Column5]],1)),"")</f>
        <v/>
      </c>
      <c r="L95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5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58" s="81" t="str">
        <f>IF(ISNUMBER(deployment_raw[[#This Row],[Column20]]), IF(O958&lt;&gt;0,deployment_raw[[#This Row],[Column20]]/IF(OR($E$2="Deployment",deployment_raw[[#This Row],[Column5]]=0),1,deployment_raw[[#This Row],[Column5]])/1048576/O958,0),"")</f>
        <v/>
      </c>
      <c r="O958" s="74" t="str">
        <f>IF(ISNUMBER(deployment_raw[[#This Row],[Column7]]), (deployment_raw[[#This Row],[Column7]] * IF($E$2="Deployment",deployment_raw[[#This Row],[Column5]],1))/1048576,"")</f>
        <v/>
      </c>
      <c r="P958" s="81" t="str">
        <f>IF(ISNUMBER(deployment_raw[[#This Row],[Column20]]), IF(Q958&lt;&gt;0,deployment_raw[[#This Row],[Column20]]/IF(OR($E$2="Deployment",deployment_raw[[#This Row],[Column5]]=0),1,deployment_raw[[#This Row],[Column5]])/1048576/Q958,0),"")</f>
        <v/>
      </c>
      <c r="Q958" s="76" t="str">
        <f>IF(ISNUMBER(deployment_raw[[#This Row],[Column9]]), (deployment_raw[[#This Row],[Column9]] * IF($E$2="Deployment",deployment_raw[[#This Row],[Column5]],1))/1048576,"")</f>
        <v/>
      </c>
      <c r="R958" s="57" t="str">
        <f>IF(ISNUMBER(deployment_raw[[#This Row],[Column10]]), (deployment_raw[[#This Row],[Column10]] * IF($E$2="Deployment",deployment_raw[[#This Row],[Column5]],1)),"")</f>
        <v/>
      </c>
      <c r="S958" s="48" t="str">
        <f>IF(ISNUMBER(deployment_raw[[#This Row],[Column11]]), (deployment_raw[[#This Row],[Column11]] * IF($E$2="Deployment",deployment_raw[[#This Row],[Column5]],1))/1048576,"")</f>
        <v/>
      </c>
      <c r="T958" s="59" t="str">
        <f>IF(ISNUMBER(deployment_raw[[#This Row],[Column8]]),IF(OR(deployment_raw[[#This Row],[Column5]] &lt;&gt; 0,$E$2 &lt;&gt; "Deployment"), MAX(V958, ($T$2 * IF($E$2="Deployment",deployment_raw[[#This Row],[Column5]],1))), 0),"")</f>
        <v/>
      </c>
      <c r="U958" s="50" t="str">
        <f>IF(ISNUMBER(deployment_raw[[#This Row],[Column9]]),IF(OR(deployment_raw[[#This Row],[Column5]] &lt;&gt; 0,$E$2&lt;&gt;"Deployment"), MAX(W958, ($U$2 * IF($E$2="Deployment",deployment_raw[[#This Row],[Column5]],1))), 0),"")</f>
        <v/>
      </c>
      <c r="V958" s="15" t="str">
        <f>IF(ISNUMBER(deployment_raw[[#This Row],[Column12]]), (deployment_raw[[#This Row],[Column12]] * IF($E$2="Deployment",deployment_raw[[#This Row],[Column5]],1)*(1+$V$2)),"")</f>
        <v/>
      </c>
      <c r="W958" s="14" t="str">
        <f>IF(ISNUMBER(deployment_raw[[#This Row],[Column13]]), (deployment_raw[[#This Row],[Column13]] * IF($E$2="Deployment",deployment_raw[[#This Row],[Column5]],1)*(1+$W$2))/1048576,"")</f>
        <v/>
      </c>
    </row>
    <row r="959" spans="1:23" ht="15" customHeight="1" x14ac:dyDescent="0.25">
      <c r="A959" s="5" t="str">
        <f>IF(ISNONTEXT(deployment_raw[[#This Row],[Column1]]), "", deployment_raw[[#This Row],[Column1]])</f>
        <v/>
      </c>
      <c r="B959" s="6" t="str">
        <f>IF(ISNONTEXT(deployment_raw[[#This Row],[Column2]]), "", deployment_raw[[#This Row],[Column2]])</f>
        <v/>
      </c>
      <c r="C959" s="6" t="str">
        <f>IF(ISNONTEXT(deployment_raw[[#This Row],[Column3]]), "", deployment_raw[[#This Row],[Column3]])</f>
        <v/>
      </c>
      <c r="D959" s="6" t="str">
        <f>IF(ISNONTEXT(deployment_raw[[#This Row],[Column4]]), "", deployment_raw[[#This Row],[Column4]])</f>
        <v/>
      </c>
      <c r="E959" s="7" t="str">
        <f>IF(ISNUMBER(deployment_raw[[#This Row],[Column5]]), deployment_raw[[#This Row],[Column5]],"")</f>
        <v/>
      </c>
      <c r="F959" s="32" t="str">
        <f>IF(ISNUMBER(deployment_raw[[#This Row],[Column17]]), deployment_raw[[#This Row],[Column17]]/IF(OR($E$2="Deployment",deployment_raw[[#This Row],[Column5]]=0),1,deployment_raw[[#This Row],[Column5]]),"")</f>
        <v/>
      </c>
      <c r="G959" s="42" t="str">
        <f>IF(ISNUMBER(deployment_raw[[#This Row],[Column14]]), deployment_raw[[#This Row],[Column14]]/IF(OR($E$2="Deployment",deployment_raw[[#This Row],[Column5]]=0),1,deployment_raw[[#This Row],[Column5]]),"")</f>
        <v/>
      </c>
      <c r="H959" s="79" t="str">
        <f>IF(ISNUMBER(deployment_raw[[#This Row],[Column19]]), IF(I959&lt;&gt;0,(deployment_raw[[#This Row],[Column19]]/IF(OR($E$2="Deployment",deployment_raw[[#This Row],[Column5]]=0),1,deployment_raw[[#This Row],[Column5]]))/I959,0),"")</f>
        <v/>
      </c>
      <c r="I959" s="69" t="str">
        <f>IF(ISNUMBER(deployment_raw[[#This Row],[Column6]]), (deployment_raw[[#This Row],[Column6]] * IF($E$2="Deployment",deployment_raw[[#This Row],[Column5]],1)),"")</f>
        <v/>
      </c>
      <c r="J959" s="79" t="str">
        <f>IF(ISNUMBER(deployment_raw[[#This Row],[Column19]]), IF(K959&lt;&gt;0,(deployment_raw[[#This Row],[Column19]]/IF(OR($E$2="Deployment",deployment_raw[[#This Row],[Column5]]=0),1,deployment_raw[[#This Row],[Column5]]))/K959,0),"")</f>
        <v/>
      </c>
      <c r="K959" s="72" t="str">
        <f>IF(ISNUMBER(deployment_raw[[#This Row],[Column8]]), (deployment_raw[[#This Row],[Column8]]  * IF($E$2="Deployment",deployment_raw[[#This Row],[Column5]],1)),"")</f>
        <v/>
      </c>
      <c r="L95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5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59" s="81" t="str">
        <f>IF(ISNUMBER(deployment_raw[[#This Row],[Column20]]), IF(O959&lt;&gt;0,deployment_raw[[#This Row],[Column20]]/IF(OR($E$2="Deployment",deployment_raw[[#This Row],[Column5]]=0),1,deployment_raw[[#This Row],[Column5]])/1048576/O959,0),"")</f>
        <v/>
      </c>
      <c r="O959" s="74" t="str">
        <f>IF(ISNUMBER(deployment_raw[[#This Row],[Column7]]), (deployment_raw[[#This Row],[Column7]] * IF($E$2="Deployment",deployment_raw[[#This Row],[Column5]],1))/1048576,"")</f>
        <v/>
      </c>
      <c r="P959" s="81" t="str">
        <f>IF(ISNUMBER(deployment_raw[[#This Row],[Column20]]), IF(Q959&lt;&gt;0,deployment_raw[[#This Row],[Column20]]/IF(OR($E$2="Deployment",deployment_raw[[#This Row],[Column5]]=0),1,deployment_raw[[#This Row],[Column5]])/1048576/Q959,0),"")</f>
        <v/>
      </c>
      <c r="Q959" s="76" t="str">
        <f>IF(ISNUMBER(deployment_raw[[#This Row],[Column9]]), (deployment_raw[[#This Row],[Column9]] * IF($E$2="Deployment",deployment_raw[[#This Row],[Column5]],1))/1048576,"")</f>
        <v/>
      </c>
      <c r="R959" s="57" t="str">
        <f>IF(ISNUMBER(deployment_raw[[#This Row],[Column10]]), (deployment_raw[[#This Row],[Column10]] * IF($E$2="Deployment",deployment_raw[[#This Row],[Column5]],1)),"")</f>
        <v/>
      </c>
      <c r="S959" s="48" t="str">
        <f>IF(ISNUMBER(deployment_raw[[#This Row],[Column11]]), (deployment_raw[[#This Row],[Column11]] * IF($E$2="Deployment",deployment_raw[[#This Row],[Column5]],1))/1048576,"")</f>
        <v/>
      </c>
      <c r="T959" s="59" t="str">
        <f>IF(ISNUMBER(deployment_raw[[#This Row],[Column8]]),IF(OR(deployment_raw[[#This Row],[Column5]] &lt;&gt; 0,$E$2 &lt;&gt; "Deployment"), MAX(V959, ($T$2 * IF($E$2="Deployment",deployment_raw[[#This Row],[Column5]],1))), 0),"")</f>
        <v/>
      </c>
      <c r="U959" s="50" t="str">
        <f>IF(ISNUMBER(deployment_raw[[#This Row],[Column9]]),IF(OR(deployment_raw[[#This Row],[Column5]] &lt;&gt; 0,$E$2&lt;&gt;"Deployment"), MAX(W959, ($U$2 * IF($E$2="Deployment",deployment_raw[[#This Row],[Column5]],1))), 0),"")</f>
        <v/>
      </c>
      <c r="V959" s="15" t="str">
        <f>IF(ISNUMBER(deployment_raw[[#This Row],[Column12]]), (deployment_raw[[#This Row],[Column12]] * IF($E$2="Deployment",deployment_raw[[#This Row],[Column5]],1)*(1+$V$2)),"")</f>
        <v/>
      </c>
      <c r="W959" s="14" t="str">
        <f>IF(ISNUMBER(deployment_raw[[#This Row],[Column13]]), (deployment_raw[[#This Row],[Column13]] * IF($E$2="Deployment",deployment_raw[[#This Row],[Column5]],1)*(1+$W$2))/1048576,"")</f>
        <v/>
      </c>
    </row>
    <row r="960" spans="1:23" ht="15" customHeight="1" x14ac:dyDescent="0.25">
      <c r="A960" s="5" t="str">
        <f>IF(ISNONTEXT(deployment_raw[[#This Row],[Column1]]), "", deployment_raw[[#This Row],[Column1]])</f>
        <v/>
      </c>
      <c r="B960" s="6" t="str">
        <f>IF(ISNONTEXT(deployment_raw[[#This Row],[Column2]]), "", deployment_raw[[#This Row],[Column2]])</f>
        <v/>
      </c>
      <c r="C960" s="6" t="str">
        <f>IF(ISNONTEXT(deployment_raw[[#This Row],[Column3]]), "", deployment_raw[[#This Row],[Column3]])</f>
        <v/>
      </c>
      <c r="D960" s="6" t="str">
        <f>IF(ISNONTEXT(deployment_raw[[#This Row],[Column4]]), "", deployment_raw[[#This Row],[Column4]])</f>
        <v/>
      </c>
      <c r="E960" s="7" t="str">
        <f>IF(ISNUMBER(deployment_raw[[#This Row],[Column5]]), deployment_raw[[#This Row],[Column5]],"")</f>
        <v/>
      </c>
      <c r="F960" s="32" t="str">
        <f>IF(ISNUMBER(deployment_raw[[#This Row],[Column17]]), deployment_raw[[#This Row],[Column17]]/IF(OR($E$2="Deployment",deployment_raw[[#This Row],[Column5]]=0),1,deployment_raw[[#This Row],[Column5]]),"")</f>
        <v/>
      </c>
      <c r="G960" s="42" t="str">
        <f>IF(ISNUMBER(deployment_raw[[#This Row],[Column14]]), deployment_raw[[#This Row],[Column14]]/IF(OR($E$2="Deployment",deployment_raw[[#This Row],[Column5]]=0),1,deployment_raw[[#This Row],[Column5]]),"")</f>
        <v/>
      </c>
      <c r="H960" s="79" t="str">
        <f>IF(ISNUMBER(deployment_raw[[#This Row],[Column19]]), IF(I960&lt;&gt;0,(deployment_raw[[#This Row],[Column19]]/IF(OR($E$2="Deployment",deployment_raw[[#This Row],[Column5]]=0),1,deployment_raw[[#This Row],[Column5]]))/I960,0),"")</f>
        <v/>
      </c>
      <c r="I960" s="69" t="str">
        <f>IF(ISNUMBER(deployment_raw[[#This Row],[Column6]]), (deployment_raw[[#This Row],[Column6]] * IF($E$2="Deployment",deployment_raw[[#This Row],[Column5]],1)),"")</f>
        <v/>
      </c>
      <c r="J960" s="79" t="str">
        <f>IF(ISNUMBER(deployment_raw[[#This Row],[Column19]]), IF(K960&lt;&gt;0,(deployment_raw[[#This Row],[Column19]]/IF(OR($E$2="Deployment",deployment_raw[[#This Row],[Column5]]=0),1,deployment_raw[[#This Row],[Column5]]))/K960,0),"")</f>
        <v/>
      </c>
      <c r="K960" s="72" t="str">
        <f>IF(ISNUMBER(deployment_raw[[#This Row],[Column8]]), (deployment_raw[[#This Row],[Column8]]  * IF($E$2="Deployment",deployment_raw[[#This Row],[Column5]],1)),"")</f>
        <v/>
      </c>
      <c r="L96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6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60" s="81" t="str">
        <f>IF(ISNUMBER(deployment_raw[[#This Row],[Column20]]), IF(O960&lt;&gt;0,deployment_raw[[#This Row],[Column20]]/IF(OR($E$2="Deployment",deployment_raw[[#This Row],[Column5]]=0),1,deployment_raw[[#This Row],[Column5]])/1048576/O960,0),"")</f>
        <v/>
      </c>
      <c r="O960" s="74" t="str">
        <f>IF(ISNUMBER(deployment_raw[[#This Row],[Column7]]), (deployment_raw[[#This Row],[Column7]] * IF($E$2="Deployment",deployment_raw[[#This Row],[Column5]],1))/1048576,"")</f>
        <v/>
      </c>
      <c r="P960" s="81" t="str">
        <f>IF(ISNUMBER(deployment_raw[[#This Row],[Column20]]), IF(Q960&lt;&gt;0,deployment_raw[[#This Row],[Column20]]/IF(OR($E$2="Deployment",deployment_raw[[#This Row],[Column5]]=0),1,deployment_raw[[#This Row],[Column5]])/1048576/Q960,0),"")</f>
        <v/>
      </c>
      <c r="Q960" s="76" t="str">
        <f>IF(ISNUMBER(deployment_raw[[#This Row],[Column9]]), (deployment_raw[[#This Row],[Column9]] * IF($E$2="Deployment",deployment_raw[[#This Row],[Column5]],1))/1048576,"")</f>
        <v/>
      </c>
      <c r="R960" s="57" t="str">
        <f>IF(ISNUMBER(deployment_raw[[#This Row],[Column10]]), (deployment_raw[[#This Row],[Column10]] * IF($E$2="Deployment",deployment_raw[[#This Row],[Column5]],1)),"")</f>
        <v/>
      </c>
      <c r="S960" s="48" t="str">
        <f>IF(ISNUMBER(deployment_raw[[#This Row],[Column11]]), (deployment_raw[[#This Row],[Column11]] * IF($E$2="Deployment",deployment_raw[[#This Row],[Column5]],1))/1048576,"")</f>
        <v/>
      </c>
      <c r="T960" s="59" t="str">
        <f>IF(ISNUMBER(deployment_raw[[#This Row],[Column8]]),IF(OR(deployment_raw[[#This Row],[Column5]] &lt;&gt; 0,$E$2 &lt;&gt; "Deployment"), MAX(V960, ($T$2 * IF($E$2="Deployment",deployment_raw[[#This Row],[Column5]],1))), 0),"")</f>
        <v/>
      </c>
      <c r="U960" s="50" t="str">
        <f>IF(ISNUMBER(deployment_raw[[#This Row],[Column9]]),IF(OR(deployment_raw[[#This Row],[Column5]] &lt;&gt; 0,$E$2&lt;&gt;"Deployment"), MAX(W960, ($U$2 * IF($E$2="Deployment",deployment_raw[[#This Row],[Column5]],1))), 0),"")</f>
        <v/>
      </c>
      <c r="V960" s="15" t="str">
        <f>IF(ISNUMBER(deployment_raw[[#This Row],[Column12]]), (deployment_raw[[#This Row],[Column12]] * IF($E$2="Deployment",deployment_raw[[#This Row],[Column5]],1)*(1+$V$2)),"")</f>
        <v/>
      </c>
      <c r="W960" s="14" t="str">
        <f>IF(ISNUMBER(deployment_raw[[#This Row],[Column13]]), (deployment_raw[[#This Row],[Column13]] * IF($E$2="Deployment",deployment_raw[[#This Row],[Column5]],1)*(1+$W$2))/1048576,"")</f>
        <v/>
      </c>
    </row>
    <row r="961" spans="1:23" ht="15" customHeight="1" x14ac:dyDescent="0.25">
      <c r="A961" s="5" t="str">
        <f>IF(ISNONTEXT(deployment_raw[[#This Row],[Column1]]), "", deployment_raw[[#This Row],[Column1]])</f>
        <v/>
      </c>
      <c r="B961" s="6" t="str">
        <f>IF(ISNONTEXT(deployment_raw[[#This Row],[Column2]]), "", deployment_raw[[#This Row],[Column2]])</f>
        <v/>
      </c>
      <c r="C961" s="6" t="str">
        <f>IF(ISNONTEXT(deployment_raw[[#This Row],[Column3]]), "", deployment_raw[[#This Row],[Column3]])</f>
        <v/>
      </c>
      <c r="D961" s="6" t="str">
        <f>IF(ISNONTEXT(deployment_raw[[#This Row],[Column4]]), "", deployment_raw[[#This Row],[Column4]])</f>
        <v/>
      </c>
      <c r="E961" s="7" t="str">
        <f>IF(ISNUMBER(deployment_raw[[#This Row],[Column5]]), deployment_raw[[#This Row],[Column5]],"")</f>
        <v/>
      </c>
      <c r="F961" s="32" t="str">
        <f>IF(ISNUMBER(deployment_raw[[#This Row],[Column17]]), deployment_raw[[#This Row],[Column17]]/IF(OR($E$2="Deployment",deployment_raw[[#This Row],[Column5]]=0),1,deployment_raw[[#This Row],[Column5]]),"")</f>
        <v/>
      </c>
      <c r="G961" s="42" t="str">
        <f>IF(ISNUMBER(deployment_raw[[#This Row],[Column14]]), deployment_raw[[#This Row],[Column14]]/IF(OR($E$2="Deployment",deployment_raw[[#This Row],[Column5]]=0),1,deployment_raw[[#This Row],[Column5]]),"")</f>
        <v/>
      </c>
      <c r="H961" s="79" t="str">
        <f>IF(ISNUMBER(deployment_raw[[#This Row],[Column19]]), IF(I961&lt;&gt;0,(deployment_raw[[#This Row],[Column19]]/IF(OR($E$2="Deployment",deployment_raw[[#This Row],[Column5]]=0),1,deployment_raw[[#This Row],[Column5]]))/I961,0),"")</f>
        <v/>
      </c>
      <c r="I961" s="69" t="str">
        <f>IF(ISNUMBER(deployment_raw[[#This Row],[Column6]]), (deployment_raw[[#This Row],[Column6]] * IF($E$2="Deployment",deployment_raw[[#This Row],[Column5]],1)),"")</f>
        <v/>
      </c>
      <c r="J961" s="79" t="str">
        <f>IF(ISNUMBER(deployment_raw[[#This Row],[Column19]]), IF(K961&lt;&gt;0,(deployment_raw[[#This Row],[Column19]]/IF(OR($E$2="Deployment",deployment_raw[[#This Row],[Column5]]=0),1,deployment_raw[[#This Row],[Column5]]))/K961,0),"")</f>
        <v/>
      </c>
      <c r="K961" s="72" t="str">
        <f>IF(ISNUMBER(deployment_raw[[#This Row],[Column8]]), (deployment_raw[[#This Row],[Column8]]  * IF($E$2="Deployment",deployment_raw[[#This Row],[Column5]],1)),"")</f>
        <v/>
      </c>
      <c r="L96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6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61" s="81" t="str">
        <f>IF(ISNUMBER(deployment_raw[[#This Row],[Column20]]), IF(O961&lt;&gt;0,deployment_raw[[#This Row],[Column20]]/IF(OR($E$2="Deployment",deployment_raw[[#This Row],[Column5]]=0),1,deployment_raw[[#This Row],[Column5]])/1048576/O961,0),"")</f>
        <v/>
      </c>
      <c r="O961" s="74" t="str">
        <f>IF(ISNUMBER(deployment_raw[[#This Row],[Column7]]), (deployment_raw[[#This Row],[Column7]] * IF($E$2="Deployment",deployment_raw[[#This Row],[Column5]],1))/1048576,"")</f>
        <v/>
      </c>
      <c r="P961" s="81" t="str">
        <f>IF(ISNUMBER(deployment_raw[[#This Row],[Column20]]), IF(Q961&lt;&gt;0,deployment_raw[[#This Row],[Column20]]/IF(OR($E$2="Deployment",deployment_raw[[#This Row],[Column5]]=0),1,deployment_raw[[#This Row],[Column5]])/1048576/Q961,0),"")</f>
        <v/>
      </c>
      <c r="Q961" s="76" t="str">
        <f>IF(ISNUMBER(deployment_raw[[#This Row],[Column9]]), (deployment_raw[[#This Row],[Column9]] * IF($E$2="Deployment",deployment_raw[[#This Row],[Column5]],1))/1048576,"")</f>
        <v/>
      </c>
      <c r="R961" s="57" t="str">
        <f>IF(ISNUMBER(deployment_raw[[#This Row],[Column10]]), (deployment_raw[[#This Row],[Column10]] * IF($E$2="Deployment",deployment_raw[[#This Row],[Column5]],1)),"")</f>
        <v/>
      </c>
      <c r="S961" s="48" t="str">
        <f>IF(ISNUMBER(deployment_raw[[#This Row],[Column11]]), (deployment_raw[[#This Row],[Column11]] * IF($E$2="Deployment",deployment_raw[[#This Row],[Column5]],1))/1048576,"")</f>
        <v/>
      </c>
      <c r="T961" s="59" t="str">
        <f>IF(ISNUMBER(deployment_raw[[#This Row],[Column8]]),IF(OR(deployment_raw[[#This Row],[Column5]] &lt;&gt; 0,$E$2 &lt;&gt; "Deployment"), MAX(V961, ($T$2 * IF($E$2="Deployment",deployment_raw[[#This Row],[Column5]],1))), 0),"")</f>
        <v/>
      </c>
      <c r="U961" s="50" t="str">
        <f>IF(ISNUMBER(deployment_raw[[#This Row],[Column9]]),IF(OR(deployment_raw[[#This Row],[Column5]] &lt;&gt; 0,$E$2&lt;&gt;"Deployment"), MAX(W961, ($U$2 * IF($E$2="Deployment",deployment_raw[[#This Row],[Column5]],1))), 0),"")</f>
        <v/>
      </c>
      <c r="V961" s="15" t="str">
        <f>IF(ISNUMBER(deployment_raw[[#This Row],[Column12]]), (deployment_raw[[#This Row],[Column12]] * IF($E$2="Deployment",deployment_raw[[#This Row],[Column5]],1)*(1+$V$2)),"")</f>
        <v/>
      </c>
      <c r="W961" s="14" t="str">
        <f>IF(ISNUMBER(deployment_raw[[#This Row],[Column13]]), (deployment_raw[[#This Row],[Column13]] * IF($E$2="Deployment",deployment_raw[[#This Row],[Column5]],1)*(1+$W$2))/1048576,"")</f>
        <v/>
      </c>
    </row>
    <row r="962" spans="1:23" ht="15" customHeight="1" x14ac:dyDescent="0.25">
      <c r="A962" s="5" t="str">
        <f>IF(ISNONTEXT(deployment_raw[[#This Row],[Column1]]), "", deployment_raw[[#This Row],[Column1]])</f>
        <v/>
      </c>
      <c r="B962" s="6" t="str">
        <f>IF(ISNONTEXT(deployment_raw[[#This Row],[Column2]]), "", deployment_raw[[#This Row],[Column2]])</f>
        <v/>
      </c>
      <c r="C962" s="6" t="str">
        <f>IF(ISNONTEXT(deployment_raw[[#This Row],[Column3]]), "", deployment_raw[[#This Row],[Column3]])</f>
        <v/>
      </c>
      <c r="D962" s="6" t="str">
        <f>IF(ISNONTEXT(deployment_raw[[#This Row],[Column4]]), "", deployment_raw[[#This Row],[Column4]])</f>
        <v/>
      </c>
      <c r="E962" s="7" t="str">
        <f>IF(ISNUMBER(deployment_raw[[#This Row],[Column5]]), deployment_raw[[#This Row],[Column5]],"")</f>
        <v/>
      </c>
      <c r="F962" s="32" t="str">
        <f>IF(ISNUMBER(deployment_raw[[#This Row],[Column17]]), deployment_raw[[#This Row],[Column17]]/IF(OR($E$2="Deployment",deployment_raw[[#This Row],[Column5]]=0),1,deployment_raw[[#This Row],[Column5]]),"")</f>
        <v/>
      </c>
      <c r="G962" s="42" t="str">
        <f>IF(ISNUMBER(deployment_raw[[#This Row],[Column14]]), deployment_raw[[#This Row],[Column14]]/IF(OR($E$2="Deployment",deployment_raw[[#This Row],[Column5]]=0),1,deployment_raw[[#This Row],[Column5]]),"")</f>
        <v/>
      </c>
      <c r="H962" s="79" t="str">
        <f>IF(ISNUMBER(deployment_raw[[#This Row],[Column19]]), IF(I962&lt;&gt;0,(deployment_raw[[#This Row],[Column19]]/IF(OR($E$2="Deployment",deployment_raw[[#This Row],[Column5]]=0),1,deployment_raw[[#This Row],[Column5]]))/I962,0),"")</f>
        <v/>
      </c>
      <c r="I962" s="69" t="str">
        <f>IF(ISNUMBER(deployment_raw[[#This Row],[Column6]]), (deployment_raw[[#This Row],[Column6]] * IF($E$2="Deployment",deployment_raw[[#This Row],[Column5]],1)),"")</f>
        <v/>
      </c>
      <c r="J962" s="79" t="str">
        <f>IF(ISNUMBER(deployment_raw[[#This Row],[Column19]]), IF(K962&lt;&gt;0,(deployment_raw[[#This Row],[Column19]]/IF(OR($E$2="Deployment",deployment_raw[[#This Row],[Column5]]=0),1,deployment_raw[[#This Row],[Column5]]))/K962,0),"")</f>
        <v/>
      </c>
      <c r="K962" s="72" t="str">
        <f>IF(ISNUMBER(deployment_raw[[#This Row],[Column8]]), (deployment_raw[[#This Row],[Column8]]  * IF($E$2="Deployment",deployment_raw[[#This Row],[Column5]],1)),"")</f>
        <v/>
      </c>
      <c r="L96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6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62" s="81" t="str">
        <f>IF(ISNUMBER(deployment_raw[[#This Row],[Column20]]), IF(O962&lt;&gt;0,deployment_raw[[#This Row],[Column20]]/IF(OR($E$2="Deployment",deployment_raw[[#This Row],[Column5]]=0),1,deployment_raw[[#This Row],[Column5]])/1048576/O962,0),"")</f>
        <v/>
      </c>
      <c r="O962" s="74" t="str">
        <f>IF(ISNUMBER(deployment_raw[[#This Row],[Column7]]), (deployment_raw[[#This Row],[Column7]] * IF($E$2="Deployment",deployment_raw[[#This Row],[Column5]],1))/1048576,"")</f>
        <v/>
      </c>
      <c r="P962" s="81" t="str">
        <f>IF(ISNUMBER(deployment_raw[[#This Row],[Column20]]), IF(Q962&lt;&gt;0,deployment_raw[[#This Row],[Column20]]/IF(OR($E$2="Deployment",deployment_raw[[#This Row],[Column5]]=0),1,deployment_raw[[#This Row],[Column5]])/1048576/Q962,0),"")</f>
        <v/>
      </c>
      <c r="Q962" s="76" t="str">
        <f>IF(ISNUMBER(deployment_raw[[#This Row],[Column9]]), (deployment_raw[[#This Row],[Column9]] * IF($E$2="Deployment",deployment_raw[[#This Row],[Column5]],1))/1048576,"")</f>
        <v/>
      </c>
      <c r="R962" s="57" t="str">
        <f>IF(ISNUMBER(deployment_raw[[#This Row],[Column10]]), (deployment_raw[[#This Row],[Column10]] * IF($E$2="Deployment",deployment_raw[[#This Row],[Column5]],1)),"")</f>
        <v/>
      </c>
      <c r="S962" s="48" t="str">
        <f>IF(ISNUMBER(deployment_raw[[#This Row],[Column11]]), (deployment_raw[[#This Row],[Column11]] * IF($E$2="Deployment",deployment_raw[[#This Row],[Column5]],1))/1048576,"")</f>
        <v/>
      </c>
      <c r="T962" s="59" t="str">
        <f>IF(ISNUMBER(deployment_raw[[#This Row],[Column8]]),IF(OR(deployment_raw[[#This Row],[Column5]] &lt;&gt; 0,$E$2 &lt;&gt; "Deployment"), MAX(V962, ($T$2 * IF($E$2="Deployment",deployment_raw[[#This Row],[Column5]],1))), 0),"")</f>
        <v/>
      </c>
      <c r="U962" s="50" t="str">
        <f>IF(ISNUMBER(deployment_raw[[#This Row],[Column9]]),IF(OR(deployment_raw[[#This Row],[Column5]] &lt;&gt; 0,$E$2&lt;&gt;"Deployment"), MAX(W962, ($U$2 * IF($E$2="Deployment",deployment_raw[[#This Row],[Column5]],1))), 0),"")</f>
        <v/>
      </c>
      <c r="V962" s="15" t="str">
        <f>IF(ISNUMBER(deployment_raw[[#This Row],[Column12]]), (deployment_raw[[#This Row],[Column12]] * IF($E$2="Deployment",deployment_raw[[#This Row],[Column5]],1)*(1+$V$2)),"")</f>
        <v/>
      </c>
      <c r="W962" s="14" t="str">
        <f>IF(ISNUMBER(deployment_raw[[#This Row],[Column13]]), (deployment_raw[[#This Row],[Column13]] * IF($E$2="Deployment",deployment_raw[[#This Row],[Column5]],1)*(1+$W$2))/1048576,"")</f>
        <v/>
      </c>
    </row>
    <row r="963" spans="1:23" ht="15" customHeight="1" x14ac:dyDescent="0.25">
      <c r="A963" s="5" t="str">
        <f>IF(ISNONTEXT(deployment_raw[[#This Row],[Column1]]), "", deployment_raw[[#This Row],[Column1]])</f>
        <v/>
      </c>
      <c r="B963" s="6" t="str">
        <f>IF(ISNONTEXT(deployment_raw[[#This Row],[Column2]]), "", deployment_raw[[#This Row],[Column2]])</f>
        <v/>
      </c>
      <c r="C963" s="6" t="str">
        <f>IF(ISNONTEXT(deployment_raw[[#This Row],[Column3]]), "", deployment_raw[[#This Row],[Column3]])</f>
        <v/>
      </c>
      <c r="D963" s="6" t="str">
        <f>IF(ISNONTEXT(deployment_raw[[#This Row],[Column4]]), "", deployment_raw[[#This Row],[Column4]])</f>
        <v/>
      </c>
      <c r="E963" s="7" t="str">
        <f>IF(ISNUMBER(deployment_raw[[#This Row],[Column5]]), deployment_raw[[#This Row],[Column5]],"")</f>
        <v/>
      </c>
      <c r="F963" s="32" t="str">
        <f>IF(ISNUMBER(deployment_raw[[#This Row],[Column17]]), deployment_raw[[#This Row],[Column17]]/IF(OR($E$2="Deployment",deployment_raw[[#This Row],[Column5]]=0),1,deployment_raw[[#This Row],[Column5]]),"")</f>
        <v/>
      </c>
      <c r="G963" s="42" t="str">
        <f>IF(ISNUMBER(deployment_raw[[#This Row],[Column14]]), deployment_raw[[#This Row],[Column14]]/IF(OR($E$2="Deployment",deployment_raw[[#This Row],[Column5]]=0),1,deployment_raw[[#This Row],[Column5]]),"")</f>
        <v/>
      </c>
      <c r="H963" s="79" t="str">
        <f>IF(ISNUMBER(deployment_raw[[#This Row],[Column19]]), IF(I963&lt;&gt;0,(deployment_raw[[#This Row],[Column19]]/IF(OR($E$2="Deployment",deployment_raw[[#This Row],[Column5]]=0),1,deployment_raw[[#This Row],[Column5]]))/I963,0),"")</f>
        <v/>
      </c>
      <c r="I963" s="69" t="str">
        <f>IF(ISNUMBER(deployment_raw[[#This Row],[Column6]]), (deployment_raw[[#This Row],[Column6]] * IF($E$2="Deployment",deployment_raw[[#This Row],[Column5]],1)),"")</f>
        <v/>
      </c>
      <c r="J963" s="79" t="str">
        <f>IF(ISNUMBER(deployment_raw[[#This Row],[Column19]]), IF(K963&lt;&gt;0,(deployment_raw[[#This Row],[Column19]]/IF(OR($E$2="Deployment",deployment_raw[[#This Row],[Column5]]=0),1,deployment_raw[[#This Row],[Column5]]))/K963,0),"")</f>
        <v/>
      </c>
      <c r="K963" s="72" t="str">
        <f>IF(ISNUMBER(deployment_raw[[#This Row],[Column8]]), (deployment_raw[[#This Row],[Column8]]  * IF($E$2="Deployment",deployment_raw[[#This Row],[Column5]],1)),"")</f>
        <v/>
      </c>
      <c r="L96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6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63" s="81" t="str">
        <f>IF(ISNUMBER(deployment_raw[[#This Row],[Column20]]), IF(O963&lt;&gt;0,deployment_raw[[#This Row],[Column20]]/IF(OR($E$2="Deployment",deployment_raw[[#This Row],[Column5]]=0),1,deployment_raw[[#This Row],[Column5]])/1048576/O963,0),"")</f>
        <v/>
      </c>
      <c r="O963" s="74" t="str">
        <f>IF(ISNUMBER(deployment_raw[[#This Row],[Column7]]), (deployment_raw[[#This Row],[Column7]] * IF($E$2="Deployment",deployment_raw[[#This Row],[Column5]],1))/1048576,"")</f>
        <v/>
      </c>
      <c r="P963" s="81" t="str">
        <f>IF(ISNUMBER(deployment_raw[[#This Row],[Column20]]), IF(Q963&lt;&gt;0,deployment_raw[[#This Row],[Column20]]/IF(OR($E$2="Deployment",deployment_raw[[#This Row],[Column5]]=0),1,deployment_raw[[#This Row],[Column5]])/1048576/Q963,0),"")</f>
        <v/>
      </c>
      <c r="Q963" s="76" t="str">
        <f>IF(ISNUMBER(deployment_raw[[#This Row],[Column9]]), (deployment_raw[[#This Row],[Column9]] * IF($E$2="Deployment",deployment_raw[[#This Row],[Column5]],1))/1048576,"")</f>
        <v/>
      </c>
      <c r="R963" s="57" t="str">
        <f>IF(ISNUMBER(deployment_raw[[#This Row],[Column10]]), (deployment_raw[[#This Row],[Column10]] * IF($E$2="Deployment",deployment_raw[[#This Row],[Column5]],1)),"")</f>
        <v/>
      </c>
      <c r="S963" s="48" t="str">
        <f>IF(ISNUMBER(deployment_raw[[#This Row],[Column11]]), (deployment_raw[[#This Row],[Column11]] * IF($E$2="Deployment",deployment_raw[[#This Row],[Column5]],1))/1048576,"")</f>
        <v/>
      </c>
      <c r="T963" s="59" t="str">
        <f>IF(ISNUMBER(deployment_raw[[#This Row],[Column8]]),IF(OR(deployment_raw[[#This Row],[Column5]] &lt;&gt; 0,$E$2 &lt;&gt; "Deployment"), MAX(V963, ($T$2 * IF($E$2="Deployment",deployment_raw[[#This Row],[Column5]],1))), 0),"")</f>
        <v/>
      </c>
      <c r="U963" s="50" t="str">
        <f>IF(ISNUMBER(deployment_raw[[#This Row],[Column9]]),IF(OR(deployment_raw[[#This Row],[Column5]] &lt;&gt; 0,$E$2&lt;&gt;"Deployment"), MAX(W963, ($U$2 * IF($E$2="Deployment",deployment_raw[[#This Row],[Column5]],1))), 0),"")</f>
        <v/>
      </c>
      <c r="V963" s="15" t="str">
        <f>IF(ISNUMBER(deployment_raw[[#This Row],[Column12]]), (deployment_raw[[#This Row],[Column12]] * IF($E$2="Deployment",deployment_raw[[#This Row],[Column5]],1)*(1+$V$2)),"")</f>
        <v/>
      </c>
      <c r="W963" s="14" t="str">
        <f>IF(ISNUMBER(deployment_raw[[#This Row],[Column13]]), (deployment_raw[[#This Row],[Column13]] * IF($E$2="Deployment",deployment_raw[[#This Row],[Column5]],1)*(1+$W$2))/1048576,"")</f>
        <v/>
      </c>
    </row>
    <row r="964" spans="1:23" ht="15" customHeight="1" x14ac:dyDescent="0.25">
      <c r="A964" s="5" t="str">
        <f>IF(ISNONTEXT(deployment_raw[[#This Row],[Column1]]), "", deployment_raw[[#This Row],[Column1]])</f>
        <v/>
      </c>
      <c r="B964" s="6" t="str">
        <f>IF(ISNONTEXT(deployment_raw[[#This Row],[Column2]]), "", deployment_raw[[#This Row],[Column2]])</f>
        <v/>
      </c>
      <c r="C964" s="6" t="str">
        <f>IF(ISNONTEXT(deployment_raw[[#This Row],[Column3]]), "", deployment_raw[[#This Row],[Column3]])</f>
        <v/>
      </c>
      <c r="D964" s="6" t="str">
        <f>IF(ISNONTEXT(deployment_raw[[#This Row],[Column4]]), "", deployment_raw[[#This Row],[Column4]])</f>
        <v/>
      </c>
      <c r="E964" s="7" t="str">
        <f>IF(ISNUMBER(deployment_raw[[#This Row],[Column5]]), deployment_raw[[#This Row],[Column5]],"")</f>
        <v/>
      </c>
      <c r="F964" s="32" t="str">
        <f>IF(ISNUMBER(deployment_raw[[#This Row],[Column17]]), deployment_raw[[#This Row],[Column17]]/IF(OR($E$2="Deployment",deployment_raw[[#This Row],[Column5]]=0),1,deployment_raw[[#This Row],[Column5]]),"")</f>
        <v/>
      </c>
      <c r="G964" s="42" t="str">
        <f>IF(ISNUMBER(deployment_raw[[#This Row],[Column14]]), deployment_raw[[#This Row],[Column14]]/IF(OR($E$2="Deployment",deployment_raw[[#This Row],[Column5]]=0),1,deployment_raw[[#This Row],[Column5]]),"")</f>
        <v/>
      </c>
      <c r="H964" s="79" t="str">
        <f>IF(ISNUMBER(deployment_raw[[#This Row],[Column19]]), IF(I964&lt;&gt;0,(deployment_raw[[#This Row],[Column19]]/IF(OR($E$2="Deployment",deployment_raw[[#This Row],[Column5]]=0),1,deployment_raw[[#This Row],[Column5]]))/I964,0),"")</f>
        <v/>
      </c>
      <c r="I964" s="69" t="str">
        <f>IF(ISNUMBER(deployment_raw[[#This Row],[Column6]]), (deployment_raw[[#This Row],[Column6]] * IF($E$2="Deployment",deployment_raw[[#This Row],[Column5]],1)),"")</f>
        <v/>
      </c>
      <c r="J964" s="79" t="str">
        <f>IF(ISNUMBER(deployment_raw[[#This Row],[Column19]]), IF(K964&lt;&gt;0,(deployment_raw[[#This Row],[Column19]]/IF(OR($E$2="Deployment",deployment_raw[[#This Row],[Column5]]=0),1,deployment_raw[[#This Row],[Column5]]))/K964,0),"")</f>
        <v/>
      </c>
      <c r="K964" s="72" t="str">
        <f>IF(ISNUMBER(deployment_raw[[#This Row],[Column8]]), (deployment_raw[[#This Row],[Column8]]  * IF($E$2="Deployment",deployment_raw[[#This Row],[Column5]],1)),"")</f>
        <v/>
      </c>
      <c r="L96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6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64" s="81" t="str">
        <f>IF(ISNUMBER(deployment_raw[[#This Row],[Column20]]), IF(O964&lt;&gt;0,deployment_raw[[#This Row],[Column20]]/IF(OR($E$2="Deployment",deployment_raw[[#This Row],[Column5]]=0),1,deployment_raw[[#This Row],[Column5]])/1048576/O964,0),"")</f>
        <v/>
      </c>
      <c r="O964" s="74" t="str">
        <f>IF(ISNUMBER(deployment_raw[[#This Row],[Column7]]), (deployment_raw[[#This Row],[Column7]] * IF($E$2="Deployment",deployment_raw[[#This Row],[Column5]],1))/1048576,"")</f>
        <v/>
      </c>
      <c r="P964" s="81" t="str">
        <f>IF(ISNUMBER(deployment_raw[[#This Row],[Column20]]), IF(Q964&lt;&gt;0,deployment_raw[[#This Row],[Column20]]/IF(OR($E$2="Deployment",deployment_raw[[#This Row],[Column5]]=0),1,deployment_raw[[#This Row],[Column5]])/1048576/Q964,0),"")</f>
        <v/>
      </c>
      <c r="Q964" s="76" t="str">
        <f>IF(ISNUMBER(deployment_raw[[#This Row],[Column9]]), (deployment_raw[[#This Row],[Column9]] * IF($E$2="Deployment",deployment_raw[[#This Row],[Column5]],1))/1048576,"")</f>
        <v/>
      </c>
      <c r="R964" s="57" t="str">
        <f>IF(ISNUMBER(deployment_raw[[#This Row],[Column10]]), (deployment_raw[[#This Row],[Column10]] * IF($E$2="Deployment",deployment_raw[[#This Row],[Column5]],1)),"")</f>
        <v/>
      </c>
      <c r="S964" s="48" t="str">
        <f>IF(ISNUMBER(deployment_raw[[#This Row],[Column11]]), (deployment_raw[[#This Row],[Column11]] * IF($E$2="Deployment",deployment_raw[[#This Row],[Column5]],1))/1048576,"")</f>
        <v/>
      </c>
      <c r="T964" s="59" t="str">
        <f>IF(ISNUMBER(deployment_raw[[#This Row],[Column8]]),IF(OR(deployment_raw[[#This Row],[Column5]] &lt;&gt; 0,$E$2 &lt;&gt; "Deployment"), MAX(V964, ($T$2 * IF($E$2="Deployment",deployment_raw[[#This Row],[Column5]],1))), 0),"")</f>
        <v/>
      </c>
      <c r="U964" s="50" t="str">
        <f>IF(ISNUMBER(deployment_raw[[#This Row],[Column9]]),IF(OR(deployment_raw[[#This Row],[Column5]] &lt;&gt; 0,$E$2&lt;&gt;"Deployment"), MAX(W964, ($U$2 * IF($E$2="Deployment",deployment_raw[[#This Row],[Column5]],1))), 0),"")</f>
        <v/>
      </c>
      <c r="V964" s="15" t="str">
        <f>IF(ISNUMBER(deployment_raw[[#This Row],[Column12]]), (deployment_raw[[#This Row],[Column12]] * IF($E$2="Deployment",deployment_raw[[#This Row],[Column5]],1)*(1+$V$2)),"")</f>
        <v/>
      </c>
      <c r="W964" s="14" t="str">
        <f>IF(ISNUMBER(deployment_raw[[#This Row],[Column13]]), (deployment_raw[[#This Row],[Column13]] * IF($E$2="Deployment",deployment_raw[[#This Row],[Column5]],1)*(1+$W$2))/1048576,"")</f>
        <v/>
      </c>
    </row>
    <row r="965" spans="1:23" ht="15" customHeight="1" x14ac:dyDescent="0.25">
      <c r="A965" s="5" t="str">
        <f>IF(ISNONTEXT(deployment_raw[[#This Row],[Column1]]), "", deployment_raw[[#This Row],[Column1]])</f>
        <v/>
      </c>
      <c r="B965" s="6" t="str">
        <f>IF(ISNONTEXT(deployment_raw[[#This Row],[Column2]]), "", deployment_raw[[#This Row],[Column2]])</f>
        <v/>
      </c>
      <c r="C965" s="6" t="str">
        <f>IF(ISNONTEXT(deployment_raw[[#This Row],[Column3]]), "", deployment_raw[[#This Row],[Column3]])</f>
        <v/>
      </c>
      <c r="D965" s="6" t="str">
        <f>IF(ISNONTEXT(deployment_raw[[#This Row],[Column4]]), "", deployment_raw[[#This Row],[Column4]])</f>
        <v/>
      </c>
      <c r="E965" s="7" t="str">
        <f>IF(ISNUMBER(deployment_raw[[#This Row],[Column5]]), deployment_raw[[#This Row],[Column5]],"")</f>
        <v/>
      </c>
      <c r="F965" s="32" t="str">
        <f>IF(ISNUMBER(deployment_raw[[#This Row],[Column17]]), deployment_raw[[#This Row],[Column17]]/IF(OR($E$2="Deployment",deployment_raw[[#This Row],[Column5]]=0),1,deployment_raw[[#This Row],[Column5]]),"")</f>
        <v/>
      </c>
      <c r="G965" s="42" t="str">
        <f>IF(ISNUMBER(deployment_raw[[#This Row],[Column14]]), deployment_raw[[#This Row],[Column14]]/IF(OR($E$2="Deployment",deployment_raw[[#This Row],[Column5]]=0),1,deployment_raw[[#This Row],[Column5]]),"")</f>
        <v/>
      </c>
      <c r="H965" s="79" t="str">
        <f>IF(ISNUMBER(deployment_raw[[#This Row],[Column19]]), IF(I965&lt;&gt;0,(deployment_raw[[#This Row],[Column19]]/IF(OR($E$2="Deployment",deployment_raw[[#This Row],[Column5]]=0),1,deployment_raw[[#This Row],[Column5]]))/I965,0),"")</f>
        <v/>
      </c>
      <c r="I965" s="69" t="str">
        <f>IF(ISNUMBER(deployment_raw[[#This Row],[Column6]]), (deployment_raw[[#This Row],[Column6]] * IF($E$2="Deployment",deployment_raw[[#This Row],[Column5]],1)),"")</f>
        <v/>
      </c>
      <c r="J965" s="79" t="str">
        <f>IF(ISNUMBER(deployment_raw[[#This Row],[Column19]]), IF(K965&lt;&gt;0,(deployment_raw[[#This Row],[Column19]]/IF(OR($E$2="Deployment",deployment_raw[[#This Row],[Column5]]=0),1,deployment_raw[[#This Row],[Column5]]))/K965,0),"")</f>
        <v/>
      </c>
      <c r="K965" s="72" t="str">
        <f>IF(ISNUMBER(deployment_raw[[#This Row],[Column8]]), (deployment_raw[[#This Row],[Column8]]  * IF($E$2="Deployment",deployment_raw[[#This Row],[Column5]],1)),"")</f>
        <v/>
      </c>
      <c r="L96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6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65" s="81" t="str">
        <f>IF(ISNUMBER(deployment_raw[[#This Row],[Column20]]), IF(O965&lt;&gt;0,deployment_raw[[#This Row],[Column20]]/IF(OR($E$2="Deployment",deployment_raw[[#This Row],[Column5]]=0),1,deployment_raw[[#This Row],[Column5]])/1048576/O965,0),"")</f>
        <v/>
      </c>
      <c r="O965" s="74" t="str">
        <f>IF(ISNUMBER(deployment_raw[[#This Row],[Column7]]), (deployment_raw[[#This Row],[Column7]] * IF($E$2="Deployment",deployment_raw[[#This Row],[Column5]],1))/1048576,"")</f>
        <v/>
      </c>
      <c r="P965" s="81" t="str">
        <f>IF(ISNUMBER(deployment_raw[[#This Row],[Column20]]), IF(Q965&lt;&gt;0,deployment_raw[[#This Row],[Column20]]/IF(OR($E$2="Deployment",deployment_raw[[#This Row],[Column5]]=0),1,deployment_raw[[#This Row],[Column5]])/1048576/Q965,0),"")</f>
        <v/>
      </c>
      <c r="Q965" s="76" t="str">
        <f>IF(ISNUMBER(deployment_raw[[#This Row],[Column9]]), (deployment_raw[[#This Row],[Column9]] * IF($E$2="Deployment",deployment_raw[[#This Row],[Column5]],1))/1048576,"")</f>
        <v/>
      </c>
      <c r="R965" s="57" t="str">
        <f>IF(ISNUMBER(deployment_raw[[#This Row],[Column10]]), (deployment_raw[[#This Row],[Column10]] * IF($E$2="Deployment",deployment_raw[[#This Row],[Column5]],1)),"")</f>
        <v/>
      </c>
      <c r="S965" s="48" t="str">
        <f>IF(ISNUMBER(deployment_raw[[#This Row],[Column11]]), (deployment_raw[[#This Row],[Column11]] * IF($E$2="Deployment",deployment_raw[[#This Row],[Column5]],1))/1048576,"")</f>
        <v/>
      </c>
      <c r="T965" s="59" t="str">
        <f>IF(ISNUMBER(deployment_raw[[#This Row],[Column8]]),IF(OR(deployment_raw[[#This Row],[Column5]] &lt;&gt; 0,$E$2 &lt;&gt; "Deployment"), MAX(V965, ($T$2 * IF($E$2="Deployment",deployment_raw[[#This Row],[Column5]],1))), 0),"")</f>
        <v/>
      </c>
      <c r="U965" s="50" t="str">
        <f>IF(ISNUMBER(deployment_raw[[#This Row],[Column9]]),IF(OR(deployment_raw[[#This Row],[Column5]] &lt;&gt; 0,$E$2&lt;&gt;"Deployment"), MAX(W965, ($U$2 * IF($E$2="Deployment",deployment_raw[[#This Row],[Column5]],1))), 0),"")</f>
        <v/>
      </c>
      <c r="V965" s="15" t="str">
        <f>IF(ISNUMBER(deployment_raw[[#This Row],[Column12]]), (deployment_raw[[#This Row],[Column12]] * IF($E$2="Deployment",deployment_raw[[#This Row],[Column5]],1)*(1+$V$2)),"")</f>
        <v/>
      </c>
      <c r="W965" s="14" t="str">
        <f>IF(ISNUMBER(deployment_raw[[#This Row],[Column13]]), (deployment_raw[[#This Row],[Column13]] * IF($E$2="Deployment",deployment_raw[[#This Row],[Column5]],1)*(1+$W$2))/1048576,"")</f>
        <v/>
      </c>
    </row>
    <row r="966" spans="1:23" ht="15" customHeight="1" x14ac:dyDescent="0.25">
      <c r="A966" s="5" t="str">
        <f>IF(ISNONTEXT(deployment_raw[[#This Row],[Column1]]), "", deployment_raw[[#This Row],[Column1]])</f>
        <v/>
      </c>
      <c r="B966" s="6" t="str">
        <f>IF(ISNONTEXT(deployment_raw[[#This Row],[Column2]]), "", deployment_raw[[#This Row],[Column2]])</f>
        <v/>
      </c>
      <c r="C966" s="6" t="str">
        <f>IF(ISNONTEXT(deployment_raw[[#This Row],[Column3]]), "", deployment_raw[[#This Row],[Column3]])</f>
        <v/>
      </c>
      <c r="D966" s="6" t="str">
        <f>IF(ISNONTEXT(deployment_raw[[#This Row],[Column4]]), "", deployment_raw[[#This Row],[Column4]])</f>
        <v/>
      </c>
      <c r="E966" s="7" t="str">
        <f>IF(ISNUMBER(deployment_raw[[#This Row],[Column5]]), deployment_raw[[#This Row],[Column5]],"")</f>
        <v/>
      </c>
      <c r="F966" s="32" t="str">
        <f>IF(ISNUMBER(deployment_raw[[#This Row],[Column17]]), deployment_raw[[#This Row],[Column17]]/IF(OR($E$2="Deployment",deployment_raw[[#This Row],[Column5]]=0),1,deployment_raw[[#This Row],[Column5]]),"")</f>
        <v/>
      </c>
      <c r="G966" s="42" t="str">
        <f>IF(ISNUMBER(deployment_raw[[#This Row],[Column14]]), deployment_raw[[#This Row],[Column14]]/IF(OR($E$2="Deployment",deployment_raw[[#This Row],[Column5]]=0),1,deployment_raw[[#This Row],[Column5]]),"")</f>
        <v/>
      </c>
      <c r="H966" s="79" t="str">
        <f>IF(ISNUMBER(deployment_raw[[#This Row],[Column19]]), IF(I966&lt;&gt;0,(deployment_raw[[#This Row],[Column19]]/IF(OR($E$2="Deployment",deployment_raw[[#This Row],[Column5]]=0),1,deployment_raw[[#This Row],[Column5]]))/I966,0),"")</f>
        <v/>
      </c>
      <c r="I966" s="69" t="str">
        <f>IF(ISNUMBER(deployment_raw[[#This Row],[Column6]]), (deployment_raw[[#This Row],[Column6]] * IF($E$2="Deployment",deployment_raw[[#This Row],[Column5]],1)),"")</f>
        <v/>
      </c>
      <c r="J966" s="79" t="str">
        <f>IF(ISNUMBER(deployment_raw[[#This Row],[Column19]]), IF(K966&lt;&gt;0,(deployment_raw[[#This Row],[Column19]]/IF(OR($E$2="Deployment",deployment_raw[[#This Row],[Column5]]=0),1,deployment_raw[[#This Row],[Column5]]))/K966,0),"")</f>
        <v/>
      </c>
      <c r="K966" s="72" t="str">
        <f>IF(ISNUMBER(deployment_raw[[#This Row],[Column8]]), (deployment_raw[[#This Row],[Column8]]  * IF($E$2="Deployment",deployment_raw[[#This Row],[Column5]],1)),"")</f>
        <v/>
      </c>
      <c r="L96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6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66" s="81" t="str">
        <f>IF(ISNUMBER(deployment_raw[[#This Row],[Column20]]), IF(O966&lt;&gt;0,deployment_raw[[#This Row],[Column20]]/IF(OR($E$2="Deployment",deployment_raw[[#This Row],[Column5]]=0),1,deployment_raw[[#This Row],[Column5]])/1048576/O966,0),"")</f>
        <v/>
      </c>
      <c r="O966" s="74" t="str">
        <f>IF(ISNUMBER(deployment_raw[[#This Row],[Column7]]), (deployment_raw[[#This Row],[Column7]] * IF($E$2="Deployment",deployment_raw[[#This Row],[Column5]],1))/1048576,"")</f>
        <v/>
      </c>
      <c r="P966" s="81" t="str">
        <f>IF(ISNUMBER(deployment_raw[[#This Row],[Column20]]), IF(Q966&lt;&gt;0,deployment_raw[[#This Row],[Column20]]/IF(OR($E$2="Deployment",deployment_raw[[#This Row],[Column5]]=0),1,deployment_raw[[#This Row],[Column5]])/1048576/Q966,0),"")</f>
        <v/>
      </c>
      <c r="Q966" s="76" t="str">
        <f>IF(ISNUMBER(deployment_raw[[#This Row],[Column9]]), (deployment_raw[[#This Row],[Column9]] * IF($E$2="Deployment",deployment_raw[[#This Row],[Column5]],1))/1048576,"")</f>
        <v/>
      </c>
      <c r="R966" s="57" t="str">
        <f>IF(ISNUMBER(deployment_raw[[#This Row],[Column10]]), (deployment_raw[[#This Row],[Column10]] * IF($E$2="Deployment",deployment_raw[[#This Row],[Column5]],1)),"")</f>
        <v/>
      </c>
      <c r="S966" s="48" t="str">
        <f>IF(ISNUMBER(deployment_raw[[#This Row],[Column11]]), (deployment_raw[[#This Row],[Column11]] * IF($E$2="Deployment",deployment_raw[[#This Row],[Column5]],1))/1048576,"")</f>
        <v/>
      </c>
      <c r="T966" s="59" t="str">
        <f>IF(ISNUMBER(deployment_raw[[#This Row],[Column8]]),IF(OR(deployment_raw[[#This Row],[Column5]] &lt;&gt; 0,$E$2 &lt;&gt; "Deployment"), MAX(V966, ($T$2 * IF($E$2="Deployment",deployment_raw[[#This Row],[Column5]],1))), 0),"")</f>
        <v/>
      </c>
      <c r="U966" s="50" t="str">
        <f>IF(ISNUMBER(deployment_raw[[#This Row],[Column9]]),IF(OR(deployment_raw[[#This Row],[Column5]] &lt;&gt; 0,$E$2&lt;&gt;"Deployment"), MAX(W966, ($U$2 * IF($E$2="Deployment",deployment_raw[[#This Row],[Column5]],1))), 0),"")</f>
        <v/>
      </c>
      <c r="V966" s="15" t="str">
        <f>IF(ISNUMBER(deployment_raw[[#This Row],[Column12]]), (deployment_raw[[#This Row],[Column12]] * IF($E$2="Deployment",deployment_raw[[#This Row],[Column5]],1)*(1+$V$2)),"")</f>
        <v/>
      </c>
      <c r="W966" s="14" t="str">
        <f>IF(ISNUMBER(deployment_raw[[#This Row],[Column13]]), (deployment_raw[[#This Row],[Column13]] * IF($E$2="Deployment",deployment_raw[[#This Row],[Column5]],1)*(1+$W$2))/1048576,"")</f>
        <v/>
      </c>
    </row>
    <row r="967" spans="1:23" ht="15" customHeight="1" x14ac:dyDescent="0.25">
      <c r="A967" s="5" t="str">
        <f>IF(ISNONTEXT(deployment_raw[[#This Row],[Column1]]), "", deployment_raw[[#This Row],[Column1]])</f>
        <v/>
      </c>
      <c r="B967" s="6" t="str">
        <f>IF(ISNONTEXT(deployment_raw[[#This Row],[Column2]]), "", deployment_raw[[#This Row],[Column2]])</f>
        <v/>
      </c>
      <c r="C967" s="6" t="str">
        <f>IF(ISNONTEXT(deployment_raw[[#This Row],[Column3]]), "", deployment_raw[[#This Row],[Column3]])</f>
        <v/>
      </c>
      <c r="D967" s="6" t="str">
        <f>IF(ISNONTEXT(deployment_raw[[#This Row],[Column4]]), "", deployment_raw[[#This Row],[Column4]])</f>
        <v/>
      </c>
      <c r="E967" s="7" t="str">
        <f>IF(ISNUMBER(deployment_raw[[#This Row],[Column5]]), deployment_raw[[#This Row],[Column5]],"")</f>
        <v/>
      </c>
      <c r="F967" s="32" t="str">
        <f>IF(ISNUMBER(deployment_raw[[#This Row],[Column17]]), deployment_raw[[#This Row],[Column17]]/IF(OR($E$2="Deployment",deployment_raw[[#This Row],[Column5]]=0),1,deployment_raw[[#This Row],[Column5]]),"")</f>
        <v/>
      </c>
      <c r="G967" s="42" t="str">
        <f>IF(ISNUMBER(deployment_raw[[#This Row],[Column14]]), deployment_raw[[#This Row],[Column14]]/IF(OR($E$2="Deployment",deployment_raw[[#This Row],[Column5]]=0),1,deployment_raw[[#This Row],[Column5]]),"")</f>
        <v/>
      </c>
      <c r="H967" s="79" t="str">
        <f>IF(ISNUMBER(deployment_raw[[#This Row],[Column19]]), IF(I967&lt;&gt;0,(deployment_raw[[#This Row],[Column19]]/IF(OR($E$2="Deployment",deployment_raw[[#This Row],[Column5]]=0),1,deployment_raw[[#This Row],[Column5]]))/I967,0),"")</f>
        <v/>
      </c>
      <c r="I967" s="69" t="str">
        <f>IF(ISNUMBER(deployment_raw[[#This Row],[Column6]]), (deployment_raw[[#This Row],[Column6]] * IF($E$2="Deployment",deployment_raw[[#This Row],[Column5]],1)),"")</f>
        <v/>
      </c>
      <c r="J967" s="79" t="str">
        <f>IF(ISNUMBER(deployment_raw[[#This Row],[Column19]]), IF(K967&lt;&gt;0,(deployment_raw[[#This Row],[Column19]]/IF(OR($E$2="Deployment",deployment_raw[[#This Row],[Column5]]=0),1,deployment_raw[[#This Row],[Column5]]))/K967,0),"")</f>
        <v/>
      </c>
      <c r="K967" s="72" t="str">
        <f>IF(ISNUMBER(deployment_raw[[#This Row],[Column8]]), (deployment_raw[[#This Row],[Column8]]  * IF($E$2="Deployment",deployment_raw[[#This Row],[Column5]],1)),"")</f>
        <v/>
      </c>
      <c r="L96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6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67" s="81" t="str">
        <f>IF(ISNUMBER(deployment_raw[[#This Row],[Column20]]), IF(O967&lt;&gt;0,deployment_raw[[#This Row],[Column20]]/IF(OR($E$2="Deployment",deployment_raw[[#This Row],[Column5]]=0),1,deployment_raw[[#This Row],[Column5]])/1048576/O967,0),"")</f>
        <v/>
      </c>
      <c r="O967" s="74" t="str">
        <f>IF(ISNUMBER(deployment_raw[[#This Row],[Column7]]), (deployment_raw[[#This Row],[Column7]] * IF($E$2="Deployment",deployment_raw[[#This Row],[Column5]],1))/1048576,"")</f>
        <v/>
      </c>
      <c r="P967" s="81" t="str">
        <f>IF(ISNUMBER(deployment_raw[[#This Row],[Column20]]), IF(Q967&lt;&gt;0,deployment_raw[[#This Row],[Column20]]/IF(OR($E$2="Deployment",deployment_raw[[#This Row],[Column5]]=0),1,deployment_raw[[#This Row],[Column5]])/1048576/Q967,0),"")</f>
        <v/>
      </c>
      <c r="Q967" s="76" t="str">
        <f>IF(ISNUMBER(deployment_raw[[#This Row],[Column9]]), (deployment_raw[[#This Row],[Column9]] * IF($E$2="Deployment",deployment_raw[[#This Row],[Column5]],1))/1048576,"")</f>
        <v/>
      </c>
      <c r="R967" s="57" t="str">
        <f>IF(ISNUMBER(deployment_raw[[#This Row],[Column10]]), (deployment_raw[[#This Row],[Column10]] * IF($E$2="Deployment",deployment_raw[[#This Row],[Column5]],1)),"")</f>
        <v/>
      </c>
      <c r="S967" s="48" t="str">
        <f>IF(ISNUMBER(deployment_raw[[#This Row],[Column11]]), (deployment_raw[[#This Row],[Column11]] * IF($E$2="Deployment",deployment_raw[[#This Row],[Column5]],1))/1048576,"")</f>
        <v/>
      </c>
      <c r="T967" s="59" t="str">
        <f>IF(ISNUMBER(deployment_raw[[#This Row],[Column8]]),IF(OR(deployment_raw[[#This Row],[Column5]] &lt;&gt; 0,$E$2 &lt;&gt; "Deployment"), MAX(V967, ($T$2 * IF($E$2="Deployment",deployment_raw[[#This Row],[Column5]],1))), 0),"")</f>
        <v/>
      </c>
      <c r="U967" s="50" t="str">
        <f>IF(ISNUMBER(deployment_raw[[#This Row],[Column9]]),IF(OR(deployment_raw[[#This Row],[Column5]] &lt;&gt; 0,$E$2&lt;&gt;"Deployment"), MAX(W967, ($U$2 * IF($E$2="Deployment",deployment_raw[[#This Row],[Column5]],1))), 0),"")</f>
        <v/>
      </c>
      <c r="V967" s="15" t="str">
        <f>IF(ISNUMBER(deployment_raw[[#This Row],[Column12]]), (deployment_raw[[#This Row],[Column12]] * IF($E$2="Deployment",deployment_raw[[#This Row],[Column5]],1)*(1+$V$2)),"")</f>
        <v/>
      </c>
      <c r="W967" s="14" t="str">
        <f>IF(ISNUMBER(deployment_raw[[#This Row],[Column13]]), (deployment_raw[[#This Row],[Column13]] * IF($E$2="Deployment",deployment_raw[[#This Row],[Column5]],1)*(1+$W$2))/1048576,"")</f>
        <v/>
      </c>
    </row>
    <row r="968" spans="1:23" ht="15" customHeight="1" x14ac:dyDescent="0.25">
      <c r="A968" s="5" t="str">
        <f>IF(ISNONTEXT(deployment_raw[[#This Row],[Column1]]), "", deployment_raw[[#This Row],[Column1]])</f>
        <v/>
      </c>
      <c r="B968" s="6" t="str">
        <f>IF(ISNONTEXT(deployment_raw[[#This Row],[Column2]]), "", deployment_raw[[#This Row],[Column2]])</f>
        <v/>
      </c>
      <c r="C968" s="6" t="str">
        <f>IF(ISNONTEXT(deployment_raw[[#This Row],[Column3]]), "", deployment_raw[[#This Row],[Column3]])</f>
        <v/>
      </c>
      <c r="D968" s="6" t="str">
        <f>IF(ISNONTEXT(deployment_raw[[#This Row],[Column4]]), "", deployment_raw[[#This Row],[Column4]])</f>
        <v/>
      </c>
      <c r="E968" s="7" t="str">
        <f>IF(ISNUMBER(deployment_raw[[#This Row],[Column5]]), deployment_raw[[#This Row],[Column5]],"")</f>
        <v/>
      </c>
      <c r="F968" s="32" t="str">
        <f>IF(ISNUMBER(deployment_raw[[#This Row],[Column17]]), deployment_raw[[#This Row],[Column17]]/IF(OR($E$2="Deployment",deployment_raw[[#This Row],[Column5]]=0),1,deployment_raw[[#This Row],[Column5]]),"")</f>
        <v/>
      </c>
      <c r="G968" s="42" t="str">
        <f>IF(ISNUMBER(deployment_raw[[#This Row],[Column14]]), deployment_raw[[#This Row],[Column14]]/IF(OR($E$2="Deployment",deployment_raw[[#This Row],[Column5]]=0),1,deployment_raw[[#This Row],[Column5]]),"")</f>
        <v/>
      </c>
      <c r="H968" s="79" t="str">
        <f>IF(ISNUMBER(deployment_raw[[#This Row],[Column19]]), IF(I968&lt;&gt;0,(deployment_raw[[#This Row],[Column19]]/IF(OR($E$2="Deployment",deployment_raw[[#This Row],[Column5]]=0),1,deployment_raw[[#This Row],[Column5]]))/I968,0),"")</f>
        <v/>
      </c>
      <c r="I968" s="69" t="str">
        <f>IF(ISNUMBER(deployment_raw[[#This Row],[Column6]]), (deployment_raw[[#This Row],[Column6]] * IF($E$2="Deployment",deployment_raw[[#This Row],[Column5]],1)),"")</f>
        <v/>
      </c>
      <c r="J968" s="79" t="str">
        <f>IF(ISNUMBER(deployment_raw[[#This Row],[Column19]]), IF(K968&lt;&gt;0,(deployment_raw[[#This Row],[Column19]]/IF(OR($E$2="Deployment",deployment_raw[[#This Row],[Column5]]=0),1,deployment_raw[[#This Row],[Column5]]))/K968,0),"")</f>
        <v/>
      </c>
      <c r="K968" s="72" t="str">
        <f>IF(ISNUMBER(deployment_raw[[#This Row],[Column8]]), (deployment_raw[[#This Row],[Column8]]  * IF($E$2="Deployment",deployment_raw[[#This Row],[Column5]],1)),"")</f>
        <v/>
      </c>
      <c r="L96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6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68" s="81" t="str">
        <f>IF(ISNUMBER(deployment_raw[[#This Row],[Column20]]), IF(O968&lt;&gt;0,deployment_raw[[#This Row],[Column20]]/IF(OR($E$2="Deployment",deployment_raw[[#This Row],[Column5]]=0),1,deployment_raw[[#This Row],[Column5]])/1048576/O968,0),"")</f>
        <v/>
      </c>
      <c r="O968" s="74" t="str">
        <f>IF(ISNUMBER(deployment_raw[[#This Row],[Column7]]), (deployment_raw[[#This Row],[Column7]] * IF($E$2="Deployment",deployment_raw[[#This Row],[Column5]],1))/1048576,"")</f>
        <v/>
      </c>
      <c r="P968" s="81" t="str">
        <f>IF(ISNUMBER(deployment_raw[[#This Row],[Column20]]), IF(Q968&lt;&gt;0,deployment_raw[[#This Row],[Column20]]/IF(OR($E$2="Deployment",deployment_raw[[#This Row],[Column5]]=0),1,deployment_raw[[#This Row],[Column5]])/1048576/Q968,0),"")</f>
        <v/>
      </c>
      <c r="Q968" s="76" t="str">
        <f>IF(ISNUMBER(deployment_raw[[#This Row],[Column9]]), (deployment_raw[[#This Row],[Column9]] * IF($E$2="Deployment",deployment_raw[[#This Row],[Column5]],1))/1048576,"")</f>
        <v/>
      </c>
      <c r="R968" s="57" t="str">
        <f>IF(ISNUMBER(deployment_raw[[#This Row],[Column10]]), (deployment_raw[[#This Row],[Column10]] * IF($E$2="Deployment",deployment_raw[[#This Row],[Column5]],1)),"")</f>
        <v/>
      </c>
      <c r="S968" s="48" t="str">
        <f>IF(ISNUMBER(deployment_raw[[#This Row],[Column11]]), (deployment_raw[[#This Row],[Column11]] * IF($E$2="Deployment",deployment_raw[[#This Row],[Column5]],1))/1048576,"")</f>
        <v/>
      </c>
      <c r="T968" s="59" t="str">
        <f>IF(ISNUMBER(deployment_raw[[#This Row],[Column8]]),IF(OR(deployment_raw[[#This Row],[Column5]] &lt;&gt; 0,$E$2 &lt;&gt; "Deployment"), MAX(V968, ($T$2 * IF($E$2="Deployment",deployment_raw[[#This Row],[Column5]],1))), 0),"")</f>
        <v/>
      </c>
      <c r="U968" s="50" t="str">
        <f>IF(ISNUMBER(deployment_raw[[#This Row],[Column9]]),IF(OR(deployment_raw[[#This Row],[Column5]] &lt;&gt; 0,$E$2&lt;&gt;"Deployment"), MAX(W968, ($U$2 * IF($E$2="Deployment",deployment_raw[[#This Row],[Column5]],1))), 0),"")</f>
        <v/>
      </c>
      <c r="V968" s="15" t="str">
        <f>IF(ISNUMBER(deployment_raw[[#This Row],[Column12]]), (deployment_raw[[#This Row],[Column12]] * IF($E$2="Deployment",deployment_raw[[#This Row],[Column5]],1)*(1+$V$2)),"")</f>
        <v/>
      </c>
      <c r="W968" s="14" t="str">
        <f>IF(ISNUMBER(deployment_raw[[#This Row],[Column13]]), (deployment_raw[[#This Row],[Column13]] * IF($E$2="Deployment",deployment_raw[[#This Row],[Column5]],1)*(1+$W$2))/1048576,"")</f>
        <v/>
      </c>
    </row>
    <row r="969" spans="1:23" ht="15" customHeight="1" x14ac:dyDescent="0.25">
      <c r="A969" s="5" t="str">
        <f>IF(ISNONTEXT(deployment_raw[[#This Row],[Column1]]), "", deployment_raw[[#This Row],[Column1]])</f>
        <v/>
      </c>
      <c r="B969" s="6" t="str">
        <f>IF(ISNONTEXT(deployment_raw[[#This Row],[Column2]]), "", deployment_raw[[#This Row],[Column2]])</f>
        <v/>
      </c>
      <c r="C969" s="6" t="str">
        <f>IF(ISNONTEXT(deployment_raw[[#This Row],[Column3]]), "", deployment_raw[[#This Row],[Column3]])</f>
        <v/>
      </c>
      <c r="D969" s="6" t="str">
        <f>IF(ISNONTEXT(deployment_raw[[#This Row],[Column4]]), "", deployment_raw[[#This Row],[Column4]])</f>
        <v/>
      </c>
      <c r="E969" s="7" t="str">
        <f>IF(ISNUMBER(deployment_raw[[#This Row],[Column5]]), deployment_raw[[#This Row],[Column5]],"")</f>
        <v/>
      </c>
      <c r="F969" s="32" t="str">
        <f>IF(ISNUMBER(deployment_raw[[#This Row],[Column17]]), deployment_raw[[#This Row],[Column17]]/IF(OR($E$2="Deployment",deployment_raw[[#This Row],[Column5]]=0),1,deployment_raw[[#This Row],[Column5]]),"")</f>
        <v/>
      </c>
      <c r="G969" s="42" t="str">
        <f>IF(ISNUMBER(deployment_raw[[#This Row],[Column14]]), deployment_raw[[#This Row],[Column14]]/IF(OR($E$2="Deployment",deployment_raw[[#This Row],[Column5]]=0),1,deployment_raw[[#This Row],[Column5]]),"")</f>
        <v/>
      </c>
      <c r="H969" s="79" t="str">
        <f>IF(ISNUMBER(deployment_raw[[#This Row],[Column19]]), IF(I969&lt;&gt;0,(deployment_raw[[#This Row],[Column19]]/IF(OR($E$2="Deployment",deployment_raw[[#This Row],[Column5]]=0),1,deployment_raw[[#This Row],[Column5]]))/I969,0),"")</f>
        <v/>
      </c>
      <c r="I969" s="69" t="str">
        <f>IF(ISNUMBER(deployment_raw[[#This Row],[Column6]]), (deployment_raw[[#This Row],[Column6]] * IF($E$2="Deployment",deployment_raw[[#This Row],[Column5]],1)),"")</f>
        <v/>
      </c>
      <c r="J969" s="79" t="str">
        <f>IF(ISNUMBER(deployment_raw[[#This Row],[Column19]]), IF(K969&lt;&gt;0,(deployment_raw[[#This Row],[Column19]]/IF(OR($E$2="Deployment",deployment_raw[[#This Row],[Column5]]=0),1,deployment_raw[[#This Row],[Column5]]))/K969,0),"")</f>
        <v/>
      </c>
      <c r="K969" s="72" t="str">
        <f>IF(ISNUMBER(deployment_raw[[#This Row],[Column8]]), (deployment_raw[[#This Row],[Column8]]  * IF($E$2="Deployment",deployment_raw[[#This Row],[Column5]],1)),"")</f>
        <v/>
      </c>
      <c r="L96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6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69" s="81" t="str">
        <f>IF(ISNUMBER(deployment_raw[[#This Row],[Column20]]), IF(O969&lt;&gt;0,deployment_raw[[#This Row],[Column20]]/IF(OR($E$2="Deployment",deployment_raw[[#This Row],[Column5]]=0),1,deployment_raw[[#This Row],[Column5]])/1048576/O969,0),"")</f>
        <v/>
      </c>
      <c r="O969" s="74" t="str">
        <f>IF(ISNUMBER(deployment_raw[[#This Row],[Column7]]), (deployment_raw[[#This Row],[Column7]] * IF($E$2="Deployment",deployment_raw[[#This Row],[Column5]],1))/1048576,"")</f>
        <v/>
      </c>
      <c r="P969" s="81" t="str">
        <f>IF(ISNUMBER(deployment_raw[[#This Row],[Column20]]), IF(Q969&lt;&gt;0,deployment_raw[[#This Row],[Column20]]/IF(OR($E$2="Deployment",deployment_raw[[#This Row],[Column5]]=0),1,deployment_raw[[#This Row],[Column5]])/1048576/Q969,0),"")</f>
        <v/>
      </c>
      <c r="Q969" s="76" t="str">
        <f>IF(ISNUMBER(deployment_raw[[#This Row],[Column9]]), (deployment_raw[[#This Row],[Column9]] * IF($E$2="Deployment",deployment_raw[[#This Row],[Column5]],1))/1048576,"")</f>
        <v/>
      </c>
      <c r="R969" s="57" t="str">
        <f>IF(ISNUMBER(deployment_raw[[#This Row],[Column10]]), (deployment_raw[[#This Row],[Column10]] * IF($E$2="Deployment",deployment_raw[[#This Row],[Column5]],1)),"")</f>
        <v/>
      </c>
      <c r="S969" s="48" t="str">
        <f>IF(ISNUMBER(deployment_raw[[#This Row],[Column11]]), (deployment_raw[[#This Row],[Column11]] * IF($E$2="Deployment",deployment_raw[[#This Row],[Column5]],1))/1048576,"")</f>
        <v/>
      </c>
      <c r="T969" s="59" t="str">
        <f>IF(ISNUMBER(deployment_raw[[#This Row],[Column8]]),IF(OR(deployment_raw[[#This Row],[Column5]] &lt;&gt; 0,$E$2 &lt;&gt; "Deployment"), MAX(V969, ($T$2 * IF($E$2="Deployment",deployment_raw[[#This Row],[Column5]],1))), 0),"")</f>
        <v/>
      </c>
      <c r="U969" s="50" t="str">
        <f>IF(ISNUMBER(deployment_raw[[#This Row],[Column9]]),IF(OR(deployment_raw[[#This Row],[Column5]] &lt;&gt; 0,$E$2&lt;&gt;"Deployment"), MAX(W969, ($U$2 * IF($E$2="Deployment",deployment_raw[[#This Row],[Column5]],1))), 0),"")</f>
        <v/>
      </c>
      <c r="V969" s="15" t="str">
        <f>IF(ISNUMBER(deployment_raw[[#This Row],[Column12]]), (deployment_raw[[#This Row],[Column12]] * IF($E$2="Deployment",deployment_raw[[#This Row],[Column5]],1)*(1+$V$2)),"")</f>
        <v/>
      </c>
      <c r="W969" s="14" t="str">
        <f>IF(ISNUMBER(deployment_raw[[#This Row],[Column13]]), (deployment_raw[[#This Row],[Column13]] * IF($E$2="Deployment",deployment_raw[[#This Row],[Column5]],1)*(1+$W$2))/1048576,"")</f>
        <v/>
      </c>
    </row>
    <row r="970" spans="1:23" ht="15" customHeight="1" x14ac:dyDescent="0.25">
      <c r="A970" s="5" t="str">
        <f>IF(ISNONTEXT(deployment_raw[[#This Row],[Column1]]), "", deployment_raw[[#This Row],[Column1]])</f>
        <v/>
      </c>
      <c r="B970" s="6" t="str">
        <f>IF(ISNONTEXT(deployment_raw[[#This Row],[Column2]]), "", deployment_raw[[#This Row],[Column2]])</f>
        <v/>
      </c>
      <c r="C970" s="6" t="str">
        <f>IF(ISNONTEXT(deployment_raw[[#This Row],[Column3]]), "", deployment_raw[[#This Row],[Column3]])</f>
        <v/>
      </c>
      <c r="D970" s="6" t="str">
        <f>IF(ISNONTEXT(deployment_raw[[#This Row],[Column4]]), "", deployment_raw[[#This Row],[Column4]])</f>
        <v/>
      </c>
      <c r="E970" s="7" t="str">
        <f>IF(ISNUMBER(deployment_raw[[#This Row],[Column5]]), deployment_raw[[#This Row],[Column5]],"")</f>
        <v/>
      </c>
      <c r="F970" s="32" t="str">
        <f>IF(ISNUMBER(deployment_raw[[#This Row],[Column17]]), deployment_raw[[#This Row],[Column17]]/IF(OR($E$2="Deployment",deployment_raw[[#This Row],[Column5]]=0),1,deployment_raw[[#This Row],[Column5]]),"")</f>
        <v/>
      </c>
      <c r="G970" s="42" t="str">
        <f>IF(ISNUMBER(deployment_raw[[#This Row],[Column14]]), deployment_raw[[#This Row],[Column14]]/IF(OR($E$2="Deployment",deployment_raw[[#This Row],[Column5]]=0),1,deployment_raw[[#This Row],[Column5]]),"")</f>
        <v/>
      </c>
      <c r="H970" s="79" t="str">
        <f>IF(ISNUMBER(deployment_raw[[#This Row],[Column19]]), IF(I970&lt;&gt;0,(deployment_raw[[#This Row],[Column19]]/IF(OR($E$2="Deployment",deployment_raw[[#This Row],[Column5]]=0),1,deployment_raw[[#This Row],[Column5]]))/I970,0),"")</f>
        <v/>
      </c>
      <c r="I970" s="69" t="str">
        <f>IF(ISNUMBER(deployment_raw[[#This Row],[Column6]]), (deployment_raw[[#This Row],[Column6]] * IF($E$2="Deployment",deployment_raw[[#This Row],[Column5]],1)),"")</f>
        <v/>
      </c>
      <c r="J970" s="79" t="str">
        <f>IF(ISNUMBER(deployment_raw[[#This Row],[Column19]]), IF(K970&lt;&gt;0,(deployment_raw[[#This Row],[Column19]]/IF(OR($E$2="Deployment",deployment_raw[[#This Row],[Column5]]=0),1,deployment_raw[[#This Row],[Column5]]))/K970,0),"")</f>
        <v/>
      </c>
      <c r="K970" s="72" t="str">
        <f>IF(ISNUMBER(deployment_raw[[#This Row],[Column8]]), (deployment_raw[[#This Row],[Column8]]  * IF($E$2="Deployment",deployment_raw[[#This Row],[Column5]],1)),"")</f>
        <v/>
      </c>
      <c r="L97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7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70" s="81" t="str">
        <f>IF(ISNUMBER(deployment_raw[[#This Row],[Column20]]), IF(O970&lt;&gt;0,deployment_raw[[#This Row],[Column20]]/IF(OR($E$2="Deployment",deployment_raw[[#This Row],[Column5]]=0),1,deployment_raw[[#This Row],[Column5]])/1048576/O970,0),"")</f>
        <v/>
      </c>
      <c r="O970" s="74" t="str">
        <f>IF(ISNUMBER(deployment_raw[[#This Row],[Column7]]), (deployment_raw[[#This Row],[Column7]] * IF($E$2="Deployment",deployment_raw[[#This Row],[Column5]],1))/1048576,"")</f>
        <v/>
      </c>
      <c r="P970" s="81" t="str">
        <f>IF(ISNUMBER(deployment_raw[[#This Row],[Column20]]), IF(Q970&lt;&gt;0,deployment_raw[[#This Row],[Column20]]/IF(OR($E$2="Deployment",deployment_raw[[#This Row],[Column5]]=0),1,deployment_raw[[#This Row],[Column5]])/1048576/Q970,0),"")</f>
        <v/>
      </c>
      <c r="Q970" s="76" t="str">
        <f>IF(ISNUMBER(deployment_raw[[#This Row],[Column9]]), (deployment_raw[[#This Row],[Column9]] * IF($E$2="Deployment",deployment_raw[[#This Row],[Column5]],1))/1048576,"")</f>
        <v/>
      </c>
      <c r="R970" s="57" t="str">
        <f>IF(ISNUMBER(deployment_raw[[#This Row],[Column10]]), (deployment_raw[[#This Row],[Column10]] * IF($E$2="Deployment",deployment_raw[[#This Row],[Column5]],1)),"")</f>
        <v/>
      </c>
      <c r="S970" s="48" t="str">
        <f>IF(ISNUMBER(deployment_raw[[#This Row],[Column11]]), (deployment_raw[[#This Row],[Column11]] * IF($E$2="Deployment",deployment_raw[[#This Row],[Column5]],1))/1048576,"")</f>
        <v/>
      </c>
      <c r="T970" s="59" t="str">
        <f>IF(ISNUMBER(deployment_raw[[#This Row],[Column8]]),IF(OR(deployment_raw[[#This Row],[Column5]] &lt;&gt; 0,$E$2 &lt;&gt; "Deployment"), MAX(V970, ($T$2 * IF($E$2="Deployment",deployment_raw[[#This Row],[Column5]],1))), 0),"")</f>
        <v/>
      </c>
      <c r="U970" s="50" t="str">
        <f>IF(ISNUMBER(deployment_raw[[#This Row],[Column9]]),IF(OR(deployment_raw[[#This Row],[Column5]] &lt;&gt; 0,$E$2&lt;&gt;"Deployment"), MAX(W970, ($U$2 * IF($E$2="Deployment",deployment_raw[[#This Row],[Column5]],1))), 0),"")</f>
        <v/>
      </c>
      <c r="V970" s="15" t="str">
        <f>IF(ISNUMBER(deployment_raw[[#This Row],[Column12]]), (deployment_raw[[#This Row],[Column12]] * IF($E$2="Deployment",deployment_raw[[#This Row],[Column5]],1)*(1+$V$2)),"")</f>
        <v/>
      </c>
      <c r="W970" s="14" t="str">
        <f>IF(ISNUMBER(deployment_raw[[#This Row],[Column13]]), (deployment_raw[[#This Row],[Column13]] * IF($E$2="Deployment",deployment_raw[[#This Row],[Column5]],1)*(1+$W$2))/1048576,"")</f>
        <v/>
      </c>
    </row>
    <row r="971" spans="1:23" ht="15" customHeight="1" x14ac:dyDescent="0.25">
      <c r="A971" s="5" t="str">
        <f>IF(ISNONTEXT(deployment_raw[[#This Row],[Column1]]), "", deployment_raw[[#This Row],[Column1]])</f>
        <v/>
      </c>
      <c r="B971" s="6" t="str">
        <f>IF(ISNONTEXT(deployment_raw[[#This Row],[Column2]]), "", deployment_raw[[#This Row],[Column2]])</f>
        <v/>
      </c>
      <c r="C971" s="6" t="str">
        <f>IF(ISNONTEXT(deployment_raw[[#This Row],[Column3]]), "", deployment_raw[[#This Row],[Column3]])</f>
        <v/>
      </c>
      <c r="D971" s="6" t="str">
        <f>IF(ISNONTEXT(deployment_raw[[#This Row],[Column4]]), "", deployment_raw[[#This Row],[Column4]])</f>
        <v/>
      </c>
      <c r="E971" s="7" t="str">
        <f>IF(ISNUMBER(deployment_raw[[#This Row],[Column5]]), deployment_raw[[#This Row],[Column5]],"")</f>
        <v/>
      </c>
      <c r="F971" s="32" t="str">
        <f>IF(ISNUMBER(deployment_raw[[#This Row],[Column17]]), deployment_raw[[#This Row],[Column17]]/IF(OR($E$2="Deployment",deployment_raw[[#This Row],[Column5]]=0),1,deployment_raw[[#This Row],[Column5]]),"")</f>
        <v/>
      </c>
      <c r="G971" s="42" t="str">
        <f>IF(ISNUMBER(deployment_raw[[#This Row],[Column14]]), deployment_raw[[#This Row],[Column14]]/IF(OR($E$2="Deployment",deployment_raw[[#This Row],[Column5]]=0),1,deployment_raw[[#This Row],[Column5]]),"")</f>
        <v/>
      </c>
      <c r="H971" s="79" t="str">
        <f>IF(ISNUMBER(deployment_raw[[#This Row],[Column19]]), IF(I971&lt;&gt;0,(deployment_raw[[#This Row],[Column19]]/IF(OR($E$2="Deployment",deployment_raw[[#This Row],[Column5]]=0),1,deployment_raw[[#This Row],[Column5]]))/I971,0),"")</f>
        <v/>
      </c>
      <c r="I971" s="69" t="str">
        <f>IF(ISNUMBER(deployment_raw[[#This Row],[Column6]]), (deployment_raw[[#This Row],[Column6]] * IF($E$2="Deployment",deployment_raw[[#This Row],[Column5]],1)),"")</f>
        <v/>
      </c>
      <c r="J971" s="79" t="str">
        <f>IF(ISNUMBER(deployment_raw[[#This Row],[Column19]]), IF(K971&lt;&gt;0,(deployment_raw[[#This Row],[Column19]]/IF(OR($E$2="Deployment",deployment_raw[[#This Row],[Column5]]=0),1,deployment_raw[[#This Row],[Column5]]))/K971,0),"")</f>
        <v/>
      </c>
      <c r="K971" s="72" t="str">
        <f>IF(ISNUMBER(deployment_raw[[#This Row],[Column8]]), (deployment_raw[[#This Row],[Column8]]  * IF($E$2="Deployment",deployment_raw[[#This Row],[Column5]],1)),"")</f>
        <v/>
      </c>
      <c r="L97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7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71" s="81" t="str">
        <f>IF(ISNUMBER(deployment_raw[[#This Row],[Column20]]), IF(O971&lt;&gt;0,deployment_raw[[#This Row],[Column20]]/IF(OR($E$2="Deployment",deployment_raw[[#This Row],[Column5]]=0),1,deployment_raw[[#This Row],[Column5]])/1048576/O971,0),"")</f>
        <v/>
      </c>
      <c r="O971" s="74" t="str">
        <f>IF(ISNUMBER(deployment_raw[[#This Row],[Column7]]), (deployment_raw[[#This Row],[Column7]] * IF($E$2="Deployment",deployment_raw[[#This Row],[Column5]],1))/1048576,"")</f>
        <v/>
      </c>
      <c r="P971" s="81" t="str">
        <f>IF(ISNUMBER(deployment_raw[[#This Row],[Column20]]), IF(Q971&lt;&gt;0,deployment_raw[[#This Row],[Column20]]/IF(OR($E$2="Deployment",deployment_raw[[#This Row],[Column5]]=0),1,deployment_raw[[#This Row],[Column5]])/1048576/Q971,0),"")</f>
        <v/>
      </c>
      <c r="Q971" s="76" t="str">
        <f>IF(ISNUMBER(deployment_raw[[#This Row],[Column9]]), (deployment_raw[[#This Row],[Column9]] * IF($E$2="Deployment",deployment_raw[[#This Row],[Column5]],1))/1048576,"")</f>
        <v/>
      </c>
      <c r="R971" s="57" t="str">
        <f>IF(ISNUMBER(deployment_raw[[#This Row],[Column10]]), (deployment_raw[[#This Row],[Column10]] * IF($E$2="Deployment",deployment_raw[[#This Row],[Column5]],1)),"")</f>
        <v/>
      </c>
      <c r="S971" s="48" t="str">
        <f>IF(ISNUMBER(deployment_raw[[#This Row],[Column11]]), (deployment_raw[[#This Row],[Column11]] * IF($E$2="Deployment",deployment_raw[[#This Row],[Column5]],1))/1048576,"")</f>
        <v/>
      </c>
      <c r="T971" s="59" t="str">
        <f>IF(ISNUMBER(deployment_raw[[#This Row],[Column8]]),IF(OR(deployment_raw[[#This Row],[Column5]] &lt;&gt; 0,$E$2 &lt;&gt; "Deployment"), MAX(V971, ($T$2 * IF($E$2="Deployment",deployment_raw[[#This Row],[Column5]],1))), 0),"")</f>
        <v/>
      </c>
      <c r="U971" s="50" t="str">
        <f>IF(ISNUMBER(deployment_raw[[#This Row],[Column9]]),IF(OR(deployment_raw[[#This Row],[Column5]] &lt;&gt; 0,$E$2&lt;&gt;"Deployment"), MAX(W971, ($U$2 * IF($E$2="Deployment",deployment_raw[[#This Row],[Column5]],1))), 0),"")</f>
        <v/>
      </c>
      <c r="V971" s="15" t="str">
        <f>IF(ISNUMBER(deployment_raw[[#This Row],[Column12]]), (deployment_raw[[#This Row],[Column12]] * IF($E$2="Deployment",deployment_raw[[#This Row],[Column5]],1)*(1+$V$2)),"")</f>
        <v/>
      </c>
      <c r="W971" s="14" t="str">
        <f>IF(ISNUMBER(deployment_raw[[#This Row],[Column13]]), (deployment_raw[[#This Row],[Column13]] * IF($E$2="Deployment",deployment_raw[[#This Row],[Column5]],1)*(1+$W$2))/1048576,"")</f>
        <v/>
      </c>
    </row>
    <row r="972" spans="1:23" ht="15" customHeight="1" x14ac:dyDescent="0.25">
      <c r="A972" s="5" t="str">
        <f>IF(ISNONTEXT(deployment_raw[[#This Row],[Column1]]), "", deployment_raw[[#This Row],[Column1]])</f>
        <v/>
      </c>
      <c r="B972" s="6" t="str">
        <f>IF(ISNONTEXT(deployment_raw[[#This Row],[Column2]]), "", deployment_raw[[#This Row],[Column2]])</f>
        <v/>
      </c>
      <c r="C972" s="6" t="str">
        <f>IF(ISNONTEXT(deployment_raw[[#This Row],[Column3]]), "", deployment_raw[[#This Row],[Column3]])</f>
        <v/>
      </c>
      <c r="D972" s="6" t="str">
        <f>IF(ISNONTEXT(deployment_raw[[#This Row],[Column4]]), "", deployment_raw[[#This Row],[Column4]])</f>
        <v/>
      </c>
      <c r="E972" s="7" t="str">
        <f>IF(ISNUMBER(deployment_raw[[#This Row],[Column5]]), deployment_raw[[#This Row],[Column5]],"")</f>
        <v/>
      </c>
      <c r="F972" s="32" t="str">
        <f>IF(ISNUMBER(deployment_raw[[#This Row],[Column17]]), deployment_raw[[#This Row],[Column17]]/IF(OR($E$2="Deployment",deployment_raw[[#This Row],[Column5]]=0),1,deployment_raw[[#This Row],[Column5]]),"")</f>
        <v/>
      </c>
      <c r="G972" s="42" t="str">
        <f>IF(ISNUMBER(deployment_raw[[#This Row],[Column14]]), deployment_raw[[#This Row],[Column14]]/IF(OR($E$2="Deployment",deployment_raw[[#This Row],[Column5]]=0),1,deployment_raw[[#This Row],[Column5]]),"")</f>
        <v/>
      </c>
      <c r="H972" s="79" t="str">
        <f>IF(ISNUMBER(deployment_raw[[#This Row],[Column19]]), IF(I972&lt;&gt;0,(deployment_raw[[#This Row],[Column19]]/IF(OR($E$2="Deployment",deployment_raw[[#This Row],[Column5]]=0),1,deployment_raw[[#This Row],[Column5]]))/I972,0),"")</f>
        <v/>
      </c>
      <c r="I972" s="69" t="str">
        <f>IF(ISNUMBER(deployment_raw[[#This Row],[Column6]]), (deployment_raw[[#This Row],[Column6]] * IF($E$2="Deployment",deployment_raw[[#This Row],[Column5]],1)),"")</f>
        <v/>
      </c>
      <c r="J972" s="79" t="str">
        <f>IF(ISNUMBER(deployment_raw[[#This Row],[Column19]]), IF(K972&lt;&gt;0,(deployment_raw[[#This Row],[Column19]]/IF(OR($E$2="Deployment",deployment_raw[[#This Row],[Column5]]=0),1,deployment_raw[[#This Row],[Column5]]))/K972,0),"")</f>
        <v/>
      </c>
      <c r="K972" s="72" t="str">
        <f>IF(ISNUMBER(deployment_raw[[#This Row],[Column8]]), (deployment_raw[[#This Row],[Column8]]  * IF($E$2="Deployment",deployment_raw[[#This Row],[Column5]],1)),"")</f>
        <v/>
      </c>
      <c r="L97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7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72" s="81" t="str">
        <f>IF(ISNUMBER(deployment_raw[[#This Row],[Column20]]), IF(O972&lt;&gt;0,deployment_raw[[#This Row],[Column20]]/IF(OR($E$2="Deployment",deployment_raw[[#This Row],[Column5]]=0),1,deployment_raw[[#This Row],[Column5]])/1048576/O972,0),"")</f>
        <v/>
      </c>
      <c r="O972" s="74" t="str">
        <f>IF(ISNUMBER(deployment_raw[[#This Row],[Column7]]), (deployment_raw[[#This Row],[Column7]] * IF($E$2="Deployment",deployment_raw[[#This Row],[Column5]],1))/1048576,"")</f>
        <v/>
      </c>
      <c r="P972" s="81" t="str">
        <f>IF(ISNUMBER(deployment_raw[[#This Row],[Column20]]), IF(Q972&lt;&gt;0,deployment_raw[[#This Row],[Column20]]/IF(OR($E$2="Deployment",deployment_raw[[#This Row],[Column5]]=0),1,deployment_raw[[#This Row],[Column5]])/1048576/Q972,0),"")</f>
        <v/>
      </c>
      <c r="Q972" s="76" t="str">
        <f>IF(ISNUMBER(deployment_raw[[#This Row],[Column9]]), (deployment_raw[[#This Row],[Column9]] * IF($E$2="Deployment",deployment_raw[[#This Row],[Column5]],1))/1048576,"")</f>
        <v/>
      </c>
      <c r="R972" s="57" t="str">
        <f>IF(ISNUMBER(deployment_raw[[#This Row],[Column10]]), (deployment_raw[[#This Row],[Column10]] * IF($E$2="Deployment",deployment_raw[[#This Row],[Column5]],1)),"")</f>
        <v/>
      </c>
      <c r="S972" s="48" t="str">
        <f>IF(ISNUMBER(deployment_raw[[#This Row],[Column11]]), (deployment_raw[[#This Row],[Column11]] * IF($E$2="Deployment",deployment_raw[[#This Row],[Column5]],1))/1048576,"")</f>
        <v/>
      </c>
      <c r="T972" s="59" t="str">
        <f>IF(ISNUMBER(deployment_raw[[#This Row],[Column8]]),IF(OR(deployment_raw[[#This Row],[Column5]] &lt;&gt; 0,$E$2 &lt;&gt; "Deployment"), MAX(V972, ($T$2 * IF($E$2="Deployment",deployment_raw[[#This Row],[Column5]],1))), 0),"")</f>
        <v/>
      </c>
      <c r="U972" s="50" t="str">
        <f>IF(ISNUMBER(deployment_raw[[#This Row],[Column9]]),IF(OR(deployment_raw[[#This Row],[Column5]] &lt;&gt; 0,$E$2&lt;&gt;"Deployment"), MAX(W972, ($U$2 * IF($E$2="Deployment",deployment_raw[[#This Row],[Column5]],1))), 0),"")</f>
        <v/>
      </c>
      <c r="V972" s="15" t="str">
        <f>IF(ISNUMBER(deployment_raw[[#This Row],[Column12]]), (deployment_raw[[#This Row],[Column12]] * IF($E$2="Deployment",deployment_raw[[#This Row],[Column5]],1)*(1+$V$2)),"")</f>
        <v/>
      </c>
      <c r="W972" s="14" t="str">
        <f>IF(ISNUMBER(deployment_raw[[#This Row],[Column13]]), (deployment_raw[[#This Row],[Column13]] * IF($E$2="Deployment",deployment_raw[[#This Row],[Column5]],1)*(1+$W$2))/1048576,"")</f>
        <v/>
      </c>
    </row>
    <row r="973" spans="1:23" ht="15" customHeight="1" x14ac:dyDescent="0.25">
      <c r="A973" s="5" t="str">
        <f>IF(ISNONTEXT(deployment_raw[[#This Row],[Column1]]), "", deployment_raw[[#This Row],[Column1]])</f>
        <v/>
      </c>
      <c r="B973" s="6" t="str">
        <f>IF(ISNONTEXT(deployment_raw[[#This Row],[Column2]]), "", deployment_raw[[#This Row],[Column2]])</f>
        <v/>
      </c>
      <c r="C973" s="6" t="str">
        <f>IF(ISNONTEXT(deployment_raw[[#This Row],[Column3]]), "", deployment_raw[[#This Row],[Column3]])</f>
        <v/>
      </c>
      <c r="D973" s="6" t="str">
        <f>IF(ISNONTEXT(deployment_raw[[#This Row],[Column4]]), "", deployment_raw[[#This Row],[Column4]])</f>
        <v/>
      </c>
      <c r="E973" s="7" t="str">
        <f>IF(ISNUMBER(deployment_raw[[#This Row],[Column5]]), deployment_raw[[#This Row],[Column5]],"")</f>
        <v/>
      </c>
      <c r="F973" s="32" t="str">
        <f>IF(ISNUMBER(deployment_raw[[#This Row],[Column17]]), deployment_raw[[#This Row],[Column17]]/IF(OR($E$2="Deployment",deployment_raw[[#This Row],[Column5]]=0),1,deployment_raw[[#This Row],[Column5]]),"")</f>
        <v/>
      </c>
      <c r="G973" s="42" t="str">
        <f>IF(ISNUMBER(deployment_raw[[#This Row],[Column14]]), deployment_raw[[#This Row],[Column14]]/IF(OR($E$2="Deployment",deployment_raw[[#This Row],[Column5]]=0),1,deployment_raw[[#This Row],[Column5]]),"")</f>
        <v/>
      </c>
      <c r="H973" s="79" t="str">
        <f>IF(ISNUMBER(deployment_raw[[#This Row],[Column19]]), IF(I973&lt;&gt;0,(deployment_raw[[#This Row],[Column19]]/IF(OR($E$2="Deployment",deployment_raw[[#This Row],[Column5]]=0),1,deployment_raw[[#This Row],[Column5]]))/I973,0),"")</f>
        <v/>
      </c>
      <c r="I973" s="69" t="str">
        <f>IF(ISNUMBER(deployment_raw[[#This Row],[Column6]]), (deployment_raw[[#This Row],[Column6]] * IF($E$2="Deployment",deployment_raw[[#This Row],[Column5]],1)),"")</f>
        <v/>
      </c>
      <c r="J973" s="79" t="str">
        <f>IF(ISNUMBER(deployment_raw[[#This Row],[Column19]]), IF(K973&lt;&gt;0,(deployment_raw[[#This Row],[Column19]]/IF(OR($E$2="Deployment",deployment_raw[[#This Row],[Column5]]=0),1,deployment_raw[[#This Row],[Column5]]))/K973,0),"")</f>
        <v/>
      </c>
      <c r="K973" s="72" t="str">
        <f>IF(ISNUMBER(deployment_raw[[#This Row],[Column8]]), (deployment_raw[[#This Row],[Column8]]  * IF($E$2="Deployment",deployment_raw[[#This Row],[Column5]],1)),"")</f>
        <v/>
      </c>
      <c r="L97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7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73" s="81" t="str">
        <f>IF(ISNUMBER(deployment_raw[[#This Row],[Column20]]), IF(O973&lt;&gt;0,deployment_raw[[#This Row],[Column20]]/IF(OR($E$2="Deployment",deployment_raw[[#This Row],[Column5]]=0),1,deployment_raw[[#This Row],[Column5]])/1048576/O973,0),"")</f>
        <v/>
      </c>
      <c r="O973" s="74" t="str">
        <f>IF(ISNUMBER(deployment_raw[[#This Row],[Column7]]), (deployment_raw[[#This Row],[Column7]] * IF($E$2="Deployment",deployment_raw[[#This Row],[Column5]],1))/1048576,"")</f>
        <v/>
      </c>
      <c r="P973" s="81" t="str">
        <f>IF(ISNUMBER(deployment_raw[[#This Row],[Column20]]), IF(Q973&lt;&gt;0,deployment_raw[[#This Row],[Column20]]/IF(OR($E$2="Deployment",deployment_raw[[#This Row],[Column5]]=0),1,deployment_raw[[#This Row],[Column5]])/1048576/Q973,0),"")</f>
        <v/>
      </c>
      <c r="Q973" s="76" t="str">
        <f>IF(ISNUMBER(deployment_raw[[#This Row],[Column9]]), (deployment_raw[[#This Row],[Column9]] * IF($E$2="Deployment",deployment_raw[[#This Row],[Column5]],1))/1048576,"")</f>
        <v/>
      </c>
      <c r="R973" s="57" t="str">
        <f>IF(ISNUMBER(deployment_raw[[#This Row],[Column10]]), (deployment_raw[[#This Row],[Column10]] * IF($E$2="Deployment",deployment_raw[[#This Row],[Column5]],1)),"")</f>
        <v/>
      </c>
      <c r="S973" s="48" t="str">
        <f>IF(ISNUMBER(deployment_raw[[#This Row],[Column11]]), (deployment_raw[[#This Row],[Column11]] * IF($E$2="Deployment",deployment_raw[[#This Row],[Column5]],1))/1048576,"")</f>
        <v/>
      </c>
      <c r="T973" s="59" t="str">
        <f>IF(ISNUMBER(deployment_raw[[#This Row],[Column8]]),IF(OR(deployment_raw[[#This Row],[Column5]] &lt;&gt; 0,$E$2 &lt;&gt; "Deployment"), MAX(V973, ($T$2 * IF($E$2="Deployment",deployment_raw[[#This Row],[Column5]],1))), 0),"")</f>
        <v/>
      </c>
      <c r="U973" s="50" t="str">
        <f>IF(ISNUMBER(deployment_raw[[#This Row],[Column9]]),IF(OR(deployment_raw[[#This Row],[Column5]] &lt;&gt; 0,$E$2&lt;&gt;"Deployment"), MAX(W973, ($U$2 * IF($E$2="Deployment",deployment_raw[[#This Row],[Column5]],1))), 0),"")</f>
        <v/>
      </c>
      <c r="V973" s="15" t="str">
        <f>IF(ISNUMBER(deployment_raw[[#This Row],[Column12]]), (deployment_raw[[#This Row],[Column12]] * IF($E$2="Deployment",deployment_raw[[#This Row],[Column5]],1)*(1+$V$2)),"")</f>
        <v/>
      </c>
      <c r="W973" s="14" t="str">
        <f>IF(ISNUMBER(deployment_raw[[#This Row],[Column13]]), (deployment_raw[[#This Row],[Column13]] * IF($E$2="Deployment",deployment_raw[[#This Row],[Column5]],1)*(1+$W$2))/1048576,"")</f>
        <v/>
      </c>
    </row>
    <row r="974" spans="1:23" ht="15" customHeight="1" x14ac:dyDescent="0.25">
      <c r="A974" s="5" t="str">
        <f>IF(ISNONTEXT(deployment_raw[[#This Row],[Column1]]), "", deployment_raw[[#This Row],[Column1]])</f>
        <v/>
      </c>
      <c r="B974" s="6" t="str">
        <f>IF(ISNONTEXT(deployment_raw[[#This Row],[Column2]]), "", deployment_raw[[#This Row],[Column2]])</f>
        <v/>
      </c>
      <c r="C974" s="6" t="str">
        <f>IF(ISNONTEXT(deployment_raw[[#This Row],[Column3]]), "", deployment_raw[[#This Row],[Column3]])</f>
        <v/>
      </c>
      <c r="D974" s="6" t="str">
        <f>IF(ISNONTEXT(deployment_raw[[#This Row],[Column4]]), "", deployment_raw[[#This Row],[Column4]])</f>
        <v/>
      </c>
      <c r="E974" s="7" t="str">
        <f>IF(ISNUMBER(deployment_raw[[#This Row],[Column5]]), deployment_raw[[#This Row],[Column5]],"")</f>
        <v/>
      </c>
      <c r="F974" s="32" t="str">
        <f>IF(ISNUMBER(deployment_raw[[#This Row],[Column17]]), deployment_raw[[#This Row],[Column17]]/IF(OR($E$2="Deployment",deployment_raw[[#This Row],[Column5]]=0),1,deployment_raw[[#This Row],[Column5]]),"")</f>
        <v/>
      </c>
      <c r="G974" s="42" t="str">
        <f>IF(ISNUMBER(deployment_raw[[#This Row],[Column14]]), deployment_raw[[#This Row],[Column14]]/IF(OR($E$2="Deployment",deployment_raw[[#This Row],[Column5]]=0),1,deployment_raw[[#This Row],[Column5]]),"")</f>
        <v/>
      </c>
      <c r="H974" s="79" t="str">
        <f>IF(ISNUMBER(deployment_raw[[#This Row],[Column19]]), IF(I974&lt;&gt;0,(deployment_raw[[#This Row],[Column19]]/IF(OR($E$2="Deployment",deployment_raw[[#This Row],[Column5]]=0),1,deployment_raw[[#This Row],[Column5]]))/I974,0),"")</f>
        <v/>
      </c>
      <c r="I974" s="69" t="str">
        <f>IF(ISNUMBER(deployment_raw[[#This Row],[Column6]]), (deployment_raw[[#This Row],[Column6]] * IF($E$2="Deployment",deployment_raw[[#This Row],[Column5]],1)),"")</f>
        <v/>
      </c>
      <c r="J974" s="79" t="str">
        <f>IF(ISNUMBER(deployment_raw[[#This Row],[Column19]]), IF(K974&lt;&gt;0,(deployment_raw[[#This Row],[Column19]]/IF(OR($E$2="Deployment",deployment_raw[[#This Row],[Column5]]=0),1,deployment_raw[[#This Row],[Column5]]))/K974,0),"")</f>
        <v/>
      </c>
      <c r="K974" s="72" t="str">
        <f>IF(ISNUMBER(deployment_raw[[#This Row],[Column8]]), (deployment_raw[[#This Row],[Column8]]  * IF($E$2="Deployment",deployment_raw[[#This Row],[Column5]],1)),"")</f>
        <v/>
      </c>
      <c r="L97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7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74" s="81" t="str">
        <f>IF(ISNUMBER(deployment_raw[[#This Row],[Column20]]), IF(O974&lt;&gt;0,deployment_raw[[#This Row],[Column20]]/IF(OR($E$2="Deployment",deployment_raw[[#This Row],[Column5]]=0),1,deployment_raw[[#This Row],[Column5]])/1048576/O974,0),"")</f>
        <v/>
      </c>
      <c r="O974" s="74" t="str">
        <f>IF(ISNUMBER(deployment_raw[[#This Row],[Column7]]), (deployment_raw[[#This Row],[Column7]] * IF($E$2="Deployment",deployment_raw[[#This Row],[Column5]],1))/1048576,"")</f>
        <v/>
      </c>
      <c r="P974" s="81" t="str">
        <f>IF(ISNUMBER(deployment_raw[[#This Row],[Column20]]), IF(Q974&lt;&gt;0,deployment_raw[[#This Row],[Column20]]/IF(OR($E$2="Deployment",deployment_raw[[#This Row],[Column5]]=0),1,deployment_raw[[#This Row],[Column5]])/1048576/Q974,0),"")</f>
        <v/>
      </c>
      <c r="Q974" s="76" t="str">
        <f>IF(ISNUMBER(deployment_raw[[#This Row],[Column9]]), (deployment_raw[[#This Row],[Column9]] * IF($E$2="Deployment",deployment_raw[[#This Row],[Column5]],1))/1048576,"")</f>
        <v/>
      </c>
      <c r="R974" s="57" t="str">
        <f>IF(ISNUMBER(deployment_raw[[#This Row],[Column10]]), (deployment_raw[[#This Row],[Column10]] * IF($E$2="Deployment",deployment_raw[[#This Row],[Column5]],1)),"")</f>
        <v/>
      </c>
      <c r="S974" s="48" t="str">
        <f>IF(ISNUMBER(deployment_raw[[#This Row],[Column11]]), (deployment_raw[[#This Row],[Column11]] * IF($E$2="Deployment",deployment_raw[[#This Row],[Column5]],1))/1048576,"")</f>
        <v/>
      </c>
      <c r="T974" s="59" t="str">
        <f>IF(ISNUMBER(deployment_raw[[#This Row],[Column8]]),IF(OR(deployment_raw[[#This Row],[Column5]] &lt;&gt; 0,$E$2 &lt;&gt; "Deployment"), MAX(V974, ($T$2 * IF($E$2="Deployment",deployment_raw[[#This Row],[Column5]],1))), 0),"")</f>
        <v/>
      </c>
      <c r="U974" s="50" t="str">
        <f>IF(ISNUMBER(deployment_raw[[#This Row],[Column9]]),IF(OR(deployment_raw[[#This Row],[Column5]] &lt;&gt; 0,$E$2&lt;&gt;"Deployment"), MAX(W974, ($U$2 * IF($E$2="Deployment",deployment_raw[[#This Row],[Column5]],1))), 0),"")</f>
        <v/>
      </c>
      <c r="V974" s="15" t="str">
        <f>IF(ISNUMBER(deployment_raw[[#This Row],[Column12]]), (deployment_raw[[#This Row],[Column12]] * IF($E$2="Deployment",deployment_raw[[#This Row],[Column5]],1)*(1+$V$2)),"")</f>
        <v/>
      </c>
      <c r="W974" s="14" t="str">
        <f>IF(ISNUMBER(deployment_raw[[#This Row],[Column13]]), (deployment_raw[[#This Row],[Column13]] * IF($E$2="Deployment",deployment_raw[[#This Row],[Column5]],1)*(1+$W$2))/1048576,"")</f>
        <v/>
      </c>
    </row>
    <row r="975" spans="1:23" ht="15" customHeight="1" x14ac:dyDescent="0.25">
      <c r="A975" s="5" t="str">
        <f>IF(ISNONTEXT(deployment_raw[[#This Row],[Column1]]), "", deployment_raw[[#This Row],[Column1]])</f>
        <v/>
      </c>
      <c r="B975" s="6" t="str">
        <f>IF(ISNONTEXT(deployment_raw[[#This Row],[Column2]]), "", deployment_raw[[#This Row],[Column2]])</f>
        <v/>
      </c>
      <c r="C975" s="6" t="str">
        <f>IF(ISNONTEXT(deployment_raw[[#This Row],[Column3]]), "", deployment_raw[[#This Row],[Column3]])</f>
        <v/>
      </c>
      <c r="D975" s="6" t="str">
        <f>IF(ISNONTEXT(deployment_raw[[#This Row],[Column4]]), "", deployment_raw[[#This Row],[Column4]])</f>
        <v/>
      </c>
      <c r="E975" s="7" t="str">
        <f>IF(ISNUMBER(deployment_raw[[#This Row],[Column5]]), deployment_raw[[#This Row],[Column5]],"")</f>
        <v/>
      </c>
      <c r="F975" s="32" t="str">
        <f>IF(ISNUMBER(deployment_raw[[#This Row],[Column17]]), deployment_raw[[#This Row],[Column17]]/IF(OR($E$2="Deployment",deployment_raw[[#This Row],[Column5]]=0),1,deployment_raw[[#This Row],[Column5]]),"")</f>
        <v/>
      </c>
      <c r="G975" s="42" t="str">
        <f>IF(ISNUMBER(deployment_raw[[#This Row],[Column14]]), deployment_raw[[#This Row],[Column14]]/IF(OR($E$2="Deployment",deployment_raw[[#This Row],[Column5]]=0),1,deployment_raw[[#This Row],[Column5]]),"")</f>
        <v/>
      </c>
      <c r="H975" s="79" t="str">
        <f>IF(ISNUMBER(deployment_raw[[#This Row],[Column19]]), IF(I975&lt;&gt;0,(deployment_raw[[#This Row],[Column19]]/IF(OR($E$2="Deployment",deployment_raw[[#This Row],[Column5]]=0),1,deployment_raw[[#This Row],[Column5]]))/I975,0),"")</f>
        <v/>
      </c>
      <c r="I975" s="69" t="str">
        <f>IF(ISNUMBER(deployment_raw[[#This Row],[Column6]]), (deployment_raw[[#This Row],[Column6]] * IF($E$2="Deployment",deployment_raw[[#This Row],[Column5]],1)),"")</f>
        <v/>
      </c>
      <c r="J975" s="79" t="str">
        <f>IF(ISNUMBER(deployment_raw[[#This Row],[Column19]]), IF(K975&lt;&gt;0,(deployment_raw[[#This Row],[Column19]]/IF(OR($E$2="Deployment",deployment_raw[[#This Row],[Column5]]=0),1,deployment_raw[[#This Row],[Column5]]))/K975,0),"")</f>
        <v/>
      </c>
      <c r="K975" s="72" t="str">
        <f>IF(ISNUMBER(deployment_raw[[#This Row],[Column8]]), (deployment_raw[[#This Row],[Column8]]  * IF($E$2="Deployment",deployment_raw[[#This Row],[Column5]],1)),"")</f>
        <v/>
      </c>
      <c r="L97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7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75" s="81" t="str">
        <f>IF(ISNUMBER(deployment_raw[[#This Row],[Column20]]), IF(O975&lt;&gt;0,deployment_raw[[#This Row],[Column20]]/IF(OR($E$2="Deployment",deployment_raw[[#This Row],[Column5]]=0),1,deployment_raw[[#This Row],[Column5]])/1048576/O975,0),"")</f>
        <v/>
      </c>
      <c r="O975" s="74" t="str">
        <f>IF(ISNUMBER(deployment_raw[[#This Row],[Column7]]), (deployment_raw[[#This Row],[Column7]] * IF($E$2="Deployment",deployment_raw[[#This Row],[Column5]],1))/1048576,"")</f>
        <v/>
      </c>
      <c r="P975" s="81" t="str">
        <f>IF(ISNUMBER(deployment_raw[[#This Row],[Column20]]), IF(Q975&lt;&gt;0,deployment_raw[[#This Row],[Column20]]/IF(OR($E$2="Deployment",deployment_raw[[#This Row],[Column5]]=0),1,deployment_raw[[#This Row],[Column5]])/1048576/Q975,0),"")</f>
        <v/>
      </c>
      <c r="Q975" s="76" t="str">
        <f>IF(ISNUMBER(deployment_raw[[#This Row],[Column9]]), (deployment_raw[[#This Row],[Column9]] * IF($E$2="Deployment",deployment_raw[[#This Row],[Column5]],1))/1048576,"")</f>
        <v/>
      </c>
      <c r="R975" s="57" t="str">
        <f>IF(ISNUMBER(deployment_raw[[#This Row],[Column10]]), (deployment_raw[[#This Row],[Column10]] * IF($E$2="Deployment",deployment_raw[[#This Row],[Column5]],1)),"")</f>
        <v/>
      </c>
      <c r="S975" s="48" t="str">
        <f>IF(ISNUMBER(deployment_raw[[#This Row],[Column11]]), (deployment_raw[[#This Row],[Column11]] * IF($E$2="Deployment",deployment_raw[[#This Row],[Column5]],1))/1048576,"")</f>
        <v/>
      </c>
      <c r="T975" s="59" t="str">
        <f>IF(ISNUMBER(deployment_raw[[#This Row],[Column8]]),IF(OR(deployment_raw[[#This Row],[Column5]] &lt;&gt; 0,$E$2 &lt;&gt; "Deployment"), MAX(V975, ($T$2 * IF($E$2="Deployment",deployment_raw[[#This Row],[Column5]],1))), 0),"")</f>
        <v/>
      </c>
      <c r="U975" s="50" t="str">
        <f>IF(ISNUMBER(deployment_raw[[#This Row],[Column9]]),IF(OR(deployment_raw[[#This Row],[Column5]] &lt;&gt; 0,$E$2&lt;&gt;"Deployment"), MAX(W975, ($U$2 * IF($E$2="Deployment",deployment_raw[[#This Row],[Column5]],1))), 0),"")</f>
        <v/>
      </c>
      <c r="V975" s="15" t="str">
        <f>IF(ISNUMBER(deployment_raw[[#This Row],[Column12]]), (deployment_raw[[#This Row],[Column12]] * IF($E$2="Deployment",deployment_raw[[#This Row],[Column5]],1)*(1+$V$2)),"")</f>
        <v/>
      </c>
      <c r="W975" s="14" t="str">
        <f>IF(ISNUMBER(deployment_raw[[#This Row],[Column13]]), (deployment_raw[[#This Row],[Column13]] * IF($E$2="Deployment",deployment_raw[[#This Row],[Column5]],1)*(1+$W$2))/1048576,"")</f>
        <v/>
      </c>
    </row>
    <row r="976" spans="1:23" ht="15" customHeight="1" x14ac:dyDescent="0.25">
      <c r="A976" s="5" t="str">
        <f>IF(ISNONTEXT(deployment_raw[[#This Row],[Column1]]), "", deployment_raw[[#This Row],[Column1]])</f>
        <v/>
      </c>
      <c r="B976" s="6" t="str">
        <f>IF(ISNONTEXT(deployment_raw[[#This Row],[Column2]]), "", deployment_raw[[#This Row],[Column2]])</f>
        <v/>
      </c>
      <c r="C976" s="6" t="str">
        <f>IF(ISNONTEXT(deployment_raw[[#This Row],[Column3]]), "", deployment_raw[[#This Row],[Column3]])</f>
        <v/>
      </c>
      <c r="D976" s="6" t="str">
        <f>IF(ISNONTEXT(deployment_raw[[#This Row],[Column4]]), "", deployment_raw[[#This Row],[Column4]])</f>
        <v/>
      </c>
      <c r="E976" s="7" t="str">
        <f>IF(ISNUMBER(deployment_raw[[#This Row],[Column5]]), deployment_raw[[#This Row],[Column5]],"")</f>
        <v/>
      </c>
      <c r="F976" s="32" t="str">
        <f>IF(ISNUMBER(deployment_raw[[#This Row],[Column17]]), deployment_raw[[#This Row],[Column17]]/IF(OR($E$2="Deployment",deployment_raw[[#This Row],[Column5]]=0),1,deployment_raw[[#This Row],[Column5]]),"")</f>
        <v/>
      </c>
      <c r="G976" s="42" t="str">
        <f>IF(ISNUMBER(deployment_raw[[#This Row],[Column14]]), deployment_raw[[#This Row],[Column14]]/IF(OR($E$2="Deployment",deployment_raw[[#This Row],[Column5]]=0),1,deployment_raw[[#This Row],[Column5]]),"")</f>
        <v/>
      </c>
      <c r="H976" s="79" t="str">
        <f>IF(ISNUMBER(deployment_raw[[#This Row],[Column19]]), IF(I976&lt;&gt;0,(deployment_raw[[#This Row],[Column19]]/IF(OR($E$2="Deployment",deployment_raw[[#This Row],[Column5]]=0),1,deployment_raw[[#This Row],[Column5]]))/I976,0),"")</f>
        <v/>
      </c>
      <c r="I976" s="69" t="str">
        <f>IF(ISNUMBER(deployment_raw[[#This Row],[Column6]]), (deployment_raw[[#This Row],[Column6]] * IF($E$2="Deployment",deployment_raw[[#This Row],[Column5]],1)),"")</f>
        <v/>
      </c>
      <c r="J976" s="79" t="str">
        <f>IF(ISNUMBER(deployment_raw[[#This Row],[Column19]]), IF(K976&lt;&gt;0,(deployment_raw[[#This Row],[Column19]]/IF(OR($E$2="Deployment",deployment_raw[[#This Row],[Column5]]=0),1,deployment_raw[[#This Row],[Column5]]))/K976,0),"")</f>
        <v/>
      </c>
      <c r="K976" s="72" t="str">
        <f>IF(ISNUMBER(deployment_raw[[#This Row],[Column8]]), (deployment_raw[[#This Row],[Column8]]  * IF($E$2="Deployment",deployment_raw[[#This Row],[Column5]],1)),"")</f>
        <v/>
      </c>
      <c r="L97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7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76" s="81" t="str">
        <f>IF(ISNUMBER(deployment_raw[[#This Row],[Column20]]), IF(O976&lt;&gt;0,deployment_raw[[#This Row],[Column20]]/IF(OR($E$2="Deployment",deployment_raw[[#This Row],[Column5]]=0),1,deployment_raw[[#This Row],[Column5]])/1048576/O976,0),"")</f>
        <v/>
      </c>
      <c r="O976" s="74" t="str">
        <f>IF(ISNUMBER(deployment_raw[[#This Row],[Column7]]), (deployment_raw[[#This Row],[Column7]] * IF($E$2="Deployment",deployment_raw[[#This Row],[Column5]],1))/1048576,"")</f>
        <v/>
      </c>
      <c r="P976" s="81" t="str">
        <f>IF(ISNUMBER(deployment_raw[[#This Row],[Column20]]), IF(Q976&lt;&gt;0,deployment_raw[[#This Row],[Column20]]/IF(OR($E$2="Deployment",deployment_raw[[#This Row],[Column5]]=0),1,deployment_raw[[#This Row],[Column5]])/1048576/Q976,0),"")</f>
        <v/>
      </c>
      <c r="Q976" s="76" t="str">
        <f>IF(ISNUMBER(deployment_raw[[#This Row],[Column9]]), (deployment_raw[[#This Row],[Column9]] * IF($E$2="Deployment",deployment_raw[[#This Row],[Column5]],1))/1048576,"")</f>
        <v/>
      </c>
      <c r="R976" s="57" t="str">
        <f>IF(ISNUMBER(deployment_raw[[#This Row],[Column10]]), (deployment_raw[[#This Row],[Column10]] * IF($E$2="Deployment",deployment_raw[[#This Row],[Column5]],1)),"")</f>
        <v/>
      </c>
      <c r="S976" s="48" t="str">
        <f>IF(ISNUMBER(deployment_raw[[#This Row],[Column11]]), (deployment_raw[[#This Row],[Column11]] * IF($E$2="Deployment",deployment_raw[[#This Row],[Column5]],1))/1048576,"")</f>
        <v/>
      </c>
      <c r="T976" s="59" t="str">
        <f>IF(ISNUMBER(deployment_raw[[#This Row],[Column8]]),IF(OR(deployment_raw[[#This Row],[Column5]] &lt;&gt; 0,$E$2 &lt;&gt; "Deployment"), MAX(V976, ($T$2 * IF($E$2="Deployment",deployment_raw[[#This Row],[Column5]],1))), 0),"")</f>
        <v/>
      </c>
      <c r="U976" s="50" t="str">
        <f>IF(ISNUMBER(deployment_raw[[#This Row],[Column9]]),IF(OR(deployment_raw[[#This Row],[Column5]] &lt;&gt; 0,$E$2&lt;&gt;"Deployment"), MAX(W976, ($U$2 * IF($E$2="Deployment",deployment_raw[[#This Row],[Column5]],1))), 0),"")</f>
        <v/>
      </c>
      <c r="V976" s="15" t="str">
        <f>IF(ISNUMBER(deployment_raw[[#This Row],[Column12]]), (deployment_raw[[#This Row],[Column12]] * IF($E$2="Deployment",deployment_raw[[#This Row],[Column5]],1)*(1+$V$2)),"")</f>
        <v/>
      </c>
      <c r="W976" s="14" t="str">
        <f>IF(ISNUMBER(deployment_raw[[#This Row],[Column13]]), (deployment_raw[[#This Row],[Column13]] * IF($E$2="Deployment",deployment_raw[[#This Row],[Column5]],1)*(1+$W$2))/1048576,"")</f>
        <v/>
      </c>
    </row>
    <row r="977" spans="1:23" ht="15" customHeight="1" x14ac:dyDescent="0.25">
      <c r="A977" s="5" t="str">
        <f>IF(ISNONTEXT(deployment_raw[[#This Row],[Column1]]), "", deployment_raw[[#This Row],[Column1]])</f>
        <v/>
      </c>
      <c r="B977" s="6" t="str">
        <f>IF(ISNONTEXT(deployment_raw[[#This Row],[Column2]]), "", deployment_raw[[#This Row],[Column2]])</f>
        <v/>
      </c>
      <c r="C977" s="6" t="str">
        <f>IF(ISNONTEXT(deployment_raw[[#This Row],[Column3]]), "", deployment_raw[[#This Row],[Column3]])</f>
        <v/>
      </c>
      <c r="D977" s="6" t="str">
        <f>IF(ISNONTEXT(deployment_raw[[#This Row],[Column4]]), "", deployment_raw[[#This Row],[Column4]])</f>
        <v/>
      </c>
      <c r="E977" s="7" t="str">
        <f>IF(ISNUMBER(deployment_raw[[#This Row],[Column5]]), deployment_raw[[#This Row],[Column5]],"")</f>
        <v/>
      </c>
      <c r="F977" s="32" t="str">
        <f>IF(ISNUMBER(deployment_raw[[#This Row],[Column17]]), deployment_raw[[#This Row],[Column17]]/IF(OR($E$2="Deployment",deployment_raw[[#This Row],[Column5]]=0),1,deployment_raw[[#This Row],[Column5]]),"")</f>
        <v/>
      </c>
      <c r="G977" s="42" t="str">
        <f>IF(ISNUMBER(deployment_raw[[#This Row],[Column14]]), deployment_raw[[#This Row],[Column14]]/IF(OR($E$2="Deployment",deployment_raw[[#This Row],[Column5]]=0),1,deployment_raw[[#This Row],[Column5]]),"")</f>
        <v/>
      </c>
      <c r="H977" s="79" t="str">
        <f>IF(ISNUMBER(deployment_raw[[#This Row],[Column19]]), IF(I977&lt;&gt;0,(deployment_raw[[#This Row],[Column19]]/IF(OR($E$2="Deployment",deployment_raw[[#This Row],[Column5]]=0),1,deployment_raw[[#This Row],[Column5]]))/I977,0),"")</f>
        <v/>
      </c>
      <c r="I977" s="69" t="str">
        <f>IF(ISNUMBER(deployment_raw[[#This Row],[Column6]]), (deployment_raw[[#This Row],[Column6]] * IF($E$2="Deployment",deployment_raw[[#This Row],[Column5]],1)),"")</f>
        <v/>
      </c>
      <c r="J977" s="79" t="str">
        <f>IF(ISNUMBER(deployment_raw[[#This Row],[Column19]]), IF(K977&lt;&gt;0,(deployment_raw[[#This Row],[Column19]]/IF(OR($E$2="Deployment",deployment_raw[[#This Row],[Column5]]=0),1,deployment_raw[[#This Row],[Column5]]))/K977,0),"")</f>
        <v/>
      </c>
      <c r="K977" s="72" t="str">
        <f>IF(ISNUMBER(deployment_raw[[#This Row],[Column8]]), (deployment_raw[[#This Row],[Column8]]  * IF($E$2="Deployment",deployment_raw[[#This Row],[Column5]],1)),"")</f>
        <v/>
      </c>
      <c r="L97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7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77" s="81" t="str">
        <f>IF(ISNUMBER(deployment_raw[[#This Row],[Column20]]), IF(O977&lt;&gt;0,deployment_raw[[#This Row],[Column20]]/IF(OR($E$2="Deployment",deployment_raw[[#This Row],[Column5]]=0),1,deployment_raw[[#This Row],[Column5]])/1048576/O977,0),"")</f>
        <v/>
      </c>
      <c r="O977" s="74" t="str">
        <f>IF(ISNUMBER(deployment_raw[[#This Row],[Column7]]), (deployment_raw[[#This Row],[Column7]] * IF($E$2="Deployment",deployment_raw[[#This Row],[Column5]],1))/1048576,"")</f>
        <v/>
      </c>
      <c r="P977" s="81" t="str">
        <f>IF(ISNUMBER(deployment_raw[[#This Row],[Column20]]), IF(Q977&lt;&gt;0,deployment_raw[[#This Row],[Column20]]/IF(OR($E$2="Deployment",deployment_raw[[#This Row],[Column5]]=0),1,deployment_raw[[#This Row],[Column5]])/1048576/Q977,0),"")</f>
        <v/>
      </c>
      <c r="Q977" s="76" t="str">
        <f>IF(ISNUMBER(deployment_raw[[#This Row],[Column9]]), (deployment_raw[[#This Row],[Column9]] * IF($E$2="Deployment",deployment_raw[[#This Row],[Column5]],1))/1048576,"")</f>
        <v/>
      </c>
      <c r="R977" s="57" t="str">
        <f>IF(ISNUMBER(deployment_raw[[#This Row],[Column10]]), (deployment_raw[[#This Row],[Column10]] * IF($E$2="Deployment",deployment_raw[[#This Row],[Column5]],1)),"")</f>
        <v/>
      </c>
      <c r="S977" s="48" t="str">
        <f>IF(ISNUMBER(deployment_raw[[#This Row],[Column11]]), (deployment_raw[[#This Row],[Column11]] * IF($E$2="Deployment",deployment_raw[[#This Row],[Column5]],1))/1048576,"")</f>
        <v/>
      </c>
      <c r="T977" s="59" t="str">
        <f>IF(ISNUMBER(deployment_raw[[#This Row],[Column8]]),IF(OR(deployment_raw[[#This Row],[Column5]] &lt;&gt; 0,$E$2 &lt;&gt; "Deployment"), MAX(V977, ($T$2 * IF($E$2="Deployment",deployment_raw[[#This Row],[Column5]],1))), 0),"")</f>
        <v/>
      </c>
      <c r="U977" s="50" t="str">
        <f>IF(ISNUMBER(deployment_raw[[#This Row],[Column9]]),IF(OR(deployment_raw[[#This Row],[Column5]] &lt;&gt; 0,$E$2&lt;&gt;"Deployment"), MAX(W977, ($U$2 * IF($E$2="Deployment",deployment_raw[[#This Row],[Column5]],1))), 0),"")</f>
        <v/>
      </c>
      <c r="V977" s="15" t="str">
        <f>IF(ISNUMBER(deployment_raw[[#This Row],[Column12]]), (deployment_raw[[#This Row],[Column12]] * IF($E$2="Deployment",deployment_raw[[#This Row],[Column5]],1)*(1+$V$2)),"")</f>
        <v/>
      </c>
      <c r="W977" s="14" t="str">
        <f>IF(ISNUMBER(deployment_raw[[#This Row],[Column13]]), (deployment_raw[[#This Row],[Column13]] * IF($E$2="Deployment",deployment_raw[[#This Row],[Column5]],1)*(1+$W$2))/1048576,"")</f>
        <v/>
      </c>
    </row>
    <row r="978" spans="1:23" ht="15" customHeight="1" x14ac:dyDescent="0.25">
      <c r="A978" s="5" t="str">
        <f>IF(ISNONTEXT(deployment_raw[[#This Row],[Column1]]), "", deployment_raw[[#This Row],[Column1]])</f>
        <v/>
      </c>
      <c r="B978" s="6" t="str">
        <f>IF(ISNONTEXT(deployment_raw[[#This Row],[Column2]]), "", deployment_raw[[#This Row],[Column2]])</f>
        <v/>
      </c>
      <c r="C978" s="6" t="str">
        <f>IF(ISNONTEXT(deployment_raw[[#This Row],[Column3]]), "", deployment_raw[[#This Row],[Column3]])</f>
        <v/>
      </c>
      <c r="D978" s="6" t="str">
        <f>IF(ISNONTEXT(deployment_raw[[#This Row],[Column4]]), "", deployment_raw[[#This Row],[Column4]])</f>
        <v/>
      </c>
      <c r="E978" s="7" t="str">
        <f>IF(ISNUMBER(deployment_raw[[#This Row],[Column5]]), deployment_raw[[#This Row],[Column5]],"")</f>
        <v/>
      </c>
      <c r="F978" s="32" t="str">
        <f>IF(ISNUMBER(deployment_raw[[#This Row],[Column17]]), deployment_raw[[#This Row],[Column17]]/IF(OR($E$2="Deployment",deployment_raw[[#This Row],[Column5]]=0),1,deployment_raw[[#This Row],[Column5]]),"")</f>
        <v/>
      </c>
      <c r="G978" s="42" t="str">
        <f>IF(ISNUMBER(deployment_raw[[#This Row],[Column14]]), deployment_raw[[#This Row],[Column14]]/IF(OR($E$2="Deployment",deployment_raw[[#This Row],[Column5]]=0),1,deployment_raw[[#This Row],[Column5]]),"")</f>
        <v/>
      </c>
      <c r="H978" s="79" t="str">
        <f>IF(ISNUMBER(deployment_raw[[#This Row],[Column19]]), IF(I978&lt;&gt;0,(deployment_raw[[#This Row],[Column19]]/IF(OR($E$2="Deployment",deployment_raw[[#This Row],[Column5]]=0),1,deployment_raw[[#This Row],[Column5]]))/I978,0),"")</f>
        <v/>
      </c>
      <c r="I978" s="69" t="str">
        <f>IF(ISNUMBER(deployment_raw[[#This Row],[Column6]]), (deployment_raw[[#This Row],[Column6]] * IF($E$2="Deployment",deployment_raw[[#This Row],[Column5]],1)),"")</f>
        <v/>
      </c>
      <c r="J978" s="79" t="str">
        <f>IF(ISNUMBER(deployment_raw[[#This Row],[Column19]]), IF(K978&lt;&gt;0,(deployment_raw[[#This Row],[Column19]]/IF(OR($E$2="Deployment",deployment_raw[[#This Row],[Column5]]=0),1,deployment_raw[[#This Row],[Column5]]))/K978,0),"")</f>
        <v/>
      </c>
      <c r="K978" s="72" t="str">
        <f>IF(ISNUMBER(deployment_raw[[#This Row],[Column8]]), (deployment_raw[[#This Row],[Column8]]  * IF($E$2="Deployment",deployment_raw[[#This Row],[Column5]],1)),"")</f>
        <v/>
      </c>
      <c r="L97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7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78" s="81" t="str">
        <f>IF(ISNUMBER(deployment_raw[[#This Row],[Column20]]), IF(O978&lt;&gt;0,deployment_raw[[#This Row],[Column20]]/IF(OR($E$2="Deployment",deployment_raw[[#This Row],[Column5]]=0),1,deployment_raw[[#This Row],[Column5]])/1048576/O978,0),"")</f>
        <v/>
      </c>
      <c r="O978" s="74" t="str">
        <f>IF(ISNUMBER(deployment_raw[[#This Row],[Column7]]), (deployment_raw[[#This Row],[Column7]] * IF($E$2="Deployment",deployment_raw[[#This Row],[Column5]],1))/1048576,"")</f>
        <v/>
      </c>
      <c r="P978" s="81" t="str">
        <f>IF(ISNUMBER(deployment_raw[[#This Row],[Column20]]), IF(Q978&lt;&gt;0,deployment_raw[[#This Row],[Column20]]/IF(OR($E$2="Deployment",deployment_raw[[#This Row],[Column5]]=0),1,deployment_raw[[#This Row],[Column5]])/1048576/Q978,0),"")</f>
        <v/>
      </c>
      <c r="Q978" s="76" t="str">
        <f>IF(ISNUMBER(deployment_raw[[#This Row],[Column9]]), (deployment_raw[[#This Row],[Column9]] * IF($E$2="Deployment",deployment_raw[[#This Row],[Column5]],1))/1048576,"")</f>
        <v/>
      </c>
      <c r="R978" s="57" t="str">
        <f>IF(ISNUMBER(deployment_raw[[#This Row],[Column10]]), (deployment_raw[[#This Row],[Column10]] * IF($E$2="Deployment",deployment_raw[[#This Row],[Column5]],1)),"")</f>
        <v/>
      </c>
      <c r="S978" s="48" t="str">
        <f>IF(ISNUMBER(deployment_raw[[#This Row],[Column11]]), (deployment_raw[[#This Row],[Column11]] * IF($E$2="Deployment",deployment_raw[[#This Row],[Column5]],1))/1048576,"")</f>
        <v/>
      </c>
      <c r="T978" s="59" t="str">
        <f>IF(ISNUMBER(deployment_raw[[#This Row],[Column8]]),IF(OR(deployment_raw[[#This Row],[Column5]] &lt;&gt; 0,$E$2 &lt;&gt; "Deployment"), MAX(V978, ($T$2 * IF($E$2="Deployment",deployment_raw[[#This Row],[Column5]],1))), 0),"")</f>
        <v/>
      </c>
      <c r="U978" s="50" t="str">
        <f>IF(ISNUMBER(deployment_raw[[#This Row],[Column9]]),IF(OR(deployment_raw[[#This Row],[Column5]] &lt;&gt; 0,$E$2&lt;&gt;"Deployment"), MAX(W978, ($U$2 * IF($E$2="Deployment",deployment_raw[[#This Row],[Column5]],1))), 0),"")</f>
        <v/>
      </c>
      <c r="V978" s="15" t="str">
        <f>IF(ISNUMBER(deployment_raw[[#This Row],[Column12]]), (deployment_raw[[#This Row],[Column12]] * IF($E$2="Deployment",deployment_raw[[#This Row],[Column5]],1)*(1+$V$2)),"")</f>
        <v/>
      </c>
      <c r="W978" s="14" t="str">
        <f>IF(ISNUMBER(deployment_raw[[#This Row],[Column13]]), (deployment_raw[[#This Row],[Column13]] * IF($E$2="Deployment",deployment_raw[[#This Row],[Column5]],1)*(1+$W$2))/1048576,"")</f>
        <v/>
      </c>
    </row>
    <row r="979" spans="1:23" ht="15" customHeight="1" x14ac:dyDescent="0.25">
      <c r="A979" s="5" t="str">
        <f>IF(ISNONTEXT(deployment_raw[[#This Row],[Column1]]), "", deployment_raw[[#This Row],[Column1]])</f>
        <v/>
      </c>
      <c r="B979" s="6" t="str">
        <f>IF(ISNONTEXT(deployment_raw[[#This Row],[Column2]]), "", deployment_raw[[#This Row],[Column2]])</f>
        <v/>
      </c>
      <c r="C979" s="6" t="str">
        <f>IF(ISNONTEXT(deployment_raw[[#This Row],[Column3]]), "", deployment_raw[[#This Row],[Column3]])</f>
        <v/>
      </c>
      <c r="D979" s="6" t="str">
        <f>IF(ISNONTEXT(deployment_raw[[#This Row],[Column4]]), "", deployment_raw[[#This Row],[Column4]])</f>
        <v/>
      </c>
      <c r="E979" s="7" t="str">
        <f>IF(ISNUMBER(deployment_raw[[#This Row],[Column5]]), deployment_raw[[#This Row],[Column5]],"")</f>
        <v/>
      </c>
      <c r="F979" s="32" t="str">
        <f>IF(ISNUMBER(deployment_raw[[#This Row],[Column17]]), deployment_raw[[#This Row],[Column17]]/IF(OR($E$2="Deployment",deployment_raw[[#This Row],[Column5]]=0),1,deployment_raw[[#This Row],[Column5]]),"")</f>
        <v/>
      </c>
      <c r="G979" s="42" t="str">
        <f>IF(ISNUMBER(deployment_raw[[#This Row],[Column14]]), deployment_raw[[#This Row],[Column14]]/IF(OR($E$2="Deployment",deployment_raw[[#This Row],[Column5]]=0),1,deployment_raw[[#This Row],[Column5]]),"")</f>
        <v/>
      </c>
      <c r="H979" s="79" t="str">
        <f>IF(ISNUMBER(deployment_raw[[#This Row],[Column19]]), IF(I979&lt;&gt;0,(deployment_raw[[#This Row],[Column19]]/IF(OR($E$2="Deployment",deployment_raw[[#This Row],[Column5]]=0),1,deployment_raw[[#This Row],[Column5]]))/I979,0),"")</f>
        <v/>
      </c>
      <c r="I979" s="69" t="str">
        <f>IF(ISNUMBER(deployment_raw[[#This Row],[Column6]]), (deployment_raw[[#This Row],[Column6]] * IF($E$2="Deployment",deployment_raw[[#This Row],[Column5]],1)),"")</f>
        <v/>
      </c>
      <c r="J979" s="79" t="str">
        <f>IF(ISNUMBER(deployment_raw[[#This Row],[Column19]]), IF(K979&lt;&gt;0,(deployment_raw[[#This Row],[Column19]]/IF(OR($E$2="Deployment",deployment_raw[[#This Row],[Column5]]=0),1,deployment_raw[[#This Row],[Column5]]))/K979,0),"")</f>
        <v/>
      </c>
      <c r="K979" s="72" t="str">
        <f>IF(ISNUMBER(deployment_raw[[#This Row],[Column8]]), (deployment_raw[[#This Row],[Column8]]  * IF($E$2="Deployment",deployment_raw[[#This Row],[Column5]],1)),"")</f>
        <v/>
      </c>
      <c r="L97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7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79" s="81" t="str">
        <f>IF(ISNUMBER(deployment_raw[[#This Row],[Column20]]), IF(O979&lt;&gt;0,deployment_raw[[#This Row],[Column20]]/IF(OR($E$2="Deployment",deployment_raw[[#This Row],[Column5]]=0),1,deployment_raw[[#This Row],[Column5]])/1048576/O979,0),"")</f>
        <v/>
      </c>
      <c r="O979" s="74" t="str">
        <f>IF(ISNUMBER(deployment_raw[[#This Row],[Column7]]), (deployment_raw[[#This Row],[Column7]] * IF($E$2="Deployment",deployment_raw[[#This Row],[Column5]],1))/1048576,"")</f>
        <v/>
      </c>
      <c r="P979" s="81" t="str">
        <f>IF(ISNUMBER(deployment_raw[[#This Row],[Column20]]), IF(Q979&lt;&gt;0,deployment_raw[[#This Row],[Column20]]/IF(OR($E$2="Deployment",deployment_raw[[#This Row],[Column5]]=0),1,deployment_raw[[#This Row],[Column5]])/1048576/Q979,0),"")</f>
        <v/>
      </c>
      <c r="Q979" s="76" t="str">
        <f>IF(ISNUMBER(deployment_raw[[#This Row],[Column9]]), (deployment_raw[[#This Row],[Column9]] * IF($E$2="Deployment",deployment_raw[[#This Row],[Column5]],1))/1048576,"")</f>
        <v/>
      </c>
      <c r="R979" s="57" t="str">
        <f>IF(ISNUMBER(deployment_raw[[#This Row],[Column10]]), (deployment_raw[[#This Row],[Column10]] * IF($E$2="Deployment",deployment_raw[[#This Row],[Column5]],1)),"")</f>
        <v/>
      </c>
      <c r="S979" s="48" t="str">
        <f>IF(ISNUMBER(deployment_raw[[#This Row],[Column11]]), (deployment_raw[[#This Row],[Column11]] * IF($E$2="Deployment",deployment_raw[[#This Row],[Column5]],1))/1048576,"")</f>
        <v/>
      </c>
      <c r="T979" s="59" t="str">
        <f>IF(ISNUMBER(deployment_raw[[#This Row],[Column8]]),IF(OR(deployment_raw[[#This Row],[Column5]] &lt;&gt; 0,$E$2 &lt;&gt; "Deployment"), MAX(V979, ($T$2 * IF($E$2="Deployment",deployment_raw[[#This Row],[Column5]],1))), 0),"")</f>
        <v/>
      </c>
      <c r="U979" s="50" t="str">
        <f>IF(ISNUMBER(deployment_raw[[#This Row],[Column9]]),IF(OR(deployment_raw[[#This Row],[Column5]] &lt;&gt; 0,$E$2&lt;&gt;"Deployment"), MAX(W979, ($U$2 * IF($E$2="Deployment",deployment_raw[[#This Row],[Column5]],1))), 0),"")</f>
        <v/>
      </c>
      <c r="V979" s="15" t="str">
        <f>IF(ISNUMBER(deployment_raw[[#This Row],[Column12]]), (deployment_raw[[#This Row],[Column12]] * IF($E$2="Deployment",deployment_raw[[#This Row],[Column5]],1)*(1+$V$2)),"")</f>
        <v/>
      </c>
      <c r="W979" s="14" t="str">
        <f>IF(ISNUMBER(deployment_raw[[#This Row],[Column13]]), (deployment_raw[[#This Row],[Column13]] * IF($E$2="Deployment",deployment_raw[[#This Row],[Column5]],1)*(1+$W$2))/1048576,"")</f>
        <v/>
      </c>
    </row>
    <row r="980" spans="1:23" ht="15" customHeight="1" x14ac:dyDescent="0.25">
      <c r="A980" s="5" t="str">
        <f>IF(ISNONTEXT(deployment_raw[[#This Row],[Column1]]), "", deployment_raw[[#This Row],[Column1]])</f>
        <v/>
      </c>
      <c r="B980" s="6" t="str">
        <f>IF(ISNONTEXT(deployment_raw[[#This Row],[Column2]]), "", deployment_raw[[#This Row],[Column2]])</f>
        <v/>
      </c>
      <c r="C980" s="6" t="str">
        <f>IF(ISNONTEXT(deployment_raw[[#This Row],[Column3]]), "", deployment_raw[[#This Row],[Column3]])</f>
        <v/>
      </c>
      <c r="D980" s="6" t="str">
        <f>IF(ISNONTEXT(deployment_raw[[#This Row],[Column4]]), "", deployment_raw[[#This Row],[Column4]])</f>
        <v/>
      </c>
      <c r="E980" s="7" t="str">
        <f>IF(ISNUMBER(deployment_raw[[#This Row],[Column5]]), deployment_raw[[#This Row],[Column5]],"")</f>
        <v/>
      </c>
      <c r="F980" s="32" t="str">
        <f>IF(ISNUMBER(deployment_raw[[#This Row],[Column17]]), deployment_raw[[#This Row],[Column17]]/IF(OR($E$2="Deployment",deployment_raw[[#This Row],[Column5]]=0),1,deployment_raw[[#This Row],[Column5]]),"")</f>
        <v/>
      </c>
      <c r="G980" s="42" t="str">
        <f>IF(ISNUMBER(deployment_raw[[#This Row],[Column14]]), deployment_raw[[#This Row],[Column14]]/IF(OR($E$2="Deployment",deployment_raw[[#This Row],[Column5]]=0),1,deployment_raw[[#This Row],[Column5]]),"")</f>
        <v/>
      </c>
      <c r="H980" s="79" t="str">
        <f>IF(ISNUMBER(deployment_raw[[#This Row],[Column19]]), IF(I980&lt;&gt;0,(deployment_raw[[#This Row],[Column19]]/IF(OR($E$2="Deployment",deployment_raw[[#This Row],[Column5]]=0),1,deployment_raw[[#This Row],[Column5]]))/I980,0),"")</f>
        <v/>
      </c>
      <c r="I980" s="69" t="str">
        <f>IF(ISNUMBER(deployment_raw[[#This Row],[Column6]]), (deployment_raw[[#This Row],[Column6]] * IF($E$2="Deployment",deployment_raw[[#This Row],[Column5]],1)),"")</f>
        <v/>
      </c>
      <c r="J980" s="79" t="str">
        <f>IF(ISNUMBER(deployment_raw[[#This Row],[Column19]]), IF(K980&lt;&gt;0,(deployment_raw[[#This Row],[Column19]]/IF(OR($E$2="Deployment",deployment_raw[[#This Row],[Column5]]=0),1,deployment_raw[[#This Row],[Column5]]))/K980,0),"")</f>
        <v/>
      </c>
      <c r="K980" s="72" t="str">
        <f>IF(ISNUMBER(deployment_raw[[#This Row],[Column8]]), (deployment_raw[[#This Row],[Column8]]  * IF($E$2="Deployment",deployment_raw[[#This Row],[Column5]],1)),"")</f>
        <v/>
      </c>
      <c r="L98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8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80" s="81" t="str">
        <f>IF(ISNUMBER(deployment_raw[[#This Row],[Column20]]), IF(O980&lt;&gt;0,deployment_raw[[#This Row],[Column20]]/IF(OR($E$2="Deployment",deployment_raw[[#This Row],[Column5]]=0),1,deployment_raw[[#This Row],[Column5]])/1048576/O980,0),"")</f>
        <v/>
      </c>
      <c r="O980" s="74" t="str">
        <f>IF(ISNUMBER(deployment_raw[[#This Row],[Column7]]), (deployment_raw[[#This Row],[Column7]] * IF($E$2="Deployment",deployment_raw[[#This Row],[Column5]],1))/1048576,"")</f>
        <v/>
      </c>
      <c r="P980" s="81" t="str">
        <f>IF(ISNUMBER(deployment_raw[[#This Row],[Column20]]), IF(Q980&lt;&gt;0,deployment_raw[[#This Row],[Column20]]/IF(OR($E$2="Deployment",deployment_raw[[#This Row],[Column5]]=0),1,deployment_raw[[#This Row],[Column5]])/1048576/Q980,0),"")</f>
        <v/>
      </c>
      <c r="Q980" s="76" t="str">
        <f>IF(ISNUMBER(deployment_raw[[#This Row],[Column9]]), (deployment_raw[[#This Row],[Column9]] * IF($E$2="Deployment",deployment_raw[[#This Row],[Column5]],1))/1048576,"")</f>
        <v/>
      </c>
      <c r="R980" s="57" t="str">
        <f>IF(ISNUMBER(deployment_raw[[#This Row],[Column10]]), (deployment_raw[[#This Row],[Column10]] * IF($E$2="Deployment",deployment_raw[[#This Row],[Column5]],1)),"")</f>
        <v/>
      </c>
      <c r="S980" s="48" t="str">
        <f>IF(ISNUMBER(deployment_raw[[#This Row],[Column11]]), (deployment_raw[[#This Row],[Column11]] * IF($E$2="Deployment",deployment_raw[[#This Row],[Column5]],1))/1048576,"")</f>
        <v/>
      </c>
      <c r="T980" s="59" t="str">
        <f>IF(ISNUMBER(deployment_raw[[#This Row],[Column8]]),IF(OR(deployment_raw[[#This Row],[Column5]] &lt;&gt; 0,$E$2 &lt;&gt; "Deployment"), MAX(V980, ($T$2 * IF($E$2="Deployment",deployment_raw[[#This Row],[Column5]],1))), 0),"")</f>
        <v/>
      </c>
      <c r="U980" s="50" t="str">
        <f>IF(ISNUMBER(deployment_raw[[#This Row],[Column9]]),IF(OR(deployment_raw[[#This Row],[Column5]] &lt;&gt; 0,$E$2&lt;&gt;"Deployment"), MAX(W980, ($U$2 * IF($E$2="Deployment",deployment_raw[[#This Row],[Column5]],1))), 0),"")</f>
        <v/>
      </c>
      <c r="V980" s="15" t="str">
        <f>IF(ISNUMBER(deployment_raw[[#This Row],[Column12]]), (deployment_raw[[#This Row],[Column12]] * IF($E$2="Deployment",deployment_raw[[#This Row],[Column5]],1)*(1+$V$2)),"")</f>
        <v/>
      </c>
      <c r="W980" s="14" t="str">
        <f>IF(ISNUMBER(deployment_raw[[#This Row],[Column13]]), (deployment_raw[[#This Row],[Column13]] * IF($E$2="Deployment",deployment_raw[[#This Row],[Column5]],1)*(1+$W$2))/1048576,"")</f>
        <v/>
      </c>
    </row>
    <row r="981" spans="1:23" ht="15" customHeight="1" x14ac:dyDescent="0.25">
      <c r="A981" s="5" t="str">
        <f>IF(ISNONTEXT(deployment_raw[[#This Row],[Column1]]), "", deployment_raw[[#This Row],[Column1]])</f>
        <v/>
      </c>
      <c r="B981" s="6" t="str">
        <f>IF(ISNONTEXT(deployment_raw[[#This Row],[Column2]]), "", deployment_raw[[#This Row],[Column2]])</f>
        <v/>
      </c>
      <c r="C981" s="6" t="str">
        <f>IF(ISNONTEXT(deployment_raw[[#This Row],[Column3]]), "", deployment_raw[[#This Row],[Column3]])</f>
        <v/>
      </c>
      <c r="D981" s="6" t="str">
        <f>IF(ISNONTEXT(deployment_raw[[#This Row],[Column4]]), "", deployment_raw[[#This Row],[Column4]])</f>
        <v/>
      </c>
      <c r="E981" s="7" t="str">
        <f>IF(ISNUMBER(deployment_raw[[#This Row],[Column5]]), deployment_raw[[#This Row],[Column5]],"")</f>
        <v/>
      </c>
      <c r="F981" s="32" t="str">
        <f>IF(ISNUMBER(deployment_raw[[#This Row],[Column17]]), deployment_raw[[#This Row],[Column17]]/IF(OR($E$2="Deployment",deployment_raw[[#This Row],[Column5]]=0),1,deployment_raw[[#This Row],[Column5]]),"")</f>
        <v/>
      </c>
      <c r="G981" s="42" t="str">
        <f>IF(ISNUMBER(deployment_raw[[#This Row],[Column14]]), deployment_raw[[#This Row],[Column14]]/IF(OR($E$2="Deployment",deployment_raw[[#This Row],[Column5]]=0),1,deployment_raw[[#This Row],[Column5]]),"")</f>
        <v/>
      </c>
      <c r="H981" s="79" t="str">
        <f>IF(ISNUMBER(deployment_raw[[#This Row],[Column19]]), IF(I981&lt;&gt;0,(deployment_raw[[#This Row],[Column19]]/IF(OR($E$2="Deployment",deployment_raw[[#This Row],[Column5]]=0),1,deployment_raw[[#This Row],[Column5]]))/I981,0),"")</f>
        <v/>
      </c>
      <c r="I981" s="69" t="str">
        <f>IF(ISNUMBER(deployment_raw[[#This Row],[Column6]]), (deployment_raw[[#This Row],[Column6]] * IF($E$2="Deployment",deployment_raw[[#This Row],[Column5]],1)),"")</f>
        <v/>
      </c>
      <c r="J981" s="79" t="str">
        <f>IF(ISNUMBER(deployment_raw[[#This Row],[Column19]]), IF(K981&lt;&gt;0,(deployment_raw[[#This Row],[Column19]]/IF(OR($E$2="Deployment",deployment_raw[[#This Row],[Column5]]=0),1,deployment_raw[[#This Row],[Column5]]))/K981,0),"")</f>
        <v/>
      </c>
      <c r="K981" s="72" t="str">
        <f>IF(ISNUMBER(deployment_raw[[#This Row],[Column8]]), (deployment_raw[[#This Row],[Column8]]  * IF($E$2="Deployment",deployment_raw[[#This Row],[Column5]],1)),"")</f>
        <v/>
      </c>
      <c r="L98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8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81" s="81" t="str">
        <f>IF(ISNUMBER(deployment_raw[[#This Row],[Column20]]), IF(O981&lt;&gt;0,deployment_raw[[#This Row],[Column20]]/IF(OR($E$2="Deployment",deployment_raw[[#This Row],[Column5]]=0),1,deployment_raw[[#This Row],[Column5]])/1048576/O981,0),"")</f>
        <v/>
      </c>
      <c r="O981" s="74" t="str">
        <f>IF(ISNUMBER(deployment_raw[[#This Row],[Column7]]), (deployment_raw[[#This Row],[Column7]] * IF($E$2="Deployment",deployment_raw[[#This Row],[Column5]],1))/1048576,"")</f>
        <v/>
      </c>
      <c r="P981" s="81" t="str">
        <f>IF(ISNUMBER(deployment_raw[[#This Row],[Column20]]), IF(Q981&lt;&gt;0,deployment_raw[[#This Row],[Column20]]/IF(OR($E$2="Deployment",deployment_raw[[#This Row],[Column5]]=0),1,deployment_raw[[#This Row],[Column5]])/1048576/Q981,0),"")</f>
        <v/>
      </c>
      <c r="Q981" s="76" t="str">
        <f>IF(ISNUMBER(deployment_raw[[#This Row],[Column9]]), (deployment_raw[[#This Row],[Column9]] * IF($E$2="Deployment",deployment_raw[[#This Row],[Column5]],1))/1048576,"")</f>
        <v/>
      </c>
      <c r="R981" s="57" t="str">
        <f>IF(ISNUMBER(deployment_raw[[#This Row],[Column10]]), (deployment_raw[[#This Row],[Column10]] * IF($E$2="Deployment",deployment_raw[[#This Row],[Column5]],1)),"")</f>
        <v/>
      </c>
      <c r="S981" s="48" t="str">
        <f>IF(ISNUMBER(deployment_raw[[#This Row],[Column11]]), (deployment_raw[[#This Row],[Column11]] * IF($E$2="Deployment",deployment_raw[[#This Row],[Column5]],1))/1048576,"")</f>
        <v/>
      </c>
      <c r="T981" s="59" t="str">
        <f>IF(ISNUMBER(deployment_raw[[#This Row],[Column8]]),IF(OR(deployment_raw[[#This Row],[Column5]] &lt;&gt; 0,$E$2 &lt;&gt; "Deployment"), MAX(V981, ($T$2 * IF($E$2="Deployment",deployment_raw[[#This Row],[Column5]],1))), 0),"")</f>
        <v/>
      </c>
      <c r="U981" s="50" t="str">
        <f>IF(ISNUMBER(deployment_raw[[#This Row],[Column9]]),IF(OR(deployment_raw[[#This Row],[Column5]] &lt;&gt; 0,$E$2&lt;&gt;"Deployment"), MAX(W981, ($U$2 * IF($E$2="Deployment",deployment_raw[[#This Row],[Column5]],1))), 0),"")</f>
        <v/>
      </c>
      <c r="V981" s="15" t="str">
        <f>IF(ISNUMBER(deployment_raw[[#This Row],[Column12]]), (deployment_raw[[#This Row],[Column12]] * IF($E$2="Deployment",deployment_raw[[#This Row],[Column5]],1)*(1+$V$2)),"")</f>
        <v/>
      </c>
      <c r="W981" s="14" t="str">
        <f>IF(ISNUMBER(deployment_raw[[#This Row],[Column13]]), (deployment_raw[[#This Row],[Column13]] * IF($E$2="Deployment",deployment_raw[[#This Row],[Column5]],1)*(1+$W$2))/1048576,"")</f>
        <v/>
      </c>
    </row>
    <row r="982" spans="1:23" ht="15" customHeight="1" x14ac:dyDescent="0.25">
      <c r="A982" s="5" t="str">
        <f>IF(ISNONTEXT(deployment_raw[[#This Row],[Column1]]), "", deployment_raw[[#This Row],[Column1]])</f>
        <v/>
      </c>
      <c r="B982" s="6" t="str">
        <f>IF(ISNONTEXT(deployment_raw[[#This Row],[Column2]]), "", deployment_raw[[#This Row],[Column2]])</f>
        <v/>
      </c>
      <c r="C982" s="6" t="str">
        <f>IF(ISNONTEXT(deployment_raw[[#This Row],[Column3]]), "", deployment_raw[[#This Row],[Column3]])</f>
        <v/>
      </c>
      <c r="D982" s="6" t="str">
        <f>IF(ISNONTEXT(deployment_raw[[#This Row],[Column4]]), "", deployment_raw[[#This Row],[Column4]])</f>
        <v/>
      </c>
      <c r="E982" s="7" t="str">
        <f>IF(ISNUMBER(deployment_raw[[#This Row],[Column5]]), deployment_raw[[#This Row],[Column5]],"")</f>
        <v/>
      </c>
      <c r="F982" s="32" t="str">
        <f>IF(ISNUMBER(deployment_raw[[#This Row],[Column17]]), deployment_raw[[#This Row],[Column17]]/IF(OR($E$2="Deployment",deployment_raw[[#This Row],[Column5]]=0),1,deployment_raw[[#This Row],[Column5]]),"")</f>
        <v/>
      </c>
      <c r="G982" s="42" t="str">
        <f>IF(ISNUMBER(deployment_raw[[#This Row],[Column14]]), deployment_raw[[#This Row],[Column14]]/IF(OR($E$2="Deployment",deployment_raw[[#This Row],[Column5]]=0),1,deployment_raw[[#This Row],[Column5]]),"")</f>
        <v/>
      </c>
      <c r="H982" s="79" t="str">
        <f>IF(ISNUMBER(deployment_raw[[#This Row],[Column19]]), IF(I982&lt;&gt;0,(deployment_raw[[#This Row],[Column19]]/IF(OR($E$2="Deployment",deployment_raw[[#This Row],[Column5]]=0),1,deployment_raw[[#This Row],[Column5]]))/I982,0),"")</f>
        <v/>
      </c>
      <c r="I982" s="69" t="str">
        <f>IF(ISNUMBER(deployment_raw[[#This Row],[Column6]]), (deployment_raw[[#This Row],[Column6]] * IF($E$2="Deployment",deployment_raw[[#This Row],[Column5]],1)),"")</f>
        <v/>
      </c>
      <c r="J982" s="79" t="str">
        <f>IF(ISNUMBER(deployment_raw[[#This Row],[Column19]]), IF(K982&lt;&gt;0,(deployment_raw[[#This Row],[Column19]]/IF(OR($E$2="Deployment",deployment_raw[[#This Row],[Column5]]=0),1,deployment_raw[[#This Row],[Column5]]))/K982,0),"")</f>
        <v/>
      </c>
      <c r="K982" s="72" t="str">
        <f>IF(ISNUMBER(deployment_raw[[#This Row],[Column8]]), (deployment_raw[[#This Row],[Column8]]  * IF($E$2="Deployment",deployment_raw[[#This Row],[Column5]],1)),"")</f>
        <v/>
      </c>
      <c r="L98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8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82" s="81" t="str">
        <f>IF(ISNUMBER(deployment_raw[[#This Row],[Column20]]), IF(O982&lt;&gt;0,deployment_raw[[#This Row],[Column20]]/IF(OR($E$2="Deployment",deployment_raw[[#This Row],[Column5]]=0),1,deployment_raw[[#This Row],[Column5]])/1048576/O982,0),"")</f>
        <v/>
      </c>
      <c r="O982" s="74" t="str">
        <f>IF(ISNUMBER(deployment_raw[[#This Row],[Column7]]), (deployment_raw[[#This Row],[Column7]] * IF($E$2="Deployment",deployment_raw[[#This Row],[Column5]],1))/1048576,"")</f>
        <v/>
      </c>
      <c r="P982" s="81" t="str">
        <f>IF(ISNUMBER(deployment_raw[[#This Row],[Column20]]), IF(Q982&lt;&gt;0,deployment_raw[[#This Row],[Column20]]/IF(OR($E$2="Deployment",deployment_raw[[#This Row],[Column5]]=0),1,deployment_raw[[#This Row],[Column5]])/1048576/Q982,0),"")</f>
        <v/>
      </c>
      <c r="Q982" s="76" t="str">
        <f>IF(ISNUMBER(deployment_raw[[#This Row],[Column9]]), (deployment_raw[[#This Row],[Column9]] * IF($E$2="Deployment",deployment_raw[[#This Row],[Column5]],1))/1048576,"")</f>
        <v/>
      </c>
      <c r="R982" s="57" t="str">
        <f>IF(ISNUMBER(deployment_raw[[#This Row],[Column10]]), (deployment_raw[[#This Row],[Column10]] * IF($E$2="Deployment",deployment_raw[[#This Row],[Column5]],1)),"")</f>
        <v/>
      </c>
      <c r="S982" s="48" t="str">
        <f>IF(ISNUMBER(deployment_raw[[#This Row],[Column11]]), (deployment_raw[[#This Row],[Column11]] * IF($E$2="Deployment",deployment_raw[[#This Row],[Column5]],1))/1048576,"")</f>
        <v/>
      </c>
      <c r="T982" s="59" t="str">
        <f>IF(ISNUMBER(deployment_raw[[#This Row],[Column8]]),IF(OR(deployment_raw[[#This Row],[Column5]] &lt;&gt; 0,$E$2 &lt;&gt; "Deployment"), MAX(V982, ($T$2 * IF($E$2="Deployment",deployment_raw[[#This Row],[Column5]],1))), 0),"")</f>
        <v/>
      </c>
      <c r="U982" s="50" t="str">
        <f>IF(ISNUMBER(deployment_raw[[#This Row],[Column9]]),IF(OR(deployment_raw[[#This Row],[Column5]] &lt;&gt; 0,$E$2&lt;&gt;"Deployment"), MAX(W982, ($U$2 * IF($E$2="Deployment",deployment_raw[[#This Row],[Column5]],1))), 0),"")</f>
        <v/>
      </c>
      <c r="V982" s="15" t="str">
        <f>IF(ISNUMBER(deployment_raw[[#This Row],[Column12]]), (deployment_raw[[#This Row],[Column12]] * IF($E$2="Deployment",deployment_raw[[#This Row],[Column5]],1)*(1+$V$2)),"")</f>
        <v/>
      </c>
      <c r="W982" s="14" t="str">
        <f>IF(ISNUMBER(deployment_raw[[#This Row],[Column13]]), (deployment_raw[[#This Row],[Column13]] * IF($E$2="Deployment",deployment_raw[[#This Row],[Column5]],1)*(1+$W$2))/1048576,"")</f>
        <v/>
      </c>
    </row>
    <row r="983" spans="1:23" ht="15" customHeight="1" x14ac:dyDescent="0.25">
      <c r="A983" s="5" t="str">
        <f>IF(ISNONTEXT(deployment_raw[[#This Row],[Column1]]), "", deployment_raw[[#This Row],[Column1]])</f>
        <v/>
      </c>
      <c r="B983" s="6" t="str">
        <f>IF(ISNONTEXT(deployment_raw[[#This Row],[Column2]]), "", deployment_raw[[#This Row],[Column2]])</f>
        <v/>
      </c>
      <c r="C983" s="6" t="str">
        <f>IF(ISNONTEXT(deployment_raw[[#This Row],[Column3]]), "", deployment_raw[[#This Row],[Column3]])</f>
        <v/>
      </c>
      <c r="D983" s="6" t="str">
        <f>IF(ISNONTEXT(deployment_raw[[#This Row],[Column4]]), "", deployment_raw[[#This Row],[Column4]])</f>
        <v/>
      </c>
      <c r="E983" s="7" t="str">
        <f>IF(ISNUMBER(deployment_raw[[#This Row],[Column5]]), deployment_raw[[#This Row],[Column5]],"")</f>
        <v/>
      </c>
      <c r="F983" s="32" t="str">
        <f>IF(ISNUMBER(deployment_raw[[#This Row],[Column17]]), deployment_raw[[#This Row],[Column17]]/IF(OR($E$2="Deployment",deployment_raw[[#This Row],[Column5]]=0),1,deployment_raw[[#This Row],[Column5]]),"")</f>
        <v/>
      </c>
      <c r="G983" s="42" t="str">
        <f>IF(ISNUMBER(deployment_raw[[#This Row],[Column14]]), deployment_raw[[#This Row],[Column14]]/IF(OR($E$2="Deployment",deployment_raw[[#This Row],[Column5]]=0),1,deployment_raw[[#This Row],[Column5]]),"")</f>
        <v/>
      </c>
      <c r="H983" s="79" t="str">
        <f>IF(ISNUMBER(deployment_raw[[#This Row],[Column19]]), IF(I983&lt;&gt;0,(deployment_raw[[#This Row],[Column19]]/IF(OR($E$2="Deployment",deployment_raw[[#This Row],[Column5]]=0),1,deployment_raw[[#This Row],[Column5]]))/I983,0),"")</f>
        <v/>
      </c>
      <c r="I983" s="69" t="str">
        <f>IF(ISNUMBER(deployment_raw[[#This Row],[Column6]]), (deployment_raw[[#This Row],[Column6]] * IF($E$2="Deployment",deployment_raw[[#This Row],[Column5]],1)),"")</f>
        <v/>
      </c>
      <c r="J983" s="79" t="str">
        <f>IF(ISNUMBER(deployment_raw[[#This Row],[Column19]]), IF(K983&lt;&gt;0,(deployment_raw[[#This Row],[Column19]]/IF(OR($E$2="Deployment",deployment_raw[[#This Row],[Column5]]=0),1,deployment_raw[[#This Row],[Column5]]))/K983,0),"")</f>
        <v/>
      </c>
      <c r="K983" s="72" t="str">
        <f>IF(ISNUMBER(deployment_raw[[#This Row],[Column8]]), (deployment_raw[[#This Row],[Column8]]  * IF($E$2="Deployment",deployment_raw[[#This Row],[Column5]],1)),"")</f>
        <v/>
      </c>
      <c r="L98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8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83" s="81" t="str">
        <f>IF(ISNUMBER(deployment_raw[[#This Row],[Column20]]), IF(O983&lt;&gt;0,deployment_raw[[#This Row],[Column20]]/IF(OR($E$2="Deployment",deployment_raw[[#This Row],[Column5]]=0),1,deployment_raw[[#This Row],[Column5]])/1048576/O983,0),"")</f>
        <v/>
      </c>
      <c r="O983" s="74" t="str">
        <f>IF(ISNUMBER(deployment_raw[[#This Row],[Column7]]), (deployment_raw[[#This Row],[Column7]] * IF($E$2="Deployment",deployment_raw[[#This Row],[Column5]],1))/1048576,"")</f>
        <v/>
      </c>
      <c r="P983" s="81" t="str">
        <f>IF(ISNUMBER(deployment_raw[[#This Row],[Column20]]), IF(Q983&lt;&gt;0,deployment_raw[[#This Row],[Column20]]/IF(OR($E$2="Deployment",deployment_raw[[#This Row],[Column5]]=0),1,deployment_raw[[#This Row],[Column5]])/1048576/Q983,0),"")</f>
        <v/>
      </c>
      <c r="Q983" s="76" t="str">
        <f>IF(ISNUMBER(deployment_raw[[#This Row],[Column9]]), (deployment_raw[[#This Row],[Column9]] * IF($E$2="Deployment",deployment_raw[[#This Row],[Column5]],1))/1048576,"")</f>
        <v/>
      </c>
      <c r="R983" s="57" t="str">
        <f>IF(ISNUMBER(deployment_raw[[#This Row],[Column10]]), (deployment_raw[[#This Row],[Column10]] * IF($E$2="Deployment",deployment_raw[[#This Row],[Column5]],1)),"")</f>
        <v/>
      </c>
      <c r="S983" s="48" t="str">
        <f>IF(ISNUMBER(deployment_raw[[#This Row],[Column11]]), (deployment_raw[[#This Row],[Column11]] * IF($E$2="Deployment",deployment_raw[[#This Row],[Column5]],1))/1048576,"")</f>
        <v/>
      </c>
      <c r="T983" s="59" t="str">
        <f>IF(ISNUMBER(deployment_raw[[#This Row],[Column8]]),IF(OR(deployment_raw[[#This Row],[Column5]] &lt;&gt; 0,$E$2 &lt;&gt; "Deployment"), MAX(V983, ($T$2 * IF($E$2="Deployment",deployment_raw[[#This Row],[Column5]],1))), 0),"")</f>
        <v/>
      </c>
      <c r="U983" s="50" t="str">
        <f>IF(ISNUMBER(deployment_raw[[#This Row],[Column9]]),IF(OR(deployment_raw[[#This Row],[Column5]] &lt;&gt; 0,$E$2&lt;&gt;"Deployment"), MAX(W983, ($U$2 * IF($E$2="Deployment",deployment_raw[[#This Row],[Column5]],1))), 0),"")</f>
        <v/>
      </c>
      <c r="V983" s="15" t="str">
        <f>IF(ISNUMBER(deployment_raw[[#This Row],[Column12]]), (deployment_raw[[#This Row],[Column12]] * IF($E$2="Deployment",deployment_raw[[#This Row],[Column5]],1)*(1+$V$2)),"")</f>
        <v/>
      </c>
      <c r="W983" s="14" t="str">
        <f>IF(ISNUMBER(deployment_raw[[#This Row],[Column13]]), (deployment_raw[[#This Row],[Column13]] * IF($E$2="Deployment",deployment_raw[[#This Row],[Column5]],1)*(1+$W$2))/1048576,"")</f>
        <v/>
      </c>
    </row>
    <row r="984" spans="1:23" ht="15" customHeight="1" x14ac:dyDescent="0.25">
      <c r="A984" s="5" t="str">
        <f>IF(ISNONTEXT(deployment_raw[[#This Row],[Column1]]), "", deployment_raw[[#This Row],[Column1]])</f>
        <v/>
      </c>
      <c r="B984" s="6" t="str">
        <f>IF(ISNONTEXT(deployment_raw[[#This Row],[Column2]]), "", deployment_raw[[#This Row],[Column2]])</f>
        <v/>
      </c>
      <c r="C984" s="6" t="str">
        <f>IF(ISNONTEXT(deployment_raw[[#This Row],[Column3]]), "", deployment_raw[[#This Row],[Column3]])</f>
        <v/>
      </c>
      <c r="D984" s="6" t="str">
        <f>IF(ISNONTEXT(deployment_raw[[#This Row],[Column4]]), "", deployment_raw[[#This Row],[Column4]])</f>
        <v/>
      </c>
      <c r="E984" s="7" t="str">
        <f>IF(ISNUMBER(deployment_raw[[#This Row],[Column5]]), deployment_raw[[#This Row],[Column5]],"")</f>
        <v/>
      </c>
      <c r="F984" s="32" t="str">
        <f>IF(ISNUMBER(deployment_raw[[#This Row],[Column17]]), deployment_raw[[#This Row],[Column17]]/IF(OR($E$2="Deployment",deployment_raw[[#This Row],[Column5]]=0),1,deployment_raw[[#This Row],[Column5]]),"")</f>
        <v/>
      </c>
      <c r="G984" s="42" t="str">
        <f>IF(ISNUMBER(deployment_raw[[#This Row],[Column14]]), deployment_raw[[#This Row],[Column14]]/IF(OR($E$2="Deployment",deployment_raw[[#This Row],[Column5]]=0),1,deployment_raw[[#This Row],[Column5]]),"")</f>
        <v/>
      </c>
      <c r="H984" s="79" t="str">
        <f>IF(ISNUMBER(deployment_raw[[#This Row],[Column19]]), IF(I984&lt;&gt;0,(deployment_raw[[#This Row],[Column19]]/IF(OR($E$2="Deployment",deployment_raw[[#This Row],[Column5]]=0),1,deployment_raw[[#This Row],[Column5]]))/I984,0),"")</f>
        <v/>
      </c>
      <c r="I984" s="69" t="str">
        <f>IF(ISNUMBER(deployment_raw[[#This Row],[Column6]]), (deployment_raw[[#This Row],[Column6]] * IF($E$2="Deployment",deployment_raw[[#This Row],[Column5]],1)),"")</f>
        <v/>
      </c>
      <c r="J984" s="79" t="str">
        <f>IF(ISNUMBER(deployment_raw[[#This Row],[Column19]]), IF(K984&lt;&gt;0,(deployment_raw[[#This Row],[Column19]]/IF(OR($E$2="Deployment",deployment_raw[[#This Row],[Column5]]=0),1,deployment_raw[[#This Row],[Column5]]))/K984,0),"")</f>
        <v/>
      </c>
      <c r="K984" s="72" t="str">
        <f>IF(ISNUMBER(deployment_raw[[#This Row],[Column8]]), (deployment_raw[[#This Row],[Column8]]  * IF($E$2="Deployment",deployment_raw[[#This Row],[Column5]],1)),"")</f>
        <v/>
      </c>
      <c r="L98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8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84" s="81" t="str">
        <f>IF(ISNUMBER(deployment_raw[[#This Row],[Column20]]), IF(O984&lt;&gt;0,deployment_raw[[#This Row],[Column20]]/IF(OR($E$2="Deployment",deployment_raw[[#This Row],[Column5]]=0),1,deployment_raw[[#This Row],[Column5]])/1048576/O984,0),"")</f>
        <v/>
      </c>
      <c r="O984" s="74" t="str">
        <f>IF(ISNUMBER(deployment_raw[[#This Row],[Column7]]), (deployment_raw[[#This Row],[Column7]] * IF($E$2="Deployment",deployment_raw[[#This Row],[Column5]],1))/1048576,"")</f>
        <v/>
      </c>
      <c r="P984" s="81" t="str">
        <f>IF(ISNUMBER(deployment_raw[[#This Row],[Column20]]), IF(Q984&lt;&gt;0,deployment_raw[[#This Row],[Column20]]/IF(OR($E$2="Deployment",deployment_raw[[#This Row],[Column5]]=0),1,deployment_raw[[#This Row],[Column5]])/1048576/Q984,0),"")</f>
        <v/>
      </c>
      <c r="Q984" s="76" t="str">
        <f>IF(ISNUMBER(deployment_raw[[#This Row],[Column9]]), (deployment_raw[[#This Row],[Column9]] * IF($E$2="Deployment",deployment_raw[[#This Row],[Column5]],1))/1048576,"")</f>
        <v/>
      </c>
      <c r="R984" s="57" t="str">
        <f>IF(ISNUMBER(deployment_raw[[#This Row],[Column10]]), (deployment_raw[[#This Row],[Column10]] * IF($E$2="Deployment",deployment_raw[[#This Row],[Column5]],1)),"")</f>
        <v/>
      </c>
      <c r="S984" s="48" t="str">
        <f>IF(ISNUMBER(deployment_raw[[#This Row],[Column11]]), (deployment_raw[[#This Row],[Column11]] * IF($E$2="Deployment",deployment_raw[[#This Row],[Column5]],1))/1048576,"")</f>
        <v/>
      </c>
      <c r="T984" s="59" t="str">
        <f>IF(ISNUMBER(deployment_raw[[#This Row],[Column8]]),IF(OR(deployment_raw[[#This Row],[Column5]] &lt;&gt; 0,$E$2 &lt;&gt; "Deployment"), MAX(V984, ($T$2 * IF($E$2="Deployment",deployment_raw[[#This Row],[Column5]],1))), 0),"")</f>
        <v/>
      </c>
      <c r="U984" s="50" t="str">
        <f>IF(ISNUMBER(deployment_raw[[#This Row],[Column9]]),IF(OR(deployment_raw[[#This Row],[Column5]] &lt;&gt; 0,$E$2&lt;&gt;"Deployment"), MAX(W984, ($U$2 * IF($E$2="Deployment",deployment_raw[[#This Row],[Column5]],1))), 0),"")</f>
        <v/>
      </c>
      <c r="V984" s="15" t="str">
        <f>IF(ISNUMBER(deployment_raw[[#This Row],[Column12]]), (deployment_raw[[#This Row],[Column12]] * IF($E$2="Deployment",deployment_raw[[#This Row],[Column5]],1)*(1+$V$2)),"")</f>
        <v/>
      </c>
      <c r="W984" s="14" t="str">
        <f>IF(ISNUMBER(deployment_raw[[#This Row],[Column13]]), (deployment_raw[[#This Row],[Column13]] * IF($E$2="Deployment",deployment_raw[[#This Row],[Column5]],1)*(1+$W$2))/1048576,"")</f>
        <v/>
      </c>
    </row>
    <row r="985" spans="1:23" ht="15" customHeight="1" x14ac:dyDescent="0.25">
      <c r="A985" s="5" t="str">
        <f>IF(ISNONTEXT(deployment_raw[[#This Row],[Column1]]), "", deployment_raw[[#This Row],[Column1]])</f>
        <v/>
      </c>
      <c r="B985" s="6" t="str">
        <f>IF(ISNONTEXT(deployment_raw[[#This Row],[Column2]]), "", deployment_raw[[#This Row],[Column2]])</f>
        <v/>
      </c>
      <c r="C985" s="6" t="str">
        <f>IF(ISNONTEXT(deployment_raw[[#This Row],[Column3]]), "", deployment_raw[[#This Row],[Column3]])</f>
        <v/>
      </c>
      <c r="D985" s="6" t="str">
        <f>IF(ISNONTEXT(deployment_raw[[#This Row],[Column4]]), "", deployment_raw[[#This Row],[Column4]])</f>
        <v/>
      </c>
      <c r="E985" s="7" t="str">
        <f>IF(ISNUMBER(deployment_raw[[#This Row],[Column5]]), deployment_raw[[#This Row],[Column5]],"")</f>
        <v/>
      </c>
      <c r="F985" s="32" t="str">
        <f>IF(ISNUMBER(deployment_raw[[#This Row],[Column17]]), deployment_raw[[#This Row],[Column17]]/IF(OR($E$2="Deployment",deployment_raw[[#This Row],[Column5]]=0),1,deployment_raw[[#This Row],[Column5]]),"")</f>
        <v/>
      </c>
      <c r="G985" s="42" t="str">
        <f>IF(ISNUMBER(deployment_raw[[#This Row],[Column14]]), deployment_raw[[#This Row],[Column14]]/IF(OR($E$2="Deployment",deployment_raw[[#This Row],[Column5]]=0),1,deployment_raw[[#This Row],[Column5]]),"")</f>
        <v/>
      </c>
      <c r="H985" s="79" t="str">
        <f>IF(ISNUMBER(deployment_raw[[#This Row],[Column19]]), IF(I985&lt;&gt;0,(deployment_raw[[#This Row],[Column19]]/IF(OR($E$2="Deployment",deployment_raw[[#This Row],[Column5]]=0),1,deployment_raw[[#This Row],[Column5]]))/I985,0),"")</f>
        <v/>
      </c>
      <c r="I985" s="69" t="str">
        <f>IF(ISNUMBER(deployment_raw[[#This Row],[Column6]]), (deployment_raw[[#This Row],[Column6]] * IF($E$2="Deployment",deployment_raw[[#This Row],[Column5]],1)),"")</f>
        <v/>
      </c>
      <c r="J985" s="79" t="str">
        <f>IF(ISNUMBER(deployment_raw[[#This Row],[Column19]]), IF(K985&lt;&gt;0,(deployment_raw[[#This Row],[Column19]]/IF(OR($E$2="Deployment",deployment_raw[[#This Row],[Column5]]=0),1,deployment_raw[[#This Row],[Column5]]))/K985,0),"")</f>
        <v/>
      </c>
      <c r="K985" s="72" t="str">
        <f>IF(ISNUMBER(deployment_raw[[#This Row],[Column8]]), (deployment_raw[[#This Row],[Column8]]  * IF($E$2="Deployment",deployment_raw[[#This Row],[Column5]],1)),"")</f>
        <v/>
      </c>
      <c r="L98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8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85" s="81" t="str">
        <f>IF(ISNUMBER(deployment_raw[[#This Row],[Column20]]), IF(O985&lt;&gt;0,deployment_raw[[#This Row],[Column20]]/IF(OR($E$2="Deployment",deployment_raw[[#This Row],[Column5]]=0),1,deployment_raw[[#This Row],[Column5]])/1048576/O985,0),"")</f>
        <v/>
      </c>
      <c r="O985" s="74" t="str">
        <f>IF(ISNUMBER(deployment_raw[[#This Row],[Column7]]), (deployment_raw[[#This Row],[Column7]] * IF($E$2="Deployment",deployment_raw[[#This Row],[Column5]],1))/1048576,"")</f>
        <v/>
      </c>
      <c r="P985" s="81" t="str">
        <f>IF(ISNUMBER(deployment_raw[[#This Row],[Column20]]), IF(Q985&lt;&gt;0,deployment_raw[[#This Row],[Column20]]/IF(OR($E$2="Deployment",deployment_raw[[#This Row],[Column5]]=0),1,deployment_raw[[#This Row],[Column5]])/1048576/Q985,0),"")</f>
        <v/>
      </c>
      <c r="Q985" s="76" t="str">
        <f>IF(ISNUMBER(deployment_raw[[#This Row],[Column9]]), (deployment_raw[[#This Row],[Column9]] * IF($E$2="Deployment",deployment_raw[[#This Row],[Column5]],1))/1048576,"")</f>
        <v/>
      </c>
      <c r="R985" s="57" t="str">
        <f>IF(ISNUMBER(deployment_raw[[#This Row],[Column10]]), (deployment_raw[[#This Row],[Column10]] * IF($E$2="Deployment",deployment_raw[[#This Row],[Column5]],1)),"")</f>
        <v/>
      </c>
      <c r="S985" s="48" t="str">
        <f>IF(ISNUMBER(deployment_raw[[#This Row],[Column11]]), (deployment_raw[[#This Row],[Column11]] * IF($E$2="Deployment",deployment_raw[[#This Row],[Column5]],1))/1048576,"")</f>
        <v/>
      </c>
      <c r="T985" s="59" t="str">
        <f>IF(ISNUMBER(deployment_raw[[#This Row],[Column8]]),IF(OR(deployment_raw[[#This Row],[Column5]] &lt;&gt; 0,$E$2 &lt;&gt; "Deployment"), MAX(V985, ($T$2 * IF($E$2="Deployment",deployment_raw[[#This Row],[Column5]],1))), 0),"")</f>
        <v/>
      </c>
      <c r="U985" s="50" t="str">
        <f>IF(ISNUMBER(deployment_raw[[#This Row],[Column9]]),IF(OR(deployment_raw[[#This Row],[Column5]] &lt;&gt; 0,$E$2&lt;&gt;"Deployment"), MAX(W985, ($U$2 * IF($E$2="Deployment",deployment_raw[[#This Row],[Column5]],1))), 0),"")</f>
        <v/>
      </c>
      <c r="V985" s="15" t="str">
        <f>IF(ISNUMBER(deployment_raw[[#This Row],[Column12]]), (deployment_raw[[#This Row],[Column12]] * IF($E$2="Deployment",deployment_raw[[#This Row],[Column5]],1)*(1+$V$2)),"")</f>
        <v/>
      </c>
      <c r="W985" s="14" t="str">
        <f>IF(ISNUMBER(deployment_raw[[#This Row],[Column13]]), (deployment_raw[[#This Row],[Column13]] * IF($E$2="Deployment",deployment_raw[[#This Row],[Column5]],1)*(1+$W$2))/1048576,"")</f>
        <v/>
      </c>
    </row>
    <row r="986" spans="1:23" ht="15" customHeight="1" x14ac:dyDescent="0.25">
      <c r="A986" s="5" t="str">
        <f>IF(ISNONTEXT(deployment_raw[[#This Row],[Column1]]), "", deployment_raw[[#This Row],[Column1]])</f>
        <v/>
      </c>
      <c r="B986" s="6" t="str">
        <f>IF(ISNONTEXT(deployment_raw[[#This Row],[Column2]]), "", deployment_raw[[#This Row],[Column2]])</f>
        <v/>
      </c>
      <c r="C986" s="6" t="str">
        <f>IF(ISNONTEXT(deployment_raw[[#This Row],[Column3]]), "", deployment_raw[[#This Row],[Column3]])</f>
        <v/>
      </c>
      <c r="D986" s="6" t="str">
        <f>IF(ISNONTEXT(deployment_raw[[#This Row],[Column4]]), "", deployment_raw[[#This Row],[Column4]])</f>
        <v/>
      </c>
      <c r="E986" s="7" t="str">
        <f>IF(ISNUMBER(deployment_raw[[#This Row],[Column5]]), deployment_raw[[#This Row],[Column5]],"")</f>
        <v/>
      </c>
      <c r="F986" s="32" t="str">
        <f>IF(ISNUMBER(deployment_raw[[#This Row],[Column17]]), deployment_raw[[#This Row],[Column17]]/IF(OR($E$2="Deployment",deployment_raw[[#This Row],[Column5]]=0),1,deployment_raw[[#This Row],[Column5]]),"")</f>
        <v/>
      </c>
      <c r="G986" s="42" t="str">
        <f>IF(ISNUMBER(deployment_raw[[#This Row],[Column14]]), deployment_raw[[#This Row],[Column14]]/IF(OR($E$2="Deployment",deployment_raw[[#This Row],[Column5]]=0),1,deployment_raw[[#This Row],[Column5]]),"")</f>
        <v/>
      </c>
      <c r="H986" s="79" t="str">
        <f>IF(ISNUMBER(deployment_raw[[#This Row],[Column19]]), IF(I986&lt;&gt;0,(deployment_raw[[#This Row],[Column19]]/IF(OR($E$2="Deployment",deployment_raw[[#This Row],[Column5]]=0),1,deployment_raw[[#This Row],[Column5]]))/I986,0),"")</f>
        <v/>
      </c>
      <c r="I986" s="69" t="str">
        <f>IF(ISNUMBER(deployment_raw[[#This Row],[Column6]]), (deployment_raw[[#This Row],[Column6]] * IF($E$2="Deployment",deployment_raw[[#This Row],[Column5]],1)),"")</f>
        <v/>
      </c>
      <c r="J986" s="79" t="str">
        <f>IF(ISNUMBER(deployment_raw[[#This Row],[Column19]]), IF(K986&lt;&gt;0,(deployment_raw[[#This Row],[Column19]]/IF(OR($E$2="Deployment",deployment_raw[[#This Row],[Column5]]=0),1,deployment_raw[[#This Row],[Column5]]))/K986,0),"")</f>
        <v/>
      </c>
      <c r="K986" s="72" t="str">
        <f>IF(ISNUMBER(deployment_raw[[#This Row],[Column8]]), (deployment_raw[[#This Row],[Column8]]  * IF($E$2="Deployment",deployment_raw[[#This Row],[Column5]],1)),"")</f>
        <v/>
      </c>
      <c r="L98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8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86" s="81" t="str">
        <f>IF(ISNUMBER(deployment_raw[[#This Row],[Column20]]), IF(O986&lt;&gt;0,deployment_raw[[#This Row],[Column20]]/IF(OR($E$2="Deployment",deployment_raw[[#This Row],[Column5]]=0),1,deployment_raw[[#This Row],[Column5]])/1048576/O986,0),"")</f>
        <v/>
      </c>
      <c r="O986" s="74" t="str">
        <f>IF(ISNUMBER(deployment_raw[[#This Row],[Column7]]), (deployment_raw[[#This Row],[Column7]] * IF($E$2="Deployment",deployment_raw[[#This Row],[Column5]],1))/1048576,"")</f>
        <v/>
      </c>
      <c r="P986" s="81" t="str">
        <f>IF(ISNUMBER(deployment_raw[[#This Row],[Column20]]), IF(Q986&lt;&gt;0,deployment_raw[[#This Row],[Column20]]/IF(OR($E$2="Deployment",deployment_raw[[#This Row],[Column5]]=0),1,deployment_raw[[#This Row],[Column5]])/1048576/Q986,0),"")</f>
        <v/>
      </c>
      <c r="Q986" s="76" t="str">
        <f>IF(ISNUMBER(deployment_raw[[#This Row],[Column9]]), (deployment_raw[[#This Row],[Column9]] * IF($E$2="Deployment",deployment_raw[[#This Row],[Column5]],1))/1048576,"")</f>
        <v/>
      </c>
      <c r="R986" s="57" t="str">
        <f>IF(ISNUMBER(deployment_raw[[#This Row],[Column10]]), (deployment_raw[[#This Row],[Column10]] * IF($E$2="Deployment",deployment_raw[[#This Row],[Column5]],1)),"")</f>
        <v/>
      </c>
      <c r="S986" s="48" t="str">
        <f>IF(ISNUMBER(deployment_raw[[#This Row],[Column11]]), (deployment_raw[[#This Row],[Column11]] * IF($E$2="Deployment",deployment_raw[[#This Row],[Column5]],1))/1048576,"")</f>
        <v/>
      </c>
      <c r="T986" s="59" t="str">
        <f>IF(ISNUMBER(deployment_raw[[#This Row],[Column8]]),IF(OR(deployment_raw[[#This Row],[Column5]] &lt;&gt; 0,$E$2 &lt;&gt; "Deployment"), MAX(V986, ($T$2 * IF($E$2="Deployment",deployment_raw[[#This Row],[Column5]],1))), 0),"")</f>
        <v/>
      </c>
      <c r="U986" s="50" t="str">
        <f>IF(ISNUMBER(deployment_raw[[#This Row],[Column9]]),IF(OR(deployment_raw[[#This Row],[Column5]] &lt;&gt; 0,$E$2&lt;&gt;"Deployment"), MAX(W986, ($U$2 * IF($E$2="Deployment",deployment_raw[[#This Row],[Column5]],1))), 0),"")</f>
        <v/>
      </c>
      <c r="V986" s="15" t="str">
        <f>IF(ISNUMBER(deployment_raw[[#This Row],[Column12]]), (deployment_raw[[#This Row],[Column12]] * IF($E$2="Deployment",deployment_raw[[#This Row],[Column5]],1)*(1+$V$2)),"")</f>
        <v/>
      </c>
      <c r="W986" s="14" t="str">
        <f>IF(ISNUMBER(deployment_raw[[#This Row],[Column13]]), (deployment_raw[[#This Row],[Column13]] * IF($E$2="Deployment",deployment_raw[[#This Row],[Column5]],1)*(1+$W$2))/1048576,"")</f>
        <v/>
      </c>
    </row>
    <row r="987" spans="1:23" ht="15" customHeight="1" x14ac:dyDescent="0.25">
      <c r="A987" s="5" t="str">
        <f>IF(ISNONTEXT(deployment_raw[[#This Row],[Column1]]), "", deployment_raw[[#This Row],[Column1]])</f>
        <v/>
      </c>
      <c r="B987" s="6" t="str">
        <f>IF(ISNONTEXT(deployment_raw[[#This Row],[Column2]]), "", deployment_raw[[#This Row],[Column2]])</f>
        <v/>
      </c>
      <c r="C987" s="6" t="str">
        <f>IF(ISNONTEXT(deployment_raw[[#This Row],[Column3]]), "", deployment_raw[[#This Row],[Column3]])</f>
        <v/>
      </c>
      <c r="D987" s="6" t="str">
        <f>IF(ISNONTEXT(deployment_raw[[#This Row],[Column4]]), "", deployment_raw[[#This Row],[Column4]])</f>
        <v/>
      </c>
      <c r="E987" s="7" t="str">
        <f>IF(ISNUMBER(deployment_raw[[#This Row],[Column5]]), deployment_raw[[#This Row],[Column5]],"")</f>
        <v/>
      </c>
      <c r="F987" s="32" t="str">
        <f>IF(ISNUMBER(deployment_raw[[#This Row],[Column17]]), deployment_raw[[#This Row],[Column17]]/IF(OR($E$2="Deployment",deployment_raw[[#This Row],[Column5]]=0),1,deployment_raw[[#This Row],[Column5]]),"")</f>
        <v/>
      </c>
      <c r="G987" s="42" t="str">
        <f>IF(ISNUMBER(deployment_raw[[#This Row],[Column14]]), deployment_raw[[#This Row],[Column14]]/IF(OR($E$2="Deployment",deployment_raw[[#This Row],[Column5]]=0),1,deployment_raw[[#This Row],[Column5]]),"")</f>
        <v/>
      </c>
      <c r="H987" s="79" t="str">
        <f>IF(ISNUMBER(deployment_raw[[#This Row],[Column19]]), IF(I987&lt;&gt;0,(deployment_raw[[#This Row],[Column19]]/IF(OR($E$2="Deployment",deployment_raw[[#This Row],[Column5]]=0),1,deployment_raw[[#This Row],[Column5]]))/I987,0),"")</f>
        <v/>
      </c>
      <c r="I987" s="69" t="str">
        <f>IF(ISNUMBER(deployment_raw[[#This Row],[Column6]]), (deployment_raw[[#This Row],[Column6]] * IF($E$2="Deployment",deployment_raw[[#This Row],[Column5]],1)),"")</f>
        <v/>
      </c>
      <c r="J987" s="79" t="str">
        <f>IF(ISNUMBER(deployment_raw[[#This Row],[Column19]]), IF(K987&lt;&gt;0,(deployment_raw[[#This Row],[Column19]]/IF(OR($E$2="Deployment",deployment_raw[[#This Row],[Column5]]=0),1,deployment_raw[[#This Row],[Column5]]))/K987,0),"")</f>
        <v/>
      </c>
      <c r="K987" s="72" t="str">
        <f>IF(ISNUMBER(deployment_raw[[#This Row],[Column8]]), (deployment_raw[[#This Row],[Column8]]  * IF($E$2="Deployment",deployment_raw[[#This Row],[Column5]],1)),"")</f>
        <v/>
      </c>
      <c r="L98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8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87" s="81" t="str">
        <f>IF(ISNUMBER(deployment_raw[[#This Row],[Column20]]), IF(O987&lt;&gt;0,deployment_raw[[#This Row],[Column20]]/IF(OR($E$2="Deployment",deployment_raw[[#This Row],[Column5]]=0),1,deployment_raw[[#This Row],[Column5]])/1048576/O987,0),"")</f>
        <v/>
      </c>
      <c r="O987" s="74" t="str">
        <f>IF(ISNUMBER(deployment_raw[[#This Row],[Column7]]), (deployment_raw[[#This Row],[Column7]] * IF($E$2="Deployment",deployment_raw[[#This Row],[Column5]],1))/1048576,"")</f>
        <v/>
      </c>
      <c r="P987" s="81" t="str">
        <f>IF(ISNUMBER(deployment_raw[[#This Row],[Column20]]), IF(Q987&lt;&gt;0,deployment_raw[[#This Row],[Column20]]/IF(OR($E$2="Deployment",deployment_raw[[#This Row],[Column5]]=0),1,deployment_raw[[#This Row],[Column5]])/1048576/Q987,0),"")</f>
        <v/>
      </c>
      <c r="Q987" s="76" t="str">
        <f>IF(ISNUMBER(deployment_raw[[#This Row],[Column9]]), (deployment_raw[[#This Row],[Column9]] * IF($E$2="Deployment",deployment_raw[[#This Row],[Column5]],1))/1048576,"")</f>
        <v/>
      </c>
      <c r="R987" s="57" t="str">
        <f>IF(ISNUMBER(deployment_raw[[#This Row],[Column10]]), (deployment_raw[[#This Row],[Column10]] * IF($E$2="Deployment",deployment_raw[[#This Row],[Column5]],1)),"")</f>
        <v/>
      </c>
      <c r="S987" s="48" t="str">
        <f>IF(ISNUMBER(deployment_raw[[#This Row],[Column11]]), (deployment_raw[[#This Row],[Column11]] * IF($E$2="Deployment",deployment_raw[[#This Row],[Column5]],1))/1048576,"")</f>
        <v/>
      </c>
      <c r="T987" s="59" t="str">
        <f>IF(ISNUMBER(deployment_raw[[#This Row],[Column8]]),IF(OR(deployment_raw[[#This Row],[Column5]] &lt;&gt; 0,$E$2 &lt;&gt; "Deployment"), MAX(V987, ($T$2 * IF($E$2="Deployment",deployment_raw[[#This Row],[Column5]],1))), 0),"")</f>
        <v/>
      </c>
      <c r="U987" s="50" t="str">
        <f>IF(ISNUMBER(deployment_raw[[#This Row],[Column9]]),IF(OR(deployment_raw[[#This Row],[Column5]] &lt;&gt; 0,$E$2&lt;&gt;"Deployment"), MAX(W987, ($U$2 * IF($E$2="Deployment",deployment_raw[[#This Row],[Column5]],1))), 0),"")</f>
        <v/>
      </c>
      <c r="V987" s="15" t="str">
        <f>IF(ISNUMBER(deployment_raw[[#This Row],[Column12]]), (deployment_raw[[#This Row],[Column12]] * IF($E$2="Deployment",deployment_raw[[#This Row],[Column5]],1)*(1+$V$2)),"")</f>
        <v/>
      </c>
      <c r="W987" s="14" t="str">
        <f>IF(ISNUMBER(deployment_raw[[#This Row],[Column13]]), (deployment_raw[[#This Row],[Column13]] * IF($E$2="Deployment",deployment_raw[[#This Row],[Column5]],1)*(1+$W$2))/1048576,"")</f>
        <v/>
      </c>
    </row>
    <row r="988" spans="1:23" ht="15" customHeight="1" x14ac:dyDescent="0.25">
      <c r="A988" s="5" t="str">
        <f>IF(ISNONTEXT(deployment_raw[[#This Row],[Column1]]), "", deployment_raw[[#This Row],[Column1]])</f>
        <v/>
      </c>
      <c r="B988" s="6" t="str">
        <f>IF(ISNONTEXT(deployment_raw[[#This Row],[Column2]]), "", deployment_raw[[#This Row],[Column2]])</f>
        <v/>
      </c>
      <c r="C988" s="6" t="str">
        <f>IF(ISNONTEXT(deployment_raw[[#This Row],[Column3]]), "", deployment_raw[[#This Row],[Column3]])</f>
        <v/>
      </c>
      <c r="D988" s="6" t="str">
        <f>IF(ISNONTEXT(deployment_raw[[#This Row],[Column4]]), "", deployment_raw[[#This Row],[Column4]])</f>
        <v/>
      </c>
      <c r="E988" s="7" t="str">
        <f>IF(ISNUMBER(deployment_raw[[#This Row],[Column5]]), deployment_raw[[#This Row],[Column5]],"")</f>
        <v/>
      </c>
      <c r="F988" s="32" t="str">
        <f>IF(ISNUMBER(deployment_raw[[#This Row],[Column17]]), deployment_raw[[#This Row],[Column17]]/IF(OR($E$2="Deployment",deployment_raw[[#This Row],[Column5]]=0),1,deployment_raw[[#This Row],[Column5]]),"")</f>
        <v/>
      </c>
      <c r="G988" s="42" t="str">
        <f>IF(ISNUMBER(deployment_raw[[#This Row],[Column14]]), deployment_raw[[#This Row],[Column14]]/IF(OR($E$2="Deployment",deployment_raw[[#This Row],[Column5]]=0),1,deployment_raw[[#This Row],[Column5]]),"")</f>
        <v/>
      </c>
      <c r="H988" s="79" t="str">
        <f>IF(ISNUMBER(deployment_raw[[#This Row],[Column19]]), IF(I988&lt;&gt;0,(deployment_raw[[#This Row],[Column19]]/IF(OR($E$2="Deployment",deployment_raw[[#This Row],[Column5]]=0),1,deployment_raw[[#This Row],[Column5]]))/I988,0),"")</f>
        <v/>
      </c>
      <c r="I988" s="69" t="str">
        <f>IF(ISNUMBER(deployment_raw[[#This Row],[Column6]]), (deployment_raw[[#This Row],[Column6]] * IF($E$2="Deployment",deployment_raw[[#This Row],[Column5]],1)),"")</f>
        <v/>
      </c>
      <c r="J988" s="79" t="str">
        <f>IF(ISNUMBER(deployment_raw[[#This Row],[Column19]]), IF(K988&lt;&gt;0,(deployment_raw[[#This Row],[Column19]]/IF(OR($E$2="Deployment",deployment_raw[[#This Row],[Column5]]=0),1,deployment_raw[[#This Row],[Column5]]))/K988,0),"")</f>
        <v/>
      </c>
      <c r="K988" s="72" t="str">
        <f>IF(ISNUMBER(deployment_raw[[#This Row],[Column8]]), (deployment_raw[[#This Row],[Column8]]  * IF($E$2="Deployment",deployment_raw[[#This Row],[Column5]],1)),"")</f>
        <v/>
      </c>
      <c r="L98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8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88" s="81" t="str">
        <f>IF(ISNUMBER(deployment_raw[[#This Row],[Column20]]), IF(O988&lt;&gt;0,deployment_raw[[#This Row],[Column20]]/IF(OR($E$2="Deployment",deployment_raw[[#This Row],[Column5]]=0),1,deployment_raw[[#This Row],[Column5]])/1048576/O988,0),"")</f>
        <v/>
      </c>
      <c r="O988" s="74" t="str">
        <f>IF(ISNUMBER(deployment_raw[[#This Row],[Column7]]), (deployment_raw[[#This Row],[Column7]] * IF($E$2="Deployment",deployment_raw[[#This Row],[Column5]],1))/1048576,"")</f>
        <v/>
      </c>
      <c r="P988" s="81" t="str">
        <f>IF(ISNUMBER(deployment_raw[[#This Row],[Column20]]), IF(Q988&lt;&gt;0,deployment_raw[[#This Row],[Column20]]/IF(OR($E$2="Deployment",deployment_raw[[#This Row],[Column5]]=0),1,deployment_raw[[#This Row],[Column5]])/1048576/Q988,0),"")</f>
        <v/>
      </c>
      <c r="Q988" s="76" t="str">
        <f>IF(ISNUMBER(deployment_raw[[#This Row],[Column9]]), (deployment_raw[[#This Row],[Column9]] * IF($E$2="Deployment",deployment_raw[[#This Row],[Column5]],1))/1048576,"")</f>
        <v/>
      </c>
      <c r="R988" s="57" t="str">
        <f>IF(ISNUMBER(deployment_raw[[#This Row],[Column10]]), (deployment_raw[[#This Row],[Column10]] * IF($E$2="Deployment",deployment_raw[[#This Row],[Column5]],1)),"")</f>
        <v/>
      </c>
      <c r="S988" s="48" t="str">
        <f>IF(ISNUMBER(deployment_raw[[#This Row],[Column11]]), (deployment_raw[[#This Row],[Column11]] * IF($E$2="Deployment",deployment_raw[[#This Row],[Column5]],1))/1048576,"")</f>
        <v/>
      </c>
      <c r="T988" s="59" t="str">
        <f>IF(ISNUMBER(deployment_raw[[#This Row],[Column8]]),IF(OR(deployment_raw[[#This Row],[Column5]] &lt;&gt; 0,$E$2 &lt;&gt; "Deployment"), MAX(V988, ($T$2 * IF($E$2="Deployment",deployment_raw[[#This Row],[Column5]],1))), 0),"")</f>
        <v/>
      </c>
      <c r="U988" s="50" t="str">
        <f>IF(ISNUMBER(deployment_raw[[#This Row],[Column9]]),IF(OR(deployment_raw[[#This Row],[Column5]] &lt;&gt; 0,$E$2&lt;&gt;"Deployment"), MAX(W988, ($U$2 * IF($E$2="Deployment",deployment_raw[[#This Row],[Column5]],1))), 0),"")</f>
        <v/>
      </c>
      <c r="V988" s="15" t="str">
        <f>IF(ISNUMBER(deployment_raw[[#This Row],[Column12]]), (deployment_raw[[#This Row],[Column12]] * IF($E$2="Deployment",deployment_raw[[#This Row],[Column5]],1)*(1+$V$2)),"")</f>
        <v/>
      </c>
      <c r="W988" s="14" t="str">
        <f>IF(ISNUMBER(deployment_raw[[#This Row],[Column13]]), (deployment_raw[[#This Row],[Column13]] * IF($E$2="Deployment",deployment_raw[[#This Row],[Column5]],1)*(1+$W$2))/1048576,"")</f>
        <v/>
      </c>
    </row>
    <row r="989" spans="1:23" ht="15" customHeight="1" x14ac:dyDescent="0.25">
      <c r="A989" s="5" t="str">
        <f>IF(ISNONTEXT(deployment_raw[[#This Row],[Column1]]), "", deployment_raw[[#This Row],[Column1]])</f>
        <v/>
      </c>
      <c r="B989" s="6" t="str">
        <f>IF(ISNONTEXT(deployment_raw[[#This Row],[Column2]]), "", deployment_raw[[#This Row],[Column2]])</f>
        <v/>
      </c>
      <c r="C989" s="6" t="str">
        <f>IF(ISNONTEXT(deployment_raw[[#This Row],[Column3]]), "", deployment_raw[[#This Row],[Column3]])</f>
        <v/>
      </c>
      <c r="D989" s="6" t="str">
        <f>IF(ISNONTEXT(deployment_raw[[#This Row],[Column4]]), "", deployment_raw[[#This Row],[Column4]])</f>
        <v/>
      </c>
      <c r="E989" s="7" t="str">
        <f>IF(ISNUMBER(deployment_raw[[#This Row],[Column5]]), deployment_raw[[#This Row],[Column5]],"")</f>
        <v/>
      </c>
      <c r="F989" s="32" t="str">
        <f>IF(ISNUMBER(deployment_raw[[#This Row],[Column17]]), deployment_raw[[#This Row],[Column17]]/IF(OR($E$2="Deployment",deployment_raw[[#This Row],[Column5]]=0),1,deployment_raw[[#This Row],[Column5]]),"")</f>
        <v/>
      </c>
      <c r="G989" s="42" t="str">
        <f>IF(ISNUMBER(deployment_raw[[#This Row],[Column14]]), deployment_raw[[#This Row],[Column14]]/IF(OR($E$2="Deployment",deployment_raw[[#This Row],[Column5]]=0),1,deployment_raw[[#This Row],[Column5]]),"")</f>
        <v/>
      </c>
      <c r="H989" s="79" t="str">
        <f>IF(ISNUMBER(deployment_raw[[#This Row],[Column19]]), IF(I989&lt;&gt;0,(deployment_raw[[#This Row],[Column19]]/IF(OR($E$2="Deployment",deployment_raw[[#This Row],[Column5]]=0),1,deployment_raw[[#This Row],[Column5]]))/I989,0),"")</f>
        <v/>
      </c>
      <c r="I989" s="69" t="str">
        <f>IF(ISNUMBER(deployment_raw[[#This Row],[Column6]]), (deployment_raw[[#This Row],[Column6]] * IF($E$2="Deployment",deployment_raw[[#This Row],[Column5]],1)),"")</f>
        <v/>
      </c>
      <c r="J989" s="79" t="str">
        <f>IF(ISNUMBER(deployment_raw[[#This Row],[Column19]]), IF(K989&lt;&gt;0,(deployment_raw[[#This Row],[Column19]]/IF(OR($E$2="Deployment",deployment_raw[[#This Row],[Column5]]=0),1,deployment_raw[[#This Row],[Column5]]))/K989,0),"")</f>
        <v/>
      </c>
      <c r="K989" s="72" t="str">
        <f>IF(ISNUMBER(deployment_raw[[#This Row],[Column8]]), (deployment_raw[[#This Row],[Column8]]  * IF($E$2="Deployment",deployment_raw[[#This Row],[Column5]],1)),"")</f>
        <v/>
      </c>
      <c r="L98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8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89" s="81" t="str">
        <f>IF(ISNUMBER(deployment_raw[[#This Row],[Column20]]), IF(O989&lt;&gt;0,deployment_raw[[#This Row],[Column20]]/IF(OR($E$2="Deployment",deployment_raw[[#This Row],[Column5]]=0),1,deployment_raw[[#This Row],[Column5]])/1048576/O989,0),"")</f>
        <v/>
      </c>
      <c r="O989" s="74" t="str">
        <f>IF(ISNUMBER(deployment_raw[[#This Row],[Column7]]), (deployment_raw[[#This Row],[Column7]] * IF($E$2="Deployment",deployment_raw[[#This Row],[Column5]],1))/1048576,"")</f>
        <v/>
      </c>
      <c r="P989" s="81" t="str">
        <f>IF(ISNUMBER(deployment_raw[[#This Row],[Column20]]), IF(Q989&lt;&gt;0,deployment_raw[[#This Row],[Column20]]/IF(OR($E$2="Deployment",deployment_raw[[#This Row],[Column5]]=0),1,deployment_raw[[#This Row],[Column5]])/1048576/Q989,0),"")</f>
        <v/>
      </c>
      <c r="Q989" s="76" t="str">
        <f>IF(ISNUMBER(deployment_raw[[#This Row],[Column9]]), (deployment_raw[[#This Row],[Column9]] * IF($E$2="Deployment",deployment_raw[[#This Row],[Column5]],1))/1048576,"")</f>
        <v/>
      </c>
      <c r="R989" s="57" t="str">
        <f>IF(ISNUMBER(deployment_raw[[#This Row],[Column10]]), (deployment_raw[[#This Row],[Column10]] * IF($E$2="Deployment",deployment_raw[[#This Row],[Column5]],1)),"")</f>
        <v/>
      </c>
      <c r="S989" s="48" t="str">
        <f>IF(ISNUMBER(deployment_raw[[#This Row],[Column11]]), (deployment_raw[[#This Row],[Column11]] * IF($E$2="Deployment",deployment_raw[[#This Row],[Column5]],1))/1048576,"")</f>
        <v/>
      </c>
      <c r="T989" s="59" t="str">
        <f>IF(ISNUMBER(deployment_raw[[#This Row],[Column8]]),IF(OR(deployment_raw[[#This Row],[Column5]] &lt;&gt; 0,$E$2 &lt;&gt; "Deployment"), MAX(V989, ($T$2 * IF($E$2="Deployment",deployment_raw[[#This Row],[Column5]],1))), 0),"")</f>
        <v/>
      </c>
      <c r="U989" s="50" t="str">
        <f>IF(ISNUMBER(deployment_raw[[#This Row],[Column9]]),IF(OR(deployment_raw[[#This Row],[Column5]] &lt;&gt; 0,$E$2&lt;&gt;"Deployment"), MAX(W989, ($U$2 * IF($E$2="Deployment",deployment_raw[[#This Row],[Column5]],1))), 0),"")</f>
        <v/>
      </c>
      <c r="V989" s="15" t="str">
        <f>IF(ISNUMBER(deployment_raw[[#This Row],[Column12]]), (deployment_raw[[#This Row],[Column12]] * IF($E$2="Deployment",deployment_raw[[#This Row],[Column5]],1)*(1+$V$2)),"")</f>
        <v/>
      </c>
      <c r="W989" s="14" t="str">
        <f>IF(ISNUMBER(deployment_raw[[#This Row],[Column13]]), (deployment_raw[[#This Row],[Column13]] * IF($E$2="Deployment",deployment_raw[[#This Row],[Column5]],1)*(1+$W$2))/1048576,"")</f>
        <v/>
      </c>
    </row>
    <row r="990" spans="1:23" ht="15" customHeight="1" x14ac:dyDescent="0.25">
      <c r="A990" s="5" t="str">
        <f>IF(ISNONTEXT(deployment_raw[[#This Row],[Column1]]), "", deployment_raw[[#This Row],[Column1]])</f>
        <v/>
      </c>
      <c r="B990" s="6" t="str">
        <f>IF(ISNONTEXT(deployment_raw[[#This Row],[Column2]]), "", deployment_raw[[#This Row],[Column2]])</f>
        <v/>
      </c>
      <c r="C990" s="6" t="str">
        <f>IF(ISNONTEXT(deployment_raw[[#This Row],[Column3]]), "", deployment_raw[[#This Row],[Column3]])</f>
        <v/>
      </c>
      <c r="D990" s="6" t="str">
        <f>IF(ISNONTEXT(deployment_raw[[#This Row],[Column4]]), "", deployment_raw[[#This Row],[Column4]])</f>
        <v/>
      </c>
      <c r="E990" s="7" t="str">
        <f>IF(ISNUMBER(deployment_raw[[#This Row],[Column5]]), deployment_raw[[#This Row],[Column5]],"")</f>
        <v/>
      </c>
      <c r="F990" s="32" t="str">
        <f>IF(ISNUMBER(deployment_raw[[#This Row],[Column17]]), deployment_raw[[#This Row],[Column17]]/IF(OR($E$2="Deployment",deployment_raw[[#This Row],[Column5]]=0),1,deployment_raw[[#This Row],[Column5]]),"")</f>
        <v/>
      </c>
      <c r="G990" s="42" t="str">
        <f>IF(ISNUMBER(deployment_raw[[#This Row],[Column14]]), deployment_raw[[#This Row],[Column14]]/IF(OR($E$2="Deployment",deployment_raw[[#This Row],[Column5]]=0),1,deployment_raw[[#This Row],[Column5]]),"")</f>
        <v/>
      </c>
      <c r="H990" s="79" t="str">
        <f>IF(ISNUMBER(deployment_raw[[#This Row],[Column19]]), IF(I990&lt;&gt;0,(deployment_raw[[#This Row],[Column19]]/IF(OR($E$2="Deployment",deployment_raw[[#This Row],[Column5]]=0),1,deployment_raw[[#This Row],[Column5]]))/I990,0),"")</f>
        <v/>
      </c>
      <c r="I990" s="69" t="str">
        <f>IF(ISNUMBER(deployment_raw[[#This Row],[Column6]]), (deployment_raw[[#This Row],[Column6]] * IF($E$2="Deployment",deployment_raw[[#This Row],[Column5]],1)),"")</f>
        <v/>
      </c>
      <c r="J990" s="79" t="str">
        <f>IF(ISNUMBER(deployment_raw[[#This Row],[Column19]]), IF(K990&lt;&gt;0,(deployment_raw[[#This Row],[Column19]]/IF(OR($E$2="Deployment",deployment_raw[[#This Row],[Column5]]=0),1,deployment_raw[[#This Row],[Column5]]))/K990,0),"")</f>
        <v/>
      </c>
      <c r="K990" s="72" t="str">
        <f>IF(ISNUMBER(deployment_raw[[#This Row],[Column8]]), (deployment_raw[[#This Row],[Column8]]  * IF($E$2="Deployment",deployment_raw[[#This Row],[Column5]],1)),"")</f>
        <v/>
      </c>
      <c r="L99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9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90" s="81" t="str">
        <f>IF(ISNUMBER(deployment_raw[[#This Row],[Column20]]), IF(O990&lt;&gt;0,deployment_raw[[#This Row],[Column20]]/IF(OR($E$2="Deployment",deployment_raw[[#This Row],[Column5]]=0),1,deployment_raw[[#This Row],[Column5]])/1048576/O990,0),"")</f>
        <v/>
      </c>
      <c r="O990" s="74" t="str">
        <f>IF(ISNUMBER(deployment_raw[[#This Row],[Column7]]), (deployment_raw[[#This Row],[Column7]] * IF($E$2="Deployment",deployment_raw[[#This Row],[Column5]],1))/1048576,"")</f>
        <v/>
      </c>
      <c r="P990" s="81" t="str">
        <f>IF(ISNUMBER(deployment_raw[[#This Row],[Column20]]), IF(Q990&lt;&gt;0,deployment_raw[[#This Row],[Column20]]/IF(OR($E$2="Deployment",deployment_raw[[#This Row],[Column5]]=0),1,deployment_raw[[#This Row],[Column5]])/1048576/Q990,0),"")</f>
        <v/>
      </c>
      <c r="Q990" s="76" t="str">
        <f>IF(ISNUMBER(deployment_raw[[#This Row],[Column9]]), (deployment_raw[[#This Row],[Column9]] * IF($E$2="Deployment",deployment_raw[[#This Row],[Column5]],1))/1048576,"")</f>
        <v/>
      </c>
      <c r="R990" s="57" t="str">
        <f>IF(ISNUMBER(deployment_raw[[#This Row],[Column10]]), (deployment_raw[[#This Row],[Column10]] * IF($E$2="Deployment",deployment_raw[[#This Row],[Column5]],1)),"")</f>
        <v/>
      </c>
      <c r="S990" s="48" t="str">
        <f>IF(ISNUMBER(deployment_raw[[#This Row],[Column11]]), (deployment_raw[[#This Row],[Column11]] * IF($E$2="Deployment",deployment_raw[[#This Row],[Column5]],1))/1048576,"")</f>
        <v/>
      </c>
      <c r="T990" s="59" t="str">
        <f>IF(ISNUMBER(deployment_raw[[#This Row],[Column8]]),IF(OR(deployment_raw[[#This Row],[Column5]] &lt;&gt; 0,$E$2 &lt;&gt; "Deployment"), MAX(V990, ($T$2 * IF($E$2="Deployment",deployment_raw[[#This Row],[Column5]],1))), 0),"")</f>
        <v/>
      </c>
      <c r="U990" s="50" t="str">
        <f>IF(ISNUMBER(deployment_raw[[#This Row],[Column9]]),IF(OR(deployment_raw[[#This Row],[Column5]] &lt;&gt; 0,$E$2&lt;&gt;"Deployment"), MAX(W990, ($U$2 * IF($E$2="Deployment",deployment_raw[[#This Row],[Column5]],1))), 0),"")</f>
        <v/>
      </c>
      <c r="V990" s="15" t="str">
        <f>IF(ISNUMBER(deployment_raw[[#This Row],[Column12]]), (deployment_raw[[#This Row],[Column12]] * IF($E$2="Deployment",deployment_raw[[#This Row],[Column5]],1)*(1+$V$2)),"")</f>
        <v/>
      </c>
      <c r="W990" s="14" t="str">
        <f>IF(ISNUMBER(deployment_raw[[#This Row],[Column13]]), (deployment_raw[[#This Row],[Column13]] * IF($E$2="Deployment",deployment_raw[[#This Row],[Column5]],1)*(1+$W$2))/1048576,"")</f>
        <v/>
      </c>
    </row>
    <row r="991" spans="1:23" ht="15" customHeight="1" x14ac:dyDescent="0.25">
      <c r="A991" s="5" t="str">
        <f>IF(ISNONTEXT(deployment_raw[[#This Row],[Column1]]), "", deployment_raw[[#This Row],[Column1]])</f>
        <v/>
      </c>
      <c r="B991" s="6" t="str">
        <f>IF(ISNONTEXT(deployment_raw[[#This Row],[Column2]]), "", deployment_raw[[#This Row],[Column2]])</f>
        <v/>
      </c>
      <c r="C991" s="6" t="str">
        <f>IF(ISNONTEXT(deployment_raw[[#This Row],[Column3]]), "", deployment_raw[[#This Row],[Column3]])</f>
        <v/>
      </c>
      <c r="D991" s="6" t="str">
        <f>IF(ISNONTEXT(deployment_raw[[#This Row],[Column4]]), "", deployment_raw[[#This Row],[Column4]])</f>
        <v/>
      </c>
      <c r="E991" s="7" t="str">
        <f>IF(ISNUMBER(deployment_raw[[#This Row],[Column5]]), deployment_raw[[#This Row],[Column5]],"")</f>
        <v/>
      </c>
      <c r="F991" s="32" t="str">
        <f>IF(ISNUMBER(deployment_raw[[#This Row],[Column17]]), deployment_raw[[#This Row],[Column17]]/IF(OR($E$2="Deployment",deployment_raw[[#This Row],[Column5]]=0),1,deployment_raw[[#This Row],[Column5]]),"")</f>
        <v/>
      </c>
      <c r="G991" s="42" t="str">
        <f>IF(ISNUMBER(deployment_raw[[#This Row],[Column14]]), deployment_raw[[#This Row],[Column14]]/IF(OR($E$2="Deployment",deployment_raw[[#This Row],[Column5]]=0),1,deployment_raw[[#This Row],[Column5]]),"")</f>
        <v/>
      </c>
      <c r="H991" s="79" t="str">
        <f>IF(ISNUMBER(deployment_raw[[#This Row],[Column19]]), IF(I991&lt;&gt;0,(deployment_raw[[#This Row],[Column19]]/IF(OR($E$2="Deployment",deployment_raw[[#This Row],[Column5]]=0),1,deployment_raw[[#This Row],[Column5]]))/I991,0),"")</f>
        <v/>
      </c>
      <c r="I991" s="69" t="str">
        <f>IF(ISNUMBER(deployment_raw[[#This Row],[Column6]]), (deployment_raw[[#This Row],[Column6]] * IF($E$2="Deployment",deployment_raw[[#This Row],[Column5]],1)),"")</f>
        <v/>
      </c>
      <c r="J991" s="79" t="str">
        <f>IF(ISNUMBER(deployment_raw[[#This Row],[Column19]]), IF(K991&lt;&gt;0,(deployment_raw[[#This Row],[Column19]]/IF(OR($E$2="Deployment",deployment_raw[[#This Row],[Column5]]=0),1,deployment_raw[[#This Row],[Column5]]))/K991,0),"")</f>
        <v/>
      </c>
      <c r="K991" s="72" t="str">
        <f>IF(ISNUMBER(deployment_raw[[#This Row],[Column8]]), (deployment_raw[[#This Row],[Column8]]  * IF($E$2="Deployment",deployment_raw[[#This Row],[Column5]],1)),"")</f>
        <v/>
      </c>
      <c r="L99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9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91" s="81" t="str">
        <f>IF(ISNUMBER(deployment_raw[[#This Row],[Column20]]), IF(O991&lt;&gt;0,deployment_raw[[#This Row],[Column20]]/IF(OR($E$2="Deployment",deployment_raw[[#This Row],[Column5]]=0),1,deployment_raw[[#This Row],[Column5]])/1048576/O991,0),"")</f>
        <v/>
      </c>
      <c r="O991" s="74" t="str">
        <f>IF(ISNUMBER(deployment_raw[[#This Row],[Column7]]), (deployment_raw[[#This Row],[Column7]] * IF($E$2="Deployment",deployment_raw[[#This Row],[Column5]],1))/1048576,"")</f>
        <v/>
      </c>
      <c r="P991" s="81" t="str">
        <f>IF(ISNUMBER(deployment_raw[[#This Row],[Column20]]), IF(Q991&lt;&gt;0,deployment_raw[[#This Row],[Column20]]/IF(OR($E$2="Deployment",deployment_raw[[#This Row],[Column5]]=0),1,deployment_raw[[#This Row],[Column5]])/1048576/Q991,0),"")</f>
        <v/>
      </c>
      <c r="Q991" s="76" t="str">
        <f>IF(ISNUMBER(deployment_raw[[#This Row],[Column9]]), (deployment_raw[[#This Row],[Column9]] * IF($E$2="Deployment",deployment_raw[[#This Row],[Column5]],1))/1048576,"")</f>
        <v/>
      </c>
      <c r="R991" s="57" t="str">
        <f>IF(ISNUMBER(deployment_raw[[#This Row],[Column10]]), (deployment_raw[[#This Row],[Column10]] * IF($E$2="Deployment",deployment_raw[[#This Row],[Column5]],1)),"")</f>
        <v/>
      </c>
      <c r="S991" s="48" t="str">
        <f>IF(ISNUMBER(deployment_raw[[#This Row],[Column11]]), (deployment_raw[[#This Row],[Column11]] * IF($E$2="Deployment",deployment_raw[[#This Row],[Column5]],1))/1048576,"")</f>
        <v/>
      </c>
      <c r="T991" s="59" t="str">
        <f>IF(ISNUMBER(deployment_raw[[#This Row],[Column8]]),IF(OR(deployment_raw[[#This Row],[Column5]] &lt;&gt; 0,$E$2 &lt;&gt; "Deployment"), MAX(V991, ($T$2 * IF($E$2="Deployment",deployment_raw[[#This Row],[Column5]],1))), 0),"")</f>
        <v/>
      </c>
      <c r="U991" s="50" t="str">
        <f>IF(ISNUMBER(deployment_raw[[#This Row],[Column9]]),IF(OR(deployment_raw[[#This Row],[Column5]] &lt;&gt; 0,$E$2&lt;&gt;"Deployment"), MAX(W991, ($U$2 * IF($E$2="Deployment",deployment_raw[[#This Row],[Column5]],1))), 0),"")</f>
        <v/>
      </c>
      <c r="V991" s="15" t="str">
        <f>IF(ISNUMBER(deployment_raw[[#This Row],[Column12]]), (deployment_raw[[#This Row],[Column12]] * IF($E$2="Deployment",deployment_raw[[#This Row],[Column5]],1)*(1+$V$2)),"")</f>
        <v/>
      </c>
      <c r="W991" s="14" t="str">
        <f>IF(ISNUMBER(deployment_raw[[#This Row],[Column13]]), (deployment_raw[[#This Row],[Column13]] * IF($E$2="Deployment",deployment_raw[[#This Row],[Column5]],1)*(1+$W$2))/1048576,"")</f>
        <v/>
      </c>
    </row>
    <row r="992" spans="1:23" ht="15" customHeight="1" x14ac:dyDescent="0.25">
      <c r="A992" s="5" t="str">
        <f>IF(ISNONTEXT(deployment_raw[[#This Row],[Column1]]), "", deployment_raw[[#This Row],[Column1]])</f>
        <v/>
      </c>
      <c r="B992" s="6" t="str">
        <f>IF(ISNONTEXT(deployment_raw[[#This Row],[Column2]]), "", deployment_raw[[#This Row],[Column2]])</f>
        <v/>
      </c>
      <c r="C992" s="6" t="str">
        <f>IF(ISNONTEXT(deployment_raw[[#This Row],[Column3]]), "", deployment_raw[[#This Row],[Column3]])</f>
        <v/>
      </c>
      <c r="D992" s="6" t="str">
        <f>IF(ISNONTEXT(deployment_raw[[#This Row],[Column4]]), "", deployment_raw[[#This Row],[Column4]])</f>
        <v/>
      </c>
      <c r="E992" s="7" t="str">
        <f>IF(ISNUMBER(deployment_raw[[#This Row],[Column5]]), deployment_raw[[#This Row],[Column5]],"")</f>
        <v/>
      </c>
      <c r="F992" s="32" t="str">
        <f>IF(ISNUMBER(deployment_raw[[#This Row],[Column17]]), deployment_raw[[#This Row],[Column17]]/IF(OR($E$2="Deployment",deployment_raw[[#This Row],[Column5]]=0),1,deployment_raw[[#This Row],[Column5]]),"")</f>
        <v/>
      </c>
      <c r="G992" s="42" t="str">
        <f>IF(ISNUMBER(deployment_raw[[#This Row],[Column14]]), deployment_raw[[#This Row],[Column14]]/IF(OR($E$2="Deployment",deployment_raw[[#This Row],[Column5]]=0),1,deployment_raw[[#This Row],[Column5]]),"")</f>
        <v/>
      </c>
      <c r="H992" s="79" t="str">
        <f>IF(ISNUMBER(deployment_raw[[#This Row],[Column19]]), IF(I992&lt;&gt;0,(deployment_raw[[#This Row],[Column19]]/IF(OR($E$2="Deployment",deployment_raw[[#This Row],[Column5]]=0),1,deployment_raw[[#This Row],[Column5]]))/I992,0),"")</f>
        <v/>
      </c>
      <c r="I992" s="69" t="str">
        <f>IF(ISNUMBER(deployment_raw[[#This Row],[Column6]]), (deployment_raw[[#This Row],[Column6]] * IF($E$2="Deployment",deployment_raw[[#This Row],[Column5]],1)),"")</f>
        <v/>
      </c>
      <c r="J992" s="79" t="str">
        <f>IF(ISNUMBER(deployment_raw[[#This Row],[Column19]]), IF(K992&lt;&gt;0,(deployment_raw[[#This Row],[Column19]]/IF(OR($E$2="Deployment",deployment_raw[[#This Row],[Column5]]=0),1,deployment_raw[[#This Row],[Column5]]))/K992,0),"")</f>
        <v/>
      </c>
      <c r="K992" s="72" t="str">
        <f>IF(ISNUMBER(deployment_raw[[#This Row],[Column8]]), (deployment_raw[[#This Row],[Column8]]  * IF($E$2="Deployment",deployment_raw[[#This Row],[Column5]],1)),"")</f>
        <v/>
      </c>
      <c r="L99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9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92" s="81" t="str">
        <f>IF(ISNUMBER(deployment_raw[[#This Row],[Column20]]), IF(O992&lt;&gt;0,deployment_raw[[#This Row],[Column20]]/IF(OR($E$2="Deployment",deployment_raw[[#This Row],[Column5]]=0),1,deployment_raw[[#This Row],[Column5]])/1048576/O992,0),"")</f>
        <v/>
      </c>
      <c r="O992" s="74" t="str">
        <f>IF(ISNUMBER(deployment_raw[[#This Row],[Column7]]), (deployment_raw[[#This Row],[Column7]] * IF($E$2="Deployment",deployment_raw[[#This Row],[Column5]],1))/1048576,"")</f>
        <v/>
      </c>
      <c r="P992" s="81" t="str">
        <f>IF(ISNUMBER(deployment_raw[[#This Row],[Column20]]), IF(Q992&lt;&gt;0,deployment_raw[[#This Row],[Column20]]/IF(OR($E$2="Deployment",deployment_raw[[#This Row],[Column5]]=0),1,deployment_raw[[#This Row],[Column5]])/1048576/Q992,0),"")</f>
        <v/>
      </c>
      <c r="Q992" s="76" t="str">
        <f>IF(ISNUMBER(deployment_raw[[#This Row],[Column9]]), (deployment_raw[[#This Row],[Column9]] * IF($E$2="Deployment",deployment_raw[[#This Row],[Column5]],1))/1048576,"")</f>
        <v/>
      </c>
      <c r="R992" s="57" t="str">
        <f>IF(ISNUMBER(deployment_raw[[#This Row],[Column10]]), (deployment_raw[[#This Row],[Column10]] * IF($E$2="Deployment",deployment_raw[[#This Row],[Column5]],1)),"")</f>
        <v/>
      </c>
      <c r="S992" s="48" t="str">
        <f>IF(ISNUMBER(deployment_raw[[#This Row],[Column11]]), (deployment_raw[[#This Row],[Column11]] * IF($E$2="Deployment",deployment_raw[[#This Row],[Column5]],1))/1048576,"")</f>
        <v/>
      </c>
      <c r="T992" s="59" t="str">
        <f>IF(ISNUMBER(deployment_raw[[#This Row],[Column8]]),IF(OR(deployment_raw[[#This Row],[Column5]] &lt;&gt; 0,$E$2 &lt;&gt; "Deployment"), MAX(V992, ($T$2 * IF($E$2="Deployment",deployment_raw[[#This Row],[Column5]],1))), 0),"")</f>
        <v/>
      </c>
      <c r="U992" s="50" t="str">
        <f>IF(ISNUMBER(deployment_raw[[#This Row],[Column9]]),IF(OR(deployment_raw[[#This Row],[Column5]] &lt;&gt; 0,$E$2&lt;&gt;"Deployment"), MAX(W992, ($U$2 * IF($E$2="Deployment",deployment_raw[[#This Row],[Column5]],1))), 0),"")</f>
        <v/>
      </c>
      <c r="V992" s="15" t="str">
        <f>IF(ISNUMBER(deployment_raw[[#This Row],[Column12]]), (deployment_raw[[#This Row],[Column12]] * IF($E$2="Deployment",deployment_raw[[#This Row],[Column5]],1)*(1+$V$2)),"")</f>
        <v/>
      </c>
      <c r="W992" s="14" t="str">
        <f>IF(ISNUMBER(deployment_raw[[#This Row],[Column13]]), (deployment_raw[[#This Row],[Column13]] * IF($E$2="Deployment",deployment_raw[[#This Row],[Column5]],1)*(1+$W$2))/1048576,"")</f>
        <v/>
      </c>
    </row>
    <row r="993" spans="1:23" ht="15" customHeight="1" x14ac:dyDescent="0.25">
      <c r="A993" s="5" t="str">
        <f>IF(ISNONTEXT(deployment_raw[[#This Row],[Column1]]), "", deployment_raw[[#This Row],[Column1]])</f>
        <v/>
      </c>
      <c r="B993" s="6" t="str">
        <f>IF(ISNONTEXT(deployment_raw[[#This Row],[Column2]]), "", deployment_raw[[#This Row],[Column2]])</f>
        <v/>
      </c>
      <c r="C993" s="6" t="str">
        <f>IF(ISNONTEXT(deployment_raw[[#This Row],[Column3]]), "", deployment_raw[[#This Row],[Column3]])</f>
        <v/>
      </c>
      <c r="D993" s="6" t="str">
        <f>IF(ISNONTEXT(deployment_raw[[#This Row],[Column4]]), "", deployment_raw[[#This Row],[Column4]])</f>
        <v/>
      </c>
      <c r="E993" s="7" t="str">
        <f>IF(ISNUMBER(deployment_raw[[#This Row],[Column5]]), deployment_raw[[#This Row],[Column5]],"")</f>
        <v/>
      </c>
      <c r="F993" s="32" t="str">
        <f>IF(ISNUMBER(deployment_raw[[#This Row],[Column17]]), deployment_raw[[#This Row],[Column17]]/IF(OR($E$2="Deployment",deployment_raw[[#This Row],[Column5]]=0),1,deployment_raw[[#This Row],[Column5]]),"")</f>
        <v/>
      </c>
      <c r="G993" s="42" t="str">
        <f>IF(ISNUMBER(deployment_raw[[#This Row],[Column14]]), deployment_raw[[#This Row],[Column14]]/IF(OR($E$2="Deployment",deployment_raw[[#This Row],[Column5]]=0),1,deployment_raw[[#This Row],[Column5]]),"")</f>
        <v/>
      </c>
      <c r="H993" s="79" t="str">
        <f>IF(ISNUMBER(deployment_raw[[#This Row],[Column19]]), IF(I993&lt;&gt;0,(deployment_raw[[#This Row],[Column19]]/IF(OR($E$2="Deployment",deployment_raw[[#This Row],[Column5]]=0),1,deployment_raw[[#This Row],[Column5]]))/I993,0),"")</f>
        <v/>
      </c>
      <c r="I993" s="69" t="str">
        <f>IF(ISNUMBER(deployment_raw[[#This Row],[Column6]]), (deployment_raw[[#This Row],[Column6]] * IF($E$2="Deployment",deployment_raw[[#This Row],[Column5]],1)),"")</f>
        <v/>
      </c>
      <c r="J993" s="79" t="str">
        <f>IF(ISNUMBER(deployment_raw[[#This Row],[Column19]]), IF(K993&lt;&gt;0,(deployment_raw[[#This Row],[Column19]]/IF(OR($E$2="Deployment",deployment_raw[[#This Row],[Column5]]=0),1,deployment_raw[[#This Row],[Column5]]))/K993,0),"")</f>
        <v/>
      </c>
      <c r="K993" s="72" t="str">
        <f>IF(ISNUMBER(deployment_raw[[#This Row],[Column8]]), (deployment_raw[[#This Row],[Column8]]  * IF($E$2="Deployment",deployment_raw[[#This Row],[Column5]],1)),"")</f>
        <v/>
      </c>
      <c r="L99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9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93" s="81" t="str">
        <f>IF(ISNUMBER(deployment_raw[[#This Row],[Column20]]), IF(O993&lt;&gt;0,deployment_raw[[#This Row],[Column20]]/IF(OR($E$2="Deployment",deployment_raw[[#This Row],[Column5]]=0),1,deployment_raw[[#This Row],[Column5]])/1048576/O993,0),"")</f>
        <v/>
      </c>
      <c r="O993" s="74" t="str">
        <f>IF(ISNUMBER(deployment_raw[[#This Row],[Column7]]), (deployment_raw[[#This Row],[Column7]] * IF($E$2="Deployment",deployment_raw[[#This Row],[Column5]],1))/1048576,"")</f>
        <v/>
      </c>
      <c r="P993" s="81" t="str">
        <f>IF(ISNUMBER(deployment_raw[[#This Row],[Column20]]), IF(Q993&lt;&gt;0,deployment_raw[[#This Row],[Column20]]/IF(OR($E$2="Deployment",deployment_raw[[#This Row],[Column5]]=0),1,deployment_raw[[#This Row],[Column5]])/1048576/Q993,0),"")</f>
        <v/>
      </c>
      <c r="Q993" s="76" t="str">
        <f>IF(ISNUMBER(deployment_raw[[#This Row],[Column9]]), (deployment_raw[[#This Row],[Column9]] * IF($E$2="Deployment",deployment_raw[[#This Row],[Column5]],1))/1048576,"")</f>
        <v/>
      </c>
      <c r="R993" s="57" t="str">
        <f>IF(ISNUMBER(deployment_raw[[#This Row],[Column10]]), (deployment_raw[[#This Row],[Column10]] * IF($E$2="Deployment",deployment_raw[[#This Row],[Column5]],1)),"")</f>
        <v/>
      </c>
      <c r="S993" s="48" t="str">
        <f>IF(ISNUMBER(deployment_raw[[#This Row],[Column11]]), (deployment_raw[[#This Row],[Column11]] * IF($E$2="Deployment",deployment_raw[[#This Row],[Column5]],1))/1048576,"")</f>
        <v/>
      </c>
      <c r="T993" s="59" t="str">
        <f>IF(ISNUMBER(deployment_raw[[#This Row],[Column8]]),IF(OR(deployment_raw[[#This Row],[Column5]] &lt;&gt; 0,$E$2 &lt;&gt; "Deployment"), MAX(V993, ($T$2 * IF($E$2="Deployment",deployment_raw[[#This Row],[Column5]],1))), 0),"")</f>
        <v/>
      </c>
      <c r="U993" s="50" t="str">
        <f>IF(ISNUMBER(deployment_raw[[#This Row],[Column9]]),IF(OR(deployment_raw[[#This Row],[Column5]] &lt;&gt; 0,$E$2&lt;&gt;"Deployment"), MAX(W993, ($U$2 * IF($E$2="Deployment",deployment_raw[[#This Row],[Column5]],1))), 0),"")</f>
        <v/>
      </c>
      <c r="V993" s="15" t="str">
        <f>IF(ISNUMBER(deployment_raw[[#This Row],[Column12]]), (deployment_raw[[#This Row],[Column12]] * IF($E$2="Deployment",deployment_raw[[#This Row],[Column5]],1)*(1+$V$2)),"")</f>
        <v/>
      </c>
      <c r="W993" s="14" t="str">
        <f>IF(ISNUMBER(deployment_raw[[#This Row],[Column13]]), (deployment_raw[[#This Row],[Column13]] * IF($E$2="Deployment",deployment_raw[[#This Row],[Column5]],1)*(1+$W$2))/1048576,"")</f>
        <v/>
      </c>
    </row>
    <row r="994" spans="1:23" ht="15" customHeight="1" x14ac:dyDescent="0.25">
      <c r="A994" s="5" t="str">
        <f>IF(ISNONTEXT(deployment_raw[[#This Row],[Column1]]), "", deployment_raw[[#This Row],[Column1]])</f>
        <v/>
      </c>
      <c r="B994" s="6" t="str">
        <f>IF(ISNONTEXT(deployment_raw[[#This Row],[Column2]]), "", deployment_raw[[#This Row],[Column2]])</f>
        <v/>
      </c>
      <c r="C994" s="6" t="str">
        <f>IF(ISNONTEXT(deployment_raw[[#This Row],[Column3]]), "", deployment_raw[[#This Row],[Column3]])</f>
        <v/>
      </c>
      <c r="D994" s="6" t="str">
        <f>IF(ISNONTEXT(deployment_raw[[#This Row],[Column4]]), "", deployment_raw[[#This Row],[Column4]])</f>
        <v/>
      </c>
      <c r="E994" s="7" t="str">
        <f>IF(ISNUMBER(deployment_raw[[#This Row],[Column5]]), deployment_raw[[#This Row],[Column5]],"")</f>
        <v/>
      </c>
      <c r="F994" s="32" t="str">
        <f>IF(ISNUMBER(deployment_raw[[#This Row],[Column17]]), deployment_raw[[#This Row],[Column17]]/IF(OR($E$2="Deployment",deployment_raw[[#This Row],[Column5]]=0),1,deployment_raw[[#This Row],[Column5]]),"")</f>
        <v/>
      </c>
      <c r="G994" s="42" t="str">
        <f>IF(ISNUMBER(deployment_raw[[#This Row],[Column14]]), deployment_raw[[#This Row],[Column14]]/IF(OR($E$2="Deployment",deployment_raw[[#This Row],[Column5]]=0),1,deployment_raw[[#This Row],[Column5]]),"")</f>
        <v/>
      </c>
      <c r="H994" s="79" t="str">
        <f>IF(ISNUMBER(deployment_raw[[#This Row],[Column19]]), IF(I994&lt;&gt;0,(deployment_raw[[#This Row],[Column19]]/IF(OR($E$2="Deployment",deployment_raw[[#This Row],[Column5]]=0),1,deployment_raw[[#This Row],[Column5]]))/I994,0),"")</f>
        <v/>
      </c>
      <c r="I994" s="69" t="str">
        <f>IF(ISNUMBER(deployment_raw[[#This Row],[Column6]]), (deployment_raw[[#This Row],[Column6]] * IF($E$2="Deployment",deployment_raw[[#This Row],[Column5]],1)),"")</f>
        <v/>
      </c>
      <c r="J994" s="79" t="str">
        <f>IF(ISNUMBER(deployment_raw[[#This Row],[Column19]]), IF(K994&lt;&gt;0,(deployment_raw[[#This Row],[Column19]]/IF(OR($E$2="Deployment",deployment_raw[[#This Row],[Column5]]=0),1,deployment_raw[[#This Row],[Column5]]))/K994,0),"")</f>
        <v/>
      </c>
      <c r="K994" s="72" t="str">
        <f>IF(ISNUMBER(deployment_raw[[#This Row],[Column8]]), (deployment_raw[[#This Row],[Column8]]  * IF($E$2="Deployment",deployment_raw[[#This Row],[Column5]],1)),"")</f>
        <v/>
      </c>
      <c r="L99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9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94" s="81" t="str">
        <f>IF(ISNUMBER(deployment_raw[[#This Row],[Column20]]), IF(O994&lt;&gt;0,deployment_raw[[#This Row],[Column20]]/IF(OR($E$2="Deployment",deployment_raw[[#This Row],[Column5]]=0),1,deployment_raw[[#This Row],[Column5]])/1048576/O994,0),"")</f>
        <v/>
      </c>
      <c r="O994" s="74" t="str">
        <f>IF(ISNUMBER(deployment_raw[[#This Row],[Column7]]), (deployment_raw[[#This Row],[Column7]] * IF($E$2="Deployment",deployment_raw[[#This Row],[Column5]],1))/1048576,"")</f>
        <v/>
      </c>
      <c r="P994" s="81" t="str">
        <f>IF(ISNUMBER(deployment_raw[[#This Row],[Column20]]), IF(Q994&lt;&gt;0,deployment_raw[[#This Row],[Column20]]/IF(OR($E$2="Deployment",deployment_raw[[#This Row],[Column5]]=0),1,deployment_raw[[#This Row],[Column5]])/1048576/Q994,0),"")</f>
        <v/>
      </c>
      <c r="Q994" s="76" t="str">
        <f>IF(ISNUMBER(deployment_raw[[#This Row],[Column9]]), (deployment_raw[[#This Row],[Column9]] * IF($E$2="Deployment",deployment_raw[[#This Row],[Column5]],1))/1048576,"")</f>
        <v/>
      </c>
      <c r="R994" s="57" t="str">
        <f>IF(ISNUMBER(deployment_raw[[#This Row],[Column10]]), (deployment_raw[[#This Row],[Column10]] * IF($E$2="Deployment",deployment_raw[[#This Row],[Column5]],1)),"")</f>
        <v/>
      </c>
      <c r="S994" s="48" t="str">
        <f>IF(ISNUMBER(deployment_raw[[#This Row],[Column11]]), (deployment_raw[[#This Row],[Column11]] * IF($E$2="Deployment",deployment_raw[[#This Row],[Column5]],1))/1048576,"")</f>
        <v/>
      </c>
      <c r="T994" s="59" t="str">
        <f>IF(ISNUMBER(deployment_raw[[#This Row],[Column8]]),IF(OR(deployment_raw[[#This Row],[Column5]] &lt;&gt; 0,$E$2 &lt;&gt; "Deployment"), MAX(V994, ($T$2 * IF($E$2="Deployment",deployment_raw[[#This Row],[Column5]],1))), 0),"")</f>
        <v/>
      </c>
      <c r="U994" s="50" t="str">
        <f>IF(ISNUMBER(deployment_raw[[#This Row],[Column9]]),IF(OR(deployment_raw[[#This Row],[Column5]] &lt;&gt; 0,$E$2&lt;&gt;"Deployment"), MAX(W994, ($U$2 * IF($E$2="Deployment",deployment_raw[[#This Row],[Column5]],1))), 0),"")</f>
        <v/>
      </c>
      <c r="V994" s="15" t="str">
        <f>IF(ISNUMBER(deployment_raw[[#This Row],[Column12]]), (deployment_raw[[#This Row],[Column12]] * IF($E$2="Deployment",deployment_raw[[#This Row],[Column5]],1)*(1+$V$2)),"")</f>
        <v/>
      </c>
      <c r="W994" s="14" t="str">
        <f>IF(ISNUMBER(deployment_raw[[#This Row],[Column13]]), (deployment_raw[[#This Row],[Column13]] * IF($E$2="Deployment",deployment_raw[[#This Row],[Column5]],1)*(1+$W$2))/1048576,"")</f>
        <v/>
      </c>
    </row>
    <row r="995" spans="1:23" ht="15" customHeight="1" x14ac:dyDescent="0.25">
      <c r="A995" s="5" t="str">
        <f>IF(ISNONTEXT(deployment_raw[[#This Row],[Column1]]), "", deployment_raw[[#This Row],[Column1]])</f>
        <v/>
      </c>
      <c r="B995" s="6" t="str">
        <f>IF(ISNONTEXT(deployment_raw[[#This Row],[Column2]]), "", deployment_raw[[#This Row],[Column2]])</f>
        <v/>
      </c>
      <c r="C995" s="6" t="str">
        <f>IF(ISNONTEXT(deployment_raw[[#This Row],[Column3]]), "", deployment_raw[[#This Row],[Column3]])</f>
        <v/>
      </c>
      <c r="D995" s="6" t="str">
        <f>IF(ISNONTEXT(deployment_raw[[#This Row],[Column4]]), "", deployment_raw[[#This Row],[Column4]])</f>
        <v/>
      </c>
      <c r="E995" s="7" t="str">
        <f>IF(ISNUMBER(deployment_raw[[#This Row],[Column5]]), deployment_raw[[#This Row],[Column5]],"")</f>
        <v/>
      </c>
      <c r="F995" s="32" t="str">
        <f>IF(ISNUMBER(deployment_raw[[#This Row],[Column17]]), deployment_raw[[#This Row],[Column17]]/IF(OR($E$2="Deployment",deployment_raw[[#This Row],[Column5]]=0),1,deployment_raw[[#This Row],[Column5]]),"")</f>
        <v/>
      </c>
      <c r="G995" s="42" t="str">
        <f>IF(ISNUMBER(deployment_raw[[#This Row],[Column14]]), deployment_raw[[#This Row],[Column14]]/IF(OR($E$2="Deployment",deployment_raw[[#This Row],[Column5]]=0),1,deployment_raw[[#This Row],[Column5]]),"")</f>
        <v/>
      </c>
      <c r="H995" s="79" t="str">
        <f>IF(ISNUMBER(deployment_raw[[#This Row],[Column19]]), IF(I995&lt;&gt;0,(deployment_raw[[#This Row],[Column19]]/IF(OR($E$2="Deployment",deployment_raw[[#This Row],[Column5]]=0),1,deployment_raw[[#This Row],[Column5]]))/I995,0),"")</f>
        <v/>
      </c>
      <c r="I995" s="69" t="str">
        <f>IF(ISNUMBER(deployment_raw[[#This Row],[Column6]]), (deployment_raw[[#This Row],[Column6]] * IF($E$2="Deployment",deployment_raw[[#This Row],[Column5]],1)),"")</f>
        <v/>
      </c>
      <c r="J995" s="79" t="str">
        <f>IF(ISNUMBER(deployment_raw[[#This Row],[Column19]]), IF(K995&lt;&gt;0,(deployment_raw[[#This Row],[Column19]]/IF(OR($E$2="Deployment",deployment_raw[[#This Row],[Column5]]=0),1,deployment_raw[[#This Row],[Column5]]))/K995,0),"")</f>
        <v/>
      </c>
      <c r="K995" s="72" t="str">
        <f>IF(ISNUMBER(deployment_raw[[#This Row],[Column8]]), (deployment_raw[[#This Row],[Column8]]  * IF($E$2="Deployment",deployment_raw[[#This Row],[Column5]],1)),"")</f>
        <v/>
      </c>
      <c r="L99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9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95" s="81" t="str">
        <f>IF(ISNUMBER(deployment_raw[[#This Row],[Column20]]), IF(O995&lt;&gt;0,deployment_raw[[#This Row],[Column20]]/IF(OR($E$2="Deployment",deployment_raw[[#This Row],[Column5]]=0),1,deployment_raw[[#This Row],[Column5]])/1048576/O995,0),"")</f>
        <v/>
      </c>
      <c r="O995" s="74" t="str">
        <f>IF(ISNUMBER(deployment_raw[[#This Row],[Column7]]), (deployment_raw[[#This Row],[Column7]] * IF($E$2="Deployment",deployment_raw[[#This Row],[Column5]],1))/1048576,"")</f>
        <v/>
      </c>
      <c r="P995" s="81" t="str">
        <f>IF(ISNUMBER(deployment_raw[[#This Row],[Column20]]), IF(Q995&lt;&gt;0,deployment_raw[[#This Row],[Column20]]/IF(OR($E$2="Deployment",deployment_raw[[#This Row],[Column5]]=0),1,deployment_raw[[#This Row],[Column5]])/1048576/Q995,0),"")</f>
        <v/>
      </c>
      <c r="Q995" s="76" t="str">
        <f>IF(ISNUMBER(deployment_raw[[#This Row],[Column9]]), (deployment_raw[[#This Row],[Column9]] * IF($E$2="Deployment",deployment_raw[[#This Row],[Column5]],1))/1048576,"")</f>
        <v/>
      </c>
      <c r="R995" s="57" t="str">
        <f>IF(ISNUMBER(deployment_raw[[#This Row],[Column10]]), (deployment_raw[[#This Row],[Column10]] * IF($E$2="Deployment",deployment_raw[[#This Row],[Column5]],1)),"")</f>
        <v/>
      </c>
      <c r="S995" s="48" t="str">
        <f>IF(ISNUMBER(deployment_raw[[#This Row],[Column11]]), (deployment_raw[[#This Row],[Column11]] * IF($E$2="Deployment",deployment_raw[[#This Row],[Column5]],1))/1048576,"")</f>
        <v/>
      </c>
      <c r="T995" s="59" t="str">
        <f>IF(ISNUMBER(deployment_raw[[#This Row],[Column8]]),IF(OR(deployment_raw[[#This Row],[Column5]] &lt;&gt; 0,$E$2 &lt;&gt; "Deployment"), MAX(V995, ($T$2 * IF($E$2="Deployment",deployment_raw[[#This Row],[Column5]],1))), 0),"")</f>
        <v/>
      </c>
      <c r="U995" s="50" t="str">
        <f>IF(ISNUMBER(deployment_raw[[#This Row],[Column9]]),IF(OR(deployment_raw[[#This Row],[Column5]] &lt;&gt; 0,$E$2&lt;&gt;"Deployment"), MAX(W995, ($U$2 * IF($E$2="Deployment",deployment_raw[[#This Row],[Column5]],1))), 0),"")</f>
        <v/>
      </c>
      <c r="V995" s="15" t="str">
        <f>IF(ISNUMBER(deployment_raw[[#This Row],[Column12]]), (deployment_raw[[#This Row],[Column12]] * IF($E$2="Deployment",deployment_raw[[#This Row],[Column5]],1)*(1+$V$2)),"")</f>
        <v/>
      </c>
      <c r="W995" s="14" t="str">
        <f>IF(ISNUMBER(deployment_raw[[#This Row],[Column13]]), (deployment_raw[[#This Row],[Column13]] * IF($E$2="Deployment",deployment_raw[[#This Row],[Column5]],1)*(1+$W$2))/1048576,"")</f>
        <v/>
      </c>
    </row>
    <row r="996" spans="1:23" ht="15" customHeight="1" x14ac:dyDescent="0.25">
      <c r="A996" s="5" t="str">
        <f>IF(ISNONTEXT(deployment_raw[[#This Row],[Column1]]), "", deployment_raw[[#This Row],[Column1]])</f>
        <v/>
      </c>
      <c r="B996" s="6" t="str">
        <f>IF(ISNONTEXT(deployment_raw[[#This Row],[Column2]]), "", deployment_raw[[#This Row],[Column2]])</f>
        <v/>
      </c>
      <c r="C996" s="6" t="str">
        <f>IF(ISNONTEXT(deployment_raw[[#This Row],[Column3]]), "", deployment_raw[[#This Row],[Column3]])</f>
        <v/>
      </c>
      <c r="D996" s="6" t="str">
        <f>IF(ISNONTEXT(deployment_raw[[#This Row],[Column4]]), "", deployment_raw[[#This Row],[Column4]])</f>
        <v/>
      </c>
      <c r="E996" s="7" t="str">
        <f>IF(ISNUMBER(deployment_raw[[#This Row],[Column5]]), deployment_raw[[#This Row],[Column5]],"")</f>
        <v/>
      </c>
      <c r="F996" s="32" t="str">
        <f>IF(ISNUMBER(deployment_raw[[#This Row],[Column17]]), deployment_raw[[#This Row],[Column17]]/IF(OR($E$2="Deployment",deployment_raw[[#This Row],[Column5]]=0),1,deployment_raw[[#This Row],[Column5]]),"")</f>
        <v/>
      </c>
      <c r="G996" s="42" t="str">
        <f>IF(ISNUMBER(deployment_raw[[#This Row],[Column14]]), deployment_raw[[#This Row],[Column14]]/IF(OR($E$2="Deployment",deployment_raw[[#This Row],[Column5]]=0),1,deployment_raw[[#This Row],[Column5]]),"")</f>
        <v/>
      </c>
      <c r="H996" s="79" t="str">
        <f>IF(ISNUMBER(deployment_raw[[#This Row],[Column19]]), IF(I996&lt;&gt;0,(deployment_raw[[#This Row],[Column19]]/IF(OR($E$2="Deployment",deployment_raw[[#This Row],[Column5]]=0),1,deployment_raw[[#This Row],[Column5]]))/I996,0),"")</f>
        <v/>
      </c>
      <c r="I996" s="69" t="str">
        <f>IF(ISNUMBER(deployment_raw[[#This Row],[Column6]]), (deployment_raw[[#This Row],[Column6]] * IF($E$2="Deployment",deployment_raw[[#This Row],[Column5]],1)),"")</f>
        <v/>
      </c>
      <c r="J996" s="79" t="str">
        <f>IF(ISNUMBER(deployment_raw[[#This Row],[Column19]]), IF(K996&lt;&gt;0,(deployment_raw[[#This Row],[Column19]]/IF(OR($E$2="Deployment",deployment_raw[[#This Row],[Column5]]=0),1,deployment_raw[[#This Row],[Column5]]))/K996,0),"")</f>
        <v/>
      </c>
      <c r="K996" s="72" t="str">
        <f>IF(ISNUMBER(deployment_raw[[#This Row],[Column8]]), (deployment_raw[[#This Row],[Column8]]  * IF($E$2="Deployment",deployment_raw[[#This Row],[Column5]],1)),"")</f>
        <v/>
      </c>
      <c r="L99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9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96" s="81" t="str">
        <f>IF(ISNUMBER(deployment_raw[[#This Row],[Column20]]), IF(O996&lt;&gt;0,deployment_raw[[#This Row],[Column20]]/IF(OR($E$2="Deployment",deployment_raw[[#This Row],[Column5]]=0),1,deployment_raw[[#This Row],[Column5]])/1048576/O996,0),"")</f>
        <v/>
      </c>
      <c r="O996" s="74" t="str">
        <f>IF(ISNUMBER(deployment_raw[[#This Row],[Column7]]), (deployment_raw[[#This Row],[Column7]] * IF($E$2="Deployment",deployment_raw[[#This Row],[Column5]],1))/1048576,"")</f>
        <v/>
      </c>
      <c r="P996" s="81" t="str">
        <f>IF(ISNUMBER(deployment_raw[[#This Row],[Column20]]), IF(Q996&lt;&gt;0,deployment_raw[[#This Row],[Column20]]/IF(OR($E$2="Deployment",deployment_raw[[#This Row],[Column5]]=0),1,deployment_raw[[#This Row],[Column5]])/1048576/Q996,0),"")</f>
        <v/>
      </c>
      <c r="Q996" s="76" t="str">
        <f>IF(ISNUMBER(deployment_raw[[#This Row],[Column9]]), (deployment_raw[[#This Row],[Column9]] * IF($E$2="Deployment",deployment_raw[[#This Row],[Column5]],1))/1048576,"")</f>
        <v/>
      </c>
      <c r="R996" s="57" t="str">
        <f>IF(ISNUMBER(deployment_raw[[#This Row],[Column10]]), (deployment_raw[[#This Row],[Column10]] * IF($E$2="Deployment",deployment_raw[[#This Row],[Column5]],1)),"")</f>
        <v/>
      </c>
      <c r="S996" s="48" t="str">
        <f>IF(ISNUMBER(deployment_raw[[#This Row],[Column11]]), (deployment_raw[[#This Row],[Column11]] * IF($E$2="Deployment",deployment_raw[[#This Row],[Column5]],1))/1048576,"")</f>
        <v/>
      </c>
      <c r="T996" s="59" t="str">
        <f>IF(ISNUMBER(deployment_raw[[#This Row],[Column8]]),IF(OR(deployment_raw[[#This Row],[Column5]] &lt;&gt; 0,$E$2 &lt;&gt; "Deployment"), MAX(V996, ($T$2 * IF($E$2="Deployment",deployment_raw[[#This Row],[Column5]],1))), 0),"")</f>
        <v/>
      </c>
      <c r="U996" s="50" t="str">
        <f>IF(ISNUMBER(deployment_raw[[#This Row],[Column9]]),IF(OR(deployment_raw[[#This Row],[Column5]] &lt;&gt; 0,$E$2&lt;&gt;"Deployment"), MAX(W996, ($U$2 * IF($E$2="Deployment",deployment_raw[[#This Row],[Column5]],1))), 0),"")</f>
        <v/>
      </c>
      <c r="V996" s="15" t="str">
        <f>IF(ISNUMBER(deployment_raw[[#This Row],[Column12]]), (deployment_raw[[#This Row],[Column12]] * IF($E$2="Deployment",deployment_raw[[#This Row],[Column5]],1)*(1+$V$2)),"")</f>
        <v/>
      </c>
      <c r="W996" s="14" t="str">
        <f>IF(ISNUMBER(deployment_raw[[#This Row],[Column13]]), (deployment_raw[[#This Row],[Column13]] * IF($E$2="Deployment",deployment_raw[[#This Row],[Column5]],1)*(1+$W$2))/1048576,"")</f>
        <v/>
      </c>
    </row>
    <row r="997" spans="1:23" ht="15" customHeight="1" x14ac:dyDescent="0.25">
      <c r="A997" s="5" t="str">
        <f>IF(ISNONTEXT(deployment_raw[[#This Row],[Column1]]), "", deployment_raw[[#This Row],[Column1]])</f>
        <v/>
      </c>
      <c r="B997" s="6" t="str">
        <f>IF(ISNONTEXT(deployment_raw[[#This Row],[Column2]]), "", deployment_raw[[#This Row],[Column2]])</f>
        <v/>
      </c>
      <c r="C997" s="6" t="str">
        <f>IF(ISNONTEXT(deployment_raw[[#This Row],[Column3]]), "", deployment_raw[[#This Row],[Column3]])</f>
        <v/>
      </c>
      <c r="D997" s="6" t="str">
        <f>IF(ISNONTEXT(deployment_raw[[#This Row],[Column4]]), "", deployment_raw[[#This Row],[Column4]])</f>
        <v/>
      </c>
      <c r="E997" s="7" t="str">
        <f>IF(ISNUMBER(deployment_raw[[#This Row],[Column5]]), deployment_raw[[#This Row],[Column5]],"")</f>
        <v/>
      </c>
      <c r="F997" s="32" t="str">
        <f>IF(ISNUMBER(deployment_raw[[#This Row],[Column17]]), deployment_raw[[#This Row],[Column17]]/IF(OR($E$2="Deployment",deployment_raw[[#This Row],[Column5]]=0),1,deployment_raw[[#This Row],[Column5]]),"")</f>
        <v/>
      </c>
      <c r="G997" s="42" t="str">
        <f>IF(ISNUMBER(deployment_raw[[#This Row],[Column14]]), deployment_raw[[#This Row],[Column14]]/IF(OR($E$2="Deployment",deployment_raw[[#This Row],[Column5]]=0),1,deployment_raw[[#This Row],[Column5]]),"")</f>
        <v/>
      </c>
      <c r="H997" s="79" t="str">
        <f>IF(ISNUMBER(deployment_raw[[#This Row],[Column19]]), IF(I997&lt;&gt;0,(deployment_raw[[#This Row],[Column19]]/IF(OR($E$2="Deployment",deployment_raw[[#This Row],[Column5]]=0),1,deployment_raw[[#This Row],[Column5]]))/I997,0),"")</f>
        <v/>
      </c>
      <c r="I997" s="69" t="str">
        <f>IF(ISNUMBER(deployment_raw[[#This Row],[Column6]]), (deployment_raw[[#This Row],[Column6]] * IF($E$2="Deployment",deployment_raw[[#This Row],[Column5]],1)),"")</f>
        <v/>
      </c>
      <c r="J997" s="79" t="str">
        <f>IF(ISNUMBER(deployment_raw[[#This Row],[Column19]]), IF(K997&lt;&gt;0,(deployment_raw[[#This Row],[Column19]]/IF(OR($E$2="Deployment",deployment_raw[[#This Row],[Column5]]=0),1,deployment_raw[[#This Row],[Column5]]))/K997,0),"")</f>
        <v/>
      </c>
      <c r="K997" s="72" t="str">
        <f>IF(ISNUMBER(deployment_raw[[#This Row],[Column8]]), (deployment_raw[[#This Row],[Column8]]  * IF($E$2="Deployment",deployment_raw[[#This Row],[Column5]],1)),"")</f>
        <v/>
      </c>
      <c r="L99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9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97" s="81" t="str">
        <f>IF(ISNUMBER(deployment_raw[[#This Row],[Column20]]), IF(O997&lt;&gt;0,deployment_raw[[#This Row],[Column20]]/IF(OR($E$2="Deployment",deployment_raw[[#This Row],[Column5]]=0),1,deployment_raw[[#This Row],[Column5]])/1048576/O997,0),"")</f>
        <v/>
      </c>
      <c r="O997" s="74" t="str">
        <f>IF(ISNUMBER(deployment_raw[[#This Row],[Column7]]), (deployment_raw[[#This Row],[Column7]] * IF($E$2="Deployment",deployment_raw[[#This Row],[Column5]],1))/1048576,"")</f>
        <v/>
      </c>
      <c r="P997" s="81" t="str">
        <f>IF(ISNUMBER(deployment_raw[[#This Row],[Column20]]), IF(Q997&lt;&gt;0,deployment_raw[[#This Row],[Column20]]/IF(OR($E$2="Deployment",deployment_raw[[#This Row],[Column5]]=0),1,deployment_raw[[#This Row],[Column5]])/1048576/Q997,0),"")</f>
        <v/>
      </c>
      <c r="Q997" s="76" t="str">
        <f>IF(ISNUMBER(deployment_raw[[#This Row],[Column9]]), (deployment_raw[[#This Row],[Column9]] * IF($E$2="Deployment",deployment_raw[[#This Row],[Column5]],1))/1048576,"")</f>
        <v/>
      </c>
      <c r="R997" s="57" t="str">
        <f>IF(ISNUMBER(deployment_raw[[#This Row],[Column10]]), (deployment_raw[[#This Row],[Column10]] * IF($E$2="Deployment",deployment_raw[[#This Row],[Column5]],1)),"")</f>
        <v/>
      </c>
      <c r="S997" s="48" t="str">
        <f>IF(ISNUMBER(deployment_raw[[#This Row],[Column11]]), (deployment_raw[[#This Row],[Column11]] * IF($E$2="Deployment",deployment_raw[[#This Row],[Column5]],1))/1048576,"")</f>
        <v/>
      </c>
      <c r="T997" s="59" t="str">
        <f>IF(ISNUMBER(deployment_raw[[#This Row],[Column8]]),IF(OR(deployment_raw[[#This Row],[Column5]] &lt;&gt; 0,$E$2 &lt;&gt; "Deployment"), MAX(V997, ($T$2 * IF($E$2="Deployment",deployment_raw[[#This Row],[Column5]],1))), 0),"")</f>
        <v/>
      </c>
      <c r="U997" s="50" t="str">
        <f>IF(ISNUMBER(deployment_raw[[#This Row],[Column9]]),IF(OR(deployment_raw[[#This Row],[Column5]] &lt;&gt; 0,$E$2&lt;&gt;"Deployment"), MAX(W997, ($U$2 * IF($E$2="Deployment",deployment_raw[[#This Row],[Column5]],1))), 0),"")</f>
        <v/>
      </c>
      <c r="V997" s="15" t="str">
        <f>IF(ISNUMBER(deployment_raw[[#This Row],[Column12]]), (deployment_raw[[#This Row],[Column12]] * IF($E$2="Deployment",deployment_raw[[#This Row],[Column5]],1)*(1+$V$2)),"")</f>
        <v/>
      </c>
      <c r="W997" s="14" t="str">
        <f>IF(ISNUMBER(deployment_raw[[#This Row],[Column13]]), (deployment_raw[[#This Row],[Column13]] * IF($E$2="Deployment",deployment_raw[[#This Row],[Column5]],1)*(1+$W$2))/1048576,"")</f>
        <v/>
      </c>
    </row>
    <row r="998" spans="1:23" ht="15" customHeight="1" x14ac:dyDescent="0.25">
      <c r="A998" s="5" t="str">
        <f>IF(ISNONTEXT(deployment_raw[[#This Row],[Column1]]), "", deployment_raw[[#This Row],[Column1]])</f>
        <v/>
      </c>
      <c r="B998" s="6" t="str">
        <f>IF(ISNONTEXT(deployment_raw[[#This Row],[Column2]]), "", deployment_raw[[#This Row],[Column2]])</f>
        <v/>
      </c>
      <c r="C998" s="6" t="str">
        <f>IF(ISNONTEXT(deployment_raw[[#This Row],[Column3]]), "", deployment_raw[[#This Row],[Column3]])</f>
        <v/>
      </c>
      <c r="D998" s="6" t="str">
        <f>IF(ISNONTEXT(deployment_raw[[#This Row],[Column4]]), "", deployment_raw[[#This Row],[Column4]])</f>
        <v/>
      </c>
      <c r="E998" s="7" t="str">
        <f>IF(ISNUMBER(deployment_raw[[#This Row],[Column5]]), deployment_raw[[#This Row],[Column5]],"")</f>
        <v/>
      </c>
      <c r="F998" s="32" t="str">
        <f>IF(ISNUMBER(deployment_raw[[#This Row],[Column17]]), deployment_raw[[#This Row],[Column17]]/IF(OR($E$2="Deployment",deployment_raw[[#This Row],[Column5]]=0),1,deployment_raw[[#This Row],[Column5]]),"")</f>
        <v/>
      </c>
      <c r="G998" s="42" t="str">
        <f>IF(ISNUMBER(deployment_raw[[#This Row],[Column14]]), deployment_raw[[#This Row],[Column14]]/IF(OR($E$2="Deployment",deployment_raw[[#This Row],[Column5]]=0),1,deployment_raw[[#This Row],[Column5]]),"")</f>
        <v/>
      </c>
      <c r="H998" s="79" t="str">
        <f>IF(ISNUMBER(deployment_raw[[#This Row],[Column19]]), IF(I998&lt;&gt;0,(deployment_raw[[#This Row],[Column19]]/IF(OR($E$2="Deployment",deployment_raw[[#This Row],[Column5]]=0),1,deployment_raw[[#This Row],[Column5]]))/I998,0),"")</f>
        <v/>
      </c>
      <c r="I998" s="69" t="str">
        <f>IF(ISNUMBER(deployment_raw[[#This Row],[Column6]]), (deployment_raw[[#This Row],[Column6]] * IF($E$2="Deployment",deployment_raw[[#This Row],[Column5]],1)),"")</f>
        <v/>
      </c>
      <c r="J998" s="79" t="str">
        <f>IF(ISNUMBER(deployment_raw[[#This Row],[Column19]]), IF(K998&lt;&gt;0,(deployment_raw[[#This Row],[Column19]]/IF(OR($E$2="Deployment",deployment_raw[[#This Row],[Column5]]=0),1,deployment_raw[[#This Row],[Column5]]))/K998,0),"")</f>
        <v/>
      </c>
      <c r="K998" s="72" t="str">
        <f>IF(ISNUMBER(deployment_raw[[#This Row],[Column8]]), (deployment_raw[[#This Row],[Column8]]  * IF($E$2="Deployment",deployment_raw[[#This Row],[Column5]],1)),"")</f>
        <v/>
      </c>
      <c r="L99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9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98" s="81" t="str">
        <f>IF(ISNUMBER(deployment_raw[[#This Row],[Column20]]), IF(O998&lt;&gt;0,deployment_raw[[#This Row],[Column20]]/IF(OR($E$2="Deployment",deployment_raw[[#This Row],[Column5]]=0),1,deployment_raw[[#This Row],[Column5]])/1048576/O998,0),"")</f>
        <v/>
      </c>
      <c r="O998" s="74" t="str">
        <f>IF(ISNUMBER(deployment_raw[[#This Row],[Column7]]), (deployment_raw[[#This Row],[Column7]] * IF($E$2="Deployment",deployment_raw[[#This Row],[Column5]],1))/1048576,"")</f>
        <v/>
      </c>
      <c r="P998" s="81" t="str">
        <f>IF(ISNUMBER(deployment_raw[[#This Row],[Column20]]), IF(Q998&lt;&gt;0,deployment_raw[[#This Row],[Column20]]/IF(OR($E$2="Deployment",deployment_raw[[#This Row],[Column5]]=0),1,deployment_raw[[#This Row],[Column5]])/1048576/Q998,0),"")</f>
        <v/>
      </c>
      <c r="Q998" s="76" t="str">
        <f>IF(ISNUMBER(deployment_raw[[#This Row],[Column9]]), (deployment_raw[[#This Row],[Column9]] * IF($E$2="Deployment",deployment_raw[[#This Row],[Column5]],1))/1048576,"")</f>
        <v/>
      </c>
      <c r="R998" s="57" t="str">
        <f>IF(ISNUMBER(deployment_raw[[#This Row],[Column10]]), (deployment_raw[[#This Row],[Column10]] * IF($E$2="Deployment",deployment_raw[[#This Row],[Column5]],1)),"")</f>
        <v/>
      </c>
      <c r="S998" s="48" t="str">
        <f>IF(ISNUMBER(deployment_raw[[#This Row],[Column11]]), (deployment_raw[[#This Row],[Column11]] * IF($E$2="Deployment",deployment_raw[[#This Row],[Column5]],1))/1048576,"")</f>
        <v/>
      </c>
      <c r="T998" s="59" t="str">
        <f>IF(ISNUMBER(deployment_raw[[#This Row],[Column8]]),IF(OR(deployment_raw[[#This Row],[Column5]] &lt;&gt; 0,$E$2 &lt;&gt; "Deployment"), MAX(V998, ($T$2 * IF($E$2="Deployment",deployment_raw[[#This Row],[Column5]],1))), 0),"")</f>
        <v/>
      </c>
      <c r="U998" s="50" t="str">
        <f>IF(ISNUMBER(deployment_raw[[#This Row],[Column9]]),IF(OR(deployment_raw[[#This Row],[Column5]] &lt;&gt; 0,$E$2&lt;&gt;"Deployment"), MAX(W998, ($U$2 * IF($E$2="Deployment",deployment_raw[[#This Row],[Column5]],1))), 0),"")</f>
        <v/>
      </c>
      <c r="V998" s="15" t="str">
        <f>IF(ISNUMBER(deployment_raw[[#This Row],[Column12]]), (deployment_raw[[#This Row],[Column12]] * IF($E$2="Deployment",deployment_raw[[#This Row],[Column5]],1)*(1+$V$2)),"")</f>
        <v/>
      </c>
      <c r="W998" s="14" t="str">
        <f>IF(ISNUMBER(deployment_raw[[#This Row],[Column13]]), (deployment_raw[[#This Row],[Column13]] * IF($E$2="Deployment",deployment_raw[[#This Row],[Column5]],1)*(1+$W$2))/1048576,"")</f>
        <v/>
      </c>
    </row>
    <row r="999" spans="1:23" ht="15" customHeight="1" x14ac:dyDescent="0.25">
      <c r="A999" s="5" t="str">
        <f>IF(ISNONTEXT(deployment_raw[[#This Row],[Column1]]), "", deployment_raw[[#This Row],[Column1]])</f>
        <v/>
      </c>
      <c r="B999" s="6" t="str">
        <f>IF(ISNONTEXT(deployment_raw[[#This Row],[Column2]]), "", deployment_raw[[#This Row],[Column2]])</f>
        <v/>
      </c>
      <c r="C999" s="6" t="str">
        <f>IF(ISNONTEXT(deployment_raw[[#This Row],[Column3]]), "", deployment_raw[[#This Row],[Column3]])</f>
        <v/>
      </c>
      <c r="D999" s="6" t="str">
        <f>IF(ISNONTEXT(deployment_raw[[#This Row],[Column4]]), "", deployment_raw[[#This Row],[Column4]])</f>
        <v/>
      </c>
      <c r="E999" s="7" t="str">
        <f>IF(ISNUMBER(deployment_raw[[#This Row],[Column5]]), deployment_raw[[#This Row],[Column5]],"")</f>
        <v/>
      </c>
      <c r="F999" s="32" t="str">
        <f>IF(ISNUMBER(deployment_raw[[#This Row],[Column17]]), deployment_raw[[#This Row],[Column17]]/IF(OR($E$2="Deployment",deployment_raw[[#This Row],[Column5]]=0),1,deployment_raw[[#This Row],[Column5]]),"")</f>
        <v/>
      </c>
      <c r="G999" s="42" t="str">
        <f>IF(ISNUMBER(deployment_raw[[#This Row],[Column14]]), deployment_raw[[#This Row],[Column14]]/IF(OR($E$2="Deployment",deployment_raw[[#This Row],[Column5]]=0),1,deployment_raw[[#This Row],[Column5]]),"")</f>
        <v/>
      </c>
      <c r="H999" s="79" t="str">
        <f>IF(ISNUMBER(deployment_raw[[#This Row],[Column19]]), IF(I999&lt;&gt;0,(deployment_raw[[#This Row],[Column19]]/IF(OR($E$2="Deployment",deployment_raw[[#This Row],[Column5]]=0),1,deployment_raw[[#This Row],[Column5]]))/I999,0),"")</f>
        <v/>
      </c>
      <c r="I999" s="69" t="str">
        <f>IF(ISNUMBER(deployment_raw[[#This Row],[Column6]]), (deployment_raw[[#This Row],[Column6]] * IF($E$2="Deployment",deployment_raw[[#This Row],[Column5]],1)),"")</f>
        <v/>
      </c>
      <c r="J999" s="79" t="str">
        <f>IF(ISNUMBER(deployment_raw[[#This Row],[Column19]]), IF(K999&lt;&gt;0,(deployment_raw[[#This Row],[Column19]]/IF(OR($E$2="Deployment",deployment_raw[[#This Row],[Column5]]=0),1,deployment_raw[[#This Row],[Column5]]))/K999,0),"")</f>
        <v/>
      </c>
      <c r="K999" s="72" t="str">
        <f>IF(ISNUMBER(deployment_raw[[#This Row],[Column8]]), (deployment_raw[[#This Row],[Column8]]  * IF($E$2="Deployment",deployment_raw[[#This Row],[Column5]],1)),"")</f>
        <v/>
      </c>
      <c r="L99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9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99" s="81" t="str">
        <f>IF(ISNUMBER(deployment_raw[[#This Row],[Column20]]), IF(O999&lt;&gt;0,deployment_raw[[#This Row],[Column20]]/IF(OR($E$2="Deployment",deployment_raw[[#This Row],[Column5]]=0),1,deployment_raw[[#This Row],[Column5]])/1048576/O999,0),"")</f>
        <v/>
      </c>
      <c r="O999" s="74" t="str">
        <f>IF(ISNUMBER(deployment_raw[[#This Row],[Column7]]), (deployment_raw[[#This Row],[Column7]] * IF($E$2="Deployment",deployment_raw[[#This Row],[Column5]],1))/1048576,"")</f>
        <v/>
      </c>
      <c r="P999" s="81" t="str">
        <f>IF(ISNUMBER(deployment_raw[[#This Row],[Column20]]), IF(Q999&lt;&gt;0,deployment_raw[[#This Row],[Column20]]/IF(OR($E$2="Deployment",deployment_raw[[#This Row],[Column5]]=0),1,deployment_raw[[#This Row],[Column5]])/1048576/Q999,0),"")</f>
        <v/>
      </c>
      <c r="Q999" s="76" t="str">
        <f>IF(ISNUMBER(deployment_raw[[#This Row],[Column9]]), (deployment_raw[[#This Row],[Column9]] * IF($E$2="Deployment",deployment_raw[[#This Row],[Column5]],1))/1048576,"")</f>
        <v/>
      </c>
      <c r="R999" s="57" t="str">
        <f>IF(ISNUMBER(deployment_raw[[#This Row],[Column10]]), (deployment_raw[[#This Row],[Column10]] * IF($E$2="Deployment",deployment_raw[[#This Row],[Column5]],1)),"")</f>
        <v/>
      </c>
      <c r="S999" s="48" t="str">
        <f>IF(ISNUMBER(deployment_raw[[#This Row],[Column11]]), (deployment_raw[[#This Row],[Column11]] * IF($E$2="Deployment",deployment_raw[[#This Row],[Column5]],1))/1048576,"")</f>
        <v/>
      </c>
      <c r="T999" s="59" t="str">
        <f>IF(ISNUMBER(deployment_raw[[#This Row],[Column8]]),IF(OR(deployment_raw[[#This Row],[Column5]] &lt;&gt; 0,$E$2 &lt;&gt; "Deployment"), MAX(V999, ($T$2 * IF($E$2="Deployment",deployment_raw[[#This Row],[Column5]],1))), 0),"")</f>
        <v/>
      </c>
      <c r="U999" s="50" t="str">
        <f>IF(ISNUMBER(deployment_raw[[#This Row],[Column9]]),IF(OR(deployment_raw[[#This Row],[Column5]] &lt;&gt; 0,$E$2&lt;&gt;"Deployment"), MAX(W999, ($U$2 * IF($E$2="Deployment",deployment_raw[[#This Row],[Column5]],1))), 0),"")</f>
        <v/>
      </c>
      <c r="V999" s="15" t="str">
        <f>IF(ISNUMBER(deployment_raw[[#This Row],[Column12]]), (deployment_raw[[#This Row],[Column12]] * IF($E$2="Deployment",deployment_raw[[#This Row],[Column5]],1)*(1+$V$2)),"")</f>
        <v/>
      </c>
      <c r="W999" s="14" t="str">
        <f>IF(ISNUMBER(deployment_raw[[#This Row],[Column13]]), (deployment_raw[[#This Row],[Column13]] * IF($E$2="Deployment",deployment_raw[[#This Row],[Column5]],1)*(1+$W$2))/1048576,"")</f>
        <v/>
      </c>
    </row>
    <row r="1000" spans="1:23" ht="15" customHeight="1" x14ac:dyDescent="0.25">
      <c r="A1000" s="5" t="str">
        <f>IF(ISNONTEXT(deployment_raw[[#This Row],[Column1]]), "", deployment_raw[[#This Row],[Column1]])</f>
        <v/>
      </c>
      <c r="B1000" s="6" t="str">
        <f>IF(ISNONTEXT(deployment_raw[[#This Row],[Column2]]), "", deployment_raw[[#This Row],[Column2]])</f>
        <v/>
      </c>
      <c r="C1000" s="6" t="str">
        <f>IF(ISNONTEXT(deployment_raw[[#This Row],[Column3]]), "", deployment_raw[[#This Row],[Column3]])</f>
        <v/>
      </c>
      <c r="D1000" s="6" t="str">
        <f>IF(ISNONTEXT(deployment_raw[[#This Row],[Column4]]), "", deployment_raw[[#This Row],[Column4]])</f>
        <v/>
      </c>
      <c r="E1000" s="7" t="str">
        <f>IF(ISNUMBER(deployment_raw[[#This Row],[Column5]]), deployment_raw[[#This Row],[Column5]],"")</f>
        <v/>
      </c>
      <c r="F1000" s="32" t="str">
        <f>IF(ISNUMBER(deployment_raw[[#This Row],[Column17]]), deployment_raw[[#This Row],[Column17]]/IF(OR($E$2="Deployment",deployment_raw[[#This Row],[Column5]]=0),1,deployment_raw[[#This Row],[Column5]]),"")</f>
        <v/>
      </c>
      <c r="G1000" s="42" t="str">
        <f>IF(ISNUMBER(deployment_raw[[#This Row],[Column14]]), deployment_raw[[#This Row],[Column14]]/IF(OR($E$2="Deployment",deployment_raw[[#This Row],[Column5]]=0),1,deployment_raw[[#This Row],[Column5]]),"")</f>
        <v/>
      </c>
      <c r="H1000" s="79" t="str">
        <f>IF(ISNUMBER(deployment_raw[[#This Row],[Column19]]), IF(I1000&lt;&gt;0,(deployment_raw[[#This Row],[Column19]]/IF(OR($E$2="Deployment",deployment_raw[[#This Row],[Column5]]=0),1,deployment_raw[[#This Row],[Column5]]))/I1000,0),"")</f>
        <v/>
      </c>
      <c r="I1000" s="69" t="str">
        <f>IF(ISNUMBER(deployment_raw[[#This Row],[Column6]]), (deployment_raw[[#This Row],[Column6]] * IF($E$2="Deployment",deployment_raw[[#This Row],[Column5]],1)),"")</f>
        <v/>
      </c>
      <c r="J1000" s="79" t="str">
        <f>IF(ISNUMBER(deployment_raw[[#This Row],[Column19]]), IF(K1000&lt;&gt;0,(deployment_raw[[#This Row],[Column19]]/IF(OR($E$2="Deployment",deployment_raw[[#This Row],[Column5]]=0),1,deployment_raw[[#This Row],[Column5]]))/K1000,0),"")</f>
        <v/>
      </c>
      <c r="K1000" s="72" t="str">
        <f>IF(ISNUMBER(deployment_raw[[#This Row],[Column8]]), (deployment_raw[[#This Row],[Column8]]  * IF($E$2="Deployment",deployment_raw[[#This Row],[Column5]],1)),"")</f>
        <v/>
      </c>
      <c r="L100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0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00" s="81" t="str">
        <f>IF(ISNUMBER(deployment_raw[[#This Row],[Column20]]), IF(O1000&lt;&gt;0,deployment_raw[[#This Row],[Column20]]/IF(OR($E$2="Deployment",deployment_raw[[#This Row],[Column5]]=0),1,deployment_raw[[#This Row],[Column5]])/1048576/O1000,0),"")</f>
        <v/>
      </c>
      <c r="O1000" s="74" t="str">
        <f>IF(ISNUMBER(deployment_raw[[#This Row],[Column7]]), (deployment_raw[[#This Row],[Column7]] * IF($E$2="Deployment",deployment_raw[[#This Row],[Column5]],1))/1048576,"")</f>
        <v/>
      </c>
      <c r="P1000" s="81" t="str">
        <f>IF(ISNUMBER(deployment_raw[[#This Row],[Column20]]), IF(Q1000&lt;&gt;0,deployment_raw[[#This Row],[Column20]]/IF(OR($E$2="Deployment",deployment_raw[[#This Row],[Column5]]=0),1,deployment_raw[[#This Row],[Column5]])/1048576/Q1000,0),"")</f>
        <v/>
      </c>
      <c r="Q1000" s="76" t="str">
        <f>IF(ISNUMBER(deployment_raw[[#This Row],[Column9]]), (deployment_raw[[#This Row],[Column9]] * IF($E$2="Deployment",deployment_raw[[#This Row],[Column5]],1))/1048576,"")</f>
        <v/>
      </c>
      <c r="R1000" s="57" t="str">
        <f>IF(ISNUMBER(deployment_raw[[#This Row],[Column10]]), (deployment_raw[[#This Row],[Column10]] * IF($E$2="Deployment",deployment_raw[[#This Row],[Column5]],1)),"")</f>
        <v/>
      </c>
      <c r="S1000" s="48" t="str">
        <f>IF(ISNUMBER(deployment_raw[[#This Row],[Column11]]), (deployment_raw[[#This Row],[Column11]] * IF($E$2="Deployment",deployment_raw[[#This Row],[Column5]],1))/1048576,"")</f>
        <v/>
      </c>
      <c r="T1000" s="59" t="str">
        <f>IF(ISNUMBER(deployment_raw[[#This Row],[Column8]]),IF(OR(deployment_raw[[#This Row],[Column5]] &lt;&gt; 0,$E$2 &lt;&gt; "Deployment"), MAX(V1000, ($T$2 * IF($E$2="Deployment",deployment_raw[[#This Row],[Column5]],1))), 0),"")</f>
        <v/>
      </c>
      <c r="U1000" s="50" t="str">
        <f>IF(ISNUMBER(deployment_raw[[#This Row],[Column9]]),IF(OR(deployment_raw[[#This Row],[Column5]] &lt;&gt; 0,$E$2&lt;&gt;"Deployment"), MAX(W1000, ($U$2 * IF($E$2="Deployment",deployment_raw[[#This Row],[Column5]],1))), 0),"")</f>
        <v/>
      </c>
      <c r="V1000" s="15" t="str">
        <f>IF(ISNUMBER(deployment_raw[[#This Row],[Column12]]), (deployment_raw[[#This Row],[Column12]] * IF($E$2="Deployment",deployment_raw[[#This Row],[Column5]],1)*(1+$V$2)),"")</f>
        <v/>
      </c>
      <c r="W1000" s="14" t="str">
        <f>IF(ISNUMBER(deployment_raw[[#This Row],[Column13]]), (deployment_raw[[#This Row],[Column13]] * IF($E$2="Deployment",deployment_raw[[#This Row],[Column5]],1)*(1+$W$2))/1048576,"")</f>
        <v/>
      </c>
    </row>
    <row r="1001" spans="1:23" ht="15" customHeight="1" x14ac:dyDescent="0.25">
      <c r="A1001" s="5" t="str">
        <f>IF(ISNONTEXT(deployment_raw[[#This Row],[Column1]]), "", deployment_raw[[#This Row],[Column1]])</f>
        <v/>
      </c>
      <c r="B1001" s="6" t="str">
        <f>IF(ISNONTEXT(deployment_raw[[#This Row],[Column2]]), "", deployment_raw[[#This Row],[Column2]])</f>
        <v/>
      </c>
      <c r="C1001" s="6" t="str">
        <f>IF(ISNONTEXT(deployment_raw[[#This Row],[Column3]]), "", deployment_raw[[#This Row],[Column3]])</f>
        <v/>
      </c>
      <c r="D1001" s="6" t="str">
        <f>IF(ISNONTEXT(deployment_raw[[#This Row],[Column4]]), "", deployment_raw[[#This Row],[Column4]])</f>
        <v/>
      </c>
      <c r="E1001" s="7" t="str">
        <f>IF(ISNUMBER(deployment_raw[[#This Row],[Column5]]), deployment_raw[[#This Row],[Column5]],"")</f>
        <v/>
      </c>
      <c r="F1001" s="32" t="str">
        <f>IF(ISNUMBER(deployment_raw[[#This Row],[Column17]]), deployment_raw[[#This Row],[Column17]]/IF(OR($E$2="Deployment",deployment_raw[[#This Row],[Column5]]=0),1,deployment_raw[[#This Row],[Column5]]),"")</f>
        <v/>
      </c>
      <c r="G1001" s="42" t="str">
        <f>IF(ISNUMBER(deployment_raw[[#This Row],[Column14]]), deployment_raw[[#This Row],[Column14]]/IF(OR($E$2="Deployment",deployment_raw[[#This Row],[Column5]]=0),1,deployment_raw[[#This Row],[Column5]]),"")</f>
        <v/>
      </c>
      <c r="H1001" s="79" t="str">
        <f>IF(ISNUMBER(deployment_raw[[#This Row],[Column19]]), IF(I1001&lt;&gt;0,(deployment_raw[[#This Row],[Column19]]/IF(OR($E$2="Deployment",deployment_raw[[#This Row],[Column5]]=0),1,deployment_raw[[#This Row],[Column5]]))/I1001,0),"")</f>
        <v/>
      </c>
      <c r="I1001" s="69" t="str">
        <f>IF(ISNUMBER(deployment_raw[[#This Row],[Column6]]), (deployment_raw[[#This Row],[Column6]] * IF($E$2="Deployment",deployment_raw[[#This Row],[Column5]],1)),"")</f>
        <v/>
      </c>
      <c r="J1001" s="79" t="str">
        <f>IF(ISNUMBER(deployment_raw[[#This Row],[Column19]]), IF(K1001&lt;&gt;0,(deployment_raw[[#This Row],[Column19]]/IF(OR($E$2="Deployment",deployment_raw[[#This Row],[Column5]]=0),1,deployment_raw[[#This Row],[Column5]]))/K1001,0),"")</f>
        <v/>
      </c>
      <c r="K1001" s="72" t="str">
        <f>IF(ISNUMBER(deployment_raw[[#This Row],[Column8]]), (deployment_raw[[#This Row],[Column8]]  * IF($E$2="Deployment",deployment_raw[[#This Row],[Column5]],1)),"")</f>
        <v/>
      </c>
      <c r="L100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0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01" s="81" t="str">
        <f>IF(ISNUMBER(deployment_raw[[#This Row],[Column20]]), IF(O1001&lt;&gt;0,deployment_raw[[#This Row],[Column20]]/IF(OR($E$2="Deployment",deployment_raw[[#This Row],[Column5]]=0),1,deployment_raw[[#This Row],[Column5]])/1048576/O1001,0),"")</f>
        <v/>
      </c>
      <c r="O1001" s="74" t="str">
        <f>IF(ISNUMBER(deployment_raw[[#This Row],[Column7]]), (deployment_raw[[#This Row],[Column7]] * IF($E$2="Deployment",deployment_raw[[#This Row],[Column5]],1))/1048576,"")</f>
        <v/>
      </c>
      <c r="P1001" s="81" t="str">
        <f>IF(ISNUMBER(deployment_raw[[#This Row],[Column20]]), IF(Q1001&lt;&gt;0,deployment_raw[[#This Row],[Column20]]/IF(OR($E$2="Deployment",deployment_raw[[#This Row],[Column5]]=0),1,deployment_raw[[#This Row],[Column5]])/1048576/Q1001,0),"")</f>
        <v/>
      </c>
      <c r="Q1001" s="76" t="str">
        <f>IF(ISNUMBER(deployment_raw[[#This Row],[Column9]]), (deployment_raw[[#This Row],[Column9]] * IF($E$2="Deployment",deployment_raw[[#This Row],[Column5]],1))/1048576,"")</f>
        <v/>
      </c>
      <c r="R1001" s="57" t="str">
        <f>IF(ISNUMBER(deployment_raw[[#This Row],[Column10]]), (deployment_raw[[#This Row],[Column10]] * IF($E$2="Deployment",deployment_raw[[#This Row],[Column5]],1)),"")</f>
        <v/>
      </c>
      <c r="S1001" s="48" t="str">
        <f>IF(ISNUMBER(deployment_raw[[#This Row],[Column11]]), (deployment_raw[[#This Row],[Column11]] * IF($E$2="Deployment",deployment_raw[[#This Row],[Column5]],1))/1048576,"")</f>
        <v/>
      </c>
      <c r="T1001" s="59" t="str">
        <f>IF(ISNUMBER(deployment_raw[[#This Row],[Column8]]),IF(OR(deployment_raw[[#This Row],[Column5]] &lt;&gt; 0,$E$2 &lt;&gt; "Deployment"), MAX(V1001, ($T$2 * IF($E$2="Deployment",deployment_raw[[#This Row],[Column5]],1))), 0),"")</f>
        <v/>
      </c>
      <c r="U1001" s="50" t="str">
        <f>IF(ISNUMBER(deployment_raw[[#This Row],[Column9]]),IF(OR(deployment_raw[[#This Row],[Column5]] &lt;&gt; 0,$E$2&lt;&gt;"Deployment"), MAX(W1001, ($U$2 * IF($E$2="Deployment",deployment_raw[[#This Row],[Column5]],1))), 0),"")</f>
        <v/>
      </c>
      <c r="V1001" s="15" t="str">
        <f>IF(ISNUMBER(deployment_raw[[#This Row],[Column12]]), (deployment_raw[[#This Row],[Column12]] * IF($E$2="Deployment",deployment_raw[[#This Row],[Column5]],1)*(1+$V$2)),"")</f>
        <v/>
      </c>
      <c r="W1001" s="14" t="str">
        <f>IF(ISNUMBER(deployment_raw[[#This Row],[Column13]]), (deployment_raw[[#This Row],[Column13]] * IF($E$2="Deployment",deployment_raw[[#This Row],[Column5]],1)*(1+$W$2))/1048576,"")</f>
        <v/>
      </c>
    </row>
    <row r="1002" spans="1:23" ht="15" customHeight="1" x14ac:dyDescent="0.25">
      <c r="A1002" s="5" t="str">
        <f>IF(ISNONTEXT(deployment_raw[[#This Row],[Column1]]), "", deployment_raw[[#This Row],[Column1]])</f>
        <v/>
      </c>
      <c r="B1002" s="6" t="str">
        <f>IF(ISNONTEXT(deployment_raw[[#This Row],[Column2]]), "", deployment_raw[[#This Row],[Column2]])</f>
        <v/>
      </c>
      <c r="C1002" s="6" t="str">
        <f>IF(ISNONTEXT(deployment_raw[[#This Row],[Column3]]), "", deployment_raw[[#This Row],[Column3]])</f>
        <v/>
      </c>
      <c r="D1002" s="6" t="str">
        <f>IF(ISNONTEXT(deployment_raw[[#This Row],[Column4]]), "", deployment_raw[[#This Row],[Column4]])</f>
        <v/>
      </c>
      <c r="E1002" s="7" t="str">
        <f>IF(ISNUMBER(deployment_raw[[#This Row],[Column5]]), deployment_raw[[#This Row],[Column5]],"")</f>
        <v/>
      </c>
      <c r="F1002" s="32" t="str">
        <f>IF(ISNUMBER(deployment_raw[[#This Row],[Column17]]), deployment_raw[[#This Row],[Column17]]/IF(OR($E$2="Deployment",deployment_raw[[#This Row],[Column5]]=0),1,deployment_raw[[#This Row],[Column5]]),"")</f>
        <v/>
      </c>
      <c r="G1002" s="42" t="str">
        <f>IF(ISNUMBER(deployment_raw[[#This Row],[Column14]]), deployment_raw[[#This Row],[Column14]]/IF(OR($E$2="Deployment",deployment_raw[[#This Row],[Column5]]=0),1,deployment_raw[[#This Row],[Column5]]),"")</f>
        <v/>
      </c>
      <c r="H1002" s="79" t="str">
        <f>IF(ISNUMBER(deployment_raw[[#This Row],[Column19]]), IF(I1002&lt;&gt;0,(deployment_raw[[#This Row],[Column19]]/IF(OR($E$2="Deployment",deployment_raw[[#This Row],[Column5]]=0),1,deployment_raw[[#This Row],[Column5]]))/I1002,0),"")</f>
        <v/>
      </c>
      <c r="I1002" s="69" t="str">
        <f>IF(ISNUMBER(deployment_raw[[#This Row],[Column6]]), (deployment_raw[[#This Row],[Column6]] * IF($E$2="Deployment",deployment_raw[[#This Row],[Column5]],1)),"")</f>
        <v/>
      </c>
      <c r="J1002" s="79" t="str">
        <f>IF(ISNUMBER(deployment_raw[[#This Row],[Column19]]), IF(K1002&lt;&gt;0,(deployment_raw[[#This Row],[Column19]]/IF(OR($E$2="Deployment",deployment_raw[[#This Row],[Column5]]=0),1,deployment_raw[[#This Row],[Column5]]))/K1002,0),"")</f>
        <v/>
      </c>
      <c r="K1002" s="72" t="str">
        <f>IF(ISNUMBER(deployment_raw[[#This Row],[Column8]]), (deployment_raw[[#This Row],[Column8]]  * IF($E$2="Deployment",deployment_raw[[#This Row],[Column5]],1)),"")</f>
        <v/>
      </c>
      <c r="L100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0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02" s="81" t="str">
        <f>IF(ISNUMBER(deployment_raw[[#This Row],[Column20]]), IF(O1002&lt;&gt;0,deployment_raw[[#This Row],[Column20]]/IF(OR($E$2="Deployment",deployment_raw[[#This Row],[Column5]]=0),1,deployment_raw[[#This Row],[Column5]])/1048576/O1002,0),"")</f>
        <v/>
      </c>
      <c r="O1002" s="74" t="str">
        <f>IF(ISNUMBER(deployment_raw[[#This Row],[Column7]]), (deployment_raw[[#This Row],[Column7]] * IF($E$2="Deployment",deployment_raw[[#This Row],[Column5]],1))/1048576,"")</f>
        <v/>
      </c>
      <c r="P1002" s="81" t="str">
        <f>IF(ISNUMBER(deployment_raw[[#This Row],[Column20]]), IF(Q1002&lt;&gt;0,deployment_raw[[#This Row],[Column20]]/IF(OR($E$2="Deployment",deployment_raw[[#This Row],[Column5]]=0),1,deployment_raw[[#This Row],[Column5]])/1048576/Q1002,0),"")</f>
        <v/>
      </c>
      <c r="Q1002" s="76" t="str">
        <f>IF(ISNUMBER(deployment_raw[[#This Row],[Column9]]), (deployment_raw[[#This Row],[Column9]] * IF($E$2="Deployment",deployment_raw[[#This Row],[Column5]],1))/1048576,"")</f>
        <v/>
      </c>
      <c r="R1002" s="57" t="str">
        <f>IF(ISNUMBER(deployment_raw[[#This Row],[Column10]]), (deployment_raw[[#This Row],[Column10]] * IF($E$2="Deployment",deployment_raw[[#This Row],[Column5]],1)),"")</f>
        <v/>
      </c>
      <c r="S1002" s="48" t="str">
        <f>IF(ISNUMBER(deployment_raw[[#This Row],[Column11]]), (deployment_raw[[#This Row],[Column11]] * IF($E$2="Deployment",deployment_raw[[#This Row],[Column5]],1))/1048576,"")</f>
        <v/>
      </c>
      <c r="T1002" s="59" t="str">
        <f>IF(ISNUMBER(deployment_raw[[#This Row],[Column8]]),IF(OR(deployment_raw[[#This Row],[Column5]] &lt;&gt; 0,$E$2 &lt;&gt; "Deployment"), MAX(V1002, ($T$2 * IF($E$2="Deployment",deployment_raw[[#This Row],[Column5]],1))), 0),"")</f>
        <v/>
      </c>
      <c r="U1002" s="50" t="str">
        <f>IF(ISNUMBER(deployment_raw[[#This Row],[Column9]]),IF(OR(deployment_raw[[#This Row],[Column5]] &lt;&gt; 0,$E$2&lt;&gt;"Deployment"), MAX(W1002, ($U$2 * IF($E$2="Deployment",deployment_raw[[#This Row],[Column5]],1))), 0),"")</f>
        <v/>
      </c>
      <c r="V1002" s="15" t="str">
        <f>IF(ISNUMBER(deployment_raw[[#This Row],[Column12]]), (deployment_raw[[#This Row],[Column12]] * IF($E$2="Deployment",deployment_raw[[#This Row],[Column5]],1)*(1+$V$2)),"")</f>
        <v/>
      </c>
      <c r="W1002" s="14" t="str">
        <f>IF(ISNUMBER(deployment_raw[[#This Row],[Column13]]), (deployment_raw[[#This Row],[Column13]] * IF($E$2="Deployment",deployment_raw[[#This Row],[Column5]],1)*(1+$W$2))/1048576,"")</f>
        <v/>
      </c>
    </row>
    <row r="1003" spans="1:23" ht="15" customHeight="1" x14ac:dyDescent="0.25">
      <c r="P1003" s="81"/>
    </row>
  </sheetData>
  <autoFilter ref="A3:Q1002" xr:uid="{00000000-0001-0000-0100-000000000000}"/>
  <mergeCells count="2">
    <mergeCell ref="F2:K2"/>
    <mergeCell ref="L2:Q2"/>
  </mergeCells>
  <dataValidations count="4">
    <dataValidation type="decimal" showInputMessage="1" showErrorMessage="1" sqref="T2" xr:uid="{593D816F-62CD-428B-9F10-961F10CE9717}">
      <formula1>50</formula1>
      <formula2>128000</formula2>
    </dataValidation>
    <dataValidation type="decimal" showInputMessage="1" showErrorMessage="1" sqref="U2" xr:uid="{B9CA250F-36A6-41CB-91BF-16196FA72518}">
      <formula1>25</formula1>
      <formula2>256000</formula2>
    </dataValidation>
    <dataValidation type="list" allowBlank="1" showInputMessage="1" showErrorMessage="1" sqref="V2:W2" xr:uid="{608362B9-8733-4254-9080-C6777645D277}">
      <formula1>"0%,10%,20%,30%,40%,50%,60%,70%,80%,90%,100%,150%,200%,300%"</formula1>
    </dataValidation>
    <dataValidation type="list" allowBlank="1" showInputMessage="1" showErrorMessage="1" sqref="E2" xr:uid="{B15EDB00-AC9E-4E59-9DD9-F50B866FE9EC}">
      <formula1>"Deployment,Replica"</formula1>
    </dataValidation>
  </dataValidations>
  <pageMargins left="0.7" right="0.7" top="0.75" bottom="0.75" header="0" footer="0"/>
  <pageSetup orientation="landscape" r:id="rId1"/>
  <ignoredErrors>
    <ignoredError sqref="I4:I1002 O4 O5:O1002 I1004:I1048576 O1004:O1048576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732B7-FE0E-4F62-A5DE-E52E75CB615C}">
  <sheetPr codeName="Sheet5"/>
  <dimension ref="A2:T53"/>
  <sheetViews>
    <sheetView workbookViewId="0">
      <selection activeCell="A11" sqref="A11"/>
    </sheetView>
  </sheetViews>
  <sheetFormatPr defaultRowHeight="15" x14ac:dyDescent="0.25"/>
  <cols>
    <col min="1" max="1" width="54.28515625" bestFit="1" customWidth="1"/>
    <col min="2" max="2" width="11.85546875" bestFit="1" customWidth="1"/>
    <col min="3" max="3" width="17.42578125" bestFit="1" customWidth="1"/>
    <col min="4" max="9" width="11.140625" bestFit="1" customWidth="1"/>
    <col min="10" max="13" width="12.140625" bestFit="1" customWidth="1"/>
    <col min="14" max="20" width="12.140625" customWidth="1"/>
  </cols>
  <sheetData>
    <row r="2" spans="1:20" x14ac:dyDescent="0.25">
      <c r="A2" t="s">
        <v>4</v>
      </c>
      <c r="B2" t="s">
        <v>5</v>
      </c>
      <c r="C2" t="s">
        <v>6</v>
      </c>
      <c r="D2" t="s">
        <v>7</v>
      </c>
      <c r="E2" t="s">
        <v>8</v>
      </c>
      <c r="F2" t="s">
        <v>9</v>
      </c>
      <c r="G2" t="s">
        <v>10</v>
      </c>
      <c r="H2" t="s">
        <v>11</v>
      </c>
      <c r="I2" t="s">
        <v>12</v>
      </c>
      <c r="J2" t="s">
        <v>13</v>
      </c>
      <c r="K2" t="s">
        <v>14</v>
      </c>
      <c r="L2" t="s">
        <v>15</v>
      </c>
      <c r="M2" t="s">
        <v>19</v>
      </c>
      <c r="N2" t="s">
        <v>25</v>
      </c>
      <c r="O2" t="s">
        <v>26</v>
      </c>
      <c r="P2" t="s">
        <v>27</v>
      </c>
      <c r="Q2" t="s">
        <v>98</v>
      </c>
      <c r="R2" t="s">
        <v>99</v>
      </c>
      <c r="S2" t="s">
        <v>100</v>
      </c>
      <c r="T2" t="s">
        <v>101</v>
      </c>
    </row>
    <row r="3" spans="1:20" x14ac:dyDescent="0.25">
      <c r="A3" t="s">
        <v>110</v>
      </c>
      <c r="B3" t="s">
        <v>122</v>
      </c>
      <c r="C3" t="s">
        <v>111</v>
      </c>
      <c r="D3" t="s">
        <v>123</v>
      </c>
    </row>
    <row r="4" spans="1:20" x14ac:dyDescent="0.25">
      <c r="A4" t="s">
        <v>35</v>
      </c>
      <c r="B4" t="s">
        <v>16</v>
      </c>
      <c r="C4" t="s">
        <v>36</v>
      </c>
      <c r="D4" t="s">
        <v>3</v>
      </c>
      <c r="E4">
        <v>1</v>
      </c>
      <c r="F4">
        <v>100</v>
      </c>
      <c r="G4">
        <v>134217728</v>
      </c>
      <c r="H4">
        <v>250</v>
      </c>
      <c r="I4">
        <v>268435456</v>
      </c>
      <c r="J4">
        <v>100</v>
      </c>
      <c r="K4">
        <v>134217728</v>
      </c>
      <c r="L4">
        <v>250</v>
      </c>
      <c r="M4">
        <v>268435456</v>
      </c>
      <c r="N4">
        <v>0</v>
      </c>
      <c r="O4">
        <v>0</v>
      </c>
      <c r="P4">
        <v>28</v>
      </c>
      <c r="Q4">
        <v>0</v>
      </c>
      <c r="R4">
        <v>0</v>
      </c>
      <c r="S4">
        <v>0</v>
      </c>
      <c r="T4">
        <v>0</v>
      </c>
    </row>
    <row r="5" spans="1:20" x14ac:dyDescent="0.25">
      <c r="A5" t="s">
        <v>37</v>
      </c>
      <c r="B5" t="s">
        <v>16</v>
      </c>
      <c r="C5" t="s">
        <v>38</v>
      </c>
      <c r="D5" t="s">
        <v>3</v>
      </c>
      <c r="E5">
        <v>1</v>
      </c>
      <c r="F5">
        <v>100</v>
      </c>
      <c r="G5">
        <v>134217728</v>
      </c>
      <c r="H5">
        <v>500</v>
      </c>
      <c r="I5">
        <v>536870912</v>
      </c>
      <c r="J5">
        <v>100</v>
      </c>
      <c r="K5">
        <v>134217728</v>
      </c>
      <c r="L5">
        <v>500</v>
      </c>
      <c r="M5">
        <v>536870912</v>
      </c>
      <c r="N5">
        <v>0</v>
      </c>
      <c r="O5">
        <v>0</v>
      </c>
      <c r="P5">
        <v>28</v>
      </c>
      <c r="Q5">
        <v>0</v>
      </c>
      <c r="R5">
        <v>0</v>
      </c>
      <c r="S5">
        <v>0</v>
      </c>
      <c r="T5">
        <v>0</v>
      </c>
    </row>
    <row r="6" spans="1:20" x14ac:dyDescent="0.25">
      <c r="A6" t="s">
        <v>39</v>
      </c>
      <c r="B6" t="s">
        <v>16</v>
      </c>
      <c r="C6" t="s">
        <v>38</v>
      </c>
      <c r="D6" t="s">
        <v>3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28</v>
      </c>
      <c r="Q6">
        <v>0</v>
      </c>
      <c r="R6">
        <v>0</v>
      </c>
      <c r="S6">
        <v>0</v>
      </c>
      <c r="T6">
        <v>0</v>
      </c>
    </row>
    <row r="7" spans="1:20" x14ac:dyDescent="0.25">
      <c r="A7" t="s">
        <v>40</v>
      </c>
      <c r="B7" t="s">
        <v>16</v>
      </c>
      <c r="C7" t="s">
        <v>38</v>
      </c>
      <c r="D7" t="s">
        <v>3</v>
      </c>
      <c r="E7">
        <v>1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28</v>
      </c>
      <c r="Q7">
        <v>0</v>
      </c>
      <c r="R7">
        <v>0</v>
      </c>
      <c r="S7">
        <v>0</v>
      </c>
      <c r="T7">
        <v>0</v>
      </c>
    </row>
    <row r="8" spans="1:20" x14ac:dyDescent="0.25">
      <c r="A8" t="s">
        <v>41</v>
      </c>
      <c r="B8" t="s">
        <v>16</v>
      </c>
      <c r="C8" t="s">
        <v>22</v>
      </c>
      <c r="D8" t="s">
        <v>3</v>
      </c>
      <c r="E8">
        <v>1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28</v>
      </c>
      <c r="Q8">
        <v>0</v>
      </c>
      <c r="R8">
        <v>0</v>
      </c>
      <c r="S8">
        <v>0</v>
      </c>
      <c r="T8">
        <v>0</v>
      </c>
    </row>
    <row r="9" spans="1:20" x14ac:dyDescent="0.25">
      <c r="A9" t="s">
        <v>34</v>
      </c>
      <c r="B9" t="s">
        <v>16</v>
      </c>
      <c r="C9" t="s">
        <v>22</v>
      </c>
      <c r="D9" t="s">
        <v>3</v>
      </c>
      <c r="E9">
        <v>2</v>
      </c>
      <c r="F9">
        <v>100</v>
      </c>
      <c r="G9">
        <v>73400320</v>
      </c>
      <c r="H9">
        <v>0</v>
      </c>
      <c r="I9">
        <v>178257920</v>
      </c>
      <c r="J9">
        <v>100</v>
      </c>
      <c r="K9">
        <v>73400320</v>
      </c>
      <c r="L9">
        <v>0</v>
      </c>
      <c r="M9">
        <v>178257920</v>
      </c>
      <c r="N9">
        <v>0</v>
      </c>
      <c r="O9">
        <v>0</v>
      </c>
      <c r="P9">
        <v>28</v>
      </c>
      <c r="Q9">
        <v>0</v>
      </c>
      <c r="R9">
        <v>0</v>
      </c>
      <c r="S9">
        <v>0</v>
      </c>
      <c r="T9">
        <v>0</v>
      </c>
    </row>
    <row r="10" spans="1:20" x14ac:dyDescent="0.25">
      <c r="A10" t="s">
        <v>42</v>
      </c>
      <c r="B10" t="s">
        <v>16</v>
      </c>
      <c r="C10" t="s">
        <v>22</v>
      </c>
      <c r="D10" t="s">
        <v>3</v>
      </c>
      <c r="E10">
        <v>1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28</v>
      </c>
      <c r="Q10">
        <v>0</v>
      </c>
      <c r="R10">
        <v>0</v>
      </c>
      <c r="S10">
        <v>0</v>
      </c>
      <c r="T10">
        <v>0</v>
      </c>
    </row>
    <row r="11" spans="1:20" x14ac:dyDescent="0.25">
      <c r="A11" t="s">
        <v>43</v>
      </c>
      <c r="B11" t="s">
        <v>16</v>
      </c>
      <c r="C11" t="s">
        <v>44</v>
      </c>
      <c r="D11" t="s">
        <v>3</v>
      </c>
      <c r="E11">
        <v>1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28</v>
      </c>
      <c r="Q11">
        <v>0</v>
      </c>
      <c r="R11">
        <v>0</v>
      </c>
      <c r="S11">
        <v>0</v>
      </c>
      <c r="T11">
        <v>0</v>
      </c>
    </row>
    <row r="12" spans="1:20" x14ac:dyDescent="0.25">
      <c r="A12" t="s">
        <v>45</v>
      </c>
      <c r="B12" t="s">
        <v>16</v>
      </c>
      <c r="C12" t="s">
        <v>23</v>
      </c>
      <c r="D12" t="s">
        <v>3</v>
      </c>
      <c r="E12">
        <v>1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28</v>
      </c>
      <c r="Q12">
        <v>0</v>
      </c>
      <c r="R12">
        <v>0</v>
      </c>
      <c r="S12">
        <v>0</v>
      </c>
      <c r="T12">
        <v>0</v>
      </c>
    </row>
    <row r="13" spans="1:20" x14ac:dyDescent="0.25">
      <c r="A13" t="s">
        <v>46</v>
      </c>
      <c r="B13" t="s">
        <v>16</v>
      </c>
      <c r="C13" t="s">
        <v>23</v>
      </c>
      <c r="D13" t="s">
        <v>3</v>
      </c>
      <c r="E13">
        <v>1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28</v>
      </c>
      <c r="Q13">
        <v>0</v>
      </c>
      <c r="R13">
        <v>0</v>
      </c>
      <c r="S13">
        <v>0</v>
      </c>
      <c r="T13">
        <v>0</v>
      </c>
    </row>
    <row r="14" spans="1:20" x14ac:dyDescent="0.25">
      <c r="A14" t="s">
        <v>47</v>
      </c>
      <c r="B14" t="s">
        <v>16</v>
      </c>
      <c r="C14" t="s">
        <v>23</v>
      </c>
      <c r="D14" t="s">
        <v>3</v>
      </c>
      <c r="E14">
        <v>1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28</v>
      </c>
      <c r="Q14">
        <v>0</v>
      </c>
      <c r="R14">
        <v>0</v>
      </c>
      <c r="S14">
        <v>0</v>
      </c>
      <c r="T14">
        <v>0</v>
      </c>
    </row>
    <row r="15" spans="1:20" x14ac:dyDescent="0.25">
      <c r="A15" t="s">
        <v>48</v>
      </c>
      <c r="B15" t="s">
        <v>16</v>
      </c>
      <c r="C15" t="s">
        <v>49</v>
      </c>
      <c r="D15" t="s">
        <v>3</v>
      </c>
      <c r="E15">
        <v>1</v>
      </c>
      <c r="F15">
        <v>100</v>
      </c>
      <c r="G15">
        <v>524288000</v>
      </c>
      <c r="H15">
        <v>100</v>
      </c>
      <c r="I15">
        <v>524288000</v>
      </c>
      <c r="J15">
        <v>100</v>
      </c>
      <c r="K15">
        <v>524288000</v>
      </c>
      <c r="L15">
        <v>100</v>
      </c>
      <c r="M15">
        <v>524288000</v>
      </c>
      <c r="N15">
        <v>0</v>
      </c>
      <c r="O15">
        <v>0</v>
      </c>
      <c r="P15">
        <v>28</v>
      </c>
      <c r="Q15">
        <v>0</v>
      </c>
      <c r="R15">
        <v>0</v>
      </c>
      <c r="S15">
        <v>0</v>
      </c>
      <c r="T15">
        <v>0</v>
      </c>
    </row>
    <row r="16" spans="1:20" x14ac:dyDescent="0.25">
      <c r="A16" t="s">
        <v>50</v>
      </c>
      <c r="B16" t="s">
        <v>16</v>
      </c>
      <c r="C16" t="s">
        <v>49</v>
      </c>
      <c r="D16" t="s">
        <v>3</v>
      </c>
      <c r="E16">
        <v>1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28</v>
      </c>
      <c r="Q16">
        <v>0</v>
      </c>
      <c r="R16">
        <v>0</v>
      </c>
      <c r="S16">
        <v>0</v>
      </c>
      <c r="T16">
        <v>0</v>
      </c>
    </row>
    <row r="17" spans="1:20" x14ac:dyDescent="0.25">
      <c r="A17" t="s">
        <v>51</v>
      </c>
      <c r="B17" t="s">
        <v>16</v>
      </c>
      <c r="C17" t="s">
        <v>49</v>
      </c>
      <c r="D17" t="s">
        <v>3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28</v>
      </c>
      <c r="Q17">
        <v>0</v>
      </c>
      <c r="R17">
        <v>0</v>
      </c>
      <c r="S17">
        <v>0</v>
      </c>
      <c r="T17">
        <v>0</v>
      </c>
    </row>
    <row r="18" spans="1:20" x14ac:dyDescent="0.25">
      <c r="A18" t="s">
        <v>52</v>
      </c>
      <c r="B18" t="s">
        <v>16</v>
      </c>
      <c r="C18" t="s">
        <v>49</v>
      </c>
      <c r="D18" t="s">
        <v>3</v>
      </c>
      <c r="E18">
        <v>1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28</v>
      </c>
      <c r="Q18">
        <v>0</v>
      </c>
      <c r="R18">
        <v>0</v>
      </c>
      <c r="S18">
        <v>0</v>
      </c>
      <c r="T18">
        <v>0</v>
      </c>
    </row>
    <row r="19" spans="1:20" x14ac:dyDescent="0.25">
      <c r="A19" t="s">
        <v>53</v>
      </c>
      <c r="B19" t="s">
        <v>16</v>
      </c>
      <c r="C19" t="s">
        <v>49</v>
      </c>
      <c r="D19" t="s">
        <v>3</v>
      </c>
      <c r="E19">
        <v>1</v>
      </c>
      <c r="F19">
        <v>200</v>
      </c>
      <c r="G19">
        <v>268435456</v>
      </c>
      <c r="H19">
        <v>1000</v>
      </c>
      <c r="I19">
        <v>268435456</v>
      </c>
      <c r="J19">
        <v>200</v>
      </c>
      <c r="K19">
        <v>268435456</v>
      </c>
      <c r="L19">
        <v>1000</v>
      </c>
      <c r="M19">
        <v>268435456</v>
      </c>
      <c r="N19">
        <v>0</v>
      </c>
      <c r="O19">
        <v>0</v>
      </c>
      <c r="P19">
        <v>28</v>
      </c>
      <c r="Q19">
        <v>0</v>
      </c>
      <c r="R19">
        <v>0</v>
      </c>
      <c r="S19">
        <v>0</v>
      </c>
      <c r="T19">
        <v>0</v>
      </c>
    </row>
    <row r="20" spans="1:20" x14ac:dyDescent="0.25">
      <c r="A20" t="s">
        <v>37</v>
      </c>
      <c r="B20" t="s">
        <v>16</v>
      </c>
      <c r="C20" t="s">
        <v>54</v>
      </c>
      <c r="D20" t="s">
        <v>3</v>
      </c>
      <c r="E20">
        <v>1</v>
      </c>
      <c r="F20">
        <v>100</v>
      </c>
      <c r="G20">
        <v>134217728</v>
      </c>
      <c r="H20">
        <v>500</v>
      </c>
      <c r="I20">
        <v>536870912</v>
      </c>
      <c r="J20">
        <v>100</v>
      </c>
      <c r="K20">
        <v>134217728</v>
      </c>
      <c r="L20">
        <v>500</v>
      </c>
      <c r="M20">
        <v>536870912</v>
      </c>
      <c r="N20">
        <v>0</v>
      </c>
      <c r="O20">
        <v>0</v>
      </c>
      <c r="P20">
        <v>28</v>
      </c>
      <c r="Q20">
        <v>0</v>
      </c>
      <c r="R20">
        <v>0</v>
      </c>
      <c r="S20">
        <v>0</v>
      </c>
      <c r="T20">
        <v>0</v>
      </c>
    </row>
    <row r="21" spans="1:20" x14ac:dyDescent="0.25">
      <c r="A21" t="s">
        <v>55</v>
      </c>
      <c r="B21" t="s">
        <v>16</v>
      </c>
      <c r="C21" t="s">
        <v>56</v>
      </c>
      <c r="D21" t="s">
        <v>3</v>
      </c>
      <c r="E21">
        <v>1</v>
      </c>
      <c r="F21">
        <v>200</v>
      </c>
      <c r="G21">
        <v>104857600</v>
      </c>
      <c r="H21">
        <v>2000</v>
      </c>
      <c r="I21">
        <v>268435456</v>
      </c>
      <c r="J21">
        <v>800</v>
      </c>
      <c r="K21">
        <v>100663296</v>
      </c>
      <c r="L21">
        <v>1500</v>
      </c>
      <c r="M21">
        <v>117440512</v>
      </c>
      <c r="N21">
        <v>889</v>
      </c>
      <c r="O21">
        <v>97075200</v>
      </c>
      <c r="P21">
        <v>28</v>
      </c>
      <c r="Q21">
        <v>0</v>
      </c>
      <c r="R21">
        <v>61869977</v>
      </c>
      <c r="S21">
        <v>455</v>
      </c>
      <c r="T21">
        <v>90368244</v>
      </c>
    </row>
    <row r="22" spans="1:20" x14ac:dyDescent="0.25">
      <c r="A22" t="s">
        <v>57</v>
      </c>
      <c r="B22" t="s">
        <v>16</v>
      </c>
      <c r="C22" t="s">
        <v>56</v>
      </c>
      <c r="D22" t="s">
        <v>3</v>
      </c>
      <c r="E22">
        <v>1</v>
      </c>
      <c r="F22">
        <v>200</v>
      </c>
      <c r="G22">
        <v>104857600</v>
      </c>
      <c r="H22">
        <v>2200</v>
      </c>
      <c r="I22">
        <v>268435456</v>
      </c>
      <c r="J22">
        <v>700</v>
      </c>
      <c r="K22">
        <v>117440512</v>
      </c>
      <c r="L22">
        <v>1500</v>
      </c>
      <c r="M22">
        <v>134217728</v>
      </c>
      <c r="N22">
        <v>853</v>
      </c>
      <c r="O22">
        <v>105730048</v>
      </c>
      <c r="P22">
        <v>28</v>
      </c>
      <c r="Q22">
        <v>0</v>
      </c>
      <c r="R22">
        <v>72400861</v>
      </c>
      <c r="S22">
        <v>386</v>
      </c>
      <c r="T22">
        <v>102755798</v>
      </c>
    </row>
    <row r="23" spans="1:20" x14ac:dyDescent="0.25">
      <c r="A23" t="s">
        <v>58</v>
      </c>
      <c r="B23" t="s">
        <v>16</v>
      </c>
      <c r="C23" t="s">
        <v>56</v>
      </c>
      <c r="D23" t="s">
        <v>3</v>
      </c>
      <c r="E23">
        <v>1</v>
      </c>
      <c r="F23">
        <v>50</v>
      </c>
      <c r="G23">
        <v>104857600</v>
      </c>
      <c r="H23">
        <v>200</v>
      </c>
      <c r="I23">
        <v>104857600</v>
      </c>
      <c r="J23">
        <v>10</v>
      </c>
      <c r="K23">
        <v>33554432</v>
      </c>
      <c r="L23">
        <v>10</v>
      </c>
      <c r="M23">
        <v>33554432</v>
      </c>
      <c r="N23">
        <v>6</v>
      </c>
      <c r="O23">
        <v>27179008</v>
      </c>
      <c r="P23">
        <v>28</v>
      </c>
      <c r="Q23">
        <v>3</v>
      </c>
      <c r="R23">
        <v>24319761</v>
      </c>
      <c r="S23">
        <v>4</v>
      </c>
      <c r="T23">
        <v>25905277</v>
      </c>
    </row>
    <row r="24" spans="1:20" x14ac:dyDescent="0.25">
      <c r="A24" t="s">
        <v>59</v>
      </c>
      <c r="B24" t="s">
        <v>16</v>
      </c>
      <c r="C24" t="s">
        <v>56</v>
      </c>
      <c r="D24" t="s">
        <v>3</v>
      </c>
      <c r="E24">
        <v>1</v>
      </c>
      <c r="F24">
        <v>100</v>
      </c>
      <c r="G24">
        <v>94371840</v>
      </c>
      <c r="H24">
        <v>0</v>
      </c>
      <c r="I24">
        <v>0</v>
      </c>
      <c r="J24">
        <v>100</v>
      </c>
      <c r="K24">
        <v>94371840</v>
      </c>
      <c r="L24">
        <v>0</v>
      </c>
      <c r="M24">
        <v>0</v>
      </c>
      <c r="N24">
        <v>0</v>
      </c>
      <c r="O24">
        <v>0</v>
      </c>
      <c r="P24">
        <v>28</v>
      </c>
      <c r="Q24">
        <v>0</v>
      </c>
      <c r="R24">
        <v>0</v>
      </c>
      <c r="S24">
        <v>0</v>
      </c>
      <c r="T24">
        <v>0</v>
      </c>
    </row>
    <row r="25" spans="1:20" x14ac:dyDescent="0.25">
      <c r="A25" t="s">
        <v>60</v>
      </c>
      <c r="B25" t="s">
        <v>16</v>
      </c>
      <c r="C25" t="s">
        <v>56</v>
      </c>
      <c r="D25" t="s">
        <v>3</v>
      </c>
      <c r="E25">
        <v>1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28</v>
      </c>
      <c r="Q25">
        <v>0</v>
      </c>
      <c r="R25">
        <v>0</v>
      </c>
      <c r="S25">
        <v>0</v>
      </c>
      <c r="T25">
        <v>0</v>
      </c>
    </row>
    <row r="26" spans="1:20" x14ac:dyDescent="0.25">
      <c r="A26" t="s">
        <v>61</v>
      </c>
      <c r="B26" t="s">
        <v>16</v>
      </c>
      <c r="C26" t="s">
        <v>56</v>
      </c>
      <c r="D26" t="s">
        <v>3</v>
      </c>
      <c r="E26">
        <v>1</v>
      </c>
      <c r="F26">
        <v>200</v>
      </c>
      <c r="G26">
        <v>209715200</v>
      </c>
      <c r="H26">
        <v>1400</v>
      </c>
      <c r="I26">
        <v>536870912</v>
      </c>
      <c r="J26">
        <v>350</v>
      </c>
      <c r="K26">
        <v>201326592</v>
      </c>
      <c r="L26">
        <v>550</v>
      </c>
      <c r="M26">
        <v>268435456</v>
      </c>
      <c r="N26">
        <v>312</v>
      </c>
      <c r="O26">
        <v>179015680</v>
      </c>
      <c r="P26">
        <v>28</v>
      </c>
      <c r="Q26">
        <v>5</v>
      </c>
      <c r="R26">
        <v>156627046</v>
      </c>
      <c r="S26">
        <v>155</v>
      </c>
      <c r="T26">
        <v>167351710</v>
      </c>
    </row>
    <row r="27" spans="1:20" x14ac:dyDescent="0.25">
      <c r="A27" t="s">
        <v>62</v>
      </c>
      <c r="B27" t="s">
        <v>16</v>
      </c>
      <c r="C27" t="s">
        <v>56</v>
      </c>
      <c r="D27" t="s">
        <v>3</v>
      </c>
      <c r="E27">
        <v>1</v>
      </c>
      <c r="F27">
        <v>200</v>
      </c>
      <c r="G27">
        <v>1073741824</v>
      </c>
      <c r="H27">
        <v>400</v>
      </c>
      <c r="I27">
        <v>1073741824</v>
      </c>
      <c r="J27">
        <v>10</v>
      </c>
      <c r="K27">
        <v>402653184</v>
      </c>
      <c r="L27">
        <v>10</v>
      </c>
      <c r="M27">
        <v>469762048</v>
      </c>
      <c r="N27">
        <v>4</v>
      </c>
      <c r="O27">
        <v>367697920</v>
      </c>
      <c r="P27">
        <v>28</v>
      </c>
      <c r="Q27">
        <v>3</v>
      </c>
      <c r="R27">
        <v>367611904</v>
      </c>
      <c r="S27">
        <v>3</v>
      </c>
      <c r="T27">
        <v>367657065</v>
      </c>
    </row>
    <row r="28" spans="1:20" x14ac:dyDescent="0.25">
      <c r="A28" t="s">
        <v>63</v>
      </c>
      <c r="B28" t="s">
        <v>16</v>
      </c>
      <c r="C28" t="s">
        <v>56</v>
      </c>
      <c r="D28" t="s">
        <v>3</v>
      </c>
      <c r="E28">
        <v>1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28</v>
      </c>
      <c r="Q28">
        <v>0</v>
      </c>
      <c r="R28">
        <v>0</v>
      </c>
      <c r="S28">
        <v>0</v>
      </c>
      <c r="T28">
        <v>0</v>
      </c>
    </row>
    <row r="29" spans="1:20" x14ac:dyDescent="0.25">
      <c r="A29" t="s">
        <v>64</v>
      </c>
      <c r="B29" t="s">
        <v>16</v>
      </c>
      <c r="C29" t="s">
        <v>56</v>
      </c>
      <c r="D29" t="s">
        <v>3</v>
      </c>
      <c r="E29">
        <v>1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28</v>
      </c>
      <c r="Q29">
        <v>0</v>
      </c>
      <c r="R29">
        <v>0</v>
      </c>
      <c r="S29">
        <v>0</v>
      </c>
      <c r="T29">
        <v>0</v>
      </c>
    </row>
    <row r="30" spans="1:20" x14ac:dyDescent="0.25">
      <c r="A30" t="s">
        <v>65</v>
      </c>
      <c r="B30" t="s">
        <v>16</v>
      </c>
      <c r="C30" t="s">
        <v>56</v>
      </c>
      <c r="D30" t="s">
        <v>3</v>
      </c>
      <c r="E30">
        <v>1</v>
      </c>
      <c r="F30">
        <v>200</v>
      </c>
      <c r="G30">
        <v>104857600</v>
      </c>
      <c r="H30">
        <v>3000</v>
      </c>
      <c r="I30">
        <v>524288000</v>
      </c>
      <c r="J30">
        <v>700</v>
      </c>
      <c r="K30">
        <v>50331648</v>
      </c>
      <c r="L30">
        <v>1800</v>
      </c>
      <c r="M30">
        <v>50331648</v>
      </c>
      <c r="N30">
        <v>984</v>
      </c>
      <c r="O30">
        <v>44921548</v>
      </c>
      <c r="P30">
        <v>28</v>
      </c>
      <c r="Q30">
        <v>0</v>
      </c>
      <c r="R30">
        <v>44830720</v>
      </c>
      <c r="S30">
        <v>555</v>
      </c>
      <c r="T30">
        <v>44863893</v>
      </c>
    </row>
    <row r="31" spans="1:20" x14ac:dyDescent="0.25">
      <c r="A31" t="s">
        <v>66</v>
      </c>
      <c r="B31" t="s">
        <v>16</v>
      </c>
      <c r="C31" t="s">
        <v>56</v>
      </c>
      <c r="D31" t="s">
        <v>3</v>
      </c>
      <c r="E31">
        <v>1</v>
      </c>
      <c r="F31">
        <v>100</v>
      </c>
      <c r="G31">
        <v>536870912</v>
      </c>
      <c r="H31">
        <v>150</v>
      </c>
      <c r="I31">
        <v>536870912</v>
      </c>
      <c r="J31">
        <v>30</v>
      </c>
      <c r="K31">
        <v>201326592</v>
      </c>
      <c r="L31">
        <v>40</v>
      </c>
      <c r="M31">
        <v>201326592</v>
      </c>
      <c r="N31">
        <v>29</v>
      </c>
      <c r="O31">
        <v>124616704</v>
      </c>
      <c r="P31">
        <v>28</v>
      </c>
      <c r="Q31">
        <v>21</v>
      </c>
      <c r="R31">
        <v>110258995</v>
      </c>
      <c r="S31">
        <v>24</v>
      </c>
      <c r="T31">
        <v>115282181</v>
      </c>
    </row>
    <row r="32" spans="1:20" x14ac:dyDescent="0.25">
      <c r="A32" t="s">
        <v>67</v>
      </c>
      <c r="B32" t="s">
        <v>16</v>
      </c>
      <c r="C32" t="s">
        <v>56</v>
      </c>
      <c r="D32" t="s">
        <v>3</v>
      </c>
      <c r="E32">
        <v>1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28</v>
      </c>
      <c r="Q32">
        <v>0</v>
      </c>
      <c r="R32">
        <v>0</v>
      </c>
      <c r="S32">
        <v>0</v>
      </c>
      <c r="T32">
        <v>0</v>
      </c>
    </row>
    <row r="33" spans="1:20" x14ac:dyDescent="0.25">
      <c r="A33" t="s">
        <v>68</v>
      </c>
      <c r="B33" t="s">
        <v>16</v>
      </c>
      <c r="C33" t="s">
        <v>56</v>
      </c>
      <c r="D33" t="s">
        <v>3</v>
      </c>
      <c r="E33">
        <v>1</v>
      </c>
      <c r="F33">
        <v>50</v>
      </c>
      <c r="G33">
        <v>104857600</v>
      </c>
      <c r="H33">
        <v>100</v>
      </c>
      <c r="I33">
        <v>104857600</v>
      </c>
      <c r="J33">
        <v>10</v>
      </c>
      <c r="K33">
        <v>50331648</v>
      </c>
      <c r="L33">
        <v>10</v>
      </c>
      <c r="M33">
        <v>50331648</v>
      </c>
      <c r="N33">
        <v>2</v>
      </c>
      <c r="O33">
        <v>43360256</v>
      </c>
      <c r="P33">
        <v>28</v>
      </c>
      <c r="Q33">
        <v>1</v>
      </c>
      <c r="R33">
        <v>43261952</v>
      </c>
      <c r="S33">
        <v>1</v>
      </c>
      <c r="T33">
        <v>43312932</v>
      </c>
    </row>
    <row r="34" spans="1:20" x14ac:dyDescent="0.25">
      <c r="A34" t="s">
        <v>69</v>
      </c>
      <c r="B34" t="s">
        <v>16</v>
      </c>
      <c r="C34" t="s">
        <v>56</v>
      </c>
      <c r="D34" t="s">
        <v>3</v>
      </c>
      <c r="E34">
        <v>1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28</v>
      </c>
      <c r="Q34">
        <v>0</v>
      </c>
      <c r="R34">
        <v>0</v>
      </c>
      <c r="S34">
        <v>0</v>
      </c>
      <c r="T34">
        <v>0</v>
      </c>
    </row>
    <row r="35" spans="1:20" x14ac:dyDescent="0.25">
      <c r="A35" t="s">
        <v>70</v>
      </c>
      <c r="B35" t="s">
        <v>16</v>
      </c>
      <c r="C35" t="s">
        <v>56</v>
      </c>
      <c r="D35" t="s">
        <v>3</v>
      </c>
      <c r="E35">
        <v>1</v>
      </c>
      <c r="F35">
        <v>200</v>
      </c>
      <c r="G35">
        <v>1048576000</v>
      </c>
      <c r="H35">
        <v>1000</v>
      </c>
      <c r="I35">
        <v>1048576000</v>
      </c>
      <c r="J35">
        <v>850</v>
      </c>
      <c r="K35">
        <v>939524096</v>
      </c>
      <c r="L35">
        <v>1700</v>
      </c>
      <c r="M35">
        <v>1073741824</v>
      </c>
      <c r="N35">
        <v>963</v>
      </c>
      <c r="O35">
        <v>932724736</v>
      </c>
      <c r="P35">
        <v>28</v>
      </c>
      <c r="Q35">
        <v>1</v>
      </c>
      <c r="R35">
        <v>917636710</v>
      </c>
      <c r="S35">
        <v>475</v>
      </c>
      <c r="T35">
        <v>926001545</v>
      </c>
    </row>
    <row r="36" spans="1:20" x14ac:dyDescent="0.25">
      <c r="A36" t="s">
        <v>71</v>
      </c>
      <c r="B36" t="s">
        <v>16</v>
      </c>
      <c r="C36" t="s">
        <v>56</v>
      </c>
      <c r="D36" t="s">
        <v>3</v>
      </c>
      <c r="E36">
        <v>1</v>
      </c>
      <c r="F36">
        <v>200</v>
      </c>
      <c r="G36">
        <v>104857600</v>
      </c>
      <c r="H36">
        <v>2000</v>
      </c>
      <c r="I36">
        <v>1073741824</v>
      </c>
      <c r="J36">
        <v>800</v>
      </c>
      <c r="K36">
        <v>117440512</v>
      </c>
      <c r="L36">
        <v>1400</v>
      </c>
      <c r="M36">
        <v>134217728</v>
      </c>
      <c r="N36">
        <v>793</v>
      </c>
      <c r="O36">
        <v>104771584</v>
      </c>
      <c r="P36">
        <v>28</v>
      </c>
      <c r="Q36">
        <v>0</v>
      </c>
      <c r="R36">
        <v>65948501</v>
      </c>
      <c r="S36">
        <v>365</v>
      </c>
      <c r="T36">
        <v>98900232</v>
      </c>
    </row>
    <row r="37" spans="1:20" x14ac:dyDescent="0.25">
      <c r="A37" t="s">
        <v>72</v>
      </c>
      <c r="B37" t="s">
        <v>16</v>
      </c>
      <c r="C37" t="s">
        <v>56</v>
      </c>
      <c r="D37" t="s">
        <v>3</v>
      </c>
      <c r="E37">
        <v>1</v>
      </c>
      <c r="F37">
        <v>200</v>
      </c>
      <c r="G37">
        <v>104857600</v>
      </c>
      <c r="H37">
        <v>2000</v>
      </c>
      <c r="I37">
        <v>1073741824</v>
      </c>
      <c r="J37">
        <v>1100</v>
      </c>
      <c r="K37">
        <v>100663296</v>
      </c>
      <c r="L37">
        <v>1600</v>
      </c>
      <c r="M37">
        <v>100663296</v>
      </c>
      <c r="N37">
        <v>835</v>
      </c>
      <c r="O37">
        <v>84178944</v>
      </c>
      <c r="P37">
        <v>28</v>
      </c>
      <c r="Q37">
        <v>0</v>
      </c>
      <c r="R37">
        <v>79614124</v>
      </c>
      <c r="S37">
        <v>459</v>
      </c>
      <c r="T37">
        <v>81905399</v>
      </c>
    </row>
    <row r="38" spans="1:20" x14ac:dyDescent="0.25">
      <c r="A38" t="s">
        <v>73</v>
      </c>
      <c r="B38" t="s">
        <v>16</v>
      </c>
      <c r="C38" t="s">
        <v>74</v>
      </c>
      <c r="D38" t="s">
        <v>3</v>
      </c>
      <c r="E38">
        <v>1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28</v>
      </c>
      <c r="Q38">
        <v>0</v>
      </c>
      <c r="R38">
        <v>0</v>
      </c>
      <c r="S38">
        <v>0</v>
      </c>
      <c r="T38">
        <v>0</v>
      </c>
    </row>
    <row r="39" spans="1:20" x14ac:dyDescent="0.25">
      <c r="A39" t="s">
        <v>75</v>
      </c>
      <c r="B39" t="s">
        <v>16</v>
      </c>
      <c r="C39" t="s">
        <v>74</v>
      </c>
      <c r="D39" t="s">
        <v>3</v>
      </c>
      <c r="E39">
        <v>1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28</v>
      </c>
      <c r="Q39">
        <v>0</v>
      </c>
      <c r="R39">
        <v>0</v>
      </c>
      <c r="S39">
        <v>0</v>
      </c>
      <c r="T39">
        <v>0</v>
      </c>
    </row>
    <row r="40" spans="1:20" x14ac:dyDescent="0.25">
      <c r="A40" t="s">
        <v>76</v>
      </c>
      <c r="B40" t="s">
        <v>16</v>
      </c>
      <c r="C40" t="s">
        <v>77</v>
      </c>
      <c r="D40" t="s">
        <v>3</v>
      </c>
      <c r="E40">
        <v>1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28</v>
      </c>
      <c r="Q40">
        <v>0</v>
      </c>
      <c r="R40">
        <v>0</v>
      </c>
      <c r="S40">
        <v>0</v>
      </c>
      <c r="T40">
        <v>0</v>
      </c>
    </row>
    <row r="41" spans="1:20" x14ac:dyDescent="0.25">
      <c r="A41" t="s">
        <v>78</v>
      </c>
      <c r="B41" t="s">
        <v>16</v>
      </c>
      <c r="C41" t="s">
        <v>79</v>
      </c>
      <c r="D41" t="s">
        <v>3</v>
      </c>
      <c r="E41">
        <v>4</v>
      </c>
      <c r="F41">
        <v>100</v>
      </c>
      <c r="G41">
        <v>104857600</v>
      </c>
      <c r="H41">
        <v>100</v>
      </c>
      <c r="I41">
        <v>104857600</v>
      </c>
      <c r="J41">
        <v>100</v>
      </c>
      <c r="K41">
        <v>104857600</v>
      </c>
      <c r="L41">
        <v>100</v>
      </c>
      <c r="M41">
        <v>104857600</v>
      </c>
      <c r="N41">
        <v>0</v>
      </c>
      <c r="O41">
        <v>0</v>
      </c>
      <c r="P41">
        <v>28</v>
      </c>
      <c r="Q41">
        <v>0</v>
      </c>
      <c r="R41">
        <v>0</v>
      </c>
      <c r="S41">
        <v>0</v>
      </c>
      <c r="T41">
        <v>0</v>
      </c>
    </row>
    <row r="42" spans="1:20" x14ac:dyDescent="0.25">
      <c r="A42" t="s">
        <v>80</v>
      </c>
      <c r="B42" t="s">
        <v>16</v>
      </c>
      <c r="C42" t="s">
        <v>81</v>
      </c>
      <c r="D42" t="s">
        <v>3</v>
      </c>
      <c r="E42">
        <v>5</v>
      </c>
      <c r="F42">
        <v>50</v>
      </c>
      <c r="G42">
        <v>53687092</v>
      </c>
      <c r="H42">
        <v>50</v>
      </c>
      <c r="I42">
        <v>53687092</v>
      </c>
      <c r="J42">
        <v>50</v>
      </c>
      <c r="K42">
        <v>53687092</v>
      </c>
      <c r="L42">
        <v>50</v>
      </c>
      <c r="M42">
        <v>53687092</v>
      </c>
      <c r="N42">
        <v>0</v>
      </c>
      <c r="O42">
        <v>0</v>
      </c>
      <c r="P42">
        <v>28</v>
      </c>
      <c r="Q42">
        <v>0</v>
      </c>
      <c r="R42">
        <v>0</v>
      </c>
      <c r="S42">
        <v>0</v>
      </c>
      <c r="T42">
        <v>0</v>
      </c>
    </row>
    <row r="43" spans="1:20" x14ac:dyDescent="0.25">
      <c r="A43" t="s">
        <v>82</v>
      </c>
      <c r="B43" t="s">
        <v>16</v>
      </c>
      <c r="C43" t="s">
        <v>83</v>
      </c>
      <c r="D43" t="s">
        <v>3</v>
      </c>
      <c r="E43">
        <v>1</v>
      </c>
      <c r="F43">
        <v>100</v>
      </c>
      <c r="G43">
        <v>134217728</v>
      </c>
      <c r="H43">
        <v>250</v>
      </c>
      <c r="I43">
        <v>268435456</v>
      </c>
      <c r="J43">
        <v>100</v>
      </c>
      <c r="K43">
        <v>134217728</v>
      </c>
      <c r="L43">
        <v>250</v>
      </c>
      <c r="M43">
        <v>268435456</v>
      </c>
      <c r="N43">
        <v>0</v>
      </c>
      <c r="O43">
        <v>0</v>
      </c>
      <c r="P43">
        <v>28</v>
      </c>
      <c r="Q43">
        <v>0</v>
      </c>
      <c r="R43">
        <v>0</v>
      </c>
      <c r="S43">
        <v>0</v>
      </c>
      <c r="T43">
        <v>0</v>
      </c>
    </row>
    <row r="44" spans="1:20" x14ac:dyDescent="0.25">
      <c r="A44" t="s">
        <v>84</v>
      </c>
      <c r="B44" t="s">
        <v>16</v>
      </c>
      <c r="C44" t="s">
        <v>85</v>
      </c>
      <c r="D44" t="s">
        <v>3</v>
      </c>
      <c r="E44">
        <v>1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28</v>
      </c>
      <c r="Q44">
        <v>0</v>
      </c>
      <c r="R44">
        <v>0</v>
      </c>
      <c r="S44">
        <v>0</v>
      </c>
      <c r="T44">
        <v>0</v>
      </c>
    </row>
    <row r="45" spans="1:20" x14ac:dyDescent="0.25">
      <c r="A45" t="s">
        <v>86</v>
      </c>
      <c r="B45" t="s">
        <v>16</v>
      </c>
      <c r="C45" t="s">
        <v>87</v>
      </c>
      <c r="D45" t="s">
        <v>3</v>
      </c>
      <c r="E45">
        <v>1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28</v>
      </c>
      <c r="Q45">
        <v>0</v>
      </c>
      <c r="R45">
        <v>0</v>
      </c>
      <c r="S45">
        <v>0</v>
      </c>
      <c r="T45">
        <v>0</v>
      </c>
    </row>
    <row r="46" spans="1:20" x14ac:dyDescent="0.25">
      <c r="A46" t="s">
        <v>88</v>
      </c>
      <c r="B46" t="s">
        <v>24</v>
      </c>
      <c r="C46" t="s">
        <v>23</v>
      </c>
      <c r="D46" t="s">
        <v>3</v>
      </c>
      <c r="E46">
        <v>1</v>
      </c>
      <c r="F46">
        <v>100</v>
      </c>
      <c r="G46">
        <v>262144000</v>
      </c>
      <c r="H46">
        <v>100</v>
      </c>
      <c r="I46">
        <v>52428800</v>
      </c>
      <c r="J46">
        <v>100</v>
      </c>
      <c r="K46">
        <v>262144000</v>
      </c>
      <c r="L46">
        <v>100</v>
      </c>
      <c r="M46">
        <v>52428800</v>
      </c>
      <c r="N46">
        <v>0</v>
      </c>
      <c r="O46">
        <v>0</v>
      </c>
      <c r="P46">
        <v>28</v>
      </c>
      <c r="Q46">
        <v>0</v>
      </c>
      <c r="R46">
        <v>0</v>
      </c>
      <c r="S46">
        <v>0</v>
      </c>
      <c r="T46">
        <v>0</v>
      </c>
    </row>
    <row r="47" spans="1:20" x14ac:dyDescent="0.25">
      <c r="A47" t="s">
        <v>89</v>
      </c>
      <c r="B47" t="s">
        <v>24</v>
      </c>
      <c r="C47" t="s">
        <v>23</v>
      </c>
      <c r="D47" t="s">
        <v>3</v>
      </c>
      <c r="E47">
        <v>1</v>
      </c>
      <c r="F47">
        <v>100</v>
      </c>
      <c r="G47">
        <v>52428800</v>
      </c>
      <c r="H47">
        <v>100</v>
      </c>
      <c r="I47">
        <v>52428800</v>
      </c>
      <c r="J47">
        <v>100</v>
      </c>
      <c r="K47">
        <v>52428800</v>
      </c>
      <c r="L47">
        <v>100</v>
      </c>
      <c r="M47">
        <v>52428800</v>
      </c>
      <c r="N47">
        <v>0</v>
      </c>
      <c r="O47">
        <v>0</v>
      </c>
      <c r="P47">
        <v>28</v>
      </c>
      <c r="Q47">
        <v>0</v>
      </c>
      <c r="R47">
        <v>0</v>
      </c>
      <c r="S47">
        <v>0</v>
      </c>
      <c r="T47">
        <v>0</v>
      </c>
    </row>
    <row r="48" spans="1:20" x14ac:dyDescent="0.25">
      <c r="A48" t="s">
        <v>90</v>
      </c>
      <c r="B48" t="s">
        <v>24</v>
      </c>
      <c r="C48" t="s">
        <v>49</v>
      </c>
      <c r="D48" t="s">
        <v>3</v>
      </c>
      <c r="E48">
        <v>3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28</v>
      </c>
      <c r="Q48">
        <v>0</v>
      </c>
      <c r="R48">
        <v>0</v>
      </c>
      <c r="S48">
        <v>0</v>
      </c>
      <c r="T48">
        <v>0</v>
      </c>
    </row>
    <row r="49" spans="1:20" x14ac:dyDescent="0.25">
      <c r="A49" t="s">
        <v>91</v>
      </c>
      <c r="B49" t="s">
        <v>24</v>
      </c>
      <c r="C49" t="s">
        <v>49</v>
      </c>
      <c r="D49" t="s">
        <v>3</v>
      </c>
      <c r="E49">
        <v>3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28</v>
      </c>
      <c r="Q49">
        <v>0</v>
      </c>
      <c r="R49">
        <v>0</v>
      </c>
      <c r="S49">
        <v>0</v>
      </c>
      <c r="T49">
        <v>0</v>
      </c>
    </row>
    <row r="50" spans="1:20" x14ac:dyDescent="0.25">
      <c r="A50" t="s">
        <v>72</v>
      </c>
      <c r="B50" t="s">
        <v>24</v>
      </c>
      <c r="C50" t="s">
        <v>92</v>
      </c>
      <c r="D50" t="s">
        <v>3</v>
      </c>
      <c r="E50">
        <v>1</v>
      </c>
      <c r="F50">
        <v>100</v>
      </c>
      <c r="G50">
        <v>134217728</v>
      </c>
      <c r="H50">
        <v>250</v>
      </c>
      <c r="I50">
        <v>268435456</v>
      </c>
      <c r="J50">
        <v>100</v>
      </c>
      <c r="K50">
        <v>134217728</v>
      </c>
      <c r="L50">
        <v>250</v>
      </c>
      <c r="M50">
        <v>268435456</v>
      </c>
      <c r="N50">
        <v>0</v>
      </c>
      <c r="O50">
        <v>0</v>
      </c>
      <c r="P50">
        <v>28</v>
      </c>
      <c r="Q50">
        <v>0</v>
      </c>
      <c r="R50">
        <v>0</v>
      </c>
      <c r="S50">
        <v>0</v>
      </c>
      <c r="T50">
        <v>0</v>
      </c>
    </row>
    <row r="51" spans="1:20" x14ac:dyDescent="0.25">
      <c r="A51" t="s">
        <v>93</v>
      </c>
      <c r="B51" t="s">
        <v>24</v>
      </c>
      <c r="C51" t="s">
        <v>94</v>
      </c>
      <c r="D51" t="s">
        <v>3</v>
      </c>
      <c r="E51">
        <v>1</v>
      </c>
      <c r="F51">
        <v>50</v>
      </c>
      <c r="G51">
        <v>67108864</v>
      </c>
      <c r="H51">
        <v>50</v>
      </c>
      <c r="I51">
        <v>67108864</v>
      </c>
      <c r="J51">
        <v>50</v>
      </c>
      <c r="K51">
        <v>67108864</v>
      </c>
      <c r="L51">
        <v>50</v>
      </c>
      <c r="M51">
        <v>67108864</v>
      </c>
      <c r="N51">
        <v>0</v>
      </c>
      <c r="O51">
        <v>0</v>
      </c>
      <c r="P51">
        <v>28</v>
      </c>
      <c r="Q51">
        <v>0</v>
      </c>
      <c r="R51">
        <v>0</v>
      </c>
      <c r="S51">
        <v>0</v>
      </c>
      <c r="T51">
        <v>0</v>
      </c>
    </row>
    <row r="52" spans="1:20" x14ac:dyDescent="0.25">
      <c r="A52" t="s">
        <v>95</v>
      </c>
      <c r="B52" t="s">
        <v>24</v>
      </c>
      <c r="C52" t="s">
        <v>96</v>
      </c>
      <c r="D52" t="s">
        <v>3</v>
      </c>
      <c r="E52">
        <v>1</v>
      </c>
      <c r="F52">
        <v>100</v>
      </c>
      <c r="G52">
        <v>134217728</v>
      </c>
      <c r="H52">
        <v>250</v>
      </c>
      <c r="I52">
        <v>268435456</v>
      </c>
      <c r="J52">
        <v>100</v>
      </c>
      <c r="K52">
        <v>134217728</v>
      </c>
      <c r="L52">
        <v>250</v>
      </c>
      <c r="M52">
        <v>268435456</v>
      </c>
      <c r="N52">
        <v>0</v>
      </c>
      <c r="O52">
        <v>0</v>
      </c>
      <c r="P52">
        <v>28</v>
      </c>
      <c r="Q52">
        <v>0</v>
      </c>
      <c r="R52">
        <v>0</v>
      </c>
      <c r="S52">
        <v>0</v>
      </c>
      <c r="T52">
        <v>0</v>
      </c>
    </row>
    <row r="53" spans="1:20" x14ac:dyDescent="0.25">
      <c r="A53" t="s">
        <v>97</v>
      </c>
      <c r="B53" t="s">
        <v>24</v>
      </c>
      <c r="C53" t="s">
        <v>56</v>
      </c>
      <c r="D53" t="s">
        <v>3</v>
      </c>
      <c r="E53">
        <v>1</v>
      </c>
      <c r="F53">
        <v>200</v>
      </c>
      <c r="G53">
        <v>104857600</v>
      </c>
      <c r="H53">
        <v>1000</v>
      </c>
      <c r="I53">
        <v>2147483648</v>
      </c>
      <c r="J53">
        <v>90</v>
      </c>
      <c r="K53">
        <v>16777216</v>
      </c>
      <c r="L53">
        <v>120</v>
      </c>
      <c r="M53">
        <v>16777216</v>
      </c>
      <c r="N53">
        <v>64</v>
      </c>
      <c r="O53">
        <v>8795033</v>
      </c>
      <c r="P53">
        <v>28</v>
      </c>
      <c r="Q53">
        <v>1</v>
      </c>
      <c r="R53">
        <v>8773632</v>
      </c>
      <c r="S53">
        <v>37</v>
      </c>
      <c r="T53">
        <v>8774751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D31D6D-2EC0-43CE-A206-090EC74656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deployment</vt:lpstr>
      <vt:lpstr>deployment-raw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Sheng-Lin Wu</dc:creator>
  <cp:keywords>20230807-deployment</cp:keywords>
  <cp:lastModifiedBy>Sheng-Lin Wu</cp:lastModifiedBy>
  <dcterms:created xsi:type="dcterms:W3CDTF">2023-01-17T03:26:48Z</dcterms:created>
  <dcterms:modified xsi:type="dcterms:W3CDTF">2023-08-07T10:13:32Z</dcterms:modified>
</cp:coreProperties>
</file>